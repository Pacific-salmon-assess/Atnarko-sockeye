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00_GitHub\Atnarko-sockeye\data\age\raw\"/>
    </mc:Choice>
  </mc:AlternateContent>
  <xr:revisionPtr revIDLastSave="0" documentId="13_ncr:1_{56A6810C-8994-4FF7-AAB4-62AD18E39A69}" xr6:coauthVersionLast="47" xr6:coauthVersionMax="47" xr10:uidLastSave="{00000000-0000-0000-0000-000000000000}"/>
  <bookViews>
    <workbookView minimized="1" xWindow="29970" yWindow="645" windowWidth="16365" windowHeight="14700" firstSheet="1" activeTab="1" xr2:uid="{9487ADB7-8D4D-4C49-84B4-E5F998CF54C5}"/>
  </bookViews>
  <sheets>
    <sheet name="Data Source Overview" sheetId="1" r:id="rId1"/>
    <sheet name="All age data Summary" sheetId="2" r:id="rId2"/>
    <sheet name="&quot;PADS&quot; Summary" sheetId="4" r:id="rId3"/>
    <sheet name="&quot;Age Readings Data&quot; Summary" sheetId="3" r:id="rId4"/>
    <sheet name="&quot;Age Batch Details&quot; Summary" sheetId="5" r:id="rId5"/>
    <sheet name="Biodata Overview" sheetId="6" r:id="rId6"/>
  </sheets>
  <calcPr calcId="191029"/>
  <pivotCaches>
    <pivotCache cacheId="0" r:id="rId7"/>
    <pivotCache cacheId="1" r:id="rId8"/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" l="1" a="1"/>
  <c r="F4" i="2" s="1"/>
  <c r="F5" i="2" a="1"/>
  <c r="F5" i="2" s="1"/>
  <c r="F6" i="2" a="1"/>
  <c r="F6" i="2" s="1"/>
  <c r="F7" i="2" a="1"/>
  <c r="F7" i="2" s="1"/>
  <c r="F8" i="2" a="1"/>
  <c r="F8" i="2" s="1"/>
  <c r="F9" i="2" a="1"/>
  <c r="F9" i="2" s="1"/>
  <c r="F10" i="2" a="1"/>
  <c r="F10" i="2" s="1"/>
  <c r="F11" i="2" a="1"/>
  <c r="F11" i="2" s="1"/>
  <c r="F12" i="2" a="1"/>
  <c r="F12" i="2" s="1"/>
  <c r="F13" i="2" a="1"/>
  <c r="F13" i="2" s="1"/>
  <c r="F14" i="2" a="1"/>
  <c r="F14" i="2" s="1"/>
  <c r="F15" i="2" a="1"/>
  <c r="F15" i="2" s="1"/>
  <c r="F16" i="2" a="1"/>
  <c r="F16" i="2" s="1"/>
  <c r="F17" i="2" a="1"/>
  <c r="F17" i="2" s="1"/>
  <c r="F18" i="2" a="1"/>
  <c r="F18" i="2" s="1"/>
  <c r="F19" i="2" a="1"/>
  <c r="F19" i="2" s="1"/>
  <c r="F20" i="2" a="1"/>
  <c r="F20" i="2" s="1"/>
  <c r="F21" i="2" a="1"/>
  <c r="F21" i="2" s="1"/>
  <c r="F22" i="2" a="1"/>
  <c r="F22" i="2" s="1"/>
  <c r="F23" i="2" a="1"/>
  <c r="F23" i="2" s="1"/>
  <c r="F24" i="2" a="1"/>
  <c r="F24" i="2" s="1"/>
  <c r="F25" i="2" a="1"/>
  <c r="F25" i="2" s="1"/>
  <c r="F26" i="2" a="1"/>
  <c r="F26" i="2" s="1"/>
  <c r="F27" i="2" a="1"/>
  <c r="F27" i="2" s="1"/>
  <c r="F28" i="2" a="1"/>
  <c r="F28" i="2" s="1"/>
  <c r="F29" i="2" a="1"/>
  <c r="F29" i="2" s="1"/>
  <c r="F30" i="2" a="1"/>
  <c r="F30" i="2" s="1"/>
  <c r="F31" i="2" a="1"/>
  <c r="F31" i="2" s="1"/>
  <c r="F32" i="2" a="1"/>
  <c r="F32" i="2" s="1"/>
  <c r="F33" i="2" a="1"/>
  <c r="F33" i="2" s="1"/>
  <c r="F34" i="2" a="1"/>
  <c r="F34" i="2" s="1"/>
  <c r="F35" i="2" a="1"/>
  <c r="F35" i="2" s="1"/>
  <c r="F36" i="2" a="1"/>
  <c r="F36" i="2" s="1"/>
  <c r="F37" i="2" a="1"/>
  <c r="F37" i="2" s="1"/>
  <c r="F38" i="2" a="1"/>
  <c r="F38" i="2" s="1"/>
  <c r="F39" i="2" a="1"/>
  <c r="F39" i="2" s="1"/>
  <c r="F3" i="2" a="1"/>
  <c r="F3" i="2" s="1"/>
  <c r="E4" i="2" a="1"/>
  <c r="E4" i="2" s="1"/>
  <c r="E5" i="2" a="1"/>
  <c r="E5" i="2" s="1"/>
  <c r="E6" i="2" a="1"/>
  <c r="E6" i="2" s="1"/>
  <c r="E7" i="2" a="1"/>
  <c r="E7" i="2" s="1"/>
  <c r="E8" i="2" a="1"/>
  <c r="E8" i="2" s="1"/>
  <c r="E9" i="2" a="1"/>
  <c r="E9" i="2" s="1"/>
  <c r="E10" i="2" a="1"/>
  <c r="E10" i="2" s="1"/>
  <c r="E11" i="2" a="1"/>
  <c r="E11" i="2" s="1"/>
  <c r="E12" i="2" a="1"/>
  <c r="E12" i="2" s="1"/>
  <c r="E13" i="2" a="1"/>
  <c r="E13" i="2" s="1"/>
  <c r="E14" i="2" a="1"/>
  <c r="E14" i="2" s="1"/>
  <c r="E15" i="2" a="1"/>
  <c r="E15" i="2" s="1"/>
  <c r="E16" i="2" a="1"/>
  <c r="E16" i="2" s="1"/>
  <c r="E17" i="2" a="1"/>
  <c r="E17" i="2" s="1"/>
  <c r="E18" i="2" a="1"/>
  <c r="E18" i="2" s="1"/>
  <c r="E19" i="2" a="1"/>
  <c r="E19" i="2" s="1"/>
  <c r="E20" i="2" a="1"/>
  <c r="E20" i="2" s="1"/>
  <c r="E21" i="2" a="1"/>
  <c r="E21" i="2" s="1"/>
  <c r="E22" i="2" a="1"/>
  <c r="E22" i="2" s="1"/>
  <c r="E23" i="2" a="1"/>
  <c r="E23" i="2" s="1"/>
  <c r="E24" i="2" a="1"/>
  <c r="E24" i="2" s="1"/>
  <c r="E25" i="2" a="1"/>
  <c r="E25" i="2" s="1"/>
  <c r="E26" i="2" a="1"/>
  <c r="E26" i="2" s="1"/>
  <c r="E27" i="2" a="1"/>
  <c r="E27" i="2" s="1"/>
  <c r="E28" i="2" a="1"/>
  <c r="E28" i="2" s="1"/>
  <c r="E29" i="2" a="1"/>
  <c r="E29" i="2" s="1"/>
  <c r="E30" i="2" a="1"/>
  <c r="E30" i="2" s="1"/>
  <c r="E31" i="2" a="1"/>
  <c r="E31" i="2" s="1"/>
  <c r="E32" i="2" a="1"/>
  <c r="E32" i="2" s="1"/>
  <c r="E33" i="2" a="1"/>
  <c r="E33" i="2" s="1"/>
  <c r="E34" i="2" a="1"/>
  <c r="E34" i="2" s="1"/>
  <c r="E35" i="2" a="1"/>
  <c r="E35" i="2" s="1"/>
  <c r="E36" i="2" a="1"/>
  <c r="E36" i="2" s="1"/>
  <c r="E37" i="2" a="1"/>
  <c r="E37" i="2" s="1"/>
  <c r="E38" i="2" a="1"/>
  <c r="E38" i="2" s="1"/>
  <c r="E39" i="2" a="1"/>
  <c r="E39" i="2" s="1"/>
  <c r="E3" i="2" a="1"/>
  <c r="E3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3" i="2" a="1"/>
  <c r="C3" i="2" s="1"/>
  <c r="B4" i="2" a="1"/>
  <c r="B4" i="2" s="1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B24" i="2" a="1"/>
  <c r="B24" i="2" s="1"/>
  <c r="B25" i="2" a="1"/>
  <c r="B25" i="2" s="1"/>
  <c r="B26" i="2" a="1"/>
  <c r="B26" i="2" s="1"/>
  <c r="B27" i="2" a="1"/>
  <c r="B27" i="2"/>
  <c r="B28" i="2" a="1"/>
  <c r="B28" i="2" s="1"/>
  <c r="B29" i="2" a="1"/>
  <c r="B29" i="2" s="1"/>
  <c r="B30" i="2" a="1"/>
  <c r="B30" i="2" s="1"/>
  <c r="B31" i="2" a="1"/>
  <c r="B31" i="2" s="1"/>
  <c r="B32" i="2" a="1"/>
  <c r="B32" i="2" s="1"/>
  <c r="B33" i="2" a="1"/>
  <c r="B33" i="2" s="1"/>
  <c r="B34" i="2" a="1"/>
  <c r="B34" i="2" s="1"/>
  <c r="B35" i="2" a="1"/>
  <c r="B35" i="2" s="1"/>
  <c r="B36" i="2" a="1"/>
  <c r="B36" i="2" s="1"/>
  <c r="B37" i="2" a="1"/>
  <c r="B37" i="2" s="1"/>
  <c r="B38" i="2" a="1"/>
  <c r="B38" i="2" s="1"/>
  <c r="B39" i="2" a="1"/>
  <c r="B39" i="2" s="1"/>
  <c r="B3" i="2" a="1"/>
  <c r="B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<sst xmlns="http://schemas.openxmlformats.org/spreadsheetml/2006/main" count="208" uniqueCount="130">
  <si>
    <t>PADS data join Conservation Units Data</t>
  </si>
  <si>
    <t>NuSEDS Query</t>
  </si>
  <si>
    <t>Haven't looked all the way back…</t>
  </si>
  <si>
    <t>Y</t>
  </si>
  <si>
    <t>Age Batch List</t>
  </si>
  <si>
    <t>N</t>
  </si>
  <si>
    <t xml:space="preserve">Clip, location only. KM may have a copy of full biodata. </t>
  </si>
  <si>
    <t>Brood Biodata</t>
  </si>
  <si>
    <t>FSC Biodata*</t>
  </si>
  <si>
    <t>Escapement Biodata</t>
  </si>
  <si>
    <t>Year</t>
  </si>
  <si>
    <t>*Need to check with Jason about sharing/using FSC biosampling data.</t>
  </si>
  <si>
    <t xml:space="preserve">Date, sex, length. </t>
  </si>
  <si>
    <t>Date, sex, length, clip status, location</t>
  </si>
  <si>
    <t>Atnarko Sockeye Age data</t>
  </si>
  <si>
    <t>PADS</t>
  </si>
  <si>
    <t>AGE READINGS DATA</t>
  </si>
  <si>
    <t>Escapement</t>
  </si>
  <si>
    <t>FSC</t>
  </si>
  <si>
    <t>"Other"</t>
  </si>
  <si>
    <t>Count of EU Age</t>
  </si>
  <si>
    <t>Column Labels</t>
  </si>
  <si>
    <t>Row Labels</t>
  </si>
  <si>
    <t>01</t>
  </si>
  <si>
    <t>02</t>
  </si>
  <si>
    <t>03</t>
  </si>
  <si>
    <t>04</t>
  </si>
  <si>
    <t>0F</t>
  </si>
  <si>
    <t>10</t>
  </si>
  <si>
    <t>11</t>
  </si>
  <si>
    <t>12</t>
  </si>
  <si>
    <t>13</t>
  </si>
  <si>
    <t>14</t>
  </si>
  <si>
    <t>1F</t>
  </si>
  <si>
    <t>21</t>
  </si>
  <si>
    <t>22</t>
  </si>
  <si>
    <t>23</t>
  </si>
  <si>
    <t>2F</t>
  </si>
  <si>
    <t>M0</t>
  </si>
  <si>
    <t>M1</t>
  </si>
  <si>
    <t>M2</t>
  </si>
  <si>
    <t>M3</t>
  </si>
  <si>
    <t>(blank)</t>
  </si>
  <si>
    <t>Grand Total</t>
  </si>
  <si>
    <t>COMMERCIAL FISHERY</t>
  </si>
  <si>
    <t>ESCAPEMENT</t>
  </si>
  <si>
    <t>HATCHERY</t>
  </si>
  <si>
    <t>NATIVE FOOD FISHERY</t>
  </si>
  <si>
    <t>ATNARKO RIVER</t>
  </si>
  <si>
    <t>SPORT FISHERY</t>
  </si>
  <si>
    <t>BELLA COOLA RIVER</t>
  </si>
  <si>
    <t>PADS*</t>
  </si>
  <si>
    <t>Where "n" = number of age samples available</t>
  </si>
  <si>
    <t>Hatchery, 22</t>
  </si>
  <si>
    <t>Sport Fishery, 5</t>
  </si>
  <si>
    <t>Commercial, 131</t>
  </si>
  <si>
    <t>Commercial, 200</t>
  </si>
  <si>
    <t>Commercial, 5</t>
  </si>
  <si>
    <t>Commercial, 36</t>
  </si>
  <si>
    <t>Commercial, 50</t>
  </si>
  <si>
    <t>Age Batch Details</t>
  </si>
  <si>
    <t>Age Batch Details*</t>
  </si>
  <si>
    <t>*More specific location data available</t>
  </si>
  <si>
    <t>Not suggesting "Other" are used. Simply recording for completeness from searched databases.</t>
  </si>
  <si>
    <t>Includes partial Ages</t>
  </si>
  <si>
    <t>SPECIES</t>
  </si>
  <si>
    <t>Sockeye</t>
  </si>
  <si>
    <t>Count of GR AGE</t>
  </si>
  <si>
    <t>2M</t>
  </si>
  <si>
    <t>31</t>
  </si>
  <si>
    <t>32</t>
  </si>
  <si>
    <t>3M</t>
  </si>
  <si>
    <t>41</t>
  </si>
  <si>
    <t>42</t>
  </si>
  <si>
    <t>52</t>
  </si>
  <si>
    <t>53</t>
  </si>
  <si>
    <t>63</t>
  </si>
  <si>
    <t>Atnarko River Escapement</t>
  </si>
  <si>
    <t>Atnarko River</t>
  </si>
  <si>
    <t>S Atnarko R abv Lonesome Lk</t>
  </si>
  <si>
    <t>S Atnarko R bel Stillwater</t>
  </si>
  <si>
    <t>Atnarko River mainstem</t>
  </si>
  <si>
    <t>S Atnarko R abv Rainbow</t>
  </si>
  <si>
    <t>Atnarko R abv Tenas</t>
  </si>
  <si>
    <t>S Atnarko R abv Stillwater</t>
  </si>
  <si>
    <t>Bella Coola FN (in-river net)</t>
  </si>
  <si>
    <t>Lower Bella Coola River</t>
  </si>
  <si>
    <t>Bella Coola River</t>
  </si>
  <si>
    <t>Other</t>
  </si>
  <si>
    <t xml:space="preserve">Using Container ID (Scale Book #), and Specimen Number (Scale Cell #), can match biodata to ages. </t>
  </si>
  <si>
    <t>Summary of readily available bio-data to accompany ages.</t>
  </si>
  <si>
    <t>Species</t>
  </si>
  <si>
    <t>Waterbody Name</t>
  </si>
  <si>
    <t xml:space="preserve">File name: </t>
  </si>
  <si>
    <t>PADS Feb 2026 download</t>
  </si>
  <si>
    <t>Age Readings Data</t>
  </si>
  <si>
    <t>Project ID</t>
  </si>
  <si>
    <t>Atnarko - All</t>
  </si>
  <si>
    <t>Bella Coola - All</t>
  </si>
  <si>
    <t>File name:</t>
  </si>
  <si>
    <t>(Historical)</t>
  </si>
  <si>
    <t>2021 Appears to be the cutoff between Historical (PADS &amp; Age Readings Data), and Modern (Age Batch Lists) age data.</t>
  </si>
  <si>
    <t>For Historical, I compared PADS and Age Readings Data.</t>
  </si>
  <si>
    <t>Age Readings Data Feb 2026 download</t>
  </si>
  <si>
    <t xml:space="preserve">For 2022 forward, </t>
  </si>
  <si>
    <t xml:space="preserve">Species </t>
  </si>
  <si>
    <t>Atnarko</t>
  </si>
  <si>
    <t>Filter search</t>
  </si>
  <si>
    <t>Bella Coola</t>
  </si>
  <si>
    <t>Escapement Data</t>
  </si>
  <si>
    <t>FSC data</t>
  </si>
  <si>
    <t>Project</t>
  </si>
  <si>
    <t>Downloaded multiple files where necessary</t>
  </si>
  <si>
    <t xml:space="preserve">Please note, older data appears as an option, but no ages actually listed. </t>
  </si>
  <si>
    <t>Since species is filtered by project, ensure you remove stray coho from analysis. (AKA coho submitted accidentally in a sockeye project)</t>
  </si>
  <si>
    <t>Atnarko Sockeye sample bio-data</t>
  </si>
  <si>
    <t>These data have not been tidied for upload.</t>
  </si>
  <si>
    <t>Repeated for each fiscal year</t>
  </si>
  <si>
    <t>Sheet name:</t>
  </si>
  <si>
    <t>Data</t>
  </si>
  <si>
    <t xml:space="preserve">Sheet Name: </t>
  </si>
  <si>
    <t>Age Scale Read</t>
  </si>
  <si>
    <t xml:space="preserve">Three DFO databases were searched for Atnarko Sockeye Age data </t>
  </si>
  <si>
    <t>Filters used:</t>
  </si>
  <si>
    <t xml:space="preserve">Age Readings data appears to include all of PADS + more samples. </t>
  </si>
  <si>
    <t>I suggest using Age Readings data, unless someone is aware of ages being intentionally excluded from PADS. Column: Sample Source: filter for Escapement and Native Food Fishery.</t>
  </si>
  <si>
    <t>*FYI, there are an additional 11 samples from FSC in 1997 - filtered out by assumed error (location). Moot point if using AGE READINGS DATA.</t>
  </si>
  <si>
    <t>Downloaded in Jan 2026, Updated June 5, 2026</t>
  </si>
  <si>
    <t xml:space="preserve">All 2022-2026 Escapement and FSC data have been compiled into one file. </t>
  </si>
  <si>
    <t>Age Batch Detail June 2026 (upto 2024 is Feb 2026 version)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</si>
</sst>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\ \t\t"/>
  </numFmts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3"/>
      <color theme="1"/>
      <name val="Aptos Narrow"/>
      <family val="2"/>
      <scheme val="minor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3" fillId="0" borderId="0"/>
    <xf numFmtId="0" fontId="5" fillId="0" borderId="0"/>
  </cellStyleXfs>
  <cellXfs count="5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2" xfId="0" applyBorder="1"/>
    <xf numFmtId="0" fontId="0" fillId="5" borderId="0" xfId="0" applyFill="1"/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0" xfId="0" applyFill="1"/>
    <xf numFmtId="0" fontId="3" fillId="0" borderId="0" xfId="2"/>
    <xf numFmtId="0" fontId="3" fillId="0" borderId="0" xfId="2" applyAlignment="1">
      <alignment horizontal="left"/>
    </xf>
    <xf numFmtId="0" fontId="3" fillId="0" borderId="0" xfId="2" applyAlignment="1">
      <alignment horizontal="left" indent="1"/>
    </xf>
    <xf numFmtId="0" fontId="3" fillId="0" borderId="0" xfId="2" applyAlignment="1">
      <alignment horizontal="left" indent="2"/>
    </xf>
    <xf numFmtId="0" fontId="0" fillId="4" borderId="1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0" borderId="0" xfId="0" applyFill="1" applyAlignment="1">
      <alignment horizontal="left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 vertical="center" wrapText="1"/>
    </xf>
    <xf numFmtId="0" fontId="4" fillId="0" borderId="0" xfId="0" applyFont="1" applyFill="1" applyAlignment="1">
      <alignment horizontal="left"/>
    </xf>
    <xf numFmtId="0" fontId="0" fillId="0" borderId="1" xfId="0" applyBorder="1" applyAlignment="1">
      <alignment horizontal="center"/>
    </xf>
    <xf numFmtId="0" fontId="5" fillId="0" borderId="0" xfId="3"/>
    <xf numFmtId="0" fontId="5" fillId="0" borderId="0" xfId="3" applyAlignment="1">
      <alignment horizontal="left"/>
    </xf>
    <xf numFmtId="0" fontId="5" fillId="0" borderId="0" xfId="3" applyAlignment="1">
      <alignment horizontal="left" indent="1"/>
    </xf>
    <xf numFmtId="0" fontId="5" fillId="0" borderId="0" xfId="3" applyAlignment="1">
      <alignment horizontal="left" indent="2"/>
    </xf>
    <xf numFmtId="0" fontId="0" fillId="0" borderId="0" xfId="0" applyAlignment="1">
      <alignment horizontal="left"/>
    </xf>
    <xf numFmtId="0" fontId="1" fillId="0" borderId="3" xfId="1" applyNumberForma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3" xfId="1" applyBorder="1"/>
    <xf numFmtId="0" fontId="0" fillId="0" borderId="8" xfId="0" applyBorder="1"/>
    <xf numFmtId="0" fontId="0" fillId="0" borderId="0" xfId="0" applyBorder="1"/>
    <xf numFmtId="0" fontId="2" fillId="0" borderId="2" xfId="0" applyFont="1" applyBorder="1"/>
    <xf numFmtId="0" fontId="0" fillId="0" borderId="9" xfId="0" applyBorder="1"/>
    <xf numFmtId="0" fontId="0" fillId="4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0" borderId="0" xfId="0" applyFill="1" applyAlignment="1">
      <alignment horizont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 indent="1"/>
    </xf>
  </cellXfs>
  <cellStyles count="4">
    <cellStyle name="Hyperlink" xfId="1" builtinId="8"/>
    <cellStyle name="Normal" xfId="0" builtinId="0"/>
    <cellStyle name="Normal 2" xfId="2" xr:uid="{4CE2CC72-C207-4A13-B0C4-449F50FCA4CA}"/>
    <cellStyle name="Normal 3" xfId="3" xr:uid="{D55EA99D-4223-42C4-AEA3-EB811B45F5A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S:\Stock%20Assessment\Strother\Atnarko%20Sockeye%20Ages\Age%20Readings%20Data%20Feb%202026%20download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S:\Stock%20Assessment\Strother\Atnarko%20Sockeye%20Ages\PADS%20Feb%202026%20download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S:\Stock%20Assessment\Strother\Atnarko%20Sockeye%20Ages\Escapement%20Ages\AgeBatchDetail_Combined_Esc+FSC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rother, Ivy" refreshedDate="46069.372760416663" createdVersion="8" refreshedVersion="8" minRefreshableVersion="3" recordCount="5757" xr:uid="{CCA50284-A2AD-4AED-8F45-8A5DDA25B91A}">
  <cacheSource type="worksheet">
    <worksheetSource name="Data" r:id="rId2"/>
  </cacheSource>
  <cacheFields count="28">
    <cacheField name="Activity Id" numFmtId="1">
      <sharedItems containsString="0" containsBlank="1" containsNumber="1" containsInteger="1" minValue="-1006210629" maxValue="12275698"/>
    </cacheField>
    <cacheField name="Act_Act_Id" numFmtId="1">
      <sharedItems containsString="0" containsBlank="1" containsNumber="1" containsInteger="1" minValue="-1000027693" maxValue="2135900996"/>
    </cacheField>
    <cacheField name="Edge Code" numFmtId="49">
      <sharedItems containsBlank="1"/>
    </cacheField>
    <cacheField name="Part Age Code" numFmtId="49">
      <sharedItems containsBlank="1"/>
    </cacheField>
    <cacheField name="GR Age" numFmtId="49">
      <sharedItems containsBlank="1"/>
    </cacheField>
    <cacheField name="EU Age" numFmtId="49">
      <sharedItems containsBlank="1" count="21">
        <s v="13"/>
        <s v="03"/>
        <s v="12"/>
        <s v="M2"/>
        <s v="22"/>
        <s v="M3"/>
        <s v=""/>
        <s v="02"/>
        <s v="23"/>
        <s v="01"/>
        <s v="21"/>
        <s v="11"/>
        <s v="M0"/>
        <s v="14"/>
        <s v="M1"/>
        <s v="1F"/>
        <s v="0F"/>
        <s v="2F"/>
        <s v="10"/>
        <s v="04"/>
        <m/>
      </sharedItems>
    </cacheField>
    <cacheField name="Age Unit Of Measure" numFmtId="49">
      <sharedItems containsBlank="1"/>
    </cacheField>
    <cacheField name="Age" numFmtId="49">
      <sharedItems containsBlank="1"/>
    </cacheField>
    <cacheField name="Container Address" numFmtId="49">
      <sharedItems containsBlank="1"/>
    </cacheField>
    <cacheField name="Reading Method" numFmtId="49">
      <sharedItems containsBlank="1"/>
    </cacheField>
    <cacheField name="Structure" numFmtId="1">
      <sharedItems containsString="0" containsBlank="1" containsNumber="1" containsInteger="1" minValue="2126660001" maxValue="2126660003"/>
    </cacheField>
    <cacheField name="Format" numFmtId="49">
      <sharedItems containsBlank="1"/>
    </cacheField>
    <cacheField name="Project Id" numFmtId="1">
      <sharedItems containsString="0" containsBlank="1" containsNumber="1" containsInteger="1" minValue="-1000005644" maxValue="11707560"/>
    </cacheField>
    <cacheField name="Project" numFmtId="49">
      <sharedItems containsBlank="1"/>
    </cacheField>
    <cacheField name="Location Id" numFmtId="1">
      <sharedItems containsString="0" containsBlank="1" containsNumber="1" containsInteger="1" minValue="968" maxValue="63366"/>
    </cacheField>
    <cacheField name="Location" numFmtId="49">
      <sharedItems containsBlank="1"/>
    </cacheField>
    <cacheField name="Fiscal Year" numFmtId="1">
      <sharedItems containsString="0" containsBlank="1" containsNumber="1" containsInteger="1" minValue="1989" maxValue="2021" count="28">
        <n v="2006"/>
        <n v="1991"/>
        <n v="1997"/>
        <n v="1999"/>
        <n v="2010"/>
        <n v="2015"/>
        <n v="2012"/>
        <n v="2003"/>
        <n v="2009"/>
        <n v="2021"/>
        <n v="2000"/>
        <n v="2016"/>
        <n v="2018"/>
        <n v="2019"/>
        <n v="2007"/>
        <n v="2005"/>
        <n v="1990"/>
        <n v="1989"/>
        <n v="2011"/>
        <n v="2017"/>
        <n v="1992"/>
        <n v="2013"/>
        <n v="2020"/>
        <n v="2008"/>
        <n v="1998"/>
        <n v="2014"/>
        <n v="1993"/>
        <m/>
      </sharedItems>
    </cacheField>
    <cacheField name="Sample Number" numFmtId="49">
      <sharedItems containsBlank="1"/>
    </cacheField>
    <cacheField name="Species Id" numFmtId="1">
      <sharedItems containsString="0" containsBlank="1" containsNumber="1" containsInteger="1" minValue="1" maxValue="1"/>
    </cacheField>
    <cacheField name="Species" numFmtId="49">
      <sharedItems containsBlank="1"/>
    </cacheField>
    <cacheField name="Sample Source Id" numFmtId="1">
      <sharedItems containsString="0" containsBlank="1" containsNumber="1" containsInteger="1" minValue="2086090003" maxValue="2086090013"/>
    </cacheField>
    <cacheField name="Sample Source" numFmtId="49">
      <sharedItems containsBlank="1" count="5">
        <s v="NATIVE FOOD FISHERY"/>
        <s v="ESCAPEMENT"/>
        <s v="COMMERCIAL FISHERY"/>
        <s v="HATCHERY"/>
        <m/>
      </sharedItems>
    </cacheField>
    <cacheField name="Gear Code" numFmtId="1">
      <sharedItems containsString="0" containsBlank="1" containsNumber="1" containsInteger="1" minValue="8" maxValue="88"/>
    </cacheField>
    <cacheField name="Gear" numFmtId="49">
      <sharedItems containsBlank="1"/>
    </cacheField>
    <cacheField name="Life History Stage" numFmtId="49">
      <sharedItems containsBlank="1"/>
    </cacheField>
    <cacheField name="Sample Start Date" numFmtId="164">
      <sharedItems containsDate="1" containsBlank="1" containsMixedTypes="1" minDate="1989-06-20T00:00:00" maxDate="2021-10-05T00:00:00"/>
    </cacheField>
    <cacheField name="Sample End Date" numFmtId="164">
      <sharedItems containsDate="1" containsBlank="1" containsMixedTypes="1" minDate="1989-06-20T00:00:00" maxDate="2021-10-05T00:00:00"/>
    </cacheField>
    <cacheField name="Container Label" numFmtId="49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rother, Ivy" refreshedDate="46069.361993171296" createdVersion="8" refreshedVersion="8" minRefreshableVersion="3" recordCount="4040" xr:uid="{5D0C736E-DBCE-41C3-992E-7BD2078A6301}">
  <cacheSource type="worksheet">
    <worksheetSource ref="A1:AG1048576" sheet="Data" r:id="rId2"/>
  </cacheSource>
  <cacheFields count="33">
    <cacheField name="Part Age Code" numFmtId="49">
      <sharedItems containsBlank="1"/>
    </cacheField>
    <cacheField name="Edge Code" numFmtId="49">
      <sharedItems containsBlank="1"/>
    </cacheField>
    <cacheField name="Age" numFmtId="49">
      <sharedItems containsBlank="1" count="18">
        <s v="13"/>
        <s v="03"/>
        <s v="12"/>
        <s v="2"/>
        <s v="22"/>
        <s v="3"/>
        <s v=""/>
        <s v="02"/>
        <s v="23"/>
        <s v="0"/>
        <s v="14"/>
        <s v="1"/>
        <s v="11"/>
        <s v="01"/>
        <s v="04"/>
        <s v="21"/>
        <s v="10"/>
        <m/>
      </sharedItems>
    </cacheField>
    <cacheField name="Age Unit Of Measure" numFmtId="49">
      <sharedItems containsBlank="1"/>
    </cacheField>
    <cacheField name="Reading Method" numFmtId="49">
      <sharedItems containsBlank="1"/>
    </cacheField>
    <cacheField name="MTP Id" numFmtId="1">
      <sharedItems containsString="0" containsBlank="1" containsNumber="1" containsInteger="1" minValue="2126660001" maxValue="2126660002"/>
    </cacheField>
    <cacheField name="Format" numFmtId="49">
      <sharedItems containsBlank="1"/>
    </cacheField>
    <cacheField name="GR Age" numFmtId="49">
      <sharedItems containsBlank="1"/>
    </cacheField>
    <cacheField name="EU Age" numFmtId="49">
      <sharedItems containsBlank="1" count="21">
        <s v="13"/>
        <s v="03"/>
        <s v="12"/>
        <s v="M2"/>
        <s v="22"/>
        <s v="M3"/>
        <s v=""/>
        <s v="02"/>
        <s v="23"/>
        <s v="M0"/>
        <s v="14"/>
        <s v="M1"/>
        <s v="11"/>
        <s v="0F"/>
        <s v="01"/>
        <s v="04"/>
        <s v="1F"/>
        <s v="21"/>
        <s v="2F"/>
        <s v="10"/>
        <m/>
      </sharedItems>
    </cacheField>
    <cacheField name="Container Address" numFmtId="49">
      <sharedItems containsBlank="1"/>
    </cacheField>
    <cacheField name="Conservation Unit Name" numFmtId="49">
      <sharedItems containsBlank="1"/>
    </cacheField>
    <cacheField name="Conservation Unit Index" numFmtId="49">
      <sharedItems containsBlank="1"/>
    </cacheField>
    <cacheField name="Area" numFmtId="49">
      <sharedItems containsBlank="1"/>
    </cacheField>
    <cacheField name="Waterbody Name" numFmtId="49">
      <sharedItems containsBlank="1" count="3">
        <s v="BELLA COOLA RIVER"/>
        <s v="ATNARKO RIVER"/>
        <m/>
      </sharedItems>
    </cacheField>
    <cacheField name="Species Qualified" numFmtId="49">
      <sharedItems containsBlank="1"/>
    </cacheField>
    <cacheField name="Population" numFmtId="49">
      <sharedItems containsBlank="1"/>
    </cacheField>
    <cacheField name="Project Id" numFmtId="1">
      <sharedItems containsString="0" containsBlank="1" containsNumber="1" containsInteger="1" minValue="-1000006987" maxValue="11707560"/>
    </cacheField>
    <cacheField name="Population Id" numFmtId="1">
      <sharedItems containsString="0" containsBlank="1" containsNumber="1" containsInteger="1" minValue="51765" maxValue="51780"/>
    </cacheField>
    <cacheField name="Project" numFmtId="49">
      <sharedItems containsBlank="1"/>
    </cacheField>
    <cacheField name="Location Id" numFmtId="1">
      <sharedItems containsString="0" containsBlank="1" containsNumber="1" containsInteger="1" minValue="968" maxValue="970"/>
    </cacheField>
    <cacheField name="Location" numFmtId="49">
      <sharedItems containsBlank="1"/>
    </cacheField>
    <cacheField name="Fiscal Year" numFmtId="1">
      <sharedItems containsString="0" containsBlank="1" containsNumber="1" containsInteger="1" minValue="1989" maxValue="2021" count="24">
        <n v="2006"/>
        <n v="1991"/>
        <n v="2003"/>
        <n v="2009"/>
        <n v="2021"/>
        <n v="2016"/>
        <n v="2018"/>
        <n v="2019"/>
        <n v="2005"/>
        <n v="1990"/>
        <n v="2010"/>
        <n v="1989"/>
        <n v="1992"/>
        <n v="2008"/>
        <n v="2012"/>
        <n v="2020"/>
        <n v="1993"/>
        <n v="2014"/>
        <n v="2011"/>
        <n v="1997"/>
        <n v="2015"/>
        <n v="2007"/>
        <n v="2013"/>
        <m/>
      </sharedItems>
    </cacheField>
    <cacheField name="Sample Number" numFmtId="49">
      <sharedItems containsBlank="1"/>
    </cacheField>
    <cacheField name="Species Id" numFmtId="1">
      <sharedItems containsString="0" containsBlank="1" containsNumber="1" containsInteger="1" minValue="1" maxValue="1"/>
    </cacheField>
    <cacheField name="Species" numFmtId="49">
      <sharedItems containsBlank="1"/>
    </cacheField>
    <cacheField name="Sample Source Id" numFmtId="1">
      <sharedItems containsString="0" containsBlank="1" containsNumber="1" containsInteger="1" minValue="2086090006" maxValue="2086090013"/>
    </cacheField>
    <cacheField name="Sample Source" numFmtId="49">
      <sharedItems containsBlank="1" count="5">
        <s v="NATIVE FOOD FISHERY"/>
        <s v="ESCAPEMENT"/>
        <s v="SPORT FISHERY"/>
        <s v="HATCHERY"/>
        <m/>
      </sharedItems>
    </cacheField>
    <cacheField name="Gear Code" numFmtId="1">
      <sharedItems containsString="0" containsBlank="1" containsNumber="1" containsInteger="1" minValue="7" maxValue="88"/>
    </cacheField>
    <cacheField name="Gear" numFmtId="49">
      <sharedItems containsBlank="1"/>
    </cacheField>
    <cacheField name="Life History Stage" numFmtId="49">
      <sharedItems containsBlank="1"/>
    </cacheField>
    <cacheField name="Sample Start Date" numFmtId="164">
      <sharedItems containsDate="1" containsBlank="1" containsMixedTypes="1" minDate="1989-06-20T00:00:00" maxDate="2021-07-21T00:00:00"/>
    </cacheField>
    <cacheField name="Sample End Date" numFmtId="164">
      <sharedItems containsDate="1" containsBlank="1" containsMixedTypes="1" minDate="1989-06-20T00:00:00" maxDate="2021-07-22T00:00:00"/>
    </cacheField>
    <cacheField name="Container Label" numFmtId="49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rother, Ivy" refreshedDate="46069.482243055558" createdVersion="8" refreshedVersion="8" minRefreshableVersion="3" recordCount="414" xr:uid="{943029A9-0DE9-4A1D-8AE2-0E11BB3BD63A}">
  <cacheSource type="worksheet">
    <worksheetSource ref="A1:S1048576" sheet="Age Scale Read" r:id="rId2"/>
  </cacheSource>
  <cacheFields count="19">
    <cacheField name="BATCH ID" numFmtId="0">
      <sharedItems containsString="0" containsBlank="1" containsNumber="1" containsInteger="1" minValue="101623" maxValue="131287"/>
    </cacheField>
    <cacheField name="SAMPLE YEAR" numFmtId="0">
      <sharedItems containsString="0" containsBlank="1" containsNumber="1" containsInteger="1" minValue="2022" maxValue="2024" count="4">
        <n v="2022"/>
        <n v="2023"/>
        <n v="2024"/>
        <m/>
      </sharedItems>
    </cacheField>
    <cacheField name="PROJECT" numFmtId="0">
      <sharedItems containsBlank="1" count="3">
        <s v="Bella Coola FN (in-river net)"/>
        <s v="Atnarko River Escapement"/>
        <m/>
      </sharedItems>
    </cacheField>
    <cacheField name="AREA" numFmtId="0">
      <sharedItems containsBlank="1"/>
    </cacheField>
    <cacheField name="LOCATION" numFmtId="0">
      <sharedItems containsBlank="1" count="10">
        <s v="Lower Bella Coola River"/>
        <s v="Bella Coola River"/>
        <s v="Atnarko River"/>
        <s v="S Atnarko R abv Lonesome Lk"/>
        <s v="S Atnarko R bel Stillwater"/>
        <s v="Atnarko River mainstem"/>
        <s v="S Atnarko R abv Rainbow"/>
        <s v="Atnarko R abv Tenas"/>
        <s v="S Atnarko R abv Stillwater"/>
        <m/>
      </sharedItems>
    </cacheField>
    <cacheField name="CONTAINER ID" numFmtId="0">
      <sharedItems containsBlank="1"/>
    </cacheField>
    <cacheField name="DATE SAMPLE START" numFmtId="0">
      <sharedItems containsBlank="1"/>
    </cacheField>
    <cacheField name="DATE SAMPLE END" numFmtId="0">
      <sharedItems containsBlank="1"/>
    </cacheField>
    <cacheField name="SPECIES" numFmtId="0">
      <sharedItems containsBlank="1" count="3">
        <s v="Sockeye"/>
        <s v="Coho"/>
        <m/>
      </sharedItems>
    </cacheField>
    <cacheField name="LIFE STAGE" numFmtId="0">
      <sharedItems containsBlank="1"/>
    </cacheField>
    <cacheField name="FISHERY" numFmtId="0">
      <sharedItems containsBlank="1"/>
    </cacheField>
    <cacheField name="GEAR" numFmtId="0">
      <sharedItems containsBlank="1"/>
    </cacheField>
    <cacheField name="SPECIMEN TYPE" numFmtId="0">
      <sharedItems containsBlank="1"/>
    </cacheField>
    <cacheField name="SPECIMEN NUMBER" numFmtId="0">
      <sharedItems containsString="0" containsBlank="1" containsNumber="1" containsInteger="1" minValue="1" maxValue="94"/>
    </cacheField>
    <cacheField name="EU AGE" numFmtId="0">
      <sharedItems containsBlank="1" count="8">
        <s v="12"/>
        <m/>
        <s v="11"/>
        <s v="02"/>
        <s v="13"/>
        <s v="03"/>
        <s v="22"/>
        <s v="23"/>
      </sharedItems>
    </cacheField>
    <cacheField name="PARTIAL AGE" numFmtId="0">
      <sharedItems containsBlank="1" count="5">
        <m/>
        <s v="M2"/>
        <s v="M3"/>
        <s v="F1"/>
        <s v="F0"/>
      </sharedItems>
    </cacheField>
    <cacheField name="SCALE CONDITION DESCRIPTION" numFmtId="0">
      <sharedItems containsBlank="1"/>
    </cacheField>
    <cacheField name="EDGE CODE" numFmtId="0">
      <sharedItems containsBlank="1"/>
    </cacheField>
    <cacheField name="GR AGE" numFmtId="0">
      <sharedItems containsBlank="1" count="12">
        <s v="42"/>
        <m/>
        <s v="2M"/>
        <s v="32"/>
        <s v="31"/>
        <s v="52"/>
        <s v="3M"/>
        <s v="41"/>
        <s v="1F"/>
        <s v="53"/>
        <s v="63"/>
        <s v="0F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57">
  <r>
    <n v="3594251"/>
    <n v="421486345"/>
    <s v="0"/>
    <s v=""/>
    <s v="52"/>
    <x v="0"/>
    <s v="EU"/>
    <s v="13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41"/>
    <n v="421486345"/>
    <s v=""/>
    <s v=""/>
    <s v="41"/>
    <x v="1"/>
    <s v="EU"/>
    <s v="03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28"/>
    <n v="421486345"/>
    <s v=""/>
    <s v=""/>
    <s v="42"/>
    <x v="2"/>
    <s v="EU"/>
    <s v="1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284"/>
    <n v="421486345"/>
    <s v=""/>
    <s v=""/>
    <s v="42"/>
    <x v="2"/>
    <s v="EU"/>
    <s v="12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85"/>
    <n v="421486345"/>
    <s v=""/>
    <s v=""/>
    <s v="42"/>
    <x v="2"/>
    <s v="EU"/>
    <s v="12"/>
    <s v="1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3"/>
    <n v="421486345"/>
    <s v="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3"/>
    <n v="421486345"/>
    <s v=""/>
    <s v=""/>
    <s v="42"/>
    <x v="2"/>
    <s v="EU"/>
    <s v="12"/>
    <s v="2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70"/>
    <n v="421486345"/>
    <s v=""/>
    <s v=""/>
    <s v="42"/>
    <x v="2"/>
    <s v="EU"/>
    <s v="12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45"/>
    <n v="421486345"/>
    <s v="0"/>
    <s v="RG"/>
    <s v="2M"/>
    <x v="3"/>
    <s v="MY"/>
    <s v="2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60"/>
    <n v="421486345"/>
    <s v=""/>
    <s v=""/>
    <s v="42"/>
    <x v="2"/>
    <s v="EU"/>
    <s v="1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58"/>
    <n v="421486345"/>
    <s v=""/>
    <s v=""/>
    <s v="42"/>
    <x v="2"/>
    <s v="EU"/>
    <s v="1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67"/>
    <n v="421486345"/>
    <s v="0"/>
    <s v=""/>
    <s v="42"/>
    <x v="2"/>
    <s v="EU"/>
    <s v="12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6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73"/>
    <n v="421486345"/>
    <s v=""/>
    <s v=""/>
    <s v="42"/>
    <x v="2"/>
    <s v="EU"/>
    <s v="1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94"/>
    <n v="421486345"/>
    <s v=""/>
    <s v=""/>
    <s v="42"/>
    <x v="2"/>
    <s v="EU"/>
    <s v="12"/>
    <s v="2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55"/>
    <n v="421486345"/>
    <s v=""/>
    <s v=""/>
    <s v="52"/>
    <x v="0"/>
    <s v="EU"/>
    <s v="13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6"/>
    <n v="421486345"/>
    <s v=""/>
    <s v=""/>
    <s v="42"/>
    <x v="2"/>
    <s v="EU"/>
    <s v="12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335"/>
    <n v="421486345"/>
    <s v=""/>
    <s v="RG"/>
    <s v="2M"/>
    <x v="3"/>
    <s v="MY"/>
    <s v="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338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31"/>
    <n v="421486345"/>
    <s v=""/>
    <s v=""/>
    <s v="41"/>
    <x v="1"/>
    <s v="EU"/>
    <s v="03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278"/>
    <n v="421486345"/>
    <s v=""/>
    <s v=""/>
    <s v="53"/>
    <x v="4"/>
    <s v="EU"/>
    <s v="2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27"/>
    <n v="421486345"/>
    <s v="0"/>
    <s v=""/>
    <s v="42"/>
    <x v="2"/>
    <s v="EU"/>
    <s v="12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32"/>
    <n v="421486345"/>
    <s v=""/>
    <s v=""/>
    <s v="52"/>
    <x v="0"/>
    <s v="EU"/>
    <s v="13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218"/>
    <n v="421486345"/>
    <s v="0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137"/>
    <n v="421486345"/>
    <s v="0"/>
    <s v=""/>
    <s v="42"/>
    <x v="2"/>
    <s v="EU"/>
    <s v="1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0"/>
    <n v="421486345"/>
    <s v=""/>
    <s v=""/>
    <s v="42"/>
    <x v="2"/>
    <s v="EU"/>
    <s v="12"/>
    <s v="2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7"/>
    <n v="421486345"/>
    <s v=""/>
    <s v=""/>
    <s v="53"/>
    <x v="4"/>
    <s v="EU"/>
    <s v="22"/>
    <s v="2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40"/>
    <n v="421486345"/>
    <s v="0"/>
    <s v="RG"/>
    <s v="2M"/>
    <x v="3"/>
    <s v="MY"/>
    <s v="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57"/>
    <n v="421486345"/>
    <s v="0"/>
    <s v=""/>
    <s v="52"/>
    <x v="0"/>
    <s v="EU"/>
    <s v="13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1"/>
    <n v="421486345"/>
    <s v=""/>
    <s v=""/>
    <s v="42"/>
    <x v="2"/>
    <s v="EU"/>
    <s v="12"/>
    <s v="2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33"/>
    <n v="421486345"/>
    <s v=""/>
    <s v=""/>
    <s v="53"/>
    <x v="4"/>
    <s v="EU"/>
    <s v="2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02"/>
    <n v="421486345"/>
    <s v=""/>
    <s v="RG"/>
    <s v="2M"/>
    <x v="3"/>
    <s v="MY"/>
    <s v="2"/>
    <s v="1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05"/>
    <n v="421486345"/>
    <s v=""/>
    <s v=""/>
    <s v="41"/>
    <x v="1"/>
    <s v="EU"/>
    <s v="03"/>
    <s v="1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08"/>
    <n v="421486345"/>
    <s v=""/>
    <s v=""/>
    <s v="53"/>
    <x v="4"/>
    <s v="EU"/>
    <s v="22"/>
    <s v="1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4"/>
    <n v="421486345"/>
    <s v=""/>
    <s v=""/>
    <s v="42"/>
    <x v="2"/>
    <s v="EU"/>
    <s v="12"/>
    <s v="2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97"/>
    <n v="421486345"/>
    <s v=""/>
    <s v=""/>
    <s v="41"/>
    <x v="1"/>
    <s v="EU"/>
    <s v="03"/>
    <s v="2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12"/>
    <n v="421486345"/>
    <s v=""/>
    <s v="RG"/>
    <s v="2M"/>
    <x v="3"/>
    <s v="MY"/>
    <s v="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81"/>
    <n v="421486345"/>
    <s v=""/>
    <s v=""/>
    <s v="42"/>
    <x v="2"/>
    <s v="EU"/>
    <s v="12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88"/>
    <n v="421486345"/>
    <s v=""/>
    <s v="UF"/>
    <s v="3M"/>
    <x v="5"/>
    <s v="MY"/>
    <s v="3"/>
    <s v="1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91"/>
    <n v="421486345"/>
    <s v=""/>
    <s v="UD"/>
    <s v=""/>
    <x v="6"/>
    <s v="EU"/>
    <s v=""/>
    <s v="2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30"/>
    <n v="421486345"/>
    <s v=""/>
    <s v="RG"/>
    <s v="2M"/>
    <x v="3"/>
    <s v="MY"/>
    <s v="2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66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79"/>
    <n v="421486345"/>
    <s v=""/>
    <s v=""/>
    <s v="42"/>
    <x v="2"/>
    <s v="EU"/>
    <s v="12"/>
    <s v="1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64"/>
    <n v="421486345"/>
    <s v=""/>
    <s v=""/>
    <s v="42"/>
    <x v="2"/>
    <s v="EU"/>
    <s v="12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22"/>
    <n v="421486345"/>
    <s v="0"/>
    <s v=""/>
    <s v="42"/>
    <x v="2"/>
    <s v="EU"/>
    <s v="12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125"/>
    <n v="421486345"/>
    <s v=""/>
    <s v=""/>
    <s v="52"/>
    <x v="0"/>
    <s v="EU"/>
    <s v="13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134"/>
    <n v="421486345"/>
    <s v=""/>
    <s v=""/>
    <s v="41"/>
    <x v="1"/>
    <s v="EU"/>
    <s v="0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9"/>
    <n v="421486345"/>
    <s v=""/>
    <s v="RG"/>
    <s v="2M"/>
    <x v="3"/>
    <s v="MY"/>
    <s v="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52"/>
    <n v="421486345"/>
    <s v=""/>
    <s v=""/>
    <s v="52"/>
    <x v="0"/>
    <s v="EU"/>
    <s v="13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76"/>
    <n v="421486345"/>
    <s v=""/>
    <s v=""/>
    <s v="42"/>
    <x v="2"/>
    <s v="EU"/>
    <s v="12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82"/>
    <n v="421486345"/>
    <s v=""/>
    <s v=""/>
    <s v="42"/>
    <x v="2"/>
    <s v="EU"/>
    <s v="12"/>
    <s v="1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0"/>
    <n v="421486345"/>
    <s v="0"/>
    <s v="RG"/>
    <s v="2M"/>
    <x v="3"/>
    <s v="MY"/>
    <s v="2"/>
    <s v="2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3"/>
    <n v="421486345"/>
    <s v="0"/>
    <s v="RG"/>
    <s v="2M"/>
    <x v="3"/>
    <s v="MY"/>
    <s v="2"/>
    <s v="2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6"/>
    <n v="421486345"/>
    <s v=""/>
    <s v=""/>
    <s v="42"/>
    <x v="2"/>
    <s v="EU"/>
    <s v="12"/>
    <s v="2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9"/>
    <n v="421486345"/>
    <s v=""/>
    <s v="RG"/>
    <s v="3M"/>
    <x v="5"/>
    <s v="MY"/>
    <s v="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15"/>
    <n v="421486345"/>
    <s v="0"/>
    <s v=""/>
    <s v="31"/>
    <x v="7"/>
    <s v="EU"/>
    <s v="0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21"/>
    <n v="421486345"/>
    <s v=""/>
    <s v="NS"/>
    <s v=""/>
    <x v="6"/>
    <s v="EU"/>
    <s v="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24"/>
    <n v="421486345"/>
    <s v=""/>
    <s v=""/>
    <s v="42"/>
    <x v="2"/>
    <s v="EU"/>
    <s v="1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36"/>
    <n v="421486345"/>
    <s v=""/>
    <s v=""/>
    <s v="41"/>
    <x v="1"/>
    <s v="EU"/>
    <s v="03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39"/>
    <n v="421486345"/>
    <s v=""/>
    <s v=""/>
    <s v="63"/>
    <x v="8"/>
    <s v="EU"/>
    <s v="23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42"/>
    <n v="421486345"/>
    <s v="0"/>
    <s v="RG"/>
    <s v="3M"/>
    <x v="5"/>
    <s v="MY"/>
    <s v="3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48"/>
    <n v="421486345"/>
    <s v="0"/>
    <s v=""/>
    <s v="42"/>
    <x v="2"/>
    <s v="EU"/>
    <s v="1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54"/>
    <n v="421486345"/>
    <s v="0"/>
    <s v="RG"/>
    <s v="3M"/>
    <x v="5"/>
    <s v="MY"/>
    <s v="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63"/>
    <n v="421486345"/>
    <s v="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69"/>
    <n v="421486345"/>
    <s v="0"/>
    <s v=""/>
    <s v="42"/>
    <x v="2"/>
    <s v="EU"/>
    <s v="1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72"/>
    <n v="421486345"/>
    <s v="0"/>
    <s v=""/>
    <s v="42"/>
    <x v="2"/>
    <s v="EU"/>
    <s v="12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75"/>
    <n v="421486345"/>
    <s v=""/>
    <s v=""/>
    <s v="42"/>
    <x v="2"/>
    <s v="EU"/>
    <s v="12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0"/>
    <n v="421486345"/>
    <s v=""/>
    <s v="UD"/>
    <s v=""/>
    <x v="6"/>
    <s v="EU"/>
    <s v="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9"/>
    <n v="421486345"/>
    <s v=""/>
    <s v=""/>
    <s v="42"/>
    <x v="2"/>
    <s v="EU"/>
    <s v="12"/>
    <s v="1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6"/>
    <n v="421486345"/>
    <s v=""/>
    <s v=""/>
    <s v="52"/>
    <x v="0"/>
    <s v="EU"/>
    <s v="13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29"/>
    <n v="421486345"/>
    <s v=""/>
    <s v=""/>
    <s v="42"/>
    <x v="2"/>
    <s v="EU"/>
    <s v="1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61"/>
    <n v="421486345"/>
    <s v=""/>
    <s v=""/>
    <s v="42"/>
    <x v="2"/>
    <s v="EU"/>
    <s v="12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87"/>
    <n v="421486345"/>
    <s v=""/>
    <s v=""/>
    <s v="42"/>
    <x v="2"/>
    <s v="EU"/>
    <s v="12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3"/>
    <n v="421486345"/>
    <s v=""/>
    <s v="RG"/>
    <s v="2M"/>
    <x v="3"/>
    <s v="MY"/>
    <s v="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-1004095333"/>
    <n v="-1000013301"/>
    <s v=""/>
    <s v="RG"/>
    <s v=""/>
    <x v="6"/>
    <s v=""/>
    <s v=""/>
    <s v="2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39"/>
    <n v="-1000013301"/>
    <s v=""/>
    <s v=""/>
    <s v="2M"/>
    <x v="3"/>
    <s v="MY"/>
    <s v="2"/>
    <s v="2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1"/>
    <n v="-1000013301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3"/>
    <n v="-1000013301"/>
    <s v=""/>
    <s v=""/>
    <s v="52"/>
    <x v="0"/>
    <s v="EU"/>
    <s v="13"/>
    <s v="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53"/>
    <n v="-1000013301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67"/>
    <n v="-1000013301"/>
    <s v=""/>
    <s v=""/>
    <s v="2M"/>
    <x v="3"/>
    <s v="MY"/>
    <s v="2"/>
    <s v="1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69"/>
    <n v="-1000013301"/>
    <s v=""/>
    <s v=""/>
    <s v="41"/>
    <x v="1"/>
    <s v="EU"/>
    <s v="03"/>
    <s v="1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75"/>
    <n v="-1000013301"/>
    <s v=""/>
    <s v=""/>
    <s v="3M"/>
    <x v="5"/>
    <s v="MY"/>
    <s v="3"/>
    <s v="1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89"/>
    <n v="-1000013301"/>
    <s v=""/>
    <s v=""/>
    <s v="31"/>
    <x v="7"/>
    <s v="EU"/>
    <s v="02"/>
    <s v="2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91"/>
    <n v="-1000013301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35"/>
    <n v="-1000013305"/>
    <s v=""/>
    <s v="MF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37"/>
    <n v="-1000013305"/>
    <s v=""/>
    <s v="MF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63"/>
    <n v="-1000013305"/>
    <s v=""/>
    <s v=""/>
    <s v="41"/>
    <x v="1"/>
    <s v="EU"/>
    <s v="03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641"/>
    <n v="-1000013305"/>
    <s v=""/>
    <s v=""/>
    <s v="3M"/>
    <x v="5"/>
    <s v="MY"/>
    <s v="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8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7"/>
    <n v="-1000013305"/>
    <s v=""/>
    <s v=""/>
    <s v="3M"/>
    <x v="5"/>
    <s v="MY"/>
    <s v="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099"/>
    <n v="-1000013305"/>
    <s v=""/>
    <s v="RG"/>
    <s v=""/>
    <x v="6"/>
    <s v=""/>
    <s v="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8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513"/>
    <n v="-1000013305"/>
    <s v=""/>
    <s v=""/>
    <s v="3M"/>
    <x v="5"/>
    <s v="MY"/>
    <s v="3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365"/>
    <n v="-1000013301"/>
    <s v=""/>
    <s v=""/>
    <s v="3M"/>
    <x v="5"/>
    <s v="MY"/>
    <s v="3"/>
    <s v="1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83"/>
    <n v="-1000013301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307"/>
    <n v="-1000013301"/>
    <s v=""/>
    <s v=""/>
    <s v="3M"/>
    <x v="5"/>
    <s v="MY"/>
    <s v="3"/>
    <s v="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59"/>
    <n v="-1000013305"/>
    <s v=""/>
    <s v="RG"/>
    <s v=""/>
    <x v="6"/>
    <s v=""/>
    <s v="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6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6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297"/>
    <n v="-1000013301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8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5515045"/>
    <n v="-1000023131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445"/>
    <n v="-1000013305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57"/>
    <n v="-1000013305"/>
    <s v=""/>
    <s v=""/>
    <s v="41"/>
    <x v="1"/>
    <s v="EU"/>
    <s v="03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5"/>
    <n v="-1000013305"/>
    <s v=""/>
    <s v=""/>
    <s v="31"/>
    <x v="7"/>
    <s v="EU"/>
    <s v="0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1"/>
    <n v="-1000013305"/>
    <s v=""/>
    <s v="NA"/>
    <s v=""/>
    <x v="6"/>
    <s v=""/>
    <s v="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4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497"/>
    <n v="-1000013305"/>
    <s v=""/>
    <s v=""/>
    <s v="53"/>
    <x v="4"/>
    <s v="EU"/>
    <s v="2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9"/>
    <n v="-1000013305"/>
    <s v=""/>
    <s v=""/>
    <s v="2M"/>
    <x v="3"/>
    <s v="MY"/>
    <s v="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5"/>
    <n v="-1000013305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9"/>
    <n v="-1000013305"/>
    <s v=""/>
    <s v=""/>
    <s v="41"/>
    <x v="1"/>
    <s v="EU"/>
    <s v="03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7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3"/>
    <n v="-1000013305"/>
    <s v=""/>
    <s v=""/>
    <s v="2M"/>
    <x v="3"/>
    <s v="MY"/>
    <s v="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9"/>
    <n v="-1000013305"/>
    <s v=""/>
    <s v=""/>
    <s v="41"/>
    <x v="1"/>
    <s v="EU"/>
    <s v="03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65"/>
    <n v="-1000013305"/>
    <s v=""/>
    <s v="RG"/>
    <s v=""/>
    <x v="6"/>
    <s v=""/>
    <s v="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73"/>
    <n v="-1000013305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89"/>
    <n v="-1000013305"/>
    <s v=""/>
    <s v=""/>
    <s v="52"/>
    <x v="0"/>
    <s v="EU"/>
    <s v="1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5515059"/>
    <n v="-1000023133"/>
    <s v=""/>
    <s v=""/>
    <s v="52"/>
    <x v="0"/>
    <s v="EU"/>
    <s v="13"/>
    <s v="2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1"/>
    <n v="-1000023133"/>
    <s v=""/>
    <s v=""/>
    <s v="52"/>
    <x v="0"/>
    <s v="EU"/>
    <s v="13"/>
    <s v="1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5"/>
    <n v="-1000023133"/>
    <s v=""/>
    <s v=""/>
    <s v="41"/>
    <x v="1"/>
    <s v="EU"/>
    <s v="03"/>
    <s v="1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7"/>
    <n v="-1000023133"/>
    <s v=""/>
    <s v=""/>
    <s v="42"/>
    <x v="2"/>
    <s v="EU"/>
    <s v="12"/>
    <s v="1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3"/>
    <n v="-1000023133"/>
    <s v=""/>
    <s v=""/>
    <s v="41"/>
    <x v="1"/>
    <s v="EU"/>
    <s v="03"/>
    <s v="1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7"/>
    <n v="-1000023133"/>
    <s v=""/>
    <s v=""/>
    <s v="52"/>
    <x v="0"/>
    <s v="EU"/>
    <s v="13"/>
    <s v="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9"/>
    <n v="-1000023133"/>
    <s v=""/>
    <s v=""/>
    <s v="42"/>
    <x v="2"/>
    <s v="EU"/>
    <s v="12"/>
    <s v="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93"/>
    <n v="-1000023133"/>
    <s v=""/>
    <s v=""/>
    <s v="52"/>
    <x v="0"/>
    <s v="EU"/>
    <s v="13"/>
    <s v="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99"/>
    <n v="-1000023133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01"/>
    <n v="-1000023133"/>
    <s v=""/>
    <s v=""/>
    <s v="41"/>
    <x v="1"/>
    <s v="EU"/>
    <s v="0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07"/>
    <n v="-1000023133"/>
    <s v=""/>
    <s v=""/>
    <s v="42"/>
    <x v="2"/>
    <s v="EU"/>
    <s v="12"/>
    <s v="2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27"/>
    <n v="-1000023133"/>
    <s v=""/>
    <s v=""/>
    <s v="52"/>
    <x v="0"/>
    <s v="EU"/>
    <s v="13"/>
    <s v="1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29"/>
    <n v="-1000023133"/>
    <s v=""/>
    <s v=""/>
    <s v="42"/>
    <x v="2"/>
    <s v="EU"/>
    <s v="12"/>
    <s v="1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71"/>
    <n v="-1000023129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875"/>
    <n v="-1000023129"/>
    <s v=""/>
    <s v=""/>
    <s v="42"/>
    <x v="2"/>
    <s v="EU"/>
    <s v="1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887"/>
    <n v="-1000023129"/>
    <s v=""/>
    <s v=""/>
    <s v="31"/>
    <x v="7"/>
    <s v="EU"/>
    <s v="02"/>
    <s v="2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3"/>
    <n v="-1000023129"/>
    <s v=""/>
    <s v=""/>
    <s v="31"/>
    <x v="7"/>
    <s v="EU"/>
    <s v="02"/>
    <s v="1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5"/>
    <n v="-1000023129"/>
    <s v=""/>
    <s v=""/>
    <s v="31"/>
    <x v="7"/>
    <s v="EU"/>
    <s v="02"/>
    <s v="1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5"/>
    <n v="-1000023129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3"/>
    <n v="-1000023129"/>
    <s v=""/>
    <s v=""/>
    <s v="31"/>
    <x v="7"/>
    <s v="EU"/>
    <s v="02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7"/>
    <n v="-1000023129"/>
    <s v=""/>
    <s v=""/>
    <s v="31"/>
    <x v="7"/>
    <s v="EU"/>
    <s v="0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33"/>
    <n v="-1000023129"/>
    <s v=""/>
    <s v="NS"/>
    <s v=""/>
    <x v="6"/>
    <s v=""/>
    <s v=""/>
    <s v="1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35"/>
    <n v="-1000023129"/>
    <s v=""/>
    <s v="NS"/>
    <s v=""/>
    <x v="6"/>
    <s v=""/>
    <s v=""/>
    <s v="1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1"/>
    <n v="-1000023129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5"/>
    <n v="-1000023129"/>
    <s v=""/>
    <s v=""/>
    <s v="41"/>
    <x v="1"/>
    <s v="EU"/>
    <s v="03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7"/>
    <n v="-1000023129"/>
    <s v=""/>
    <s v=""/>
    <s v="41"/>
    <x v="1"/>
    <s v="EU"/>
    <s v="03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9"/>
    <n v="-1000023129"/>
    <s v=""/>
    <s v=""/>
    <s v="52"/>
    <x v="0"/>
    <s v="EU"/>
    <s v="13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3"/>
    <n v="-1000023131"/>
    <s v=""/>
    <s v=""/>
    <s v="42"/>
    <x v="2"/>
    <s v="EU"/>
    <s v="12"/>
    <s v="4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77"/>
    <n v="-1000023131"/>
    <s v=""/>
    <s v=""/>
    <s v="42"/>
    <x v="2"/>
    <s v="EU"/>
    <s v="12"/>
    <s v="3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1"/>
    <n v="-1000023131"/>
    <s v=""/>
    <s v=""/>
    <s v="42"/>
    <x v="2"/>
    <s v="EU"/>
    <s v="12"/>
    <s v="3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5"/>
    <n v="-1000023131"/>
    <s v=""/>
    <s v=""/>
    <s v="31"/>
    <x v="7"/>
    <s v="EU"/>
    <s v="02"/>
    <s v="3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1"/>
    <n v="-1000023131"/>
    <s v=""/>
    <s v=""/>
    <s v="41"/>
    <x v="1"/>
    <s v="EU"/>
    <s v="03"/>
    <s v="3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793"/>
    <n v="-1000013305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0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25"/>
    <n v="-1000013305"/>
    <s v=""/>
    <s v=""/>
    <s v="41"/>
    <x v="1"/>
    <s v="EU"/>
    <s v="0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5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91"/>
    <n v="-1000013305"/>
    <s v=""/>
    <s v=""/>
    <s v="52"/>
    <x v="0"/>
    <s v="EU"/>
    <s v="1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9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5"/>
    <n v="-1000013305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1"/>
    <n v="-1000013305"/>
    <s v=""/>
    <s v=""/>
    <s v="3M"/>
    <x v="5"/>
    <s v="MY"/>
    <s v="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5"/>
    <n v="-1000013305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6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6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3"/>
    <n v="-1000013305"/>
    <s v=""/>
    <s v="RG"/>
    <s v=""/>
    <x v="6"/>
    <s v=""/>
    <s v="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5514997"/>
    <n v="-1000023131"/>
    <s v=""/>
    <s v=""/>
    <s v="52"/>
    <x v="0"/>
    <s v="EU"/>
    <s v="13"/>
    <s v="2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5"/>
    <n v="-1000023131"/>
    <s v=""/>
    <s v=""/>
    <s v="41"/>
    <x v="1"/>
    <s v="EU"/>
    <s v="03"/>
    <s v="3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1"/>
    <n v="-1000023131"/>
    <s v=""/>
    <s v=""/>
    <s v="31"/>
    <x v="7"/>
    <s v="EU"/>
    <s v="02"/>
    <s v="1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5"/>
    <n v="-1000023131"/>
    <s v=""/>
    <s v=""/>
    <s v="21"/>
    <x v="9"/>
    <s v="EU"/>
    <s v="01"/>
    <s v="1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3"/>
    <n v="-1000023133"/>
    <s v=""/>
    <s v=""/>
    <s v="42"/>
    <x v="2"/>
    <s v="EU"/>
    <s v="12"/>
    <s v="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45"/>
    <n v="-1000023133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47"/>
    <n v="-1000023133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01"/>
    <n v="-1000023131"/>
    <s v=""/>
    <s v=""/>
    <s v="42"/>
    <x v="2"/>
    <s v="EU"/>
    <s v="12"/>
    <s v="2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3"/>
    <n v="-1000023131"/>
    <s v=""/>
    <s v=""/>
    <s v="31"/>
    <x v="7"/>
    <s v="EU"/>
    <s v="02"/>
    <s v="2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37"/>
    <n v="-1000023133"/>
    <s v=""/>
    <s v=""/>
    <s v="42"/>
    <x v="2"/>
    <s v="EU"/>
    <s v="12"/>
    <s v="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9"/>
    <n v="-1000023133"/>
    <s v=""/>
    <s v=""/>
    <s v="52"/>
    <x v="0"/>
    <s v="EU"/>
    <s v="13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4879"/>
    <n v="-1000023129"/>
    <s v=""/>
    <s v=""/>
    <s v="31"/>
    <x v="7"/>
    <s v="EU"/>
    <s v="02"/>
    <s v="2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95"/>
    <n v="-1000023133"/>
    <s v=""/>
    <s v=""/>
    <s v="52"/>
    <x v="0"/>
    <s v="EU"/>
    <s v="13"/>
    <s v="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77"/>
    <n v="-1000023129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901"/>
    <n v="-1000023129"/>
    <s v=""/>
    <s v=""/>
    <s v="31"/>
    <x v="7"/>
    <s v="EU"/>
    <s v="02"/>
    <s v="1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57"/>
    <n v="-1000023133"/>
    <s v=""/>
    <s v=""/>
    <s v="42"/>
    <x v="2"/>
    <s v="EU"/>
    <s v="12"/>
    <s v="2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25"/>
    <n v="-1000023131"/>
    <s v=""/>
    <s v=""/>
    <s v="31"/>
    <x v="7"/>
    <s v="EU"/>
    <s v="02"/>
    <s v="1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43"/>
    <n v="-1000023129"/>
    <s v=""/>
    <s v="NS"/>
    <s v=""/>
    <x v="6"/>
    <s v=""/>
    <s v=""/>
    <s v="1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1"/>
    <n v="-1000023131"/>
    <s v=""/>
    <s v=""/>
    <s v="52"/>
    <x v="0"/>
    <s v="EU"/>
    <s v="13"/>
    <s v="4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9"/>
    <n v="-1000023133"/>
    <s v=""/>
    <s v=""/>
    <s v="42"/>
    <x v="2"/>
    <s v="EU"/>
    <s v="12"/>
    <s v="1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63"/>
    <n v="-1000023129"/>
    <s v=""/>
    <s v=""/>
    <s v="42"/>
    <x v="2"/>
    <s v="EU"/>
    <s v="1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23"/>
    <n v="-1000023131"/>
    <s v=""/>
    <s v=""/>
    <s v="31"/>
    <x v="7"/>
    <s v="EU"/>
    <s v="02"/>
    <s v="1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97"/>
    <n v="-1000023133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37"/>
    <n v="-1000023129"/>
    <s v=""/>
    <s v="NS"/>
    <s v=""/>
    <x v="6"/>
    <s v=""/>
    <s v=""/>
    <s v="1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131"/>
    <n v="-1000023133"/>
    <s v=""/>
    <s v=""/>
    <s v="42"/>
    <x v="2"/>
    <s v="EU"/>
    <s v="12"/>
    <s v="1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11"/>
    <n v="-1000023131"/>
    <s v=""/>
    <s v=""/>
    <s v="31"/>
    <x v="7"/>
    <s v="EU"/>
    <s v="02"/>
    <s v="2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51"/>
    <n v="-1000023133"/>
    <s v=""/>
    <s v=""/>
    <s v="52"/>
    <x v="0"/>
    <s v="EU"/>
    <s v="1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91"/>
    <n v="-1000023129"/>
    <s v=""/>
    <s v=""/>
    <s v="41"/>
    <x v="1"/>
    <s v="EU"/>
    <s v="03"/>
    <s v="2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05"/>
    <n v="-1000023133"/>
    <s v=""/>
    <s v=""/>
    <s v="42"/>
    <x v="2"/>
    <s v="EU"/>
    <s v="12"/>
    <s v="2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49"/>
    <n v="-1000023129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9"/>
    <n v="-1000023131"/>
    <s v=""/>
    <s v=""/>
    <s v="42"/>
    <x v="2"/>
    <s v="EU"/>
    <s v="12"/>
    <s v="3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9"/>
    <n v="-1000023131"/>
    <s v=""/>
    <s v=""/>
    <s v="31"/>
    <x v="7"/>
    <s v="EU"/>
    <s v="02"/>
    <s v="1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725"/>
    <n v="-1000013305"/>
    <s v=""/>
    <s v=""/>
    <s v="31"/>
    <x v="7"/>
    <s v="EU"/>
    <s v="0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1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3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545"/>
    <n v="-1000013305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293"/>
    <n v="-1000013301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295"/>
    <n v="-1000013301"/>
    <s v=""/>
    <s v=""/>
    <s v="41"/>
    <x v="1"/>
    <s v="EU"/>
    <s v="03"/>
    <s v="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299"/>
    <n v="-1000013301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25"/>
    <n v="-1000013305"/>
    <s v=""/>
    <s v=""/>
    <s v="3M"/>
    <x v="5"/>
    <s v="MY"/>
    <s v="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7"/>
    <n v="-1000013305"/>
    <s v=""/>
    <s v=""/>
    <s v="31"/>
    <x v="7"/>
    <s v="EU"/>
    <s v="0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85"/>
    <n v="-1000013305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3"/>
    <n v="-1000013305"/>
    <s v=""/>
    <s v=""/>
    <s v="2M"/>
    <x v="3"/>
    <s v="MY"/>
    <s v="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5"/>
    <n v="-1000013305"/>
    <s v=""/>
    <s v="RG"/>
    <s v=""/>
    <x v="6"/>
    <s v=""/>
    <s v="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0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2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5515153"/>
    <n v="-1000023133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5"/>
    <n v="-1000023133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5027"/>
    <n v="-1000023131"/>
    <s v=""/>
    <s v=""/>
    <s v="31"/>
    <x v="7"/>
    <s v="EU"/>
    <s v="02"/>
    <s v="1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1"/>
    <n v="-1000023133"/>
    <s v=""/>
    <s v=""/>
    <s v="52"/>
    <x v="0"/>
    <s v="EU"/>
    <s v="13"/>
    <s v="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69"/>
    <n v="-1000023131"/>
    <s v=""/>
    <s v=""/>
    <s v="42"/>
    <x v="2"/>
    <s v="EU"/>
    <s v="12"/>
    <s v="4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61"/>
    <n v="-1000023129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85"/>
    <n v="-1000023133"/>
    <s v=""/>
    <s v=""/>
    <s v="52"/>
    <x v="0"/>
    <s v="EU"/>
    <s v="13"/>
    <s v="1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31"/>
    <n v="-1000023129"/>
    <s v=""/>
    <s v="NS"/>
    <s v=""/>
    <x v="6"/>
    <s v=""/>
    <s v=""/>
    <s v="1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09"/>
    <n v="-1000023131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25"/>
    <n v="-1000023129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9"/>
    <n v="-1000023129"/>
    <s v=""/>
    <s v=""/>
    <s v="31"/>
    <x v="7"/>
    <s v="EU"/>
    <s v="02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897"/>
    <n v="-1000023129"/>
    <s v=""/>
    <s v=""/>
    <s v="31"/>
    <x v="7"/>
    <s v="EU"/>
    <s v="02"/>
    <s v="1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1"/>
    <n v="-1000023129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03"/>
    <n v="-1000023131"/>
    <s v=""/>
    <s v=""/>
    <s v="42"/>
    <x v="2"/>
    <s v="EU"/>
    <s v="12"/>
    <s v="2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55"/>
    <n v="-1000023133"/>
    <s v=""/>
    <s v=""/>
    <s v="42"/>
    <x v="2"/>
    <s v="EU"/>
    <s v="12"/>
    <s v="2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07"/>
    <n v="-1000023131"/>
    <s v=""/>
    <s v=""/>
    <s v="21"/>
    <x v="9"/>
    <s v="EU"/>
    <s v="01"/>
    <s v="2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15"/>
    <n v="-1000023133"/>
    <s v=""/>
    <s v=""/>
    <s v="42"/>
    <x v="2"/>
    <s v="EU"/>
    <s v="12"/>
    <s v="2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7"/>
    <n v="-1000023133"/>
    <s v=""/>
    <s v=""/>
    <s v="52"/>
    <x v="0"/>
    <s v="EU"/>
    <s v="1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5061"/>
    <n v="-1000023133"/>
    <s v=""/>
    <s v=""/>
    <s v="42"/>
    <x v="2"/>
    <s v="EU"/>
    <s v="12"/>
    <s v="2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43"/>
    <n v="-1000023131"/>
    <s v=""/>
    <s v=""/>
    <s v="31"/>
    <x v="7"/>
    <s v="EU"/>
    <s v="02"/>
    <s v="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51"/>
    <n v="-1000023131"/>
    <s v=""/>
    <s v=""/>
    <s v="31"/>
    <x v="7"/>
    <s v="EU"/>
    <s v="02"/>
    <s v="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3"/>
    <n v="-1000023131"/>
    <s v=""/>
    <s v=""/>
    <s v="31"/>
    <x v="7"/>
    <s v="EU"/>
    <s v="02"/>
    <s v="3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7"/>
    <n v="-1000023131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81"/>
    <n v="-1000023133"/>
    <s v=""/>
    <s v=""/>
    <s v="42"/>
    <x v="2"/>
    <s v="EU"/>
    <s v="12"/>
    <s v="1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87"/>
    <n v="-1000023131"/>
    <s v=""/>
    <s v=""/>
    <s v="31"/>
    <x v="7"/>
    <s v="EU"/>
    <s v="02"/>
    <s v="3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3"/>
    <n v="-1000023129"/>
    <s v=""/>
    <s v=""/>
    <s v="21"/>
    <x v="9"/>
    <s v="EU"/>
    <s v="01"/>
    <s v="2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91"/>
    <n v="-1000023133"/>
    <s v=""/>
    <s v=""/>
    <s v="42"/>
    <x v="2"/>
    <s v="EU"/>
    <s v="12"/>
    <s v="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73"/>
    <n v="-1000023129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37"/>
    <n v="-1000023131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21"/>
    <n v="-1000023133"/>
    <s v=""/>
    <s v=""/>
    <s v="42"/>
    <x v="2"/>
    <s v="EU"/>
    <s v="12"/>
    <s v="1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65"/>
    <n v="-1000023129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135"/>
    <n v="-1000023133"/>
    <s v=""/>
    <s v=""/>
    <s v="42"/>
    <x v="2"/>
    <s v="EU"/>
    <s v="12"/>
    <s v="1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40962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41"/>
    <n v="-1000013305"/>
    <s v=""/>
    <s v="RG"/>
    <s v=""/>
    <x v="6"/>
    <s v=""/>
    <s v="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7"/>
    <n v="-1000013305"/>
    <s v=""/>
    <s v=""/>
    <s v="31"/>
    <x v="7"/>
    <s v="EU"/>
    <s v="0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8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81"/>
    <n v="-1000013305"/>
    <s v=""/>
    <s v=""/>
    <s v="41"/>
    <x v="1"/>
    <s v="EU"/>
    <s v="0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85"/>
    <n v="-1000013305"/>
    <s v=""/>
    <s v=""/>
    <s v="31"/>
    <x v="7"/>
    <s v="EU"/>
    <s v="0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5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7"/>
    <n v="-1000013305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93"/>
    <n v="-1000013305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5515065"/>
    <n v="-1000023133"/>
    <s v=""/>
    <s v=""/>
    <s v="42"/>
    <x v="2"/>
    <s v="EU"/>
    <s v="12"/>
    <s v="2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67"/>
    <n v="-1000023129"/>
    <s v=""/>
    <s v=""/>
    <s v="52"/>
    <x v="0"/>
    <s v="EU"/>
    <s v="13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41"/>
    <n v="-1000023131"/>
    <s v=""/>
    <s v=""/>
    <s v="31"/>
    <x v="7"/>
    <s v="EU"/>
    <s v="02"/>
    <s v="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3"/>
    <n v="-1000023133"/>
    <s v=""/>
    <s v=""/>
    <s v="42"/>
    <x v="2"/>
    <s v="EU"/>
    <s v="12"/>
    <s v="2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95"/>
    <n v="-1000023129"/>
    <s v=""/>
    <s v=""/>
    <s v="31"/>
    <x v="7"/>
    <s v="EU"/>
    <s v="02"/>
    <s v="1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29"/>
    <n v="-1000023131"/>
    <s v=""/>
    <s v=""/>
    <s v="31"/>
    <x v="7"/>
    <s v="EU"/>
    <s v="02"/>
    <s v="1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09"/>
    <n v="-1000023133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65"/>
    <n v="-1000023129"/>
    <s v=""/>
    <s v=""/>
    <s v="42"/>
    <x v="2"/>
    <s v="EU"/>
    <s v="12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947"/>
    <n v="-1000023129"/>
    <s v=""/>
    <s v=""/>
    <s v="31"/>
    <x v="7"/>
    <s v="EU"/>
    <s v="02"/>
    <s v="1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05"/>
    <n v="-1000023131"/>
    <s v=""/>
    <s v=""/>
    <s v="31"/>
    <x v="7"/>
    <s v="EU"/>
    <s v="02"/>
    <s v="2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9"/>
    <n v="-1000023131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39"/>
    <n v="-1000023129"/>
    <s v=""/>
    <s v="NS"/>
    <s v=""/>
    <x v="6"/>
    <s v=""/>
    <s v=""/>
    <s v="1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899"/>
    <n v="-1000023129"/>
    <s v=""/>
    <s v=""/>
    <s v="31"/>
    <x v="7"/>
    <s v="EU"/>
    <s v="02"/>
    <s v="1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7"/>
    <n v="-1000023129"/>
    <s v=""/>
    <s v=""/>
    <s v="31"/>
    <x v="7"/>
    <s v="EU"/>
    <s v="02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67"/>
    <n v="-1000023131"/>
    <s v=""/>
    <s v=""/>
    <s v="31"/>
    <x v="7"/>
    <s v="EU"/>
    <s v="02"/>
    <s v="4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3"/>
    <n v="-1000023131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9"/>
    <n v="-1000023133"/>
    <s v=""/>
    <s v=""/>
    <s v="52"/>
    <x v="0"/>
    <s v="EU"/>
    <s v="13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11"/>
    <n v="-1000023129"/>
    <s v=""/>
    <s v=""/>
    <s v="21"/>
    <x v="9"/>
    <s v="EU"/>
    <s v="01"/>
    <s v="1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23"/>
    <n v="-1000023133"/>
    <s v=""/>
    <s v=""/>
    <s v="42"/>
    <x v="2"/>
    <s v="EU"/>
    <s v="12"/>
    <s v="1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33"/>
    <n v="-1000023133"/>
    <s v=""/>
    <s v=""/>
    <s v="52"/>
    <x v="0"/>
    <s v="EU"/>
    <s v="13"/>
    <s v="1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15"/>
    <n v="-1000023131"/>
    <s v=""/>
    <s v=""/>
    <s v="41"/>
    <x v="1"/>
    <s v="EU"/>
    <s v="03"/>
    <s v="2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21"/>
    <n v="-1000023131"/>
    <s v=""/>
    <s v=""/>
    <s v="31"/>
    <x v="7"/>
    <s v="EU"/>
    <s v="02"/>
    <s v="1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11"/>
    <n v="-1000023133"/>
    <s v=""/>
    <s v=""/>
    <s v="42"/>
    <x v="2"/>
    <s v="EU"/>
    <s v="12"/>
    <s v="2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45"/>
    <n v="-1000023129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89"/>
    <n v="-1000023131"/>
    <s v=""/>
    <s v=""/>
    <s v="31"/>
    <x v="7"/>
    <s v="EU"/>
    <s v="02"/>
    <s v="3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5"/>
    <n v="-1000023129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49"/>
    <n v="-1000023131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13"/>
    <n v="-1000023129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25"/>
    <n v="-1000023133"/>
    <s v=""/>
    <s v=""/>
    <s v="42"/>
    <x v="2"/>
    <s v="EU"/>
    <s v="12"/>
    <s v="1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89"/>
    <n v="-1000023129"/>
    <s v=""/>
    <s v=""/>
    <s v="31"/>
    <x v="7"/>
    <s v="EU"/>
    <s v="02"/>
    <s v="2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19"/>
    <n v="-1000023133"/>
    <s v=""/>
    <s v=""/>
    <s v="42"/>
    <x v="2"/>
    <s v="EU"/>
    <s v="12"/>
    <s v="1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47"/>
    <n v="-1000023131"/>
    <s v=""/>
    <s v=""/>
    <s v="31"/>
    <x v="7"/>
    <s v="EU"/>
    <s v="02"/>
    <s v="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60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47"/>
    <n v="-1000013305"/>
    <s v=""/>
    <s v=""/>
    <s v="41"/>
    <x v="1"/>
    <s v="EU"/>
    <s v="0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1"/>
    <n v="-1000013305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3"/>
    <n v="-1000013305"/>
    <s v=""/>
    <s v=""/>
    <s v="2M"/>
    <x v="3"/>
    <s v="MY"/>
    <s v="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01"/>
    <n v="-1000013301"/>
    <s v=""/>
    <s v="RG"/>
    <s v=""/>
    <x v="6"/>
    <s v=""/>
    <s v=""/>
    <s v="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5"/>
    <n v="-1000013301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09"/>
    <n v="-1000013305"/>
    <s v=""/>
    <s v=""/>
    <s v="41"/>
    <x v="1"/>
    <s v="EU"/>
    <s v="03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9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19"/>
    <n v="-1000013305"/>
    <s v=""/>
    <s v=""/>
    <s v="41"/>
    <x v="1"/>
    <s v="EU"/>
    <s v="03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839"/>
    <n v="-1000013305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63"/>
    <n v="-1000013305"/>
    <s v=""/>
    <s v="RG"/>
    <s v=""/>
    <x v="6"/>
    <s v=""/>
    <s v="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0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5515117"/>
    <n v="-1000023133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69"/>
    <n v="-1000023129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79"/>
    <n v="-1000023133"/>
    <s v=""/>
    <s v=""/>
    <s v="42"/>
    <x v="2"/>
    <s v="EU"/>
    <s v="12"/>
    <s v="1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3"/>
    <n v="-1000023133"/>
    <s v=""/>
    <s v=""/>
    <s v="52"/>
    <x v="0"/>
    <s v="EU"/>
    <s v="13"/>
    <s v="1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29"/>
    <n v="-1000023129"/>
    <s v=""/>
    <s v=""/>
    <s v="31"/>
    <x v="7"/>
    <s v="EU"/>
    <s v="0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39"/>
    <n v="-1000023133"/>
    <s v=""/>
    <s v=""/>
    <s v="42"/>
    <x v="2"/>
    <s v="EU"/>
    <s v="12"/>
    <s v="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03"/>
    <n v="-1000023133"/>
    <s v=""/>
    <s v="NS"/>
    <s v=""/>
    <x v="6"/>
    <s v=""/>
    <s v="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13"/>
    <n v="-1000023133"/>
    <s v=""/>
    <s v=""/>
    <s v="42"/>
    <x v="2"/>
    <s v="EU"/>
    <s v="12"/>
    <s v="2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53"/>
    <n v="-1000023131"/>
    <s v=""/>
    <s v=""/>
    <s v="31"/>
    <x v="7"/>
    <s v="EU"/>
    <s v="02"/>
    <s v="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7"/>
    <n v="-1000023133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93"/>
    <n v="-1000023131"/>
    <s v=""/>
    <s v=""/>
    <s v="41"/>
    <x v="1"/>
    <s v="EU"/>
    <s v="03"/>
    <s v="3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9"/>
    <n v="-1000023131"/>
    <s v=""/>
    <s v=""/>
    <s v="31"/>
    <x v="7"/>
    <s v="EU"/>
    <s v="02"/>
    <s v="2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53"/>
    <n v="-1000023129"/>
    <s v=""/>
    <s v=""/>
    <s v="41"/>
    <x v="1"/>
    <s v="EU"/>
    <s v="03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893"/>
    <n v="-1000023129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7"/>
    <n v="-1000023129"/>
    <s v=""/>
    <s v=""/>
    <s v="31"/>
    <x v="7"/>
    <s v="EU"/>
    <s v="02"/>
    <s v="1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9"/>
    <n v="-1000023129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41"/>
    <n v="-1000023129"/>
    <s v=""/>
    <s v="NS"/>
    <s v=""/>
    <x v="6"/>
    <s v=""/>
    <s v=""/>
    <s v="1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5"/>
    <n v="-1000023131"/>
    <s v=""/>
    <s v=""/>
    <s v="42"/>
    <x v="2"/>
    <s v="EU"/>
    <s v="12"/>
    <s v="4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1"/>
    <n v="-1000023129"/>
    <s v=""/>
    <s v=""/>
    <s v="31"/>
    <x v="7"/>
    <s v="EU"/>
    <s v="02"/>
    <s v="2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4096141"/>
    <n v="-1000013305"/>
    <s v=""/>
    <s v=""/>
    <s v="52"/>
    <x v="0"/>
    <s v="EU"/>
    <s v="1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74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4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5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5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661"/>
    <n v="-1000013305"/>
    <s v=""/>
    <s v="RG"/>
    <s v=""/>
    <x v="6"/>
    <s v=""/>
    <s v="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7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05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635"/>
    <n v="-1000013305"/>
    <s v=""/>
    <s v="UD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2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091"/>
    <n v="-1000013305"/>
    <s v=""/>
    <s v=""/>
    <s v="31"/>
    <x v="7"/>
    <s v="EU"/>
    <s v="0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2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933"/>
    <n v="-1000013305"/>
    <s v=""/>
    <s v=""/>
    <s v="52"/>
    <x v="0"/>
    <s v="EU"/>
    <s v="1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89"/>
    <n v="-1000013305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2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8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331"/>
    <n v="-1000013301"/>
    <s v=""/>
    <s v=""/>
    <s v="52"/>
    <x v="0"/>
    <s v="EU"/>
    <s v="13"/>
    <s v="2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9"/>
    <n v="-1000013301"/>
    <s v=""/>
    <s v=""/>
    <s v="52"/>
    <x v="0"/>
    <s v="EU"/>
    <s v="13"/>
    <s v="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4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61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55"/>
    <n v="-1000013305"/>
    <s v=""/>
    <s v=""/>
    <s v="52"/>
    <x v="0"/>
    <s v="EU"/>
    <s v="13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99"/>
    <n v="-1000013305"/>
    <s v=""/>
    <s v="RG"/>
    <s v=""/>
    <x v="6"/>
    <s v=""/>
    <s v="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7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4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8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063"/>
    <n v="-1000013305"/>
    <s v=""/>
    <s v=""/>
    <s v="31"/>
    <x v="7"/>
    <s v="EU"/>
    <s v="0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4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4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097"/>
    <n v="-1000013305"/>
    <s v=""/>
    <s v=""/>
    <s v="2M"/>
    <x v="3"/>
    <s v="MY"/>
    <s v="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8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81"/>
    <n v="-1000013301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8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10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57"/>
    <n v="-1000013301"/>
    <s v=""/>
    <s v=""/>
    <s v="52"/>
    <x v="0"/>
    <s v="EU"/>
    <s v="13"/>
    <s v="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5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271"/>
    <n v="-1000013305"/>
    <s v=""/>
    <s v=""/>
    <s v="31"/>
    <x v="7"/>
    <s v="EU"/>
    <s v="0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379"/>
    <n v="-1000013301"/>
    <s v=""/>
    <s v=""/>
    <s v="31"/>
    <x v="7"/>
    <s v="EU"/>
    <s v="02"/>
    <s v="1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39"/>
    <n v="-1000013305"/>
    <s v=""/>
    <s v=""/>
    <s v="31"/>
    <x v="7"/>
    <s v="EU"/>
    <s v="0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8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8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895"/>
    <n v="-1000013305"/>
    <s v=""/>
    <s v=""/>
    <s v="3M"/>
    <x v="5"/>
    <s v="MY"/>
    <s v="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7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9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247"/>
    <n v="-1000013305"/>
    <s v=""/>
    <s v=""/>
    <s v="41"/>
    <x v="1"/>
    <s v="EU"/>
    <s v="0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4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91"/>
    <n v="-1000013305"/>
    <s v=""/>
    <s v=""/>
    <s v="2M"/>
    <x v="3"/>
    <s v="MY"/>
    <s v="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73"/>
    <n v="-1000013305"/>
    <s v=""/>
    <s v=""/>
    <s v="31"/>
    <x v="7"/>
    <s v="EU"/>
    <s v="0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983"/>
    <n v="-1000013305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4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325"/>
    <n v="-1000013301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86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7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1"/>
    <n v="-1000013305"/>
    <s v=""/>
    <s v=""/>
    <s v="52"/>
    <x v="0"/>
    <s v="EU"/>
    <s v="1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3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121"/>
    <n v="-1000013305"/>
    <s v=""/>
    <s v=""/>
    <s v="2M"/>
    <x v="3"/>
    <s v="MY"/>
    <s v="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8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9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43"/>
    <n v="-1000013305"/>
    <s v=""/>
    <s v=""/>
    <s v="31"/>
    <x v="7"/>
    <s v="EU"/>
    <s v="0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9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371"/>
    <n v="-1000013301"/>
    <s v=""/>
    <s v=""/>
    <s v="41"/>
    <x v="1"/>
    <s v="EU"/>
    <s v="03"/>
    <s v="1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11"/>
    <n v="-1000013305"/>
    <s v=""/>
    <s v=""/>
    <s v="2M"/>
    <x v="3"/>
    <s v="MY"/>
    <s v="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19"/>
    <n v="-1000013301"/>
    <s v=""/>
    <s v=""/>
    <s v="3M"/>
    <x v="5"/>
    <s v="MY"/>
    <s v="3"/>
    <s v="1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8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65"/>
    <n v="-1000013305"/>
    <s v=""/>
    <s v=""/>
    <s v="31"/>
    <x v="7"/>
    <s v="EU"/>
    <s v="0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55"/>
    <n v="-1000013301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313"/>
    <n v="-1000013301"/>
    <s v=""/>
    <s v=""/>
    <s v="52"/>
    <x v="0"/>
    <s v="EU"/>
    <s v="13"/>
    <s v="1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23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035"/>
    <n v="-1000013305"/>
    <s v=""/>
    <s v=""/>
    <s v="3M"/>
    <x v="5"/>
    <s v="MY"/>
    <s v="3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7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335"/>
    <n v="-1000013301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63"/>
    <n v="-1000013301"/>
    <s v=""/>
    <s v=""/>
    <s v="41"/>
    <x v="1"/>
    <s v="EU"/>
    <s v="03"/>
    <s v="1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2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0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4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251"/>
    <n v="-1000013305"/>
    <s v=""/>
    <s v=""/>
    <s v="31"/>
    <x v="7"/>
    <s v="EU"/>
    <s v="0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329"/>
    <n v="-1000013301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9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2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447"/>
    <n v="-1000013305"/>
    <s v=""/>
    <s v=""/>
    <s v="53"/>
    <x v="4"/>
    <s v="EU"/>
    <s v="2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79"/>
    <n v="-1000013305"/>
    <s v=""/>
    <s v=""/>
    <s v="41"/>
    <x v="1"/>
    <s v="EU"/>
    <s v="03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65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561"/>
    <n v="-1000013305"/>
    <s v=""/>
    <s v=""/>
    <s v="52"/>
    <x v="0"/>
    <s v="EU"/>
    <s v="13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07"/>
    <n v="-1000013305"/>
    <s v=""/>
    <s v=""/>
    <s v="31"/>
    <x v="7"/>
    <s v="EU"/>
    <s v="0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0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959"/>
    <n v="-1000013305"/>
    <s v=""/>
    <s v=""/>
    <s v="52"/>
    <x v="0"/>
    <s v="EU"/>
    <s v="13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377"/>
    <n v="-1000013301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4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4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7"/>
    <n v="-1000013305"/>
    <s v=""/>
    <s v=""/>
    <s v="2M"/>
    <x v="3"/>
    <s v="MY"/>
    <s v="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8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123"/>
    <n v="-1000013305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53"/>
    <n v="-1000013305"/>
    <s v=""/>
    <s v="RG"/>
    <s v=""/>
    <x v="6"/>
    <s v=""/>
    <s v="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39"/>
    <n v="-1000013305"/>
    <s v=""/>
    <s v=""/>
    <s v="31"/>
    <x v="7"/>
    <s v="EU"/>
    <s v="0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9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6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85"/>
    <n v="-1000013301"/>
    <s v=""/>
    <s v=""/>
    <s v="41"/>
    <x v="1"/>
    <s v="EU"/>
    <s v="03"/>
    <s v="2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8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937"/>
    <n v="-1000013305"/>
    <s v=""/>
    <s v=""/>
    <s v="2M"/>
    <x v="3"/>
    <s v="MY"/>
    <s v="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9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337"/>
    <n v="-1000013301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7"/>
    <n v="-1000013301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78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2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15"/>
    <n v="-1000013305"/>
    <s v=""/>
    <s v=""/>
    <s v="3M"/>
    <x v="5"/>
    <s v="MY"/>
    <s v="3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11"/>
    <n v="-1000013301"/>
    <s v=""/>
    <s v=""/>
    <s v="41"/>
    <x v="1"/>
    <s v="EU"/>
    <s v="03"/>
    <s v="1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23"/>
    <n v="-1000013301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6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4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47"/>
    <n v="-1000013305"/>
    <s v=""/>
    <s v=""/>
    <s v="3M"/>
    <x v="5"/>
    <s v="MY"/>
    <s v="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8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327"/>
    <n v="-1000013301"/>
    <s v=""/>
    <s v=""/>
    <s v="52"/>
    <x v="0"/>
    <s v="EU"/>
    <s v="13"/>
    <s v="1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59"/>
    <n v="-1000013301"/>
    <s v=""/>
    <s v=""/>
    <s v="41"/>
    <x v="1"/>
    <s v="EU"/>
    <s v="03"/>
    <s v="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321"/>
    <n v="-1000013301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2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8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4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361"/>
    <n v="-1000013301"/>
    <s v=""/>
    <s v=""/>
    <s v="41"/>
    <x v="1"/>
    <s v="EU"/>
    <s v="03"/>
    <s v="1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82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711"/>
    <n v="-1000013305"/>
    <s v=""/>
    <s v=""/>
    <s v="41"/>
    <x v="1"/>
    <s v="EU"/>
    <s v="03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9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27"/>
    <n v="-1000013305"/>
    <s v=""/>
    <s v=""/>
    <s v="3M"/>
    <x v="5"/>
    <s v="MY"/>
    <s v="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1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461"/>
    <n v="-1000013305"/>
    <s v=""/>
    <s v="RG"/>
    <s v=""/>
    <x v="6"/>
    <s v=""/>
    <s v="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03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387"/>
    <n v="-1000013301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43"/>
    <n v="-1000013305"/>
    <s v=""/>
    <s v=""/>
    <s v="31"/>
    <x v="7"/>
    <s v="EU"/>
    <s v="0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235"/>
    <n v="-1000013305"/>
    <s v=""/>
    <s v="RG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6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5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835"/>
    <n v="-1000013305"/>
    <s v=""/>
    <s v=""/>
    <s v="31"/>
    <x v="7"/>
    <s v="EU"/>
    <s v="0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315"/>
    <n v="-1000013301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7"/>
    <n v="-1000013305"/>
    <s v=""/>
    <s v="RG"/>
    <s v=""/>
    <x v="6"/>
    <s v=""/>
    <s v="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27"/>
    <n v="-1000013305"/>
    <s v=""/>
    <s v="RG"/>
    <s v=""/>
    <x v="6"/>
    <s v=""/>
    <s v="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88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01"/>
    <n v="-1000013305"/>
    <s v=""/>
    <s v=""/>
    <s v="3M"/>
    <x v="5"/>
    <s v="MY"/>
    <s v="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187"/>
    <n v="-1000013305"/>
    <s v=""/>
    <s v=""/>
    <s v="3M"/>
    <x v="5"/>
    <s v="MY"/>
    <s v="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59"/>
    <n v="-1000013305"/>
    <s v=""/>
    <s v=""/>
    <s v="2M"/>
    <x v="3"/>
    <s v="MY"/>
    <s v="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373"/>
    <n v="-1000013301"/>
    <s v=""/>
    <s v=""/>
    <s v="52"/>
    <x v="0"/>
    <s v="EU"/>
    <s v="13"/>
    <s v="1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467"/>
    <n v="-1000013305"/>
    <s v=""/>
    <s v=""/>
    <s v="41"/>
    <x v="1"/>
    <s v="EU"/>
    <s v="03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7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03"/>
    <n v="-1000013301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05"/>
    <n v="-1000013305"/>
    <s v=""/>
    <s v=""/>
    <s v="2M"/>
    <x v="3"/>
    <s v="MY"/>
    <s v="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61"/>
    <n v="-1000013305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51"/>
    <n v="-1000013301"/>
    <s v=""/>
    <s v=""/>
    <s v="31"/>
    <x v="7"/>
    <s v="EU"/>
    <s v="02"/>
    <s v="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7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51"/>
    <n v="-1000013305"/>
    <s v=""/>
    <s v=""/>
    <s v="52"/>
    <x v="0"/>
    <s v="EU"/>
    <s v="1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0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6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317"/>
    <n v="-1000013301"/>
    <s v=""/>
    <s v="RG"/>
    <s v=""/>
    <x v="6"/>
    <s v=""/>
    <s v=""/>
    <s v="1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9"/>
    <n v="-1000013305"/>
    <s v=""/>
    <s v=""/>
    <s v="2M"/>
    <x v="3"/>
    <s v="MY"/>
    <s v="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7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5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1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947"/>
    <n v="-1000013305"/>
    <s v=""/>
    <s v=""/>
    <s v="2M"/>
    <x v="3"/>
    <s v="MY"/>
    <s v="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09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583"/>
    <n v="-1000013305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05"/>
    <n v="-1000013301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603"/>
    <n v="-1000013305"/>
    <s v=""/>
    <s v=""/>
    <s v="52"/>
    <x v="0"/>
    <s v="EU"/>
    <s v="13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01"/>
    <n v="-1000013305"/>
    <s v=""/>
    <s v=""/>
    <s v="2M"/>
    <x v="3"/>
    <s v="MY"/>
    <s v="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09"/>
    <n v="-1000013301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7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73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69"/>
    <n v="-1000013305"/>
    <s v=""/>
    <s v=""/>
    <s v="41"/>
    <x v="1"/>
    <s v="EU"/>
    <s v="03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7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57"/>
    <n v="-1000013305"/>
    <s v=""/>
    <s v=""/>
    <s v="31"/>
    <x v="7"/>
    <s v="EU"/>
    <s v="0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6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5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1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645"/>
    <n v="-1000013305"/>
    <s v=""/>
    <s v=""/>
    <s v="31"/>
    <x v="7"/>
    <s v="EU"/>
    <s v="0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6019297"/>
    <n v="-1000026513"/>
    <s v=""/>
    <s v=""/>
    <s v="52"/>
    <x v="0"/>
    <s v="EU"/>
    <s v="1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29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07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0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1"/>
    <n v="-1000026513"/>
    <s v=""/>
    <s v=""/>
    <s v="52"/>
    <x v="0"/>
    <s v="EU"/>
    <s v="1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29"/>
    <n v="-1000026513"/>
    <s v=""/>
    <s v=""/>
    <s v="42"/>
    <x v="2"/>
    <s v="EU"/>
    <s v="1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31"/>
    <n v="-1000026513"/>
    <s v=""/>
    <s v=""/>
    <s v="52"/>
    <x v="0"/>
    <s v="EU"/>
    <s v="1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35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4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511"/>
    <n v="-1000026513"/>
    <s v=""/>
    <s v=""/>
    <s v="2M"/>
    <x v="3"/>
    <s v="MY"/>
    <s v="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1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3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19"/>
    <n v="-1000026513"/>
    <s v=""/>
    <s v=""/>
    <s v="3M"/>
    <x v="5"/>
    <s v="MY"/>
    <s v="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7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31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9"/>
    <n v="-1000026513"/>
    <s v=""/>
    <s v=""/>
    <s v="52"/>
    <x v="0"/>
    <s v="EU"/>
    <s v="1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51"/>
    <n v="-1000026513"/>
    <s v=""/>
    <s v=""/>
    <s v="31"/>
    <x v="7"/>
    <s v="EU"/>
    <s v="0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5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5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6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1"/>
    <n v="-1000026513"/>
    <s v=""/>
    <s v=""/>
    <s v="31"/>
    <x v="7"/>
    <s v="EU"/>
    <s v="0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5"/>
    <n v="-1000026513"/>
    <s v=""/>
    <s v=""/>
    <s v="53"/>
    <x v="4"/>
    <s v="EU"/>
    <s v="2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77"/>
    <n v="-1000026513"/>
    <s v=""/>
    <s v=""/>
    <s v="42"/>
    <x v="2"/>
    <s v="EU"/>
    <s v="1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3"/>
    <n v="-1000026513"/>
    <s v=""/>
    <s v=""/>
    <s v="31"/>
    <x v="7"/>
    <s v="EU"/>
    <s v="0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93"/>
    <n v="-1000026513"/>
    <s v=""/>
    <s v=""/>
    <s v="42"/>
    <x v="2"/>
    <s v="EU"/>
    <s v="1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0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19"/>
    <n v="-1000026513"/>
    <s v=""/>
    <s v=""/>
    <s v="52"/>
    <x v="0"/>
    <s v="EU"/>
    <s v="1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1"/>
    <n v="-1000026513"/>
    <s v=""/>
    <s v=""/>
    <s v="52"/>
    <x v="0"/>
    <s v="EU"/>
    <s v="1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3"/>
    <n v="-1000026513"/>
    <s v=""/>
    <s v=""/>
    <s v="52"/>
    <x v="0"/>
    <s v="EU"/>
    <s v="1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5"/>
    <n v="-1000026513"/>
    <s v=""/>
    <s v=""/>
    <s v="52"/>
    <x v="0"/>
    <s v="EU"/>
    <s v="1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9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31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39"/>
    <n v="-1000026513"/>
    <s v=""/>
    <s v=""/>
    <s v="42"/>
    <x v="2"/>
    <s v="EU"/>
    <s v="1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3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4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49"/>
    <n v="-1000026513"/>
    <s v=""/>
    <s v=""/>
    <s v="42"/>
    <x v="2"/>
    <s v="EU"/>
    <s v="1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3"/>
    <n v="-1000026513"/>
    <s v=""/>
    <s v=""/>
    <s v="2M"/>
    <x v="3"/>
    <s v="MY"/>
    <s v="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61"/>
    <n v="-1000026513"/>
    <s v=""/>
    <s v=""/>
    <s v="52"/>
    <x v="0"/>
    <s v="EU"/>
    <s v="1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7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83"/>
    <n v="-1000026513"/>
    <s v=""/>
    <s v=""/>
    <s v="52"/>
    <x v="0"/>
    <s v="EU"/>
    <s v="1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8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95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97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0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0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55"/>
    <n v="-1000026513"/>
    <s v=""/>
    <s v=""/>
    <s v="42"/>
    <x v="2"/>
    <s v="EU"/>
    <s v="1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99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81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515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491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9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79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71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2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05"/>
    <n v="-1000026513"/>
    <s v=""/>
    <s v=""/>
    <s v="3M"/>
    <x v="5"/>
    <s v="MY"/>
    <s v="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5"/>
    <n v="-1000026513"/>
    <s v=""/>
    <s v=""/>
    <s v="41"/>
    <x v="1"/>
    <s v="EU"/>
    <s v="03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5"/>
    <n v="-1000026513"/>
    <s v=""/>
    <s v=""/>
    <s v="2M"/>
    <x v="3"/>
    <s v="MY"/>
    <s v="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9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337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525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99"/>
    <n v="-1000026513"/>
    <s v=""/>
    <s v=""/>
    <s v="31"/>
    <x v="7"/>
    <s v="EU"/>
    <s v="0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295"/>
    <n v="-1000026513"/>
    <s v=""/>
    <s v=""/>
    <s v="52"/>
    <x v="0"/>
    <s v="EU"/>
    <s v="13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521"/>
    <n v="-1000026513"/>
    <s v=""/>
    <s v=""/>
    <s v="2M"/>
    <x v="3"/>
    <s v="MY"/>
    <s v="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5"/>
    <n v="-1000026513"/>
    <s v=""/>
    <s v=""/>
    <s v="3M"/>
    <x v="5"/>
    <s v="MY"/>
    <s v="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67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1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341"/>
    <n v="-1000026513"/>
    <s v=""/>
    <s v=""/>
    <s v="42"/>
    <x v="2"/>
    <s v="EU"/>
    <s v="1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44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07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325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46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517"/>
    <n v="-1000026513"/>
    <s v=""/>
    <s v=""/>
    <s v="31"/>
    <x v="7"/>
    <s v="EU"/>
    <s v="0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43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4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1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333"/>
    <n v="-1000026513"/>
    <s v=""/>
    <s v=""/>
    <s v="3M"/>
    <x v="5"/>
    <s v="MY"/>
    <s v="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03"/>
    <n v="-1000026513"/>
    <s v=""/>
    <s v=""/>
    <s v="42"/>
    <x v="2"/>
    <s v="EU"/>
    <s v="1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427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11"/>
    <n v="-1000026513"/>
    <s v=""/>
    <s v=""/>
    <s v="3M"/>
    <x v="5"/>
    <s v="MY"/>
    <s v="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503"/>
    <n v="-1000026513"/>
    <s v=""/>
    <s v=""/>
    <s v="31"/>
    <x v="7"/>
    <s v="EU"/>
    <s v="0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357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59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8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9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3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379"/>
    <n v="-1000026513"/>
    <s v=""/>
    <s v=""/>
    <s v="52"/>
    <x v="0"/>
    <s v="EU"/>
    <s v="1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505"/>
    <n v="-1000026513"/>
    <s v=""/>
    <s v="RG"/>
    <s v=""/>
    <x v="6"/>
    <s v="EU"/>
    <s v="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8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501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63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75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2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469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8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1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1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353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485"/>
    <n v="-1000026513"/>
    <s v=""/>
    <s v="MF"/>
    <s v=""/>
    <x v="6"/>
    <s v=""/>
    <s v="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77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2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91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3"/>
    <n v="-1000026513"/>
    <s v=""/>
    <s v=""/>
    <s v="31"/>
    <x v="7"/>
    <s v="EU"/>
    <s v="0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9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30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465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4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7"/>
    <n v="-1000026513"/>
    <s v=""/>
    <s v=""/>
    <s v="42"/>
    <x v="2"/>
    <s v="EU"/>
    <s v="1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6198154"/>
    <n v="1127252963"/>
    <s v=""/>
    <s v=""/>
    <s v="42"/>
    <x v="2"/>
    <s v="EU"/>
    <s v="12"/>
    <s v="1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-1006019413"/>
    <n v="-1000026513"/>
    <s v=""/>
    <s v=""/>
    <s v="31"/>
    <x v="7"/>
    <s v="EU"/>
    <s v="0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6198157"/>
    <n v="1127252963"/>
    <s v=""/>
    <s v=""/>
    <s v="42"/>
    <x v="2"/>
    <s v="EU"/>
    <s v="12"/>
    <s v="1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3"/>
    <n v="1127252963"/>
    <s v=""/>
    <s v=""/>
    <s v="41"/>
    <x v="1"/>
    <s v="EU"/>
    <s v="03"/>
    <s v="1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8"/>
    <n v="1127252963"/>
    <s v=""/>
    <s v=""/>
    <s v="42"/>
    <x v="2"/>
    <s v="EU"/>
    <s v="12"/>
    <s v="1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0"/>
    <n v="1127252963"/>
    <s v=""/>
    <s v=""/>
    <s v="42"/>
    <x v="2"/>
    <s v="EU"/>
    <s v="12"/>
    <s v="2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6"/>
    <n v="1127252963"/>
    <s v=""/>
    <s v=""/>
    <s v="42"/>
    <x v="2"/>
    <s v="EU"/>
    <s v="12"/>
    <s v="2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5"/>
    <n v="1127252963"/>
    <s v=""/>
    <s v=""/>
    <s v="42"/>
    <x v="2"/>
    <s v="EU"/>
    <s v="12"/>
    <s v="2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4"/>
    <n v="1127252963"/>
    <s v=""/>
    <s v=""/>
    <s v="53"/>
    <x v="4"/>
    <s v="EU"/>
    <s v="22"/>
    <s v="3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3"/>
    <n v="1127252963"/>
    <s v=""/>
    <s v=""/>
    <s v="42"/>
    <x v="2"/>
    <s v="EU"/>
    <s v="12"/>
    <s v="3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4"/>
    <n v="1127252963"/>
    <s v=""/>
    <s v=""/>
    <s v="42"/>
    <x v="2"/>
    <s v="EU"/>
    <s v="12"/>
    <s v="4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6"/>
    <n v="1127252963"/>
    <s v=""/>
    <s v=""/>
    <s v="52"/>
    <x v="0"/>
    <s v="EU"/>
    <s v="13"/>
    <s v="4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9"/>
    <n v="1127252963"/>
    <s v=""/>
    <s v=""/>
    <s v="52"/>
    <x v="0"/>
    <s v="EU"/>
    <s v="13"/>
    <s v="4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2"/>
    <n v="1127252963"/>
    <s v=""/>
    <s v=""/>
    <s v="63"/>
    <x v="8"/>
    <s v="EU"/>
    <s v="23"/>
    <s v="4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4"/>
    <n v="1127252963"/>
    <s v=""/>
    <s v=""/>
    <s v="42"/>
    <x v="2"/>
    <s v="EU"/>
    <s v="12"/>
    <s v="5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1"/>
    <n v="1127252963"/>
    <s v=""/>
    <s v=""/>
    <s v="52"/>
    <x v="0"/>
    <s v="EU"/>
    <s v="13"/>
    <s v="5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7"/>
    <n v="1127252963"/>
    <s v=""/>
    <s v=""/>
    <s v="42"/>
    <x v="2"/>
    <s v="EU"/>
    <s v="12"/>
    <s v="5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8"/>
    <n v="1127252963"/>
    <s v=""/>
    <s v=""/>
    <s v="31"/>
    <x v="7"/>
    <s v="EU"/>
    <s v="02"/>
    <s v="2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2"/>
    <n v="1127252963"/>
    <s v=""/>
    <s v=""/>
    <s v="52"/>
    <x v="0"/>
    <s v="EU"/>
    <s v="13"/>
    <s v="1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8"/>
    <n v="1127252963"/>
    <s v=""/>
    <s v=""/>
    <s v="53"/>
    <x v="4"/>
    <s v="EU"/>
    <s v="22"/>
    <s v="3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0"/>
    <n v="1127252963"/>
    <s v=""/>
    <s v=""/>
    <s v="42"/>
    <x v="2"/>
    <s v="EU"/>
    <s v="12"/>
    <s v="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5"/>
    <n v="1127252963"/>
    <s v=""/>
    <s v=""/>
    <s v="52"/>
    <x v="0"/>
    <s v="EU"/>
    <s v="13"/>
    <s v="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9"/>
    <n v="1127252963"/>
    <s v=""/>
    <s v=""/>
    <s v="52"/>
    <x v="0"/>
    <s v="EU"/>
    <s v="13"/>
    <s v="1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2"/>
    <n v="1127252963"/>
    <s v=""/>
    <s v=""/>
    <s v="42"/>
    <x v="2"/>
    <s v="EU"/>
    <s v="12"/>
    <s v="2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1"/>
    <n v="1127252963"/>
    <s v=""/>
    <s v=""/>
    <s v="42"/>
    <x v="2"/>
    <s v="EU"/>
    <s v="12"/>
    <s v="4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5"/>
    <n v="1127252963"/>
    <s v=""/>
    <s v=""/>
    <s v="42"/>
    <x v="2"/>
    <s v="EU"/>
    <s v="12"/>
    <s v="1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9"/>
    <n v="1127252963"/>
    <s v=""/>
    <s v=""/>
    <s v="52"/>
    <x v="0"/>
    <s v="EU"/>
    <s v="13"/>
    <s v="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0"/>
    <n v="1127252963"/>
    <s v=""/>
    <s v=""/>
    <s v="52"/>
    <x v="0"/>
    <s v="EU"/>
    <s v="13"/>
    <s v="1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6"/>
    <n v="1127252963"/>
    <s v=""/>
    <s v=""/>
    <s v="42"/>
    <x v="2"/>
    <s v="EU"/>
    <s v="12"/>
    <s v="1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2"/>
    <n v="1127252963"/>
    <s v=""/>
    <s v=""/>
    <s v="52"/>
    <x v="0"/>
    <s v="EU"/>
    <s v="13"/>
    <s v="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3"/>
    <n v="1127252963"/>
    <s v=""/>
    <s v=""/>
    <s v="42"/>
    <x v="2"/>
    <s v="EU"/>
    <s v="12"/>
    <s v="4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7"/>
    <n v="1127252963"/>
    <s v=""/>
    <s v=""/>
    <s v="42"/>
    <x v="2"/>
    <s v="EU"/>
    <s v="12"/>
    <s v="4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80"/>
    <n v="1127252963"/>
    <s v=""/>
    <s v=""/>
    <s v="52"/>
    <x v="0"/>
    <s v="EU"/>
    <s v="13"/>
    <s v="5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6"/>
    <n v="1127252963"/>
    <s v=""/>
    <s v=""/>
    <s v="42"/>
    <x v="2"/>
    <s v="EU"/>
    <s v="12"/>
    <s v="3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3"/>
    <n v="1127252963"/>
    <s v=""/>
    <s v=""/>
    <s v="52"/>
    <x v="0"/>
    <s v="EU"/>
    <s v="13"/>
    <s v="2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9"/>
    <n v="1127252963"/>
    <s v=""/>
    <s v=""/>
    <s v="42"/>
    <x v="2"/>
    <s v="EU"/>
    <s v="12"/>
    <s v="3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24"/>
    <n v="1127252963"/>
    <s v=""/>
    <s v=""/>
    <s v="52"/>
    <x v="0"/>
    <s v="EU"/>
    <s v="13"/>
    <s v="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1"/>
    <n v="1127252963"/>
    <s v=""/>
    <s v=""/>
    <s v="31"/>
    <x v="7"/>
    <s v="EU"/>
    <s v="02"/>
    <s v="2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5"/>
    <n v="1127252963"/>
    <s v=""/>
    <s v=""/>
    <s v="42"/>
    <x v="2"/>
    <s v="EU"/>
    <s v="12"/>
    <s v="3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8"/>
    <n v="1127252963"/>
    <s v=""/>
    <s v=""/>
    <s v="42"/>
    <x v="2"/>
    <s v="EU"/>
    <s v="12"/>
    <s v="4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3"/>
    <n v="1127252963"/>
    <s v=""/>
    <s v=""/>
    <s v="41"/>
    <x v="1"/>
    <s v="EU"/>
    <s v="03"/>
    <s v="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51"/>
    <n v="1127252963"/>
    <s v=""/>
    <s v=""/>
    <s v="52"/>
    <x v="0"/>
    <s v="EU"/>
    <s v="13"/>
    <s v="1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5"/>
    <n v="1127252963"/>
    <s v=""/>
    <s v=""/>
    <s v="42"/>
    <x v="2"/>
    <s v="EU"/>
    <s v="12"/>
    <s v="4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6"/>
    <n v="1127252963"/>
    <s v=""/>
    <s v=""/>
    <s v="52"/>
    <x v="0"/>
    <s v="EU"/>
    <s v="13"/>
    <s v="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0"/>
    <n v="1127252963"/>
    <s v=""/>
    <s v=""/>
    <s v="52"/>
    <x v="0"/>
    <s v="EU"/>
    <s v="13"/>
    <s v="4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9"/>
    <n v="1127252963"/>
    <s v=""/>
    <s v=""/>
    <s v="42"/>
    <x v="2"/>
    <s v="EU"/>
    <s v="12"/>
    <s v="2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4"/>
    <n v="1127252963"/>
    <s v=""/>
    <s v=""/>
    <s v="52"/>
    <x v="0"/>
    <s v="EU"/>
    <s v="13"/>
    <s v="2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83"/>
    <n v="1127252963"/>
    <s v=""/>
    <s v=""/>
    <s v="42"/>
    <x v="2"/>
    <s v="EU"/>
    <s v="12"/>
    <s v="5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7"/>
    <n v="1127252963"/>
    <s v=""/>
    <s v=""/>
    <s v="52"/>
    <x v="0"/>
    <s v="EU"/>
    <s v="13"/>
    <s v="2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27"/>
    <n v="1127252963"/>
    <s v=""/>
    <s v=""/>
    <s v="42"/>
    <x v="2"/>
    <s v="EU"/>
    <s v="12"/>
    <s v="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0"/>
    <n v="1127252963"/>
    <s v=""/>
    <s v=""/>
    <s v="41"/>
    <x v="1"/>
    <s v="EU"/>
    <s v="03"/>
    <s v="3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8"/>
    <n v="1127252963"/>
    <s v=""/>
    <s v=""/>
    <s v="52"/>
    <x v="0"/>
    <s v="EU"/>
    <s v="13"/>
    <s v="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7"/>
    <n v="1127252963"/>
    <s v=""/>
    <s v=""/>
    <s v="42"/>
    <x v="2"/>
    <s v="EU"/>
    <s v="12"/>
    <s v="3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1"/>
    <n v="1127252963"/>
    <s v=""/>
    <s v=""/>
    <s v="42"/>
    <x v="2"/>
    <s v="EU"/>
    <s v="12"/>
    <s v="3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2"/>
    <n v="1127252963"/>
    <s v=""/>
    <s v=""/>
    <s v="52"/>
    <x v="0"/>
    <s v="EU"/>
    <s v="13"/>
    <s v="3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9240347"/>
    <n v="37963962"/>
    <s v=""/>
    <s v=""/>
    <s v="41"/>
    <x v="1"/>
    <s v="EU"/>
    <s v="03"/>
    <s v="5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1"/>
    <n v="37963962"/>
    <s v=""/>
    <s v=""/>
    <s v="42"/>
    <x v="2"/>
    <s v="EU"/>
    <s v="12"/>
    <s v="7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9"/>
    <n v="37963962"/>
    <s v=""/>
    <s v=""/>
    <s v="42"/>
    <x v="2"/>
    <s v="EU"/>
    <s v="12"/>
    <s v="7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9"/>
    <n v="37963962"/>
    <s v=""/>
    <s v=""/>
    <s v="41"/>
    <x v="1"/>
    <s v="EU"/>
    <s v="03"/>
    <s v="3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9"/>
    <n v="37963962"/>
    <s v=""/>
    <s v=""/>
    <s v="42"/>
    <x v="2"/>
    <s v="EU"/>
    <s v="12"/>
    <s v="4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3"/>
    <n v="37963962"/>
    <s v=""/>
    <s v=""/>
    <s v="42"/>
    <x v="2"/>
    <s v="EU"/>
    <s v="12"/>
    <s v="5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0"/>
    <n v="37963962"/>
    <s v=""/>
    <s v=""/>
    <s v="42"/>
    <x v="2"/>
    <s v="EU"/>
    <s v="12"/>
    <s v="1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1"/>
    <n v="37963962"/>
    <s v=""/>
    <s v=""/>
    <s v="42"/>
    <x v="2"/>
    <s v="EU"/>
    <s v="12"/>
    <s v="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4"/>
    <n v="37963962"/>
    <s v=""/>
    <s v=""/>
    <s v="42"/>
    <x v="2"/>
    <s v="EU"/>
    <s v="12"/>
    <s v="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3"/>
    <n v="37963962"/>
    <s v=""/>
    <s v=""/>
    <s v="52"/>
    <x v="0"/>
    <s v="EU"/>
    <s v="13"/>
    <s v="2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0"/>
    <n v="37963962"/>
    <s v=""/>
    <s v=""/>
    <s v="41"/>
    <x v="1"/>
    <s v="EU"/>
    <s v="03"/>
    <s v="2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0"/>
    <n v="37963962"/>
    <s v=""/>
    <s v=""/>
    <s v="42"/>
    <x v="2"/>
    <s v="EU"/>
    <s v="12"/>
    <s v="3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7"/>
    <n v="37963962"/>
    <s v=""/>
    <s v=""/>
    <s v="42"/>
    <x v="2"/>
    <s v="EU"/>
    <s v="12"/>
    <s v="7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3"/>
    <n v="37963962"/>
    <s v=""/>
    <s v=""/>
    <s v="52"/>
    <x v="0"/>
    <s v="EU"/>
    <s v="13"/>
    <s v="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5"/>
    <n v="37963962"/>
    <s v=""/>
    <s v=""/>
    <s v="42"/>
    <x v="2"/>
    <s v="EU"/>
    <s v="12"/>
    <s v="5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5"/>
    <n v="37963962"/>
    <s v=""/>
    <s v=""/>
    <s v="42"/>
    <x v="2"/>
    <s v="EU"/>
    <s v="12"/>
    <s v="4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7"/>
    <n v="37963962"/>
    <s v=""/>
    <s v=""/>
    <s v="41"/>
    <x v="1"/>
    <s v="EU"/>
    <s v="03"/>
    <s v="8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3"/>
    <n v="37963962"/>
    <s v=""/>
    <s v=""/>
    <s v="42"/>
    <x v="2"/>
    <s v="EU"/>
    <s v="12"/>
    <s v="7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3"/>
    <n v="37963962"/>
    <s v=""/>
    <s v=""/>
    <s v="42"/>
    <x v="2"/>
    <s v="EU"/>
    <s v="12"/>
    <s v="9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7"/>
    <n v="37963962"/>
    <s v=""/>
    <s v=""/>
    <s v="42"/>
    <x v="2"/>
    <s v="EU"/>
    <s v="12"/>
    <s v="6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4"/>
    <n v="37963962"/>
    <s v=""/>
    <s v=""/>
    <s v="42"/>
    <x v="2"/>
    <s v="EU"/>
    <s v="12"/>
    <s v="8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0"/>
    <n v="37963962"/>
    <s v=""/>
    <s v=""/>
    <s v="42"/>
    <x v="2"/>
    <s v="EU"/>
    <s v="12"/>
    <s v="8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9"/>
    <n v="37963962"/>
    <s v=""/>
    <s v=""/>
    <s v="42"/>
    <x v="2"/>
    <s v="EU"/>
    <s v="12"/>
    <s v="6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9"/>
    <n v="37963962"/>
    <s v=""/>
    <s v=""/>
    <s v="41"/>
    <x v="1"/>
    <s v="EU"/>
    <s v="03"/>
    <s v="2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6"/>
    <n v="37963962"/>
    <s v=""/>
    <s v=""/>
    <s v="42"/>
    <x v="2"/>
    <s v="EU"/>
    <s v="12"/>
    <s v="7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44"/>
    <n v="37963962"/>
    <s v=""/>
    <s v=""/>
    <s v="42"/>
    <x v="2"/>
    <s v="EU"/>
    <s v="12"/>
    <s v="5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3"/>
    <n v="37963962"/>
    <s v=""/>
    <s v=""/>
    <s v="42"/>
    <x v="2"/>
    <s v="EU"/>
    <s v="12"/>
    <s v="1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8"/>
    <n v="37963962"/>
    <s v=""/>
    <s v=""/>
    <s v="42"/>
    <x v="2"/>
    <s v="EU"/>
    <s v="12"/>
    <s v="7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1"/>
    <n v="37963962"/>
    <s v=""/>
    <s v=""/>
    <s v="52"/>
    <x v="0"/>
    <s v="EU"/>
    <s v="13"/>
    <s v="2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1"/>
    <n v="37963962"/>
    <s v=""/>
    <s v=""/>
    <s v="42"/>
    <x v="2"/>
    <s v="EU"/>
    <s v="12"/>
    <s v="6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2"/>
    <n v="37963962"/>
    <s v=""/>
    <s v=""/>
    <s v="41"/>
    <x v="1"/>
    <s v="EU"/>
    <s v="03"/>
    <s v="8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6"/>
    <n v="37963962"/>
    <s v=""/>
    <s v=""/>
    <s v="42"/>
    <x v="2"/>
    <s v="EU"/>
    <s v="12"/>
    <s v="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2"/>
    <n v="37963962"/>
    <s v=""/>
    <s v=""/>
    <s v="42"/>
    <x v="2"/>
    <s v="EU"/>
    <s v="12"/>
    <s v="6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5"/>
    <n v="37963962"/>
    <s v=""/>
    <s v=""/>
    <s v="42"/>
    <x v="2"/>
    <s v="EU"/>
    <s v="12"/>
    <s v="6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5"/>
    <n v="37963962"/>
    <s v=""/>
    <s v=""/>
    <s v="42"/>
    <x v="2"/>
    <s v="EU"/>
    <s v="12"/>
    <s v="7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8"/>
    <n v="37963962"/>
    <s v=""/>
    <s v=""/>
    <s v="42"/>
    <x v="2"/>
    <s v="EU"/>
    <s v="12"/>
    <s v="8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1"/>
    <n v="37963962"/>
    <s v=""/>
    <s v=""/>
    <s v="42"/>
    <x v="2"/>
    <s v="EU"/>
    <s v="12"/>
    <s v="8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3"/>
    <n v="37963962"/>
    <s v=""/>
    <s v=""/>
    <s v="42"/>
    <x v="2"/>
    <s v="EU"/>
    <s v="12"/>
    <s v="8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5"/>
    <n v="37963962"/>
    <s v=""/>
    <s v=""/>
    <s v="42"/>
    <x v="2"/>
    <s v="EU"/>
    <s v="12"/>
    <s v="8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4"/>
    <n v="37963962"/>
    <s v=""/>
    <s v=""/>
    <s v="42"/>
    <x v="2"/>
    <s v="EU"/>
    <s v="12"/>
    <s v="9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7"/>
    <n v="37963962"/>
    <s v=""/>
    <s v=""/>
    <s v="41"/>
    <x v="1"/>
    <s v="EU"/>
    <s v="03"/>
    <s v="9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0"/>
    <n v="37963962"/>
    <s v=""/>
    <s v=""/>
    <s v="52"/>
    <x v="0"/>
    <s v="EU"/>
    <s v="13"/>
    <s v="9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9"/>
    <n v="37963962"/>
    <s v=""/>
    <s v=""/>
    <s v="52"/>
    <x v="0"/>
    <s v="EU"/>
    <s v="13"/>
    <s v="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8"/>
    <n v="37963962"/>
    <s v=""/>
    <s v=""/>
    <s v="42"/>
    <x v="2"/>
    <s v="EU"/>
    <s v="12"/>
    <s v="6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4"/>
    <n v="37963962"/>
    <s v=""/>
    <s v=""/>
    <s v="42"/>
    <x v="2"/>
    <s v="EU"/>
    <s v="12"/>
    <s v="6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0"/>
    <n v="37963962"/>
    <s v=""/>
    <s v=""/>
    <s v="42"/>
    <x v="2"/>
    <s v="EU"/>
    <s v="12"/>
    <s v="6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8"/>
    <n v="37963962"/>
    <s v=""/>
    <s v=""/>
    <s v="42"/>
    <x v="2"/>
    <s v="EU"/>
    <s v="12"/>
    <s v="1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1"/>
    <n v="37963962"/>
    <s v=""/>
    <s v=""/>
    <s v="31"/>
    <x v="7"/>
    <s v="EU"/>
    <s v="02"/>
    <s v="1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7"/>
    <n v="37963962"/>
    <s v=""/>
    <s v=""/>
    <s v="42"/>
    <x v="2"/>
    <s v="EU"/>
    <s v="12"/>
    <s v="1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6"/>
    <n v="37963962"/>
    <s v=""/>
    <s v=""/>
    <s v="42"/>
    <x v="2"/>
    <s v="EU"/>
    <s v="12"/>
    <s v="1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2"/>
    <n v="37963962"/>
    <s v=""/>
    <s v=""/>
    <s v="42"/>
    <x v="2"/>
    <s v="EU"/>
    <s v="12"/>
    <s v="1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4"/>
    <n v="37963962"/>
    <s v=""/>
    <s v=""/>
    <s v="42"/>
    <x v="2"/>
    <s v="EU"/>
    <s v="12"/>
    <s v="2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6"/>
    <n v="37963962"/>
    <s v=""/>
    <s v=""/>
    <s v="42"/>
    <x v="2"/>
    <s v="EU"/>
    <s v="12"/>
    <s v="2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8"/>
    <n v="37963962"/>
    <s v=""/>
    <s v=""/>
    <s v="42"/>
    <x v="2"/>
    <s v="EU"/>
    <s v="12"/>
    <s v="3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4"/>
    <n v="37963962"/>
    <s v=""/>
    <s v=""/>
    <s v="42"/>
    <x v="2"/>
    <s v="EU"/>
    <s v="12"/>
    <s v="3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7"/>
    <n v="37963962"/>
    <s v=""/>
    <s v=""/>
    <s v="42"/>
    <x v="2"/>
    <s v="EU"/>
    <s v="12"/>
    <s v="3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3"/>
    <n v="37963962"/>
    <s v=""/>
    <s v=""/>
    <s v="42"/>
    <x v="2"/>
    <s v="EU"/>
    <s v="12"/>
    <s v="3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2"/>
    <n v="37963962"/>
    <s v=""/>
    <s v=""/>
    <s v="41"/>
    <x v="1"/>
    <s v="EU"/>
    <s v="03"/>
    <s v="3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5"/>
    <n v="37963962"/>
    <s v=""/>
    <s v=""/>
    <s v="42"/>
    <x v="2"/>
    <s v="EU"/>
    <s v="12"/>
    <s v="3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8"/>
    <n v="37963962"/>
    <s v=""/>
    <s v=""/>
    <s v="31"/>
    <x v="7"/>
    <s v="EU"/>
    <s v="02"/>
    <s v="4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1"/>
    <n v="37963962"/>
    <s v=""/>
    <s v=""/>
    <s v="42"/>
    <x v="2"/>
    <s v="EU"/>
    <s v="12"/>
    <s v="4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7"/>
    <n v="37963962"/>
    <s v=""/>
    <s v=""/>
    <s v="42"/>
    <x v="2"/>
    <s v="EU"/>
    <s v="12"/>
    <s v="4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0"/>
    <n v="37963962"/>
    <s v=""/>
    <s v=""/>
    <s v="52"/>
    <x v="0"/>
    <s v="EU"/>
    <s v="13"/>
    <s v="4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3"/>
    <n v="37963962"/>
    <s v=""/>
    <s v=""/>
    <s v="42"/>
    <x v="2"/>
    <s v="EU"/>
    <s v="12"/>
    <s v="4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6"/>
    <n v="37963962"/>
    <s v=""/>
    <s v=""/>
    <s v="42"/>
    <x v="2"/>
    <s v="EU"/>
    <s v="12"/>
    <s v="4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2"/>
    <n v="37963962"/>
    <s v=""/>
    <s v=""/>
    <s v="42"/>
    <x v="2"/>
    <s v="EU"/>
    <s v="12"/>
    <s v="4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8"/>
    <n v="37963962"/>
    <s v=""/>
    <s v=""/>
    <s v="42"/>
    <x v="2"/>
    <s v="EU"/>
    <s v="12"/>
    <s v="5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41"/>
    <n v="37963962"/>
    <s v=""/>
    <s v=""/>
    <s v="42"/>
    <x v="2"/>
    <s v="EU"/>
    <s v="12"/>
    <s v="5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0"/>
    <n v="37963962"/>
    <s v=""/>
    <s v=""/>
    <s v="42"/>
    <x v="2"/>
    <s v="EU"/>
    <s v="12"/>
    <s v="5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6"/>
    <n v="37963962"/>
    <s v=""/>
    <s v=""/>
    <s v="42"/>
    <x v="2"/>
    <s v="EU"/>
    <s v="12"/>
    <s v="5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0"/>
    <n v="37963962"/>
    <s v=""/>
    <s v=""/>
    <s v="42"/>
    <x v="2"/>
    <s v="EU"/>
    <s v="12"/>
    <s v="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5"/>
    <n v="37963962"/>
    <s v=""/>
    <s v=""/>
    <s v="42"/>
    <x v="2"/>
    <s v="EU"/>
    <s v="12"/>
    <s v="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4"/>
    <n v="37963962"/>
    <s v=""/>
    <s v=""/>
    <s v="42"/>
    <x v="2"/>
    <s v="EU"/>
    <s v="12"/>
    <s v="7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6"/>
    <n v="37963962"/>
    <s v=""/>
    <s v=""/>
    <s v="42"/>
    <x v="2"/>
    <s v="EU"/>
    <s v="12"/>
    <s v="6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6"/>
    <n v="37963962"/>
    <s v=""/>
    <s v=""/>
    <s v="42"/>
    <x v="2"/>
    <s v="EU"/>
    <s v="12"/>
    <s v="9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3"/>
    <n v="37963962"/>
    <s v=""/>
    <s v=""/>
    <s v="42"/>
    <x v="2"/>
    <s v="EU"/>
    <s v="12"/>
    <s v="6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1"/>
    <n v="37963962"/>
    <s v=""/>
    <s v=""/>
    <s v="42"/>
    <x v="2"/>
    <s v="EU"/>
    <s v="12"/>
    <s v="9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6"/>
    <n v="37963962"/>
    <s v=""/>
    <s v=""/>
    <s v="41"/>
    <x v="1"/>
    <s v="EU"/>
    <s v="03"/>
    <s v="3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5"/>
    <n v="37963962"/>
    <s v=""/>
    <s v=""/>
    <s v="41"/>
    <x v="1"/>
    <s v="EU"/>
    <s v="03"/>
    <s v="1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8"/>
    <n v="37963962"/>
    <s v=""/>
    <s v=""/>
    <s v="42"/>
    <x v="2"/>
    <s v="EU"/>
    <s v="12"/>
    <s v="9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8"/>
    <n v="37963962"/>
    <s v=""/>
    <s v=""/>
    <s v="42"/>
    <x v="2"/>
    <s v="EU"/>
    <s v="12"/>
    <s v="10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9"/>
    <n v="37963962"/>
    <s v=""/>
    <s v=""/>
    <s v="42"/>
    <x v="2"/>
    <s v="EU"/>
    <s v="12"/>
    <s v="5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8"/>
    <n v="37963962"/>
    <s v=""/>
    <s v=""/>
    <s v="42"/>
    <x v="2"/>
    <s v="EU"/>
    <s v="12"/>
    <s v="2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9"/>
    <n v="37963962"/>
    <s v=""/>
    <s v=""/>
    <s v="42"/>
    <x v="2"/>
    <s v="EU"/>
    <s v="12"/>
    <s v="8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7"/>
    <n v="37963962"/>
    <s v=""/>
    <s v=""/>
    <s v="42"/>
    <x v="2"/>
    <s v="EU"/>
    <s v="12"/>
    <s v="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0"/>
    <n v="37963962"/>
    <s v=""/>
    <s v=""/>
    <s v="42"/>
    <x v="2"/>
    <s v="EU"/>
    <s v="12"/>
    <s v="7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7"/>
    <n v="37963962"/>
    <s v=""/>
    <s v=""/>
    <s v="41"/>
    <x v="1"/>
    <s v="EU"/>
    <s v="03"/>
    <s v="2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4"/>
    <n v="37963962"/>
    <s v=""/>
    <s v=""/>
    <s v="42"/>
    <x v="2"/>
    <s v="EU"/>
    <s v="12"/>
    <s v="4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6"/>
    <n v="37963962"/>
    <s v=""/>
    <s v=""/>
    <s v="42"/>
    <x v="2"/>
    <s v="EU"/>
    <s v="12"/>
    <s v="8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2"/>
    <n v="37963962"/>
    <s v=""/>
    <s v=""/>
    <s v="42"/>
    <x v="2"/>
    <s v="EU"/>
    <s v="12"/>
    <s v="7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2"/>
    <n v="37963962"/>
    <s v=""/>
    <s v=""/>
    <s v="42"/>
    <x v="2"/>
    <s v="EU"/>
    <s v="12"/>
    <s v="5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9"/>
    <n v="37963962"/>
    <s v=""/>
    <s v=""/>
    <s v="42"/>
    <x v="2"/>
    <s v="EU"/>
    <s v="12"/>
    <s v="1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5"/>
    <n v="37963962"/>
    <s v=""/>
    <s v=""/>
    <s v="41"/>
    <x v="1"/>
    <s v="EU"/>
    <s v="03"/>
    <s v="9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9"/>
    <n v="37963962"/>
    <s v=""/>
    <s v=""/>
    <s v="42"/>
    <x v="2"/>
    <s v="EU"/>
    <s v="12"/>
    <s v="9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2"/>
    <n v="37963962"/>
    <s v=""/>
    <s v=""/>
    <s v="42"/>
    <x v="2"/>
    <s v="EU"/>
    <s v="12"/>
    <s v="2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5"/>
    <n v="37963962"/>
    <s v=""/>
    <s v=""/>
    <s v="42"/>
    <x v="2"/>
    <s v="EU"/>
    <s v="12"/>
    <s v="2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2"/>
    <n v="37963962"/>
    <s v=""/>
    <s v=""/>
    <s v="42"/>
    <x v="2"/>
    <s v="EU"/>
    <s v="12"/>
    <s v="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1"/>
    <n v="37963962"/>
    <s v=""/>
    <s v=""/>
    <s v="42"/>
    <x v="2"/>
    <s v="EU"/>
    <s v="12"/>
    <s v="3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2"/>
    <n v="37963962"/>
    <s v=""/>
    <s v=""/>
    <s v="42"/>
    <x v="2"/>
    <s v="EU"/>
    <s v="12"/>
    <s v="9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4"/>
    <n v="37963962"/>
    <s v=""/>
    <s v=""/>
    <s v="42"/>
    <x v="2"/>
    <s v="EU"/>
    <s v="12"/>
    <s v="1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7626040"/>
    <n v="2032629646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46"/>
    <n v="2032629646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52"/>
    <n v="2032629646"/>
    <s v=""/>
    <s v=""/>
    <s v="52"/>
    <x v="0"/>
    <s v="EU"/>
    <s v="13"/>
    <s v="4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64"/>
    <n v="2032629646"/>
    <s v=""/>
    <s v=""/>
    <s v="43"/>
    <x v="10"/>
    <s v="EU"/>
    <s v="21"/>
    <s v="4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67"/>
    <n v="2032629646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3"/>
    <n v="2032629646"/>
    <s v=""/>
    <s v=""/>
    <s v="52"/>
    <x v="0"/>
    <s v="EU"/>
    <s v="13"/>
    <s v="5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88"/>
    <n v="2032629646"/>
    <s v=""/>
    <s v=""/>
    <s v="52"/>
    <x v="0"/>
    <s v="EU"/>
    <s v="13"/>
    <s v="5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91"/>
    <n v="2032629646"/>
    <s v=""/>
    <s v=""/>
    <s v="42"/>
    <x v="2"/>
    <s v="EU"/>
    <s v="12"/>
    <s v="5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94"/>
    <n v="2032629646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100"/>
    <n v="2032629646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103"/>
    <n v="2032629646"/>
    <s v=""/>
    <s v=""/>
    <s v="52"/>
    <x v="0"/>
    <s v="EU"/>
    <s v="13"/>
    <s v="6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3"/>
    <n v="2032629646"/>
    <s v=""/>
    <s v=""/>
    <s v="32"/>
    <x v="11"/>
    <s v="EU"/>
    <s v="11"/>
    <s v="3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09"/>
    <n v="1473057103"/>
    <s v=""/>
    <s v=""/>
    <s v="42"/>
    <x v="2"/>
    <s v="EU"/>
    <s v="12"/>
    <s v="6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79"/>
    <n v="2032629646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41"/>
    <n v="1473057103"/>
    <s v=""/>
    <s v=""/>
    <s v="52"/>
    <x v="0"/>
    <s v="EU"/>
    <s v="13"/>
    <s v="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10"/>
    <n v="1473057103"/>
    <s v=""/>
    <s v=""/>
    <s v="42"/>
    <x v="2"/>
    <s v="EU"/>
    <s v="12"/>
    <s v="2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8"/>
    <n v="1473057103"/>
    <s v=""/>
    <s v=""/>
    <s v="42"/>
    <x v="2"/>
    <s v="EU"/>
    <s v="12"/>
    <s v="6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49"/>
    <n v="2032629646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73"/>
    <n v="1473057103"/>
    <s v=""/>
    <s v=""/>
    <s v="42"/>
    <x v="2"/>
    <s v="EU"/>
    <s v="12"/>
    <s v="5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109"/>
    <n v="2032629646"/>
    <s v=""/>
    <s v=""/>
    <s v="52"/>
    <x v="0"/>
    <s v="EU"/>
    <s v="13"/>
    <s v="6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07"/>
    <n v="2032629646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0"/>
    <n v="2032629646"/>
    <s v=""/>
    <s v=""/>
    <s v="42"/>
    <x v="2"/>
    <s v="EU"/>
    <s v="12"/>
    <s v="2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626"/>
    <n v="1473057103"/>
    <s v=""/>
    <s v=""/>
    <s v="42"/>
    <x v="2"/>
    <s v="EU"/>
    <s v="12"/>
    <s v="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83"/>
    <n v="2032629646"/>
    <s v=""/>
    <s v=""/>
    <s v="52"/>
    <x v="0"/>
    <s v="EU"/>
    <s v="13"/>
    <s v="2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51"/>
    <n v="1473057103"/>
    <s v=""/>
    <s v=""/>
    <s v="42"/>
    <x v="2"/>
    <s v="EU"/>
    <s v="12"/>
    <s v="7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74"/>
    <n v="1473057103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96"/>
    <n v="1473057103"/>
    <s v=""/>
    <s v=""/>
    <s v="42"/>
    <x v="2"/>
    <s v="EU"/>
    <s v="12"/>
    <s v="9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23"/>
    <n v="1473057103"/>
    <s v=""/>
    <s v=""/>
    <s v="42"/>
    <x v="2"/>
    <s v="EU"/>
    <s v="12"/>
    <s v="10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39"/>
    <n v="1473057103"/>
    <s v=""/>
    <s v=""/>
    <s v="42"/>
    <x v="2"/>
    <s v="EU"/>
    <s v="12"/>
    <s v="7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3"/>
    <n v="1473057103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62"/>
    <n v="1473057103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05"/>
    <n v="1473057103"/>
    <s v=""/>
    <s v=""/>
    <s v="42"/>
    <x v="2"/>
    <s v="EU"/>
    <s v="12"/>
    <s v="9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9"/>
    <n v="2032629646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69"/>
    <n v="1473057103"/>
    <s v=""/>
    <s v=""/>
    <s v="42"/>
    <x v="2"/>
    <s v="EU"/>
    <s v="12"/>
    <s v="8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91"/>
    <n v="1473057103"/>
    <s v=""/>
    <s v=""/>
    <s v="52"/>
    <x v="0"/>
    <s v="EU"/>
    <s v="13"/>
    <s v="5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48"/>
    <n v="1473057103"/>
    <s v=""/>
    <s v=""/>
    <s v="52"/>
    <x v="0"/>
    <s v="EU"/>
    <s v="13"/>
    <s v="7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66"/>
    <n v="1473057103"/>
    <s v=""/>
    <s v=""/>
    <s v="42"/>
    <x v="2"/>
    <s v="EU"/>
    <s v="12"/>
    <s v="8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5"/>
    <n v="1473057103"/>
    <s v=""/>
    <s v=""/>
    <s v="52"/>
    <x v="0"/>
    <s v="EU"/>
    <s v="13"/>
    <s v="6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80"/>
    <n v="2032629646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13"/>
    <n v="1473057103"/>
    <s v=""/>
    <s v=""/>
    <s v="42"/>
    <x v="2"/>
    <s v="EU"/>
    <s v="12"/>
    <s v="3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82"/>
    <n v="1473057103"/>
    <s v=""/>
    <s v=""/>
    <s v="42"/>
    <x v="2"/>
    <s v="EU"/>
    <s v="12"/>
    <s v="5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112"/>
    <n v="2032629646"/>
    <s v=""/>
    <s v=""/>
    <s v="52"/>
    <x v="0"/>
    <s v="EU"/>
    <s v="13"/>
    <s v="6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29"/>
    <n v="1473057103"/>
    <s v=""/>
    <s v=""/>
    <s v="42"/>
    <x v="2"/>
    <s v="EU"/>
    <s v="12"/>
    <s v="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3"/>
    <n v="1473057103"/>
    <s v=""/>
    <s v=""/>
    <s v="52"/>
    <x v="0"/>
    <s v="EU"/>
    <s v="13"/>
    <s v="6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0"/>
    <n v="1473057103"/>
    <s v=""/>
    <s v=""/>
    <s v="42"/>
    <x v="2"/>
    <s v="EU"/>
    <s v="12"/>
    <s v="9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7"/>
    <n v="1473057103"/>
    <s v=""/>
    <s v=""/>
    <s v="31"/>
    <x v="7"/>
    <s v="EU"/>
    <s v="02"/>
    <s v="3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11"/>
    <n v="1473057103"/>
    <s v=""/>
    <s v=""/>
    <s v="42"/>
    <x v="2"/>
    <s v="EU"/>
    <s v="12"/>
    <s v="9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97"/>
    <n v="2032629646"/>
    <s v=""/>
    <s v=""/>
    <s v="42"/>
    <x v="2"/>
    <s v="EU"/>
    <s v="12"/>
    <s v="5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48"/>
    <n v="1473057103"/>
    <s v=""/>
    <s v=""/>
    <s v="53"/>
    <x v="4"/>
    <s v="EU"/>
    <s v="22"/>
    <s v="7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63"/>
    <n v="1473057103"/>
    <s v=""/>
    <s v=""/>
    <s v="42"/>
    <x v="2"/>
    <s v="EU"/>
    <s v="12"/>
    <s v="8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5"/>
    <n v="1473057103"/>
    <s v=""/>
    <s v=""/>
    <s v="42"/>
    <x v="2"/>
    <s v="EU"/>
    <s v="12"/>
    <s v="8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9"/>
    <n v="1473057103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37"/>
    <n v="2032629646"/>
    <s v=""/>
    <s v=""/>
    <s v="42"/>
    <x v="2"/>
    <s v="EU"/>
    <s v="12"/>
    <s v="3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43"/>
    <n v="2032629646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01"/>
    <n v="2032629646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83"/>
    <n v="1473057103"/>
    <s v=""/>
    <s v=""/>
    <s v="42"/>
    <x v="2"/>
    <s v="EU"/>
    <s v="12"/>
    <s v="2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4"/>
    <n v="1473057103"/>
    <s v=""/>
    <s v=""/>
    <s v="42"/>
    <x v="2"/>
    <s v="EU"/>
    <s v="12"/>
    <s v="8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0"/>
    <n v="1473057103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60"/>
    <n v="1473057103"/>
    <s v=""/>
    <s v=""/>
    <s v="42"/>
    <x v="2"/>
    <s v="EU"/>
    <s v="12"/>
    <s v="7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54"/>
    <n v="1473057103"/>
    <s v=""/>
    <s v=""/>
    <s v="42"/>
    <x v="2"/>
    <s v="EU"/>
    <s v="12"/>
    <s v="7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04"/>
    <n v="2032629646"/>
    <s v=""/>
    <s v=""/>
    <s v="31"/>
    <x v="7"/>
    <s v="EU"/>
    <s v="02"/>
    <s v="2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49"/>
    <n v="1473057103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16"/>
    <n v="1473057103"/>
    <s v=""/>
    <s v=""/>
    <s v="31"/>
    <x v="7"/>
    <s v="EU"/>
    <s v="02"/>
    <s v="3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3"/>
    <n v="1473057103"/>
    <s v=""/>
    <s v=""/>
    <s v="42"/>
    <x v="2"/>
    <s v="EU"/>
    <s v="12"/>
    <s v="5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9"/>
    <n v="1473057103"/>
    <s v=""/>
    <s v=""/>
    <s v="42"/>
    <x v="2"/>
    <s v="EU"/>
    <s v="12"/>
    <s v="9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68"/>
    <n v="2032629646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98"/>
    <n v="2032629646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713"/>
    <n v="1473057103"/>
    <s v=""/>
    <s v=""/>
    <s v="42"/>
    <x v="2"/>
    <s v="EU"/>
    <s v="12"/>
    <s v="3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5"/>
    <n v="1473057103"/>
    <s v=""/>
    <s v=""/>
    <s v="42"/>
    <x v="2"/>
    <s v="EU"/>
    <s v="12"/>
    <s v="6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2"/>
    <n v="1473057103"/>
    <s v=""/>
    <s v=""/>
    <s v="41"/>
    <x v="1"/>
    <s v="EU"/>
    <s v="03"/>
    <s v="8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47"/>
    <n v="1473057103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47"/>
    <n v="1473057103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27"/>
    <n v="1473057103"/>
    <s v=""/>
    <s v=""/>
    <s v="42"/>
    <x v="2"/>
    <s v="EU"/>
    <s v="12"/>
    <s v="6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88"/>
    <n v="1473057103"/>
    <s v=""/>
    <s v=""/>
    <s v="42"/>
    <x v="2"/>
    <s v="EU"/>
    <s v="12"/>
    <s v="5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79"/>
    <n v="1473057103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33"/>
    <n v="1473057103"/>
    <s v=""/>
    <s v=""/>
    <s v="52"/>
    <x v="0"/>
    <s v="EU"/>
    <s v="13"/>
    <s v="7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55"/>
    <n v="2032629646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80"/>
    <n v="1473057103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74"/>
    <n v="1473057103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51"/>
    <n v="1473057103"/>
    <s v=""/>
    <s v=""/>
    <s v="42"/>
    <x v="2"/>
    <s v="EU"/>
    <s v="12"/>
    <s v="7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9"/>
    <n v="1473057103"/>
    <s v=""/>
    <s v=""/>
    <s v="52"/>
    <x v="0"/>
    <s v="EU"/>
    <s v="13"/>
    <s v="3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11"/>
    <n v="1473057103"/>
    <s v=""/>
    <s v=""/>
    <s v="42"/>
    <x v="2"/>
    <s v="EU"/>
    <s v="12"/>
    <s v="9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3"/>
    <n v="1473057103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106"/>
    <n v="2032629646"/>
    <s v=""/>
    <s v=""/>
    <s v="52"/>
    <x v="0"/>
    <s v="EU"/>
    <s v="13"/>
    <s v="6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6"/>
    <n v="2032629646"/>
    <s v=""/>
    <s v=""/>
    <s v="42"/>
    <x v="2"/>
    <s v="EU"/>
    <s v="12"/>
    <s v="3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3"/>
    <n v="1473057103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07"/>
    <n v="1473057103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2"/>
    <n v="1473057103"/>
    <s v=""/>
    <s v=""/>
    <s v="42"/>
    <x v="2"/>
    <s v="EU"/>
    <s v="12"/>
    <s v="6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6"/>
    <n v="1473057103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90"/>
    <n v="1473057103"/>
    <s v=""/>
    <s v=""/>
    <s v="42"/>
    <x v="2"/>
    <s v="EU"/>
    <s v="12"/>
    <s v="8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17"/>
    <n v="1473057103"/>
    <s v=""/>
    <s v=""/>
    <s v="42"/>
    <x v="2"/>
    <s v="EU"/>
    <s v="12"/>
    <s v="9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94"/>
    <n v="1473057103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52"/>
    <n v="1473057103"/>
    <s v=""/>
    <s v=""/>
    <s v="42"/>
    <x v="2"/>
    <s v="EU"/>
    <s v="12"/>
    <s v="4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42"/>
    <n v="1473057103"/>
    <s v=""/>
    <s v=""/>
    <s v="42"/>
    <x v="2"/>
    <s v="EU"/>
    <s v="12"/>
    <s v="7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6"/>
    <n v="1473057103"/>
    <s v=""/>
    <s v=""/>
    <s v="42"/>
    <x v="2"/>
    <s v="EU"/>
    <s v="12"/>
    <s v="1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9"/>
    <n v="1473057103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7"/>
    <n v="1473057103"/>
    <s v=""/>
    <s v=""/>
    <s v="42"/>
    <x v="2"/>
    <s v="EU"/>
    <s v="12"/>
    <s v="6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47"/>
    <n v="2032629646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34"/>
    <n v="2032629646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6"/>
    <n v="2032629646"/>
    <s v=""/>
    <s v=""/>
    <s v="32"/>
    <x v="11"/>
    <s v="EU"/>
    <s v="11"/>
    <s v="5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93"/>
    <n v="1473057103"/>
    <s v=""/>
    <s v=""/>
    <s v="42"/>
    <x v="2"/>
    <s v="EU"/>
    <s v="12"/>
    <s v="9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77"/>
    <n v="1473057103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6"/>
    <n v="1473057103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82"/>
    <n v="2032629646"/>
    <s v=""/>
    <s v=""/>
    <s v="52"/>
    <x v="0"/>
    <s v="EU"/>
    <s v="13"/>
    <s v="5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32"/>
    <n v="1473057103"/>
    <s v=""/>
    <s v=""/>
    <s v="31"/>
    <x v="7"/>
    <s v="EU"/>
    <s v="02"/>
    <s v="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65"/>
    <n v="1473057103"/>
    <s v=""/>
    <s v=""/>
    <s v="42"/>
    <x v="2"/>
    <s v="EU"/>
    <s v="12"/>
    <s v="1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07"/>
    <n v="1473057103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68"/>
    <n v="1473057103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29"/>
    <n v="1473057103"/>
    <s v=""/>
    <s v=""/>
    <s v="42"/>
    <x v="2"/>
    <s v="EU"/>
    <s v="12"/>
    <s v="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77"/>
    <n v="2032629646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04"/>
    <n v="1473057103"/>
    <s v=""/>
    <s v=""/>
    <s v="31"/>
    <x v="7"/>
    <s v="EU"/>
    <s v="02"/>
    <s v="2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5"/>
    <n v="1473057103"/>
    <s v=""/>
    <s v=""/>
    <s v="52"/>
    <x v="0"/>
    <s v="EU"/>
    <s v="13"/>
    <s v="9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61"/>
    <n v="1473057103"/>
    <s v=""/>
    <s v=""/>
    <s v="42"/>
    <x v="2"/>
    <s v="EU"/>
    <s v="12"/>
    <s v="4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97"/>
    <n v="1473057103"/>
    <s v=""/>
    <s v=""/>
    <s v="42"/>
    <x v="2"/>
    <s v="EU"/>
    <s v="12"/>
    <s v="5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61"/>
    <n v="2032629646"/>
    <s v=""/>
    <s v=""/>
    <s v="53"/>
    <x v="4"/>
    <s v="EU"/>
    <s v="22"/>
    <s v="4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9"/>
    <n v="1473057103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20"/>
    <n v="1473057103"/>
    <s v=""/>
    <s v=""/>
    <s v="42"/>
    <x v="2"/>
    <s v="EU"/>
    <s v="12"/>
    <s v="9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35"/>
    <n v="2032629646"/>
    <s v=""/>
    <s v=""/>
    <s v="42"/>
    <x v="2"/>
    <s v="EU"/>
    <s v="12"/>
    <s v="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58"/>
    <n v="2032629646"/>
    <s v=""/>
    <s v=""/>
    <s v="52"/>
    <x v="0"/>
    <s v="EU"/>
    <s v="13"/>
    <s v="4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75"/>
    <n v="1473057103"/>
    <s v=""/>
    <s v=""/>
    <s v="42"/>
    <x v="2"/>
    <s v="EU"/>
    <s v="12"/>
    <s v="8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88"/>
    <n v="1473057103"/>
    <s v=""/>
    <s v=""/>
    <s v="42"/>
    <x v="2"/>
    <s v="EU"/>
    <s v="12"/>
    <s v="5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26"/>
    <n v="1473057103"/>
    <s v=""/>
    <s v=""/>
    <s v="52"/>
    <x v="0"/>
    <s v="EU"/>
    <s v="13"/>
    <s v="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84"/>
    <n v="1473057103"/>
    <s v=""/>
    <s v=""/>
    <s v="42"/>
    <x v="2"/>
    <s v="EU"/>
    <s v="12"/>
    <s v="8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3"/>
    <n v="1473057103"/>
    <s v=""/>
    <s v=""/>
    <s v="42"/>
    <x v="2"/>
    <s v="EU"/>
    <s v="12"/>
    <s v="9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02"/>
    <n v="1473057103"/>
    <s v=""/>
    <s v=""/>
    <s v="42"/>
    <x v="2"/>
    <s v="EU"/>
    <s v="12"/>
    <s v="9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92"/>
    <n v="1473057103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0"/>
    <n v="1473057103"/>
    <s v=""/>
    <s v=""/>
    <s v="42"/>
    <x v="2"/>
    <s v="EU"/>
    <s v="12"/>
    <s v="7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35"/>
    <n v="1473057103"/>
    <s v=""/>
    <s v=""/>
    <s v="42"/>
    <x v="2"/>
    <s v="EU"/>
    <s v="12"/>
    <s v="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62"/>
    <n v="1473057103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76"/>
    <n v="1473057103"/>
    <s v=""/>
    <s v=""/>
    <s v="42"/>
    <x v="2"/>
    <s v="EU"/>
    <s v="12"/>
    <s v="5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9"/>
    <n v="1473057103"/>
    <s v=""/>
    <s v=""/>
    <s v="42"/>
    <x v="2"/>
    <s v="EU"/>
    <s v="12"/>
    <s v="6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96"/>
    <n v="1473057103"/>
    <s v=""/>
    <s v=""/>
    <s v="42"/>
    <x v="2"/>
    <s v="EU"/>
    <s v="12"/>
    <s v="9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25"/>
    <n v="2032629646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85"/>
    <n v="2032629646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0"/>
    <n v="2032629646"/>
    <s v=""/>
    <s v=""/>
    <s v="42"/>
    <x v="2"/>
    <s v="EU"/>
    <s v="12"/>
    <s v="4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38"/>
    <n v="1473057103"/>
    <s v=""/>
    <s v=""/>
    <s v="42"/>
    <x v="2"/>
    <s v="EU"/>
    <s v="12"/>
    <s v="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34"/>
    <n v="1473057103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25"/>
    <n v="1473057103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95"/>
    <n v="1473057103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3"/>
    <n v="1473057103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71"/>
    <n v="2032629646"/>
    <s v=""/>
    <s v=""/>
    <s v="42"/>
    <x v="2"/>
    <s v="EU"/>
    <s v="12"/>
    <s v="1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74"/>
    <n v="2032629646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57"/>
    <n v="1473057103"/>
    <s v=""/>
    <s v=""/>
    <s v="42"/>
    <x v="2"/>
    <s v="EU"/>
    <s v="12"/>
    <s v="7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7"/>
    <n v="1473057103"/>
    <s v=""/>
    <s v=""/>
    <s v="42"/>
    <x v="2"/>
    <s v="EU"/>
    <s v="12"/>
    <s v="8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38"/>
    <n v="2032629646"/>
    <s v=""/>
    <s v=""/>
    <s v="52"/>
    <x v="0"/>
    <s v="EU"/>
    <s v="13"/>
    <s v="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77"/>
    <n v="1473057103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19"/>
    <n v="2032629646"/>
    <s v=""/>
    <s v=""/>
    <s v="42"/>
    <x v="2"/>
    <s v="EU"/>
    <s v="12"/>
    <s v="3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22"/>
    <n v="1473057103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92"/>
    <n v="1473057103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0"/>
    <n v="1473057103"/>
    <s v=""/>
    <s v=""/>
    <s v="42"/>
    <x v="2"/>
    <s v="EU"/>
    <s v="12"/>
    <s v="8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99"/>
    <n v="1473057103"/>
    <s v=""/>
    <s v=""/>
    <s v="42"/>
    <x v="2"/>
    <s v="EU"/>
    <s v="12"/>
    <s v="9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6"/>
    <n v="2032629646"/>
    <s v=""/>
    <s v=""/>
    <s v="52"/>
    <x v="0"/>
    <s v="EU"/>
    <s v="13"/>
    <s v="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33"/>
    <n v="1473057103"/>
    <s v=""/>
    <s v=""/>
    <s v="42"/>
    <x v="2"/>
    <s v="EU"/>
    <s v="12"/>
    <s v="7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0"/>
    <n v="2032629646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0"/>
    <n v="1473057103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40"/>
    <n v="1473057103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6"/>
    <n v="2032629646"/>
    <s v=""/>
    <s v=""/>
    <s v="52"/>
    <x v="0"/>
    <s v="EU"/>
    <s v="13"/>
    <s v="1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67"/>
    <n v="1473057103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41"/>
    <n v="2032629646"/>
    <s v=""/>
    <s v=""/>
    <s v="42"/>
    <x v="2"/>
    <s v="EU"/>
    <s v="12"/>
    <s v="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644"/>
    <n v="1473057103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7"/>
    <n v="1473057103"/>
    <s v=""/>
    <s v=""/>
    <s v="52"/>
    <x v="0"/>
    <s v="EU"/>
    <s v="13"/>
    <s v="5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6"/>
    <n v="1473057103"/>
    <s v=""/>
    <s v=""/>
    <s v="42"/>
    <x v="2"/>
    <s v="EU"/>
    <s v="12"/>
    <s v="5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89"/>
    <n v="1473057103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54"/>
    <n v="1473057103"/>
    <s v=""/>
    <s v=""/>
    <s v="42"/>
    <x v="2"/>
    <s v="EU"/>
    <s v="12"/>
    <s v="7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65"/>
    <n v="1473057103"/>
    <s v=""/>
    <s v=""/>
    <s v="42"/>
    <x v="2"/>
    <s v="EU"/>
    <s v="12"/>
    <s v="1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0"/>
    <n v="1473057103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8"/>
    <n v="1473057103"/>
    <s v=""/>
    <s v=""/>
    <s v="42"/>
    <x v="2"/>
    <s v="EU"/>
    <s v="12"/>
    <s v="6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71"/>
    <n v="1473057103"/>
    <s v=""/>
    <s v=""/>
    <s v="52"/>
    <x v="0"/>
    <s v="EU"/>
    <s v="13"/>
    <s v="1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67"/>
    <n v="1473057103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82"/>
    <n v="1473057103"/>
    <s v=""/>
    <s v=""/>
    <s v="63"/>
    <x v="8"/>
    <s v="EU"/>
    <s v="23"/>
    <s v="5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9"/>
    <n v="1473057103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31"/>
    <n v="1473057103"/>
    <s v=""/>
    <s v=""/>
    <s v="42"/>
    <x v="2"/>
    <s v="EU"/>
    <s v="12"/>
    <s v="3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45"/>
    <n v="1473057103"/>
    <s v=""/>
    <s v=""/>
    <s v="42"/>
    <x v="2"/>
    <s v="EU"/>
    <s v="12"/>
    <s v="7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3"/>
    <n v="1473057103"/>
    <s v=""/>
    <s v=""/>
    <s v="52"/>
    <x v="0"/>
    <s v="EU"/>
    <s v="13"/>
    <s v="8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8"/>
    <n v="1473057103"/>
    <s v=""/>
    <s v=""/>
    <s v="42"/>
    <x v="2"/>
    <s v="EU"/>
    <s v="12"/>
    <s v="9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14"/>
    <n v="1473057103"/>
    <s v=""/>
    <s v=""/>
    <s v="42"/>
    <x v="2"/>
    <s v="EU"/>
    <s v="12"/>
    <s v="9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95"/>
    <n v="2032629646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79"/>
    <n v="1473057103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36"/>
    <n v="1473057103"/>
    <s v=""/>
    <s v=""/>
    <s v="42"/>
    <x v="2"/>
    <s v="EU"/>
    <s v="12"/>
    <s v="7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42"/>
    <n v="1473057103"/>
    <s v=""/>
    <s v=""/>
    <s v="42"/>
    <x v="2"/>
    <s v="EU"/>
    <s v="12"/>
    <s v="7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45"/>
    <n v="1473057103"/>
    <s v=""/>
    <s v=""/>
    <s v="42"/>
    <x v="2"/>
    <s v="EU"/>
    <s v="12"/>
    <s v="7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57"/>
    <n v="1473057103"/>
    <s v=""/>
    <s v=""/>
    <s v="42"/>
    <x v="2"/>
    <s v="EU"/>
    <s v="12"/>
    <s v="7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8"/>
    <n v="1473057103"/>
    <s v=""/>
    <s v=""/>
    <s v="42"/>
    <x v="2"/>
    <s v="EU"/>
    <s v="12"/>
    <s v="8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81"/>
    <n v="1473057103"/>
    <s v=""/>
    <s v=""/>
    <s v="42"/>
    <x v="2"/>
    <s v="EU"/>
    <s v="12"/>
    <s v="8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87"/>
    <n v="1473057103"/>
    <s v=""/>
    <s v=""/>
    <s v="42"/>
    <x v="2"/>
    <s v="EU"/>
    <s v="12"/>
    <s v="8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35"/>
    <n v="1473057103"/>
    <s v=""/>
    <s v=""/>
    <s v="52"/>
    <x v="0"/>
    <s v="EU"/>
    <s v="13"/>
    <s v="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44"/>
    <n v="1473057103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56"/>
    <n v="1473057103"/>
    <s v=""/>
    <s v=""/>
    <s v="42"/>
    <x v="2"/>
    <s v="EU"/>
    <s v="12"/>
    <s v="1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68"/>
    <n v="1473057103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86"/>
    <n v="1473057103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98"/>
    <n v="1473057103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01"/>
    <n v="1473057103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0"/>
    <n v="1473057103"/>
    <s v=""/>
    <s v=""/>
    <s v="52"/>
    <x v="0"/>
    <s v="EU"/>
    <s v="13"/>
    <s v="2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6"/>
    <n v="1473057103"/>
    <s v=""/>
    <s v=""/>
    <s v="42"/>
    <x v="2"/>
    <s v="EU"/>
    <s v="12"/>
    <s v="3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25"/>
    <n v="1473057103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28"/>
    <n v="1473057103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37"/>
    <n v="1473057103"/>
    <s v=""/>
    <s v=""/>
    <s v="42"/>
    <x v="2"/>
    <s v="EU"/>
    <s v="12"/>
    <s v="3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0"/>
    <n v="1473057103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6"/>
    <n v="1473057103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2"/>
    <n v="1473057103"/>
    <s v=""/>
    <s v=""/>
    <s v="42"/>
    <x v="2"/>
    <s v="EU"/>
    <s v="12"/>
    <s v="4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5"/>
    <n v="1473057103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8"/>
    <n v="1473057103"/>
    <s v=""/>
    <s v=""/>
    <s v="42"/>
    <x v="2"/>
    <s v="EU"/>
    <s v="12"/>
    <s v="4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64"/>
    <n v="1473057103"/>
    <s v=""/>
    <s v=""/>
    <s v="42"/>
    <x v="2"/>
    <s v="EU"/>
    <s v="12"/>
    <s v="4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70"/>
    <n v="1473057103"/>
    <s v=""/>
    <s v=""/>
    <s v="53"/>
    <x v="4"/>
    <s v="EU"/>
    <s v="22"/>
    <s v="4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85"/>
    <n v="1473057103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6"/>
    <n v="1473057103"/>
    <s v=""/>
    <s v=""/>
    <s v="42"/>
    <x v="2"/>
    <s v="EU"/>
    <s v="12"/>
    <s v="6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3"/>
    <n v="1473057103"/>
    <s v=""/>
    <s v=""/>
    <s v="42"/>
    <x v="2"/>
    <s v="EU"/>
    <s v="12"/>
    <s v="6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0"/>
    <n v="1473057103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71"/>
    <n v="1473057103"/>
    <s v=""/>
    <s v=""/>
    <s v="42"/>
    <x v="2"/>
    <s v="EU"/>
    <s v="12"/>
    <s v="1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0"/>
    <n v="1473057103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3"/>
    <n v="1473057103"/>
    <s v=""/>
    <s v=""/>
    <s v="42"/>
    <x v="2"/>
    <s v="EU"/>
    <s v="12"/>
    <s v="2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95"/>
    <n v="1473057103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98"/>
    <n v="1473057103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01"/>
    <n v="1473057103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04"/>
    <n v="1473057103"/>
    <s v=""/>
    <s v=""/>
    <s v="42"/>
    <x v="2"/>
    <s v="EU"/>
    <s v="12"/>
    <s v="2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19"/>
    <n v="1473057103"/>
    <s v=""/>
    <s v=""/>
    <s v="42"/>
    <x v="2"/>
    <s v="EU"/>
    <s v="12"/>
    <s v="3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22"/>
    <n v="1473057103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28"/>
    <n v="1473057103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1"/>
    <n v="1473057103"/>
    <s v=""/>
    <s v=""/>
    <s v="42"/>
    <x v="2"/>
    <s v="EU"/>
    <s v="12"/>
    <s v="3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4"/>
    <n v="1473057103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55"/>
    <n v="1473057103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58"/>
    <n v="1473057103"/>
    <s v=""/>
    <s v=""/>
    <s v="42"/>
    <x v="2"/>
    <s v="EU"/>
    <s v="12"/>
    <s v="4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61"/>
    <n v="1473057103"/>
    <s v=""/>
    <s v=""/>
    <s v="42"/>
    <x v="2"/>
    <s v="EU"/>
    <s v="12"/>
    <s v="4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64"/>
    <n v="1473057103"/>
    <s v=""/>
    <s v=""/>
    <s v="42"/>
    <x v="2"/>
    <s v="EU"/>
    <s v="12"/>
    <s v="4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0"/>
    <n v="1473057103"/>
    <s v=""/>
    <s v=""/>
    <s v="42"/>
    <x v="2"/>
    <s v="EU"/>
    <s v="12"/>
    <s v="4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85"/>
    <n v="1473057103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1"/>
    <n v="1473057103"/>
    <s v=""/>
    <s v=""/>
    <s v="52"/>
    <x v="0"/>
    <s v="EU"/>
    <s v="13"/>
    <s v="5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4"/>
    <n v="1473057103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06"/>
    <n v="1473057103"/>
    <s v=""/>
    <s v=""/>
    <s v="42"/>
    <x v="2"/>
    <s v="EU"/>
    <s v="12"/>
    <s v="6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1"/>
    <n v="1473057103"/>
    <s v=""/>
    <s v=""/>
    <s v="42"/>
    <x v="2"/>
    <s v="EU"/>
    <s v="12"/>
    <s v="6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4"/>
    <n v="1473057103"/>
    <s v=""/>
    <s v=""/>
    <s v="42"/>
    <x v="2"/>
    <s v="EU"/>
    <s v="12"/>
    <s v="6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30"/>
    <n v="1473057103"/>
    <s v=""/>
    <s v=""/>
    <s v="42"/>
    <x v="2"/>
    <s v="EU"/>
    <s v="12"/>
    <s v="6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2"/>
    <n v="1473057103"/>
    <s v=""/>
    <s v=""/>
    <s v="31"/>
    <x v="7"/>
    <s v="EU"/>
    <s v="02"/>
    <s v="6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21"/>
    <n v="1473057103"/>
    <s v=""/>
    <s v=""/>
    <s v="52"/>
    <x v="0"/>
    <s v="EU"/>
    <s v="13"/>
    <s v="6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24"/>
    <n v="1473057103"/>
    <s v=""/>
    <s v=""/>
    <s v="42"/>
    <x v="2"/>
    <s v="EU"/>
    <s v="12"/>
    <s v="6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0"/>
    <n v="1473057103"/>
    <s v=""/>
    <s v=""/>
    <s v="42"/>
    <x v="2"/>
    <s v="EU"/>
    <s v="12"/>
    <s v="6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6"/>
    <n v="1473057103"/>
    <s v=""/>
    <s v=""/>
    <s v="53"/>
    <x v="4"/>
    <s v="EU"/>
    <s v="22"/>
    <s v="7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9"/>
    <n v="1473057103"/>
    <s v=""/>
    <s v=""/>
    <s v="42"/>
    <x v="2"/>
    <s v="EU"/>
    <s v="12"/>
    <s v="7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6"/>
    <n v="1473057103"/>
    <s v=""/>
    <s v=""/>
    <s v="42"/>
    <x v="2"/>
    <s v="EU"/>
    <s v="12"/>
    <s v="8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9"/>
    <n v="1473057103"/>
    <s v=""/>
    <s v=""/>
    <s v="42"/>
    <x v="2"/>
    <s v="EU"/>
    <s v="12"/>
    <s v="8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72"/>
    <n v="1473057103"/>
    <s v=""/>
    <s v=""/>
    <s v="42"/>
    <x v="2"/>
    <s v="EU"/>
    <s v="12"/>
    <s v="8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78"/>
    <n v="1473057103"/>
    <s v=""/>
    <s v=""/>
    <s v="63"/>
    <x v="8"/>
    <s v="EU"/>
    <s v="23"/>
    <s v="8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1"/>
    <n v="1473057103"/>
    <s v=""/>
    <s v=""/>
    <s v="52"/>
    <x v="0"/>
    <s v="EU"/>
    <s v="13"/>
    <s v="8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2"/>
    <n v="1473057103"/>
    <s v=""/>
    <s v=""/>
    <s v="42"/>
    <x v="2"/>
    <s v="EU"/>
    <s v="12"/>
    <s v="9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14"/>
    <n v="1473057103"/>
    <s v=""/>
    <s v=""/>
    <s v="42"/>
    <x v="2"/>
    <s v="EU"/>
    <s v="12"/>
    <s v="9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32"/>
    <n v="1473057103"/>
    <s v=""/>
    <s v=""/>
    <s v="42"/>
    <x v="2"/>
    <s v="EU"/>
    <s v="12"/>
    <s v="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38"/>
    <n v="1473057103"/>
    <s v=""/>
    <s v=""/>
    <s v="42"/>
    <x v="2"/>
    <s v="EU"/>
    <s v="12"/>
    <s v="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41"/>
    <n v="1473057103"/>
    <s v=""/>
    <s v=""/>
    <s v="42"/>
    <x v="2"/>
    <s v="EU"/>
    <s v="12"/>
    <s v="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08"/>
    <n v="1473057103"/>
    <s v=""/>
    <s v=""/>
    <s v="42"/>
    <x v="2"/>
    <s v="EU"/>
    <s v="12"/>
    <s v="9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17"/>
    <n v="1473057103"/>
    <s v=""/>
    <s v=""/>
    <s v="42"/>
    <x v="2"/>
    <s v="EU"/>
    <s v="12"/>
    <s v="9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3"/>
    <n v="1473057103"/>
    <s v=""/>
    <s v=""/>
    <s v="42"/>
    <x v="2"/>
    <s v="EU"/>
    <s v="12"/>
    <s v="10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9"/>
    <n v="2032629646"/>
    <s v=""/>
    <s v=""/>
    <s v="52"/>
    <x v="0"/>
    <s v="EU"/>
    <s v="13"/>
    <s v="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32"/>
    <n v="2032629646"/>
    <s v=""/>
    <s v=""/>
    <s v="52"/>
    <x v="0"/>
    <s v="EU"/>
    <s v="13"/>
    <s v="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44"/>
    <n v="2032629646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53"/>
    <n v="2032629646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62"/>
    <n v="2032629646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65"/>
    <n v="2032629646"/>
    <s v=""/>
    <s v=""/>
    <s v="31"/>
    <x v="7"/>
    <s v="EU"/>
    <s v="02"/>
    <s v="1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86"/>
    <n v="2032629646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89"/>
    <n v="2032629646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92"/>
    <n v="2032629646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22"/>
    <n v="2032629646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28"/>
    <n v="2032629646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31"/>
    <n v="2032629646"/>
    <s v=""/>
    <s v=""/>
    <s v="52"/>
    <x v="0"/>
    <s v="EU"/>
    <s v="13"/>
    <s v="3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1115131"/>
    <n v="1763765880"/>
    <s v=""/>
    <s v=""/>
    <s v="31"/>
    <x v="7"/>
    <s v="EU"/>
    <s v="0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19"/>
    <n v="1763765880"/>
    <s v=""/>
    <s v=""/>
    <s v="31"/>
    <x v="7"/>
    <s v="EU"/>
    <s v="0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537"/>
    <n v="1763765880"/>
    <s v=""/>
    <s v="RG"/>
    <s v="2M"/>
    <x v="3"/>
    <s v="MY"/>
    <s v="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26"/>
    <n v="1763765880"/>
    <s v=""/>
    <s v=""/>
    <s v="52"/>
    <x v="0"/>
    <s v="EU"/>
    <s v="1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33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56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77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88"/>
    <n v="1763765880"/>
    <s v=""/>
    <s v="UD"/>
    <s v=""/>
    <x v="6"/>
    <s v="EU"/>
    <s v="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21"/>
    <n v="1763765880"/>
    <s v=""/>
    <s v=""/>
    <s v="52"/>
    <x v="0"/>
    <s v="EU"/>
    <s v="13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45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25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89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31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9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76"/>
    <n v="1763765880"/>
    <s v="0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29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54"/>
    <n v="1763765880"/>
    <s v=""/>
    <s v="RG"/>
    <s v="2M"/>
    <x v="3"/>
    <s v="MY"/>
    <s v="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6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2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7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90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53"/>
    <n v="1763765880"/>
    <s v="0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83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1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978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09"/>
    <n v="1763765880"/>
    <s v=""/>
    <s v=""/>
    <s v="52"/>
    <x v="0"/>
    <s v="EU"/>
    <s v="13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648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56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16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05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807"/>
    <n v="1763765880"/>
    <s v=""/>
    <s v="RG"/>
    <s v="0M"/>
    <x v="12"/>
    <s v="MY"/>
    <s v="0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591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68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65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672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34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03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30"/>
    <n v="1763765880"/>
    <s v=""/>
    <s v=""/>
    <s v="42"/>
    <x v="2"/>
    <s v="EU"/>
    <s v="1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36"/>
    <n v="1763765880"/>
    <s v=""/>
    <s v=""/>
    <s v="52"/>
    <x v="0"/>
    <s v="EU"/>
    <s v="13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48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84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6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5101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43"/>
    <n v="1763765880"/>
    <s v="0"/>
    <s v=""/>
    <s v="62"/>
    <x v="13"/>
    <s v="EU"/>
    <s v="14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714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4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24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49"/>
    <n v="1763765880"/>
    <s v=""/>
    <s v="UD"/>
    <s v=""/>
    <x v="6"/>
    <s v="EU"/>
    <s v="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36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158"/>
    <n v="1763765880"/>
    <s v="1"/>
    <s v=""/>
    <s v="53"/>
    <x v="4"/>
    <s v="EU"/>
    <s v="2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705"/>
    <n v="1763765880"/>
    <s v=""/>
    <s v="RG"/>
    <s v="2M"/>
    <x v="3"/>
    <s v="MY"/>
    <s v="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17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04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8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543"/>
    <n v="1763765880"/>
    <s v=""/>
    <s v="RG"/>
    <s v="3M"/>
    <x v="5"/>
    <s v="MY"/>
    <s v="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95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29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0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1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24"/>
    <n v="1763765880"/>
    <s v=""/>
    <s v="RG"/>
    <s v="1M"/>
    <x v="14"/>
    <s v="MY"/>
    <s v="1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74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95"/>
    <n v="1763765880"/>
    <s v=""/>
    <s v=""/>
    <s v="41"/>
    <x v="1"/>
    <s v="EU"/>
    <s v="0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50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161"/>
    <n v="1763765880"/>
    <s v="0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42"/>
    <n v="1763765880"/>
    <s v=""/>
    <s v=""/>
    <s v="52"/>
    <x v="0"/>
    <s v="EU"/>
    <s v="13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540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954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80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86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6"/>
    <n v="1763765880"/>
    <s v=""/>
    <s v=""/>
    <s v="52"/>
    <x v="0"/>
    <s v="EU"/>
    <s v="13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67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30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73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59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79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681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08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00"/>
    <n v="1763765880"/>
    <s v=""/>
    <s v=""/>
    <s v="63"/>
    <x v="8"/>
    <s v="EU"/>
    <s v="2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28"/>
    <n v="1763765880"/>
    <s v="0"/>
    <s v=""/>
    <s v="52"/>
    <x v="0"/>
    <s v="EU"/>
    <s v="1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52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3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41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18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20"/>
    <n v="1763765880"/>
    <s v=""/>
    <s v=""/>
    <s v="41"/>
    <x v="1"/>
    <s v="EU"/>
    <s v="03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58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74"/>
    <n v="1763765880"/>
    <s v=""/>
    <s v=""/>
    <s v="31"/>
    <x v="7"/>
    <s v="EU"/>
    <s v="0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0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1"/>
    <n v="1763765880"/>
    <s v="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79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32"/>
    <n v="1763765880"/>
    <s v=""/>
    <s v="RG"/>
    <s v=""/>
    <x v="6"/>
    <s v="EU"/>
    <s v="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089"/>
    <n v="1763765880"/>
    <s v=""/>
    <s v=""/>
    <s v="52"/>
    <x v="0"/>
    <s v="EU"/>
    <s v="13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963"/>
    <n v="1763765880"/>
    <s v=""/>
    <s v="UD"/>
    <s v=""/>
    <x v="6"/>
    <s v="EU"/>
    <s v="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711"/>
    <n v="1763765880"/>
    <s v="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68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93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69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49"/>
    <n v="1763765880"/>
    <s v=""/>
    <s v=""/>
    <s v="31"/>
    <x v="7"/>
    <s v="EU"/>
    <s v="0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75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82"/>
    <n v="1763765880"/>
    <s v=""/>
    <s v="UD"/>
    <s v=""/>
    <x v="6"/>
    <s v="EU"/>
    <s v="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83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38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86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96"/>
    <n v="1763765880"/>
    <s v=""/>
    <s v="RG"/>
    <s v=""/>
    <x v="6"/>
    <s v="EU"/>
    <s v="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65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71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55"/>
    <n v="1763765880"/>
    <s v=""/>
    <s v=""/>
    <s v="41"/>
    <x v="1"/>
    <s v="EU"/>
    <s v="03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99"/>
    <n v="1763765880"/>
    <s v=""/>
    <s v=""/>
    <s v="52"/>
    <x v="0"/>
    <s v="EU"/>
    <s v="13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80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098"/>
    <n v="1763765880"/>
    <s v=""/>
    <s v=""/>
    <s v="31"/>
    <x v="7"/>
    <s v="EU"/>
    <s v="0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915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39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03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627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59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615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42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04"/>
    <n v="1763765880"/>
    <s v=""/>
    <s v=""/>
    <s v="41"/>
    <x v="1"/>
    <s v="EU"/>
    <s v="0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25"/>
    <n v="1763765880"/>
    <s v=""/>
    <s v="UD"/>
    <s v=""/>
    <x v="6"/>
    <s v="EU"/>
    <s v="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50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6T00:00:00"/>
    <d v="2003-07-16T00:00:00"/>
    <s v="32827"/>
  </r>
  <r>
    <n v="1115107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3"/>
    <n v="1763765880"/>
    <s v="0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44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58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7"/>
    <n v="1763765880"/>
    <s v=""/>
    <s v=""/>
    <s v="52"/>
    <x v="0"/>
    <s v="EU"/>
    <s v="13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44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02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723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40"/>
    <n v="1763765880"/>
    <s v=""/>
    <s v=""/>
    <s v="52"/>
    <x v="0"/>
    <s v="EU"/>
    <s v="1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57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58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4"/>
    <n v="1763765880"/>
    <s v=""/>
    <s v="RG"/>
    <s v="3M"/>
    <x v="5"/>
    <s v="MY"/>
    <s v="3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54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62"/>
    <n v="1763765880"/>
    <s v=""/>
    <s v=""/>
    <s v="31"/>
    <x v="7"/>
    <s v="EU"/>
    <s v="0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92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152"/>
    <n v="1763765880"/>
    <s v="0"/>
    <s v=""/>
    <s v="31"/>
    <x v="7"/>
    <s v="EU"/>
    <s v="0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849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27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825"/>
    <n v="1763765880"/>
    <s v="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5137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966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08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90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51"/>
    <n v="1763765880"/>
    <s v=""/>
    <s v="RG"/>
    <s v="2M"/>
    <x v="3"/>
    <s v="MY"/>
    <s v="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47"/>
    <n v="1763765880"/>
    <s v=""/>
    <s v="UD"/>
    <s v=""/>
    <x v="6"/>
    <s v="EU"/>
    <s v="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170"/>
    <n v="1763765880"/>
    <s v=""/>
    <s v=""/>
    <s v="41"/>
    <x v="1"/>
    <s v="EU"/>
    <s v="0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813"/>
    <n v="1763765880"/>
    <s v=""/>
    <s v="RG"/>
    <s v="1M"/>
    <x v="14"/>
    <s v="MY"/>
    <s v="1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0"/>
    <n v="1763765880"/>
    <s v=""/>
    <s v=""/>
    <s v="42"/>
    <x v="2"/>
    <s v="EU"/>
    <s v="1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33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99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507"/>
    <n v="1763765880"/>
    <s v=""/>
    <s v=""/>
    <s v="52"/>
    <x v="0"/>
    <s v="EU"/>
    <s v="13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13"/>
    <n v="1763765880"/>
    <s v=""/>
    <s v=""/>
    <s v="52"/>
    <x v="0"/>
    <s v="EU"/>
    <s v="13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19"/>
    <n v="1763765880"/>
    <s v="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22"/>
    <n v="1763765880"/>
    <s v=""/>
    <s v="RG"/>
    <s v=""/>
    <x v="6"/>
    <s v="EU"/>
    <s v="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52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55"/>
    <n v="1763765880"/>
    <s v=""/>
    <s v=""/>
    <s v="53"/>
    <x v="4"/>
    <s v="EU"/>
    <s v="2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4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70"/>
    <n v="1763765880"/>
    <s v=""/>
    <s v=""/>
    <s v="53"/>
    <x v="4"/>
    <s v="EU"/>
    <s v="2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94"/>
    <n v="1763765880"/>
    <s v=""/>
    <s v="RG"/>
    <s v="2M"/>
    <x v="3"/>
    <s v="MY"/>
    <s v="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597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0"/>
    <n v="1763765880"/>
    <s v="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6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9"/>
    <n v="1763765880"/>
    <s v=""/>
    <s v=""/>
    <s v="53"/>
    <x v="4"/>
    <s v="EU"/>
    <s v="2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12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18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57"/>
    <n v="1763765880"/>
    <s v=""/>
    <s v="UD"/>
    <s v=""/>
    <x v="6"/>
    <s v="EU"/>
    <s v="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60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72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75"/>
    <n v="1763765880"/>
    <s v=""/>
    <s v="UD"/>
    <s v=""/>
    <x v="6"/>
    <s v="EU"/>
    <s v="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81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87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14"/>
    <n v="1763765880"/>
    <s v=""/>
    <s v="RG"/>
    <s v="3M"/>
    <x v="5"/>
    <s v="MY"/>
    <s v="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11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23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26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2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5"/>
    <n v="1763765880"/>
    <s v=""/>
    <s v=""/>
    <s v="41"/>
    <x v="1"/>
    <s v="EU"/>
    <s v="0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8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41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77"/>
    <n v="1763765880"/>
    <s v="0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0"/>
    <n v="1763765880"/>
    <s v=""/>
    <s v=""/>
    <s v="31"/>
    <x v="7"/>
    <s v="EU"/>
    <s v="0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22"/>
    <n v="1763765880"/>
    <s v=""/>
    <s v=""/>
    <s v="53"/>
    <x v="4"/>
    <s v="EU"/>
    <s v="2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34"/>
    <n v="1763765880"/>
    <s v="0"/>
    <s v=""/>
    <s v="52"/>
    <x v="0"/>
    <s v="EU"/>
    <s v="13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40"/>
    <n v="1763765880"/>
    <s v="0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46"/>
    <n v="1763765880"/>
    <s v="0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64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67"/>
    <n v="1763765880"/>
    <s v=""/>
    <s v=""/>
    <s v="52"/>
    <x v="0"/>
    <s v="EU"/>
    <s v="1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39"/>
    <n v="1763765880"/>
    <s v=""/>
    <s v=""/>
    <s v="53"/>
    <x v="4"/>
    <s v="EU"/>
    <s v="2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45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5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3"/>
    <n v="1763765880"/>
    <s v=""/>
    <s v=""/>
    <s v="52"/>
    <x v="0"/>
    <s v="EU"/>
    <s v="13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9"/>
    <n v="1763765880"/>
    <s v="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84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87"/>
    <n v="1763765880"/>
    <s v=""/>
    <s v=""/>
    <s v="31"/>
    <x v="7"/>
    <s v="EU"/>
    <s v="0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93"/>
    <n v="1763765880"/>
    <s v=""/>
    <s v=""/>
    <s v="52"/>
    <x v="0"/>
    <s v="EU"/>
    <s v="1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02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20"/>
    <n v="1763765880"/>
    <s v=""/>
    <s v=""/>
    <s v="42"/>
    <x v="2"/>
    <s v="EU"/>
    <s v="1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47"/>
    <n v="1763765880"/>
    <s v=""/>
    <s v=""/>
    <s v="31"/>
    <x v="7"/>
    <s v="EU"/>
    <s v="0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53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62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71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98"/>
    <n v="1763765880"/>
    <s v=""/>
    <s v=""/>
    <s v="31"/>
    <x v="7"/>
    <s v="EU"/>
    <s v="0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16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19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22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1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7"/>
    <n v="1763765880"/>
    <s v=""/>
    <s v=""/>
    <s v="31"/>
    <x v="7"/>
    <s v="EU"/>
    <s v="0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52"/>
    <n v="1763765880"/>
    <s v=""/>
    <s v="UD"/>
    <s v=""/>
    <x v="6"/>
    <s v="EU"/>
    <s v="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55"/>
    <n v="1763765880"/>
    <s v=""/>
    <s v="RG"/>
    <s v=""/>
    <x v="6"/>
    <s v="EU"/>
    <s v="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1"/>
    <n v="1763765880"/>
    <s v=""/>
    <s v="RG"/>
    <s v="2M"/>
    <x v="3"/>
    <s v="MY"/>
    <s v="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4"/>
    <n v="1763765880"/>
    <s v=""/>
    <s v=""/>
    <s v="52"/>
    <x v="0"/>
    <s v="EU"/>
    <s v="13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3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6"/>
    <n v="1763765880"/>
    <s v=""/>
    <s v=""/>
    <s v="31"/>
    <x v="7"/>
    <s v="EU"/>
    <s v="0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82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88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1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4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7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906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12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21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17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92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843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5104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5428292"/>
    <n v="602022784"/>
    <s v="0"/>
    <s v=""/>
    <s v="42"/>
    <x v="2"/>
    <s v="EU"/>
    <s v="12"/>
    <s v="8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166"/>
    <n v="898726696"/>
    <s v="*"/>
    <s v=""/>
    <s v="41"/>
    <x v="1"/>
    <s v="EU"/>
    <s v="03"/>
    <s v="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487"/>
    <n v="1786134236"/>
    <s v="*"/>
    <s v=""/>
    <s v="42"/>
    <x v="2"/>
    <s v="EU"/>
    <s v="12"/>
    <s v="6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3"/>
    <n v="602022784"/>
    <s v="2"/>
    <s v="RS"/>
    <s v="S2"/>
    <x v="15"/>
    <s v="FW"/>
    <s v="1"/>
    <s v="5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653"/>
    <n v="1786134236"/>
    <s v=""/>
    <s v=""/>
    <s v="42"/>
    <x v="2"/>
    <s v="EU"/>
    <s v="12"/>
    <s v="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88"/>
    <n v="1786134236"/>
    <s v="*"/>
    <s v=""/>
    <s v="52"/>
    <x v="0"/>
    <s v="EU"/>
    <s v="13"/>
    <s v="2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5"/>
    <n v="1786134236"/>
    <s v="*"/>
    <s v=""/>
    <s v="52"/>
    <x v="0"/>
    <s v="EU"/>
    <s v="13"/>
    <s v="3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2"/>
    <n v="1786134236"/>
    <s v="*"/>
    <s v=""/>
    <s v="53"/>
    <x v="4"/>
    <s v="EU"/>
    <s v="22"/>
    <s v="5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824"/>
    <n v="1786134236"/>
    <s v=""/>
    <s v=""/>
    <s v="42"/>
    <x v="2"/>
    <s v="EU"/>
    <s v="12"/>
    <s v="6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35"/>
    <n v="898726696"/>
    <s v=""/>
    <s v=""/>
    <s v="42"/>
    <x v="2"/>
    <s v="EU"/>
    <s v="12"/>
    <s v="2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28"/>
    <n v="1786134236"/>
    <s v="*"/>
    <s v=""/>
    <s v="42"/>
    <x v="2"/>
    <s v="EU"/>
    <s v="12"/>
    <s v="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1"/>
    <n v="1786134236"/>
    <s v="*"/>
    <s v=""/>
    <s v="52"/>
    <x v="0"/>
    <s v="EU"/>
    <s v="13"/>
    <s v="1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57"/>
    <n v="1786134236"/>
    <s v="*"/>
    <s v=""/>
    <s v="42"/>
    <x v="2"/>
    <s v="EU"/>
    <s v="12"/>
    <s v="25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406"/>
    <n v="1786134236"/>
    <s v="*"/>
    <s v=""/>
    <s v="42"/>
    <x v="2"/>
    <s v="EU"/>
    <s v="12"/>
    <s v="3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26"/>
    <n v="1786134236"/>
    <s v=""/>
    <s v=""/>
    <s v="42"/>
    <x v="2"/>
    <s v="EU"/>
    <s v="12"/>
    <s v="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55"/>
    <n v="1786134236"/>
    <s v="*"/>
    <s v=""/>
    <s v="42"/>
    <x v="2"/>
    <s v="EU"/>
    <s v="12"/>
    <s v="1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46"/>
    <n v="1786134236"/>
    <s v=""/>
    <s v=""/>
    <s v="52"/>
    <x v="0"/>
    <s v="EU"/>
    <s v="13"/>
    <s v="4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52"/>
    <n v="1786134236"/>
    <s v=""/>
    <s v=""/>
    <s v="42"/>
    <x v="2"/>
    <s v="EU"/>
    <s v="12"/>
    <s v="4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74"/>
    <n v="1786134236"/>
    <s v="*"/>
    <s v=""/>
    <s v="63"/>
    <x v="8"/>
    <s v="EU"/>
    <s v="23"/>
    <s v="8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88"/>
    <n v="1786134236"/>
    <s v=""/>
    <s v=""/>
    <s v="42"/>
    <x v="2"/>
    <s v="EU"/>
    <s v="12"/>
    <s v="5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91"/>
    <n v="1786134236"/>
    <s v=""/>
    <s v=""/>
    <s v="42"/>
    <x v="2"/>
    <s v="EU"/>
    <s v="12"/>
    <s v="5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64"/>
    <n v="1786134236"/>
    <s v=""/>
    <s v=""/>
    <s v="52"/>
    <x v="0"/>
    <s v="EU"/>
    <s v="13"/>
    <s v="4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00"/>
    <n v="1786134236"/>
    <s v="*"/>
    <s v=""/>
    <s v="53"/>
    <x v="4"/>
    <s v="EU"/>
    <s v="22"/>
    <s v="3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7"/>
    <n v="1786134236"/>
    <s v="*"/>
    <s v=""/>
    <s v="42"/>
    <x v="2"/>
    <s v="EU"/>
    <s v="12"/>
    <s v="7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47"/>
    <n v="1786134236"/>
    <s v=""/>
    <s v=""/>
    <s v="52"/>
    <x v="0"/>
    <s v="EU"/>
    <s v="13"/>
    <s v="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43"/>
    <n v="1786134236"/>
    <s v="*"/>
    <s v=""/>
    <s v="52"/>
    <x v="0"/>
    <s v="EU"/>
    <s v="13"/>
    <s v="1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3"/>
    <n v="1786134236"/>
    <s v="*"/>
    <s v=""/>
    <s v="42"/>
    <x v="2"/>
    <s v="EU"/>
    <s v="12"/>
    <s v="2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7T00:00:00"/>
    <d v="2009-09-27T00:00:00"/>
    <s v="67856"/>
  </r>
  <r>
    <n v="5428538"/>
    <n v="1786134236"/>
    <s v="*"/>
    <s v=""/>
    <s v="42"/>
    <x v="2"/>
    <s v="EU"/>
    <s v="12"/>
    <s v="7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809"/>
    <n v="1786134236"/>
    <s v=""/>
    <s v=""/>
    <s v="42"/>
    <x v="2"/>
    <s v="EU"/>
    <s v="12"/>
    <s v="6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04"/>
    <n v="1786134236"/>
    <s v="*"/>
    <s v=""/>
    <s v="42"/>
    <x v="2"/>
    <s v="EU"/>
    <s v="12"/>
    <s v="9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8"/>
    <n v="1786134236"/>
    <s v="*"/>
    <s v=""/>
    <s v="52"/>
    <x v="0"/>
    <s v="EU"/>
    <s v="13"/>
    <s v="3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37"/>
    <n v="1786134236"/>
    <s v=""/>
    <s v=""/>
    <s v="52"/>
    <x v="0"/>
    <s v="EU"/>
    <s v="13"/>
    <s v="3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62"/>
    <n v="898726696"/>
    <s v=""/>
    <s v=""/>
    <s v="31"/>
    <x v="7"/>
    <s v="EU"/>
    <s v="02"/>
    <s v="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490"/>
    <n v="1786134236"/>
    <s v="*"/>
    <s v=""/>
    <s v="52"/>
    <x v="0"/>
    <s v="EU"/>
    <s v="13"/>
    <s v="6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82"/>
    <n v="1786134236"/>
    <s v=""/>
    <s v=""/>
    <s v="52"/>
    <x v="0"/>
    <s v="EU"/>
    <s v="13"/>
    <s v="5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27"/>
    <n v="1786134236"/>
    <s v=""/>
    <s v=""/>
    <s v="42"/>
    <x v="2"/>
    <s v="EU"/>
    <s v="12"/>
    <s v="6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77"/>
    <n v="1786134236"/>
    <s v=""/>
    <s v=""/>
    <s v="42"/>
    <x v="2"/>
    <s v="EU"/>
    <s v="12"/>
    <s v="1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44"/>
    <n v="1786134236"/>
    <s v="*"/>
    <s v=""/>
    <s v="S2"/>
    <x v="15"/>
    <s v="FW"/>
    <s v="1"/>
    <s v="7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32"/>
    <n v="1786134236"/>
    <s v="*"/>
    <s v=""/>
    <s v="42"/>
    <x v="2"/>
    <s v="EU"/>
    <s v="12"/>
    <s v="7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9"/>
    <n v="1786134236"/>
    <s v=""/>
    <s v=""/>
    <s v="42"/>
    <x v="2"/>
    <s v="EU"/>
    <s v="12"/>
    <s v="1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5"/>
    <n v="898726696"/>
    <s v=""/>
    <s v=""/>
    <s v="42"/>
    <x v="2"/>
    <s v="EU"/>
    <s v="12"/>
    <s v="1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86"/>
    <n v="602022784"/>
    <s v="0"/>
    <s v=""/>
    <s v="42"/>
    <x v="2"/>
    <s v="EU"/>
    <s v="12"/>
    <s v="6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662"/>
    <n v="1786134236"/>
    <s v=""/>
    <s v=""/>
    <s v="42"/>
    <x v="2"/>
    <s v="EU"/>
    <s v="12"/>
    <s v="1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03"/>
    <n v="1786134236"/>
    <s v=""/>
    <s v=""/>
    <s v="52"/>
    <x v="0"/>
    <s v="EU"/>
    <s v="13"/>
    <s v="5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36"/>
    <n v="1786134236"/>
    <s v="*"/>
    <s v=""/>
    <s v="42"/>
    <x v="2"/>
    <s v="EU"/>
    <s v="12"/>
    <s v="4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61"/>
    <n v="1786134236"/>
    <s v=""/>
    <s v=""/>
    <s v="52"/>
    <x v="0"/>
    <s v="EU"/>
    <s v="13"/>
    <s v="4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85"/>
    <n v="1786134236"/>
    <s v="*"/>
    <s v=""/>
    <s v="42"/>
    <x v="2"/>
    <s v="EU"/>
    <s v="12"/>
    <s v="2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0"/>
    <n v="602022784"/>
    <s v="0"/>
    <s v="W"/>
    <s v="2M"/>
    <x v="3"/>
    <s v="MY"/>
    <s v="2"/>
    <s v="4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37"/>
    <n v="1786134236"/>
    <s v="*"/>
    <s v=""/>
    <s v="42"/>
    <x v="2"/>
    <s v="EU"/>
    <s v="12"/>
    <s v="1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3"/>
    <n v="1786134236"/>
    <s v="*"/>
    <s v=""/>
    <s v="42"/>
    <x v="2"/>
    <s v="EU"/>
    <s v="12"/>
    <s v="2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0"/>
    <n v="1786134236"/>
    <s v="*"/>
    <s v=""/>
    <s v="42"/>
    <x v="2"/>
    <s v="EU"/>
    <s v="12"/>
    <s v="7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190"/>
    <n v="898726696"/>
    <s v="0"/>
    <s v=""/>
    <s v="42"/>
    <x v="2"/>
    <s v="EU"/>
    <s v="12"/>
    <s v="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451"/>
    <n v="1786134236"/>
    <s v="*"/>
    <s v=""/>
    <s v="42"/>
    <x v="2"/>
    <s v="EU"/>
    <s v="12"/>
    <s v="4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1"/>
    <n v="1786134236"/>
    <s v="*"/>
    <s v=""/>
    <s v="42"/>
    <x v="2"/>
    <s v="EU"/>
    <s v="12"/>
    <s v="2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67"/>
    <n v="1786134236"/>
    <s v=""/>
    <s v=""/>
    <s v="52"/>
    <x v="0"/>
    <s v="EU"/>
    <s v="13"/>
    <s v="4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6"/>
    <n v="1786134236"/>
    <s v=""/>
    <s v=""/>
    <s v="52"/>
    <x v="0"/>
    <s v="EU"/>
    <s v="13"/>
    <s v="5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00"/>
    <n v="1786134236"/>
    <s v=""/>
    <s v=""/>
    <s v="42"/>
    <x v="2"/>
    <s v="EU"/>
    <s v="12"/>
    <s v="5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53"/>
    <n v="898726696"/>
    <s v="0"/>
    <s v=""/>
    <s v="42"/>
    <x v="2"/>
    <s v="EU"/>
    <s v="12"/>
    <s v="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196"/>
    <n v="898726696"/>
    <s v="0"/>
    <s v="RG"/>
    <s v="3M"/>
    <x v="5"/>
    <s v="MY"/>
    <s v="3"/>
    <s v="1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58"/>
    <n v="1786134236"/>
    <s v=""/>
    <s v=""/>
    <s v="52"/>
    <x v="0"/>
    <s v="EU"/>
    <s v="13"/>
    <s v="4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40"/>
    <n v="1786134236"/>
    <s v="*"/>
    <s v=""/>
    <s v="42"/>
    <x v="2"/>
    <s v="EU"/>
    <s v="12"/>
    <s v="1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84"/>
    <n v="1786134236"/>
    <s v="*"/>
    <s v=""/>
    <s v="42"/>
    <x v="2"/>
    <s v="EU"/>
    <s v="12"/>
    <s v="5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2"/>
    <n v="1786134236"/>
    <s v="*"/>
    <s v=""/>
    <s v="52"/>
    <x v="0"/>
    <s v="EU"/>
    <s v="13"/>
    <s v="3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6"/>
    <n v="1786134236"/>
    <s v="*"/>
    <s v=""/>
    <s v="42"/>
    <x v="2"/>
    <s v="EU"/>
    <s v="12"/>
    <s v="2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09"/>
    <n v="1786134236"/>
    <s v="*"/>
    <s v=""/>
    <s v="42"/>
    <x v="2"/>
    <s v="EU"/>
    <s v="12"/>
    <s v="3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8"/>
    <n v="1786134236"/>
    <s v="*"/>
    <s v=""/>
    <s v="42"/>
    <x v="2"/>
    <s v="EU"/>
    <s v="12"/>
    <s v="4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07"/>
    <n v="1786134236"/>
    <s v="*"/>
    <s v=""/>
    <s v="42"/>
    <x v="2"/>
    <s v="EU"/>
    <s v="12"/>
    <s v="10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6"/>
    <n v="1786134236"/>
    <s v=""/>
    <s v=""/>
    <s v="42"/>
    <x v="2"/>
    <s v="EU"/>
    <s v="12"/>
    <s v="1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11"/>
    <n v="898726696"/>
    <s v=""/>
    <s v="RG"/>
    <s v="3M"/>
    <x v="5"/>
    <s v="MY"/>
    <s v="3"/>
    <s v="1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49"/>
    <n v="1786134236"/>
    <s v="*"/>
    <s v=""/>
    <s v="42"/>
    <x v="2"/>
    <s v="EU"/>
    <s v="12"/>
    <s v="1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71"/>
    <n v="1786134236"/>
    <s v=""/>
    <s v=""/>
    <s v="52"/>
    <x v="0"/>
    <s v="EU"/>
    <s v="13"/>
    <s v="1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6"/>
    <n v="1786134236"/>
    <s v="*"/>
    <s v=""/>
    <s v="42"/>
    <x v="2"/>
    <s v="EU"/>
    <s v="12"/>
    <s v="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6"/>
    <n v="1786134236"/>
    <s v="*"/>
    <s v=""/>
    <s v="42"/>
    <x v="2"/>
    <s v="EU"/>
    <s v="12"/>
    <s v="7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7"/>
    <n v="1786134236"/>
    <s v="*"/>
    <s v=""/>
    <s v="42"/>
    <x v="2"/>
    <s v="EU"/>
    <s v="12"/>
    <s v="2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10"/>
    <n v="1786134236"/>
    <s v=""/>
    <s v=""/>
    <s v="52"/>
    <x v="0"/>
    <s v="EU"/>
    <s v="13"/>
    <s v="2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8"/>
    <n v="1786134236"/>
    <s v=""/>
    <s v=""/>
    <s v="52"/>
    <x v="0"/>
    <s v="EU"/>
    <s v="13"/>
    <s v="2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199"/>
    <n v="898726696"/>
    <s v=""/>
    <s v=""/>
    <s v="42"/>
    <x v="2"/>
    <s v="EU"/>
    <s v="12"/>
    <s v="1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56"/>
    <n v="898726696"/>
    <s v="0"/>
    <s v=""/>
    <s v="31"/>
    <x v="7"/>
    <s v="EU"/>
    <s v="02"/>
    <s v="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331"/>
    <n v="1786134236"/>
    <s v="*"/>
    <s v=""/>
    <s v="42"/>
    <x v="2"/>
    <s v="EU"/>
    <s v="12"/>
    <s v="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01"/>
    <n v="1786134236"/>
    <s v=""/>
    <s v=""/>
    <s v="52"/>
    <x v="0"/>
    <s v="EU"/>
    <s v="13"/>
    <s v="2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07"/>
    <n v="1786134236"/>
    <s v=""/>
    <s v=""/>
    <s v="52"/>
    <x v="0"/>
    <s v="EU"/>
    <s v="13"/>
    <s v="2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96"/>
    <n v="1786134236"/>
    <s v="*"/>
    <s v=""/>
    <s v="41"/>
    <x v="1"/>
    <s v="EU"/>
    <s v="03"/>
    <s v="6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0"/>
    <n v="1786134236"/>
    <s v="*"/>
    <s v=""/>
    <s v="42"/>
    <x v="2"/>
    <s v="EU"/>
    <s v="12"/>
    <s v="5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2"/>
    <n v="1786134236"/>
    <s v="*"/>
    <s v=""/>
    <s v="42"/>
    <x v="2"/>
    <s v="EU"/>
    <s v="12"/>
    <s v="6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68"/>
    <n v="1786134236"/>
    <s v=""/>
    <s v=""/>
    <s v="42"/>
    <x v="2"/>
    <s v="EU"/>
    <s v="12"/>
    <s v="1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9"/>
    <n v="1786134236"/>
    <s v=""/>
    <s v=""/>
    <s v="52"/>
    <x v="0"/>
    <s v="EU"/>
    <s v="13"/>
    <s v="4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85"/>
    <n v="1786134236"/>
    <s v=""/>
    <s v=""/>
    <s v="52"/>
    <x v="0"/>
    <s v="EU"/>
    <s v="13"/>
    <s v="5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95"/>
    <n v="1786134236"/>
    <s v="*"/>
    <s v=""/>
    <s v="52"/>
    <x v="0"/>
    <s v="EU"/>
    <s v="13"/>
    <s v="9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65"/>
    <n v="1786134236"/>
    <s v=""/>
    <s v=""/>
    <s v="52"/>
    <x v="0"/>
    <s v="EU"/>
    <s v="13"/>
    <s v="1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5"/>
    <n v="1786134236"/>
    <s v=""/>
    <s v=""/>
    <s v="52"/>
    <x v="0"/>
    <s v="EU"/>
    <s v="13"/>
    <s v="2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25"/>
    <n v="1786134236"/>
    <s v="*"/>
    <s v=""/>
    <s v="42"/>
    <x v="2"/>
    <s v="EU"/>
    <s v="12"/>
    <s v="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9"/>
    <n v="602022784"/>
    <s v="0"/>
    <s v=""/>
    <s v="52"/>
    <x v="0"/>
    <s v="EU"/>
    <s v="13"/>
    <s v="7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815"/>
    <n v="1786134236"/>
    <s v=""/>
    <s v=""/>
    <s v="52"/>
    <x v="0"/>
    <s v="EU"/>
    <s v="13"/>
    <s v="6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14"/>
    <n v="898726696"/>
    <s v="0"/>
    <s v=""/>
    <s v="42"/>
    <x v="2"/>
    <s v="EU"/>
    <s v="12"/>
    <s v="1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58"/>
    <n v="1786134236"/>
    <s v="*"/>
    <s v=""/>
    <s v="52"/>
    <x v="0"/>
    <s v="EU"/>
    <s v="13"/>
    <s v="1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35"/>
    <n v="1786134236"/>
    <s v="*"/>
    <s v=""/>
    <s v="42"/>
    <x v="2"/>
    <s v="EU"/>
    <s v="12"/>
    <s v="7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54"/>
    <n v="1786134236"/>
    <s v="*"/>
    <s v=""/>
    <s v="42"/>
    <x v="2"/>
    <s v="EU"/>
    <s v="12"/>
    <s v="4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97"/>
    <n v="1786134236"/>
    <s v=""/>
    <s v=""/>
    <s v="52"/>
    <x v="0"/>
    <s v="EU"/>
    <s v="13"/>
    <s v="5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9"/>
    <n v="1786134236"/>
    <s v="*"/>
    <s v=""/>
    <s v="42"/>
    <x v="2"/>
    <s v="EU"/>
    <s v="12"/>
    <s v="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5"/>
    <n v="1786134236"/>
    <s v="*"/>
    <s v=""/>
    <s v="42"/>
    <x v="2"/>
    <s v="EU"/>
    <s v="12"/>
    <s v="6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32"/>
    <n v="898726696"/>
    <s v=""/>
    <s v=""/>
    <s v="52"/>
    <x v="0"/>
    <s v="EU"/>
    <s v="13"/>
    <s v="2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31"/>
    <n v="1786134236"/>
    <s v=""/>
    <s v=""/>
    <s v="42"/>
    <x v="2"/>
    <s v="EU"/>
    <s v="12"/>
    <s v="3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8"/>
    <n v="898726696"/>
    <s v="0"/>
    <s v=""/>
    <s v="52"/>
    <x v="0"/>
    <s v="EU"/>
    <s v="13"/>
    <s v="1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641"/>
    <n v="1786134236"/>
    <s v=""/>
    <s v=""/>
    <s v="52"/>
    <x v="0"/>
    <s v="EU"/>
    <s v="13"/>
    <s v="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8"/>
    <n v="1786134236"/>
    <s v=""/>
    <s v=""/>
    <s v="31"/>
    <x v="7"/>
    <s v="EU"/>
    <s v="02"/>
    <s v="3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33"/>
    <n v="1786134236"/>
    <s v="*"/>
    <s v=""/>
    <s v="31"/>
    <x v="7"/>
    <s v="EU"/>
    <s v="02"/>
    <s v="17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571"/>
    <n v="1786134236"/>
    <s v="*"/>
    <s v=""/>
    <s v="42"/>
    <x v="2"/>
    <s v="EU"/>
    <s v="12"/>
    <s v="8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32"/>
    <n v="1786134236"/>
    <s v=""/>
    <s v=""/>
    <s v="42"/>
    <x v="2"/>
    <s v="EU"/>
    <s v="12"/>
    <s v="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44"/>
    <n v="898726696"/>
    <s v=""/>
    <s v=""/>
    <s v="31"/>
    <x v="7"/>
    <s v="EU"/>
    <s v="02"/>
    <s v="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529"/>
    <n v="1786134236"/>
    <s v="*"/>
    <s v=""/>
    <s v="42"/>
    <x v="2"/>
    <s v="EU"/>
    <s v="12"/>
    <s v="7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30"/>
    <n v="1786134236"/>
    <s v="*"/>
    <s v=""/>
    <s v="42"/>
    <x v="2"/>
    <s v="EU"/>
    <s v="12"/>
    <s v="4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98"/>
    <n v="1786134236"/>
    <s v="*"/>
    <s v=""/>
    <s v="52"/>
    <x v="0"/>
    <s v="EU"/>
    <s v="13"/>
    <s v="9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172"/>
    <n v="898726696"/>
    <s v="0"/>
    <s v="W"/>
    <s v="2M"/>
    <x v="3"/>
    <s v="MY"/>
    <s v="2"/>
    <s v="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830"/>
    <n v="1786134236"/>
    <s v=""/>
    <s v=""/>
    <s v="52"/>
    <x v="0"/>
    <s v="EU"/>
    <s v="13"/>
    <s v="6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2"/>
    <n v="898726696"/>
    <s v="0"/>
    <s v=""/>
    <s v="42"/>
    <x v="2"/>
    <s v="EU"/>
    <s v="12"/>
    <s v="1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68"/>
    <n v="898726696"/>
    <s v="0"/>
    <s v=""/>
    <s v="42"/>
    <x v="2"/>
    <s v="EU"/>
    <s v="12"/>
    <s v="1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421"/>
    <n v="1786134236"/>
    <s v="*"/>
    <s v=""/>
    <s v="53"/>
    <x v="4"/>
    <s v="EU"/>
    <s v="22"/>
    <s v="3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3"/>
    <n v="1786134236"/>
    <s v="*"/>
    <s v=""/>
    <s v="42"/>
    <x v="2"/>
    <s v="EU"/>
    <s v="12"/>
    <s v="9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6"/>
    <n v="1786134236"/>
    <s v="*"/>
    <s v=""/>
    <s v="42"/>
    <x v="2"/>
    <s v="EU"/>
    <s v="12"/>
    <s v="9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9"/>
    <n v="1786134236"/>
    <s v="*"/>
    <s v=""/>
    <s v="42"/>
    <x v="2"/>
    <s v="EU"/>
    <s v="12"/>
    <s v="9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92"/>
    <n v="1786134236"/>
    <s v="*"/>
    <s v=""/>
    <s v="42"/>
    <x v="2"/>
    <s v="EU"/>
    <s v="12"/>
    <s v="9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01"/>
    <n v="1786134236"/>
    <s v="*"/>
    <s v=""/>
    <s v="42"/>
    <x v="2"/>
    <s v="EU"/>
    <s v="12"/>
    <s v="9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0"/>
    <n v="1786134236"/>
    <s v=""/>
    <s v=""/>
    <s v="42"/>
    <x v="2"/>
    <s v="EU"/>
    <s v="12"/>
    <s v="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74"/>
    <n v="1786134236"/>
    <s v=""/>
    <s v=""/>
    <s v="32"/>
    <x v="11"/>
    <s v="EU"/>
    <s v="11"/>
    <s v="1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0"/>
    <n v="1786134236"/>
    <s v=""/>
    <s v=""/>
    <s v="52"/>
    <x v="0"/>
    <s v="EU"/>
    <s v="13"/>
    <s v="1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3"/>
    <n v="1786134236"/>
    <s v=""/>
    <s v=""/>
    <s v="53"/>
    <x v="4"/>
    <s v="EU"/>
    <s v="22"/>
    <s v="1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6"/>
    <n v="1786134236"/>
    <s v=""/>
    <s v=""/>
    <s v="42"/>
    <x v="2"/>
    <s v="EU"/>
    <s v="12"/>
    <s v="2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9"/>
    <n v="1786134236"/>
    <s v=""/>
    <s v=""/>
    <s v="52"/>
    <x v="0"/>
    <s v="EU"/>
    <s v="13"/>
    <s v="2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04"/>
    <n v="1786134236"/>
    <s v=""/>
    <s v=""/>
    <s v="52"/>
    <x v="0"/>
    <s v="EU"/>
    <s v="13"/>
    <s v="2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3"/>
    <n v="1786134236"/>
    <s v=""/>
    <s v=""/>
    <s v="52"/>
    <x v="0"/>
    <s v="EU"/>
    <s v="13"/>
    <s v="2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6"/>
    <n v="1786134236"/>
    <s v=""/>
    <s v=""/>
    <s v="42"/>
    <x v="2"/>
    <s v="EU"/>
    <s v="12"/>
    <s v="3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9"/>
    <n v="1786134236"/>
    <s v=""/>
    <s v=""/>
    <s v="52"/>
    <x v="0"/>
    <s v="EU"/>
    <s v="13"/>
    <s v="3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5"/>
    <n v="1786134236"/>
    <s v=""/>
    <s v=""/>
    <s v="52"/>
    <x v="0"/>
    <s v="EU"/>
    <s v="13"/>
    <s v="3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34"/>
    <n v="1786134236"/>
    <s v=""/>
    <s v=""/>
    <s v="52"/>
    <x v="0"/>
    <s v="EU"/>
    <s v="13"/>
    <s v="3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0"/>
    <n v="1786134236"/>
    <s v=""/>
    <s v=""/>
    <s v="52"/>
    <x v="0"/>
    <s v="EU"/>
    <s v="13"/>
    <s v="3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3"/>
    <n v="1786134236"/>
    <s v=""/>
    <s v=""/>
    <s v="52"/>
    <x v="0"/>
    <s v="EU"/>
    <s v="13"/>
    <s v="3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55"/>
    <n v="1786134236"/>
    <s v=""/>
    <s v=""/>
    <s v="52"/>
    <x v="0"/>
    <s v="EU"/>
    <s v="13"/>
    <s v="4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0"/>
    <n v="1786134236"/>
    <s v=""/>
    <s v=""/>
    <s v="52"/>
    <x v="0"/>
    <s v="EU"/>
    <s v="13"/>
    <s v="4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193"/>
    <n v="898726696"/>
    <s v="0"/>
    <s v=""/>
    <s v="42"/>
    <x v="2"/>
    <s v="EU"/>
    <s v="12"/>
    <s v="1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17"/>
    <n v="898726696"/>
    <s v="0"/>
    <s v=""/>
    <s v="31"/>
    <x v="7"/>
    <s v="EU"/>
    <s v="02"/>
    <s v="1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0"/>
    <n v="898726696"/>
    <s v=""/>
    <s v="RG"/>
    <s v="2M"/>
    <x v="3"/>
    <s v="MY"/>
    <s v="2"/>
    <s v="1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3"/>
    <n v="898726696"/>
    <s v=""/>
    <s v=""/>
    <s v="42"/>
    <x v="2"/>
    <s v="EU"/>
    <s v="12"/>
    <s v="2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6"/>
    <n v="898726696"/>
    <s v=""/>
    <s v="W"/>
    <s v=""/>
    <x v="6"/>
    <s v="EU"/>
    <s v=""/>
    <s v="2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38"/>
    <n v="898726696"/>
    <s v="0"/>
    <s v=""/>
    <s v="42"/>
    <x v="2"/>
    <s v="EU"/>
    <s v="12"/>
    <s v="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47"/>
    <n v="898726696"/>
    <s v=""/>
    <s v=""/>
    <s v="31"/>
    <x v="7"/>
    <s v="EU"/>
    <s v="02"/>
    <s v="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50"/>
    <n v="898726696"/>
    <s v="0"/>
    <s v=""/>
    <s v="31"/>
    <x v="7"/>
    <s v="EU"/>
    <s v="02"/>
    <s v="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175"/>
    <n v="898726696"/>
    <s v="0"/>
    <s v=""/>
    <s v="52"/>
    <x v="0"/>
    <s v="EU"/>
    <s v="13"/>
    <s v="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69"/>
    <n v="898726696"/>
    <s v="*"/>
    <s v="RG"/>
    <s v="2M"/>
    <x v="3"/>
    <s v="MY"/>
    <s v="2"/>
    <s v="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78"/>
    <n v="898726696"/>
    <s v="0"/>
    <s v=""/>
    <s v="52"/>
    <x v="0"/>
    <s v="EU"/>
    <s v="13"/>
    <s v="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1"/>
    <n v="898726696"/>
    <s v="*"/>
    <s v=""/>
    <s v="53"/>
    <x v="4"/>
    <s v="EU"/>
    <s v="22"/>
    <s v="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4"/>
    <n v="898726696"/>
    <s v="0"/>
    <s v="RG"/>
    <s v="3M"/>
    <x v="5"/>
    <s v="MY"/>
    <s v="3"/>
    <s v="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7"/>
    <n v="898726696"/>
    <s v="0"/>
    <s v=""/>
    <s v="41"/>
    <x v="1"/>
    <s v="EU"/>
    <s v="03"/>
    <s v="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79"/>
    <n v="1786134236"/>
    <s v=""/>
    <s v=""/>
    <s v="42"/>
    <x v="2"/>
    <s v="EU"/>
    <s v="12"/>
    <s v="1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06"/>
    <n v="1786134236"/>
    <s v=""/>
    <s v=""/>
    <s v="31"/>
    <x v="7"/>
    <s v="EU"/>
    <s v="02"/>
    <s v="10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12"/>
    <n v="1786134236"/>
    <s v=""/>
    <s v=""/>
    <s v="53"/>
    <x v="4"/>
    <s v="EU"/>
    <s v="22"/>
    <s v="12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21"/>
    <n v="1786134236"/>
    <s v=""/>
    <s v=""/>
    <s v="42"/>
    <x v="2"/>
    <s v="EU"/>
    <s v="12"/>
    <s v="6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65"/>
    <n v="898726696"/>
    <s v="0"/>
    <s v=""/>
    <s v="42"/>
    <x v="2"/>
    <s v="EU"/>
    <s v="12"/>
    <s v="1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59"/>
    <n v="898726696"/>
    <s v="0"/>
    <s v=""/>
    <s v="31"/>
    <x v="7"/>
    <s v="EU"/>
    <s v="02"/>
    <s v="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71"/>
    <n v="602022784"/>
    <s v="1"/>
    <s v=""/>
    <s v="52"/>
    <x v="0"/>
    <s v="EU"/>
    <s v="13"/>
    <s v="1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74"/>
    <n v="602022784"/>
    <s v="1"/>
    <s v=""/>
    <s v="52"/>
    <x v="0"/>
    <s v="EU"/>
    <s v="13"/>
    <s v="2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77"/>
    <n v="602022784"/>
    <s v="0"/>
    <s v=""/>
    <s v="42"/>
    <x v="2"/>
    <s v="EU"/>
    <s v="12"/>
    <s v="3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95"/>
    <n v="602022784"/>
    <s v="0"/>
    <s v=""/>
    <s v="52"/>
    <x v="0"/>
    <s v="EU"/>
    <s v="13"/>
    <s v="9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98"/>
    <n v="602022784"/>
    <s v="0"/>
    <s v=""/>
    <s v="42"/>
    <x v="2"/>
    <s v="EU"/>
    <s v="12"/>
    <s v="10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1"/>
    <n v="602022784"/>
    <s v=""/>
    <s v="UD"/>
    <s v=""/>
    <x v="6"/>
    <s v="EU"/>
    <s v=""/>
    <s v="11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4"/>
    <n v="602022784"/>
    <s v="0"/>
    <s v=""/>
    <s v="43"/>
    <x v="10"/>
    <s v="EU"/>
    <s v="21"/>
    <s v="12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7"/>
    <n v="602022784"/>
    <s v="0"/>
    <s v=""/>
    <s v="52"/>
    <x v="0"/>
    <s v="EU"/>
    <s v="13"/>
    <s v="13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10"/>
    <n v="1786134236"/>
    <s v="*"/>
    <s v=""/>
    <s v="42"/>
    <x v="2"/>
    <s v="EU"/>
    <s v="12"/>
    <s v="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22"/>
    <n v="1786134236"/>
    <s v="*"/>
    <s v=""/>
    <s v="42"/>
    <x v="2"/>
    <s v="EU"/>
    <s v="12"/>
    <s v="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34"/>
    <n v="1786134236"/>
    <s v="*"/>
    <s v=""/>
    <s v="42"/>
    <x v="2"/>
    <s v="EU"/>
    <s v="12"/>
    <s v="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46"/>
    <n v="1786134236"/>
    <s v="*"/>
    <s v=""/>
    <s v="42"/>
    <x v="2"/>
    <s v="EU"/>
    <s v="12"/>
    <s v="1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52"/>
    <n v="1786134236"/>
    <s v="*"/>
    <s v=""/>
    <s v="42"/>
    <x v="2"/>
    <s v="EU"/>
    <s v="12"/>
    <s v="1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4"/>
    <n v="1786134236"/>
    <s v="*"/>
    <s v=""/>
    <s v="52"/>
    <x v="0"/>
    <s v="EU"/>
    <s v="13"/>
    <s v="1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0"/>
    <n v="1786134236"/>
    <s v="*"/>
    <s v=""/>
    <s v="42"/>
    <x v="2"/>
    <s v="EU"/>
    <s v="12"/>
    <s v="2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9"/>
    <n v="1786134236"/>
    <s v="*"/>
    <s v=""/>
    <s v="42"/>
    <x v="2"/>
    <s v="EU"/>
    <s v="12"/>
    <s v="2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82"/>
    <n v="1786134236"/>
    <s v="*"/>
    <s v=""/>
    <s v="42"/>
    <x v="2"/>
    <s v="EU"/>
    <s v="12"/>
    <s v="2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4"/>
    <n v="1786134236"/>
    <s v="*"/>
    <s v=""/>
    <s v="42"/>
    <x v="2"/>
    <s v="EU"/>
    <s v="12"/>
    <s v="2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7"/>
    <n v="1786134236"/>
    <s v="*"/>
    <s v=""/>
    <s v="42"/>
    <x v="2"/>
    <s v="EU"/>
    <s v="12"/>
    <s v="3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03"/>
    <n v="1786134236"/>
    <s v="*"/>
    <s v=""/>
    <s v="52"/>
    <x v="0"/>
    <s v="EU"/>
    <s v="13"/>
    <s v="3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24"/>
    <n v="1786134236"/>
    <s v="*"/>
    <s v=""/>
    <s v="42"/>
    <x v="2"/>
    <s v="EU"/>
    <s v="12"/>
    <s v="3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27"/>
    <n v="1786134236"/>
    <s v="*"/>
    <s v=""/>
    <s v="42"/>
    <x v="2"/>
    <s v="EU"/>
    <s v="12"/>
    <s v="4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39"/>
    <n v="1786134236"/>
    <s v="*"/>
    <s v=""/>
    <s v="42"/>
    <x v="2"/>
    <s v="EU"/>
    <s v="12"/>
    <s v="4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2"/>
    <n v="1786134236"/>
    <s v="*"/>
    <s v=""/>
    <s v="42"/>
    <x v="2"/>
    <s v="EU"/>
    <s v="12"/>
    <s v="4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5"/>
    <n v="1786134236"/>
    <s v="*"/>
    <s v=""/>
    <s v="42"/>
    <x v="2"/>
    <s v="EU"/>
    <s v="12"/>
    <s v="21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466"/>
    <n v="1786134236"/>
    <s v="*"/>
    <s v=""/>
    <s v="52"/>
    <x v="0"/>
    <s v="EU"/>
    <s v="13"/>
    <s v="5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5"/>
    <n v="1786134236"/>
    <s v="*"/>
    <s v=""/>
    <s v="42"/>
    <x v="2"/>
    <s v="EU"/>
    <s v="12"/>
    <s v="5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8"/>
    <n v="1786134236"/>
    <s v="*"/>
    <s v=""/>
    <s v="42"/>
    <x v="2"/>
    <s v="EU"/>
    <s v="12"/>
    <s v="5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93"/>
    <n v="1786134236"/>
    <s v="*"/>
    <s v=""/>
    <s v="52"/>
    <x v="0"/>
    <s v="EU"/>
    <s v="13"/>
    <s v="6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81"/>
    <n v="1786134236"/>
    <s v="*"/>
    <s v=""/>
    <s v="42"/>
    <x v="2"/>
    <s v="EU"/>
    <s v="12"/>
    <s v="5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99"/>
    <n v="1786134236"/>
    <s v="*"/>
    <s v=""/>
    <s v="53"/>
    <x v="4"/>
    <s v="EU"/>
    <s v="22"/>
    <s v="6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8"/>
    <n v="1786134236"/>
    <s v="*"/>
    <s v=""/>
    <s v="42"/>
    <x v="2"/>
    <s v="EU"/>
    <s v="12"/>
    <s v="6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1"/>
    <n v="1786134236"/>
    <s v="*"/>
    <s v=""/>
    <s v="42"/>
    <x v="2"/>
    <s v="EU"/>
    <s v="12"/>
    <s v="6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3"/>
    <n v="1786134236"/>
    <s v="*"/>
    <s v=""/>
    <s v="42"/>
    <x v="2"/>
    <s v="EU"/>
    <s v="12"/>
    <s v="7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41"/>
    <n v="1786134236"/>
    <s v="*"/>
    <s v=""/>
    <s v="42"/>
    <x v="2"/>
    <s v="EU"/>
    <s v="12"/>
    <s v="7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47"/>
    <n v="1786134236"/>
    <s v="*"/>
    <s v=""/>
    <s v="42"/>
    <x v="2"/>
    <s v="EU"/>
    <s v="12"/>
    <s v="8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0"/>
    <n v="1786134236"/>
    <s v="*"/>
    <s v=""/>
    <s v="31"/>
    <x v="7"/>
    <s v="EU"/>
    <s v="02"/>
    <s v="8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6"/>
    <n v="1786134236"/>
    <s v="*"/>
    <s v=""/>
    <s v="42"/>
    <x v="2"/>
    <s v="EU"/>
    <s v="12"/>
    <s v="8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9"/>
    <n v="1786134236"/>
    <s v="*"/>
    <s v=""/>
    <s v="42"/>
    <x v="2"/>
    <s v="EU"/>
    <s v="12"/>
    <s v="8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2"/>
    <n v="1786134236"/>
    <s v="*"/>
    <s v=""/>
    <s v="42"/>
    <x v="2"/>
    <s v="EU"/>
    <s v="12"/>
    <s v="8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5"/>
    <n v="1786134236"/>
    <s v="*"/>
    <s v=""/>
    <s v="42"/>
    <x v="2"/>
    <s v="EU"/>
    <s v="12"/>
    <s v="8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8"/>
    <n v="1786134236"/>
    <s v="*"/>
    <s v=""/>
    <s v="42"/>
    <x v="2"/>
    <s v="EU"/>
    <s v="12"/>
    <s v="8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29"/>
    <n v="1786134236"/>
    <s v=""/>
    <s v=""/>
    <s v="42"/>
    <x v="2"/>
    <s v="EU"/>
    <s v="12"/>
    <s v="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35"/>
    <n v="1786134236"/>
    <s v=""/>
    <s v=""/>
    <s v="42"/>
    <x v="2"/>
    <s v="EU"/>
    <s v="12"/>
    <s v="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38"/>
    <n v="1786134236"/>
    <s v=""/>
    <s v=""/>
    <s v="42"/>
    <x v="2"/>
    <s v="EU"/>
    <s v="12"/>
    <s v="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77"/>
    <n v="1786134236"/>
    <s v="*"/>
    <s v=""/>
    <s v="42"/>
    <x v="2"/>
    <s v="EU"/>
    <s v="12"/>
    <s v="9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29"/>
    <n v="898726696"/>
    <s v=""/>
    <s v="RG"/>
    <s v="2M"/>
    <x v="3"/>
    <s v="MY"/>
    <s v="2"/>
    <s v="2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94"/>
    <n v="1786134236"/>
    <s v=""/>
    <s v=""/>
    <s v="52"/>
    <x v="0"/>
    <s v="EU"/>
    <s v="13"/>
    <s v="5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3"/>
    <n v="1786134236"/>
    <s v=""/>
    <s v=""/>
    <s v="42"/>
    <x v="2"/>
    <s v="EU"/>
    <s v="12"/>
    <s v="4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3"/>
    <n v="1786134236"/>
    <s v="*"/>
    <s v=""/>
    <s v="42"/>
    <x v="2"/>
    <s v="EU"/>
    <s v="12"/>
    <s v="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4"/>
    <n v="1786134236"/>
    <s v="*"/>
    <s v=""/>
    <s v="52"/>
    <x v="0"/>
    <s v="EU"/>
    <s v="13"/>
    <s v="6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3"/>
    <n v="1786134236"/>
    <s v="*"/>
    <s v=""/>
    <s v="42"/>
    <x v="2"/>
    <s v="EU"/>
    <s v="12"/>
    <s v="8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9"/>
    <n v="1786134236"/>
    <s v="*"/>
    <s v=""/>
    <s v="42"/>
    <x v="2"/>
    <s v="EU"/>
    <s v="12"/>
    <s v="5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0"/>
    <n v="1786134236"/>
    <s v="*"/>
    <s v=""/>
    <s v="42"/>
    <x v="2"/>
    <s v="EU"/>
    <s v="12"/>
    <s v="9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41"/>
    <n v="898726696"/>
    <s v="0"/>
    <s v=""/>
    <s v="52"/>
    <x v="0"/>
    <s v="EU"/>
    <s v="13"/>
    <s v="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818"/>
    <n v="1786134236"/>
    <s v=""/>
    <s v=""/>
    <s v="42"/>
    <x v="2"/>
    <s v="EU"/>
    <s v="12"/>
    <s v="6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2"/>
    <n v="1786134236"/>
    <s v=""/>
    <s v=""/>
    <s v="52"/>
    <x v="0"/>
    <s v="EU"/>
    <s v="13"/>
    <s v="2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2"/>
    <n v="1786134236"/>
    <s v=""/>
    <s v=""/>
    <s v="52"/>
    <x v="0"/>
    <s v="EU"/>
    <s v="13"/>
    <s v="3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12229826"/>
    <n v="1866745137"/>
    <s v=""/>
    <s v=""/>
    <s v="32"/>
    <x v="11"/>
    <s v="EU"/>
    <s v="11"/>
    <s v="10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20"/>
    <n v="1866745137"/>
    <s v=""/>
    <s v="UD"/>
    <s v=""/>
    <x v="6"/>
    <s v="EU"/>
    <s v=""/>
    <s v="8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2"/>
    <n v="1866745137"/>
    <s v=""/>
    <s v=""/>
    <s v="52"/>
    <x v="0"/>
    <s v="EU"/>
    <s v="13"/>
    <s v="2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23"/>
    <n v="1866745137"/>
    <s v="0"/>
    <s v=""/>
    <s v="42"/>
    <x v="2"/>
    <s v="EU"/>
    <s v="12"/>
    <s v="9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5"/>
    <n v="1866745137"/>
    <s v=""/>
    <s v="RG"/>
    <s v="2M"/>
    <x v="3"/>
    <s v="MY"/>
    <s v="2"/>
    <s v="3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8"/>
    <n v="1866745137"/>
    <s v="0"/>
    <s v=""/>
    <s v="42"/>
    <x v="2"/>
    <s v="EU"/>
    <s v="12"/>
    <s v="4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799"/>
    <n v="1866745137"/>
    <s v="0"/>
    <s v=""/>
    <s v="52"/>
    <x v="0"/>
    <s v="EU"/>
    <s v="13"/>
    <s v="1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17"/>
    <n v="1866745137"/>
    <s v="0"/>
    <s v=""/>
    <s v="42"/>
    <x v="2"/>
    <s v="EU"/>
    <s v="12"/>
    <s v="7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-1006210545"/>
    <n v="-1000027693"/>
    <s v=""/>
    <s v=""/>
    <s v="42"/>
    <x v="2"/>
    <s v="EU"/>
    <s v="12"/>
    <s v="1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5"/>
    <n v="-1000027693"/>
    <s v=""/>
    <s v=""/>
    <s v="52"/>
    <x v="0"/>
    <s v="EU"/>
    <s v="13"/>
    <s v="2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47"/>
    <n v="-1000027693"/>
    <s v=""/>
    <s v=""/>
    <s v="53"/>
    <x v="4"/>
    <s v="EU"/>
    <s v="22"/>
    <s v="1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1"/>
    <n v="-1000027693"/>
    <s v=""/>
    <s v=""/>
    <s v="3M"/>
    <x v="5"/>
    <s v="MY"/>
    <s v="3"/>
    <s v="1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7"/>
    <n v="-1000027693"/>
    <s v=""/>
    <s v=""/>
    <s v="42"/>
    <x v="2"/>
    <s v="EU"/>
    <s v="12"/>
    <s v="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9"/>
    <n v="-1000027693"/>
    <s v=""/>
    <s v=""/>
    <s v="52"/>
    <x v="0"/>
    <s v="EU"/>
    <s v="13"/>
    <s v="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3"/>
    <n v="-1000027693"/>
    <s v=""/>
    <s v=""/>
    <s v="42"/>
    <x v="2"/>
    <s v="EU"/>
    <s v="12"/>
    <s v="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7"/>
    <n v="-1000027693"/>
    <s v=""/>
    <s v=""/>
    <s v="42"/>
    <x v="2"/>
    <s v="EU"/>
    <s v="12"/>
    <s v="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9"/>
    <n v="-1000027693"/>
    <s v=""/>
    <s v=""/>
    <s v="42"/>
    <x v="2"/>
    <s v="EU"/>
    <s v="12"/>
    <s v="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1"/>
    <n v="-1000027693"/>
    <s v=""/>
    <s v=""/>
    <s v="42"/>
    <x v="2"/>
    <s v="EU"/>
    <s v="12"/>
    <s v="2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85"/>
    <n v="-1000027693"/>
    <s v=""/>
    <s v=""/>
    <s v="42"/>
    <x v="2"/>
    <s v="EU"/>
    <s v="12"/>
    <s v="2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1"/>
    <n v="-1000027693"/>
    <s v=""/>
    <s v=""/>
    <s v="52"/>
    <x v="0"/>
    <s v="EU"/>
    <s v="13"/>
    <s v="2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3"/>
    <n v="-1000027693"/>
    <s v=""/>
    <s v=""/>
    <s v="42"/>
    <x v="2"/>
    <s v="EU"/>
    <s v="12"/>
    <s v="1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7"/>
    <n v="-1000027693"/>
    <s v=""/>
    <s v=""/>
    <s v="42"/>
    <x v="2"/>
    <s v="EU"/>
    <s v="12"/>
    <s v="1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3"/>
    <n v="-1000027693"/>
    <s v=""/>
    <s v=""/>
    <s v="42"/>
    <x v="2"/>
    <s v="EU"/>
    <s v="12"/>
    <s v="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9"/>
    <n v="-1000027693"/>
    <s v=""/>
    <s v="W"/>
    <s v=""/>
    <x v="6"/>
    <s v=""/>
    <s v=""/>
    <s v="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31"/>
    <n v="-1000027693"/>
    <s v=""/>
    <s v=""/>
    <s v="2M"/>
    <x v="3"/>
    <s v="MY"/>
    <s v="2"/>
    <s v="2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1"/>
    <n v="-1000027693"/>
    <s v=""/>
    <s v="RG"/>
    <s v=""/>
    <x v="6"/>
    <s v=""/>
    <s v=""/>
    <s v="1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71"/>
    <n v="-1000027693"/>
    <s v=""/>
    <s v=""/>
    <s v="42"/>
    <x v="2"/>
    <s v="EU"/>
    <s v="12"/>
    <s v="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21"/>
    <n v="-1000027693"/>
    <s v=""/>
    <s v=""/>
    <s v="2M"/>
    <x v="3"/>
    <s v="MY"/>
    <s v="2"/>
    <s v="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33"/>
    <n v="-1000027693"/>
    <s v=""/>
    <s v=""/>
    <s v="52"/>
    <x v="0"/>
    <s v="EU"/>
    <s v="13"/>
    <s v="2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7"/>
    <n v="-1000027693"/>
    <s v=""/>
    <s v=""/>
    <s v="63"/>
    <x v="8"/>
    <s v="EU"/>
    <s v="23"/>
    <s v="2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99"/>
    <n v="-1000027693"/>
    <s v=""/>
    <s v=""/>
    <s v="42"/>
    <x v="2"/>
    <s v="EU"/>
    <s v="12"/>
    <s v="1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5"/>
    <n v="-1000027693"/>
    <s v=""/>
    <s v=""/>
    <s v="42"/>
    <x v="2"/>
    <s v="EU"/>
    <s v="12"/>
    <s v="1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17"/>
    <n v="-1000027693"/>
    <s v=""/>
    <s v=""/>
    <s v="42"/>
    <x v="2"/>
    <s v="EU"/>
    <s v="12"/>
    <s v="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43"/>
    <n v="-1000027693"/>
    <s v=""/>
    <s v=""/>
    <s v="42"/>
    <x v="2"/>
    <s v="EU"/>
    <s v="12"/>
    <s v="1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53"/>
    <n v="-1000027693"/>
    <s v=""/>
    <s v=""/>
    <s v="42"/>
    <x v="2"/>
    <s v="EU"/>
    <s v="12"/>
    <s v="1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3"/>
    <n v="-1000027693"/>
    <s v=""/>
    <s v=""/>
    <s v="63"/>
    <x v="8"/>
    <s v="EU"/>
    <s v="23"/>
    <s v="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25"/>
    <n v="-1000027693"/>
    <s v=""/>
    <s v=""/>
    <s v="63"/>
    <x v="8"/>
    <s v="EU"/>
    <s v="23"/>
    <s v="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3"/>
    <n v="-1000027693"/>
    <s v=""/>
    <s v=""/>
    <s v="53"/>
    <x v="4"/>
    <s v="EU"/>
    <s v="22"/>
    <s v="1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49"/>
    <n v="-1000027693"/>
    <s v=""/>
    <s v=""/>
    <s v="42"/>
    <x v="2"/>
    <s v="EU"/>
    <s v="12"/>
    <s v="1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7"/>
    <n v="-1000027693"/>
    <s v=""/>
    <s v=""/>
    <s v="2M"/>
    <x v="3"/>
    <s v="MY"/>
    <s v="2"/>
    <s v="2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1"/>
    <n v="-1000027693"/>
    <s v=""/>
    <s v="RG"/>
    <s v=""/>
    <x v="6"/>
    <s v=""/>
    <s v=""/>
    <s v="1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9"/>
    <n v="-1000027693"/>
    <s v=""/>
    <s v=""/>
    <s v="52"/>
    <x v="0"/>
    <s v="EU"/>
    <s v="13"/>
    <s v="2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41"/>
    <n v="-1000027693"/>
    <s v=""/>
    <s v=""/>
    <s v="53"/>
    <x v="4"/>
    <s v="EU"/>
    <s v="22"/>
    <s v="2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01"/>
    <n v="-1000027693"/>
    <s v=""/>
    <s v=""/>
    <s v="3M"/>
    <x v="5"/>
    <s v="MY"/>
    <s v="3"/>
    <s v="1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7"/>
    <n v="-1000027693"/>
    <s v=""/>
    <s v=""/>
    <s v="42"/>
    <x v="2"/>
    <s v="EU"/>
    <s v="12"/>
    <s v="1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07"/>
    <n v="-1000027693"/>
    <s v=""/>
    <s v=""/>
    <s v="42"/>
    <x v="2"/>
    <s v="EU"/>
    <s v="12"/>
    <s v="1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89"/>
    <n v="-1000027693"/>
    <s v=""/>
    <s v=""/>
    <s v="42"/>
    <x v="2"/>
    <s v="EU"/>
    <s v="12"/>
    <s v="2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5"/>
    <n v="-1000027693"/>
    <s v=""/>
    <s v=""/>
    <s v="52"/>
    <x v="0"/>
    <s v="EU"/>
    <s v="13"/>
    <s v="1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7"/>
    <n v="-1000027693"/>
    <s v=""/>
    <s v=""/>
    <s v="42"/>
    <x v="2"/>
    <s v="EU"/>
    <s v="12"/>
    <s v="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5"/>
    <n v="-1000027693"/>
    <s v=""/>
    <s v=""/>
    <s v="42"/>
    <x v="2"/>
    <s v="EU"/>
    <s v="12"/>
    <s v="1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3"/>
    <n v="-1000027693"/>
    <s v=""/>
    <s v=""/>
    <s v="42"/>
    <x v="2"/>
    <s v="EU"/>
    <s v="12"/>
    <s v="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75"/>
    <n v="-1000027693"/>
    <s v=""/>
    <s v=""/>
    <s v="42"/>
    <x v="2"/>
    <s v="EU"/>
    <s v="12"/>
    <s v="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3"/>
    <n v="-1000027693"/>
    <s v=""/>
    <s v=""/>
    <s v="42"/>
    <x v="2"/>
    <s v="EU"/>
    <s v="12"/>
    <s v="2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15"/>
    <n v="-1000027693"/>
    <s v=""/>
    <s v=""/>
    <s v="2M"/>
    <x v="3"/>
    <s v="MY"/>
    <s v="2"/>
    <s v="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9"/>
    <n v="-1000027693"/>
    <s v=""/>
    <s v=""/>
    <s v="42"/>
    <x v="2"/>
    <s v="EU"/>
    <s v="12"/>
    <s v="1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9"/>
    <n v="-1000027693"/>
    <s v=""/>
    <s v=""/>
    <s v="42"/>
    <x v="2"/>
    <s v="EU"/>
    <s v="12"/>
    <s v="1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9"/>
    <n v="-1000027693"/>
    <s v=""/>
    <s v=""/>
    <s v="42"/>
    <x v="2"/>
    <s v="EU"/>
    <s v="12"/>
    <s v="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65"/>
    <n v="-1000027693"/>
    <s v=""/>
    <s v=""/>
    <s v="42"/>
    <x v="2"/>
    <s v="EU"/>
    <s v="12"/>
    <s v="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9852703"/>
    <n v="207934288"/>
    <s v="0"/>
    <s v=""/>
    <s v="52"/>
    <x v="0"/>
    <s v="EU"/>
    <s v="13"/>
    <s v="13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9"/>
    <n v="207934288"/>
    <s v=""/>
    <s v=""/>
    <s v="52"/>
    <x v="0"/>
    <s v="EU"/>
    <s v="13"/>
    <s v="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6"/>
    <n v="207934288"/>
    <s v="0"/>
    <s v=""/>
    <s v="42"/>
    <x v="2"/>
    <s v="EU"/>
    <s v="12"/>
    <s v="1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5"/>
    <n v="207934288"/>
    <s v="0"/>
    <s v=""/>
    <s v="42"/>
    <x v="2"/>
    <s v="EU"/>
    <s v="12"/>
    <s v="17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24"/>
    <n v="207934288"/>
    <s v="0"/>
    <s v=""/>
    <s v="42"/>
    <x v="2"/>
    <s v="EU"/>
    <s v="12"/>
    <s v="20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67"/>
    <n v="207934288"/>
    <s v=""/>
    <s v=""/>
    <s v="42"/>
    <x v="2"/>
    <s v="EU"/>
    <s v="12"/>
    <s v="1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6"/>
    <n v="207934288"/>
    <s v=""/>
    <s v=""/>
    <s v="52"/>
    <x v="0"/>
    <s v="EU"/>
    <s v="13"/>
    <s v="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2"/>
    <n v="207934288"/>
    <s v="0"/>
    <s v=""/>
    <s v="52"/>
    <x v="0"/>
    <s v="EU"/>
    <s v="13"/>
    <s v="6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5"/>
    <n v="207934288"/>
    <s v=""/>
    <s v=""/>
    <s v="42"/>
    <x v="2"/>
    <s v="EU"/>
    <s v="12"/>
    <s v="7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8"/>
    <n v="207934288"/>
    <s v="0"/>
    <s v=""/>
    <s v="42"/>
    <x v="2"/>
    <s v="EU"/>
    <s v="12"/>
    <s v="8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0"/>
    <n v="207934288"/>
    <s v="0"/>
    <s v=""/>
    <s v="42"/>
    <x v="2"/>
    <s v="EU"/>
    <s v="12"/>
    <s v="1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8"/>
    <n v="207934288"/>
    <s v="0"/>
    <s v=""/>
    <s v="42"/>
    <x v="2"/>
    <s v="EU"/>
    <s v="12"/>
    <s v="18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3"/>
    <n v="207934288"/>
    <s v="0"/>
    <s v=""/>
    <s v="52"/>
    <x v="0"/>
    <s v="EU"/>
    <s v="13"/>
    <s v="23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1"/>
    <n v="207934288"/>
    <s v="0"/>
    <s v=""/>
    <s v="42"/>
    <x v="2"/>
    <s v="EU"/>
    <s v="12"/>
    <s v="9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6"/>
    <n v="207934288"/>
    <s v="0"/>
    <s v=""/>
    <s v="52"/>
    <x v="0"/>
    <s v="EU"/>
    <s v="13"/>
    <s v="2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2"/>
    <n v="207934288"/>
    <s v="0"/>
    <s v=""/>
    <s v="31"/>
    <x v="7"/>
    <s v="EU"/>
    <s v="02"/>
    <s v="16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21"/>
    <n v="207934288"/>
    <s v="0"/>
    <s v=""/>
    <s v="52"/>
    <x v="0"/>
    <s v="EU"/>
    <s v="13"/>
    <s v="19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9"/>
    <n v="207934288"/>
    <s v="0"/>
    <s v=""/>
    <s v="42"/>
    <x v="2"/>
    <s v="EU"/>
    <s v="12"/>
    <s v="2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4"/>
    <n v="207934288"/>
    <s v="0"/>
    <s v=""/>
    <s v="52"/>
    <x v="0"/>
    <s v="EU"/>
    <s v="13"/>
    <s v="10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9"/>
    <n v="207934288"/>
    <s v="0"/>
    <s v=""/>
    <s v="42"/>
    <x v="2"/>
    <s v="EU"/>
    <s v="12"/>
    <s v="1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7"/>
    <n v="207934288"/>
    <s v=""/>
    <s v=""/>
    <s v="52"/>
    <x v="0"/>
    <s v="EU"/>
    <s v="13"/>
    <s v="11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0"/>
    <n v="207934288"/>
    <s v="0"/>
    <s v=""/>
    <s v="42"/>
    <x v="2"/>
    <s v="EU"/>
    <s v="12"/>
    <s v="2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0"/>
    <n v="207934288"/>
    <s v=""/>
    <s v=""/>
    <s v="52"/>
    <x v="0"/>
    <s v="EU"/>
    <s v="13"/>
    <s v="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10915107"/>
    <n v="590391828"/>
    <s v=""/>
    <s v="RG"/>
    <s v="2M"/>
    <x v="3"/>
    <s v="MY"/>
    <s v="2"/>
    <s v="1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13"/>
    <n v="590391828"/>
    <s v=""/>
    <s v="W"/>
    <s v=""/>
    <x v="6"/>
    <s v="EU"/>
    <s v=""/>
    <s v="1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16"/>
    <n v="590391828"/>
    <s v=""/>
    <s v=""/>
    <s v="42"/>
    <x v="2"/>
    <s v="EU"/>
    <s v="12"/>
    <s v="1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2"/>
    <n v="590391828"/>
    <s v=""/>
    <s v=""/>
    <s v="42"/>
    <x v="2"/>
    <s v="EU"/>
    <s v="12"/>
    <s v="1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46"/>
    <n v="590391828"/>
    <s v=""/>
    <s v=""/>
    <s v="41"/>
    <x v="1"/>
    <s v="EU"/>
    <s v="03"/>
    <s v="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64"/>
    <n v="590391828"/>
    <s v=""/>
    <s v=""/>
    <s v="42"/>
    <x v="2"/>
    <s v="EU"/>
    <s v="12"/>
    <s v="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91"/>
    <n v="590391828"/>
    <s v=""/>
    <s v="RG"/>
    <s v="2M"/>
    <x v="3"/>
    <s v="MY"/>
    <s v="2"/>
    <s v="1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200"/>
    <n v="590391828"/>
    <s v="0"/>
    <s v="UF"/>
    <s v="3M"/>
    <x v="5"/>
    <s v="MY"/>
    <s v="3"/>
    <s v="1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77"/>
    <n v="590391828"/>
    <s v=""/>
    <s v=""/>
    <s v="52"/>
    <x v="0"/>
    <s v="EU"/>
    <s v="13"/>
    <s v="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2"/>
    <n v="590391828"/>
    <s v=""/>
    <s v=""/>
    <s v="42"/>
    <x v="2"/>
    <s v="EU"/>
    <s v="12"/>
    <s v="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80"/>
    <n v="590391828"/>
    <s v=""/>
    <s v=""/>
    <s v="42"/>
    <x v="2"/>
    <s v="EU"/>
    <s v="12"/>
    <s v="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8"/>
    <n v="590391828"/>
    <s v=""/>
    <s v=""/>
    <s v="52"/>
    <x v="0"/>
    <s v="EU"/>
    <s v="13"/>
    <s v="1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74"/>
    <n v="590391828"/>
    <s v=""/>
    <s v=""/>
    <s v="42"/>
    <x v="2"/>
    <s v="EU"/>
    <s v="12"/>
    <s v="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5"/>
    <n v="590391828"/>
    <s v=""/>
    <s v=""/>
    <s v="52"/>
    <x v="0"/>
    <s v="EU"/>
    <s v="13"/>
    <s v="1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31"/>
    <n v="590391828"/>
    <s v=""/>
    <s v="RG"/>
    <s v="2M"/>
    <x v="3"/>
    <s v="MY"/>
    <s v="2"/>
    <s v="2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79"/>
    <n v="590391828"/>
    <s v=""/>
    <s v="RG"/>
    <s v="2M"/>
    <x v="3"/>
    <s v="MY"/>
    <s v="2"/>
    <s v="1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6"/>
    <n v="590391828"/>
    <s v=""/>
    <s v=""/>
    <s v="42"/>
    <x v="2"/>
    <s v="EU"/>
    <s v="12"/>
    <s v="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70"/>
    <n v="590391828"/>
    <s v=""/>
    <s v="RG"/>
    <s v="2M"/>
    <x v="3"/>
    <s v="MY"/>
    <s v="2"/>
    <s v="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61"/>
    <n v="590391828"/>
    <s v=""/>
    <s v=""/>
    <s v="42"/>
    <x v="2"/>
    <s v="EU"/>
    <s v="12"/>
    <s v="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206"/>
    <n v="590391828"/>
    <s v=""/>
    <s v="MF"/>
    <s v=""/>
    <x v="6"/>
    <s v="EU"/>
    <s v=""/>
    <s v="2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9"/>
    <n v="590391828"/>
    <s v=""/>
    <s v=""/>
    <s v="52"/>
    <x v="0"/>
    <s v="EU"/>
    <s v="13"/>
    <s v="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203"/>
    <n v="590391828"/>
    <s v="0"/>
    <s v=""/>
    <s v="42"/>
    <x v="2"/>
    <s v="EU"/>
    <s v="12"/>
    <s v="2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19"/>
    <n v="590391828"/>
    <s v=""/>
    <s v=""/>
    <s v="42"/>
    <x v="2"/>
    <s v="EU"/>
    <s v="12"/>
    <s v="1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97"/>
    <n v="590391828"/>
    <s v="0"/>
    <s v="W"/>
    <s v="2M"/>
    <x v="3"/>
    <s v="MY"/>
    <s v="2"/>
    <s v="1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40"/>
    <n v="590391828"/>
    <s v=""/>
    <s v="RG"/>
    <s v="2M"/>
    <x v="3"/>
    <s v="MY"/>
    <s v="2"/>
    <s v="2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8"/>
    <n v="590391828"/>
    <s v=""/>
    <s v=""/>
    <s v="42"/>
    <x v="2"/>
    <s v="EU"/>
    <s v="12"/>
    <s v="2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82"/>
    <n v="590391828"/>
    <s v="0"/>
    <s v=""/>
    <s v="53"/>
    <x v="4"/>
    <s v="EU"/>
    <s v="22"/>
    <s v="1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73"/>
    <n v="590391828"/>
    <s v="0"/>
    <s v=""/>
    <s v="42"/>
    <x v="2"/>
    <s v="EU"/>
    <s v="12"/>
    <s v="1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3"/>
    <n v="590391828"/>
    <s v=""/>
    <s v="RG"/>
    <s v="3M"/>
    <x v="5"/>
    <s v="MY"/>
    <s v="3"/>
    <s v="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5"/>
    <n v="590391828"/>
    <s v=""/>
    <s v=""/>
    <s v="52"/>
    <x v="0"/>
    <s v="EU"/>
    <s v="13"/>
    <s v="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43"/>
    <n v="590391828"/>
    <s v=""/>
    <s v=""/>
    <s v="42"/>
    <x v="2"/>
    <s v="EU"/>
    <s v="12"/>
    <s v="2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37"/>
    <n v="590391828"/>
    <s v=""/>
    <s v=""/>
    <s v="42"/>
    <x v="2"/>
    <s v="EU"/>
    <s v="12"/>
    <s v="2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52"/>
    <n v="590391828"/>
    <s v=""/>
    <s v=""/>
    <s v="41"/>
    <x v="1"/>
    <s v="EU"/>
    <s v="03"/>
    <s v="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55"/>
    <n v="590391828"/>
    <s v=""/>
    <s v=""/>
    <s v="42"/>
    <x v="2"/>
    <s v="EU"/>
    <s v="12"/>
    <s v="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76"/>
    <n v="590391828"/>
    <s v="0"/>
    <s v=""/>
    <s v="52"/>
    <x v="0"/>
    <s v="EU"/>
    <s v="13"/>
    <s v="1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71"/>
    <n v="590391828"/>
    <s v=""/>
    <s v=""/>
    <s v="42"/>
    <x v="2"/>
    <s v="EU"/>
    <s v="12"/>
    <s v="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58"/>
    <n v="590391828"/>
    <s v="0"/>
    <s v=""/>
    <s v="53"/>
    <x v="4"/>
    <s v="EU"/>
    <s v="22"/>
    <s v="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34"/>
    <n v="590391828"/>
    <s v=""/>
    <s v=""/>
    <s v="42"/>
    <x v="2"/>
    <s v="EU"/>
    <s v="12"/>
    <s v="2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67"/>
    <n v="590391828"/>
    <s v=""/>
    <s v=""/>
    <s v="42"/>
    <x v="2"/>
    <s v="EU"/>
    <s v="12"/>
    <s v="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10"/>
    <n v="590391828"/>
    <s v=""/>
    <s v=""/>
    <s v="52"/>
    <x v="0"/>
    <s v="EU"/>
    <s v="13"/>
    <s v="1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04"/>
    <n v="590391828"/>
    <s v=""/>
    <s v="RG"/>
    <s v="3M"/>
    <x v="5"/>
    <s v="MY"/>
    <s v="3"/>
    <s v="1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01"/>
    <n v="590391828"/>
    <s v=""/>
    <s v=""/>
    <s v="52"/>
    <x v="0"/>
    <s v="EU"/>
    <s v="13"/>
    <s v="1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85"/>
    <n v="590391828"/>
    <s v="0"/>
    <s v=""/>
    <s v="42"/>
    <x v="2"/>
    <s v="EU"/>
    <s v="12"/>
    <s v="1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88"/>
    <n v="590391828"/>
    <s v="0"/>
    <s v=""/>
    <s v="42"/>
    <x v="2"/>
    <s v="EU"/>
    <s v="12"/>
    <s v="1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29034"/>
    <n v="589865286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37"/>
    <n v="589865286"/>
    <s v=""/>
    <s v=""/>
    <s v="42"/>
    <x v="2"/>
    <s v="EU"/>
    <s v="12"/>
    <s v="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61"/>
    <n v="589865286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3"/>
    <n v="589865286"/>
    <s v=""/>
    <s v=""/>
    <s v="42"/>
    <x v="2"/>
    <s v="EU"/>
    <s v="12"/>
    <s v="1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6"/>
    <n v="589865286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10"/>
    <n v="1547164108"/>
    <s v=""/>
    <s v=""/>
    <s v="42"/>
    <x v="2"/>
    <s v="EU"/>
    <s v="12"/>
    <s v="6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43"/>
    <n v="1547164108"/>
    <s v=""/>
    <s v=""/>
    <s v="42"/>
    <x v="2"/>
    <s v="EU"/>
    <s v="12"/>
    <s v="7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09"/>
    <n v="589865286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18"/>
    <n v="589865286"/>
    <s v=""/>
    <s v=""/>
    <s v="52"/>
    <x v="0"/>
    <s v="EU"/>
    <s v="13"/>
    <s v="3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4"/>
    <n v="589865286"/>
    <s v=""/>
    <s v=""/>
    <s v="52"/>
    <x v="0"/>
    <s v="EU"/>
    <s v="13"/>
    <s v="3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42"/>
    <n v="589865286"/>
    <s v=""/>
    <s v=""/>
    <s v="42"/>
    <x v="2"/>
    <s v="EU"/>
    <s v="12"/>
    <s v="3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79"/>
    <n v="1261461742"/>
    <s v=""/>
    <s v=""/>
    <s v="52"/>
    <x v="0"/>
    <s v="EU"/>
    <s v="13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61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85"/>
    <n v="1261461742"/>
    <s v=""/>
    <s v=""/>
    <s v="42"/>
    <x v="2"/>
    <s v="EU"/>
    <s v="12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91"/>
    <n v="1261461742"/>
    <s v=""/>
    <s v=""/>
    <s v="52"/>
    <x v="0"/>
    <s v="EU"/>
    <s v="13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0"/>
    <n v="1261461742"/>
    <s v=""/>
    <s v="RG"/>
    <s v="3M"/>
    <x v="5"/>
    <s v="MY"/>
    <s v="3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6"/>
    <n v="1261461742"/>
    <s v=""/>
    <s v=""/>
    <s v="42"/>
    <x v="2"/>
    <s v="EU"/>
    <s v="1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9"/>
    <n v="1261461742"/>
    <s v=""/>
    <s v=""/>
    <s v="42"/>
    <x v="2"/>
    <s v="EU"/>
    <s v="12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18"/>
    <n v="1261461742"/>
    <s v=""/>
    <s v=""/>
    <s v="52"/>
    <x v="0"/>
    <s v="EU"/>
    <s v="13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21"/>
    <n v="1261461742"/>
    <s v=""/>
    <s v=""/>
    <s v="52"/>
    <x v="0"/>
    <s v="EU"/>
    <s v="13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24"/>
    <n v="1261461742"/>
    <s v=""/>
    <s v=""/>
    <s v="63"/>
    <x v="8"/>
    <s v="EU"/>
    <s v="23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33"/>
    <n v="1261461742"/>
    <s v=""/>
    <s v=""/>
    <s v="42"/>
    <x v="2"/>
    <s v="EU"/>
    <s v="12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48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57"/>
    <n v="1261461742"/>
    <s v=""/>
    <s v=""/>
    <s v="42"/>
    <x v="2"/>
    <s v="EU"/>
    <s v="12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87"/>
    <n v="1261461742"/>
    <s v=""/>
    <s v="RG"/>
    <s v="2M"/>
    <x v="3"/>
    <s v="MY"/>
    <s v="2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93"/>
    <n v="1261461742"/>
    <s v=""/>
    <s v=""/>
    <s v="42"/>
    <x v="2"/>
    <s v="EU"/>
    <s v="12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05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08"/>
    <n v="1261461742"/>
    <s v=""/>
    <s v=""/>
    <s v="42"/>
    <x v="2"/>
    <s v="EU"/>
    <s v="12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1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4"/>
    <n v="1261461742"/>
    <s v=""/>
    <s v="RG"/>
    <s v=""/>
    <x v="6"/>
    <s v="EU"/>
    <s v="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7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3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9"/>
    <n v="1261461742"/>
    <s v=""/>
    <s v=""/>
    <s v="42"/>
    <x v="2"/>
    <s v="EU"/>
    <s v="12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43"/>
    <n v="1261461742"/>
    <s v=""/>
    <s v=""/>
    <s v="42"/>
    <x v="2"/>
    <s v="EU"/>
    <s v="12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63"/>
    <n v="1261461742"/>
    <s v=""/>
    <s v="RG"/>
    <s v="3M"/>
    <x v="5"/>
    <s v="MY"/>
    <s v="3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66"/>
    <n v="1261461742"/>
    <s v=""/>
    <s v=""/>
    <s v="42"/>
    <x v="2"/>
    <s v="EU"/>
    <s v="12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84"/>
    <n v="1261461742"/>
    <s v=""/>
    <s v=""/>
    <s v="42"/>
    <x v="2"/>
    <s v="EU"/>
    <s v="12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30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732"/>
    <n v="1261461742"/>
    <s v=""/>
    <s v=""/>
    <s v="52"/>
    <x v="0"/>
    <s v="EU"/>
    <s v="13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0929190"/>
    <n v="589865286"/>
    <s v=""/>
    <s v=""/>
    <s v="42"/>
    <x v="2"/>
    <s v="EU"/>
    <s v="12"/>
    <s v="5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69"/>
    <n v="589865286"/>
    <s v=""/>
    <s v=""/>
    <s v="42"/>
    <x v="2"/>
    <s v="EU"/>
    <s v="12"/>
    <s v="4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96"/>
    <n v="589865286"/>
    <s v=""/>
    <s v=""/>
    <s v="42"/>
    <x v="2"/>
    <s v="EU"/>
    <s v="12"/>
    <s v="5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99"/>
    <n v="589865286"/>
    <s v=""/>
    <s v=""/>
    <s v="42"/>
    <x v="2"/>
    <s v="EU"/>
    <s v="12"/>
    <s v="5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8"/>
    <n v="589865286"/>
    <s v=""/>
    <s v=""/>
    <s v="52"/>
    <x v="0"/>
    <s v="EU"/>
    <s v="13"/>
    <s v="6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14"/>
    <n v="589865286"/>
    <s v=""/>
    <s v=""/>
    <s v="42"/>
    <x v="2"/>
    <s v="EU"/>
    <s v="12"/>
    <s v="6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23"/>
    <n v="589865286"/>
    <s v=""/>
    <s v=""/>
    <s v="42"/>
    <x v="2"/>
    <s v="EU"/>
    <s v="12"/>
    <s v="6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2"/>
    <n v="589865286"/>
    <s v=""/>
    <s v=""/>
    <s v="42"/>
    <x v="2"/>
    <s v="EU"/>
    <s v="12"/>
    <s v="6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5"/>
    <n v="589865286"/>
    <s v=""/>
    <s v=""/>
    <s v="42"/>
    <x v="2"/>
    <s v="EU"/>
    <s v="12"/>
    <s v="7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47"/>
    <n v="589865286"/>
    <s v=""/>
    <s v=""/>
    <s v="52"/>
    <x v="0"/>
    <s v="EU"/>
    <s v="13"/>
    <s v="7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0"/>
    <n v="589865286"/>
    <s v=""/>
    <s v=""/>
    <s v="42"/>
    <x v="2"/>
    <s v="EU"/>
    <s v="12"/>
    <s v="7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71"/>
    <n v="589865286"/>
    <s v=""/>
    <s v=""/>
    <s v="42"/>
    <x v="2"/>
    <s v="EU"/>
    <s v="12"/>
    <s v="8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77"/>
    <n v="1547164108"/>
    <s v=""/>
    <s v="UF"/>
    <s v="3M"/>
    <x v="5"/>
    <s v="MY"/>
    <s v="3"/>
    <s v="5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86"/>
    <n v="1547164108"/>
    <s v=""/>
    <s v=""/>
    <s v="42"/>
    <x v="2"/>
    <s v="EU"/>
    <s v="12"/>
    <s v="5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6"/>
    <n v="1547164108"/>
    <s v=""/>
    <s v=""/>
    <s v="42"/>
    <x v="2"/>
    <s v="EU"/>
    <s v="12"/>
    <s v="2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05"/>
    <n v="1547164108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11"/>
    <n v="1547164108"/>
    <s v=""/>
    <s v=""/>
    <s v="42"/>
    <x v="2"/>
    <s v="EU"/>
    <s v="12"/>
    <s v="3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14"/>
    <n v="1547164108"/>
    <s v=""/>
    <s v=""/>
    <s v="52"/>
    <x v="0"/>
    <s v="EU"/>
    <s v="13"/>
    <s v="3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2"/>
    <n v="1547164108"/>
    <s v=""/>
    <s v=""/>
    <s v="42"/>
    <x v="2"/>
    <s v="EU"/>
    <s v="12"/>
    <s v="3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3"/>
    <n v="1547164108"/>
    <s v=""/>
    <s v=""/>
    <s v="42"/>
    <x v="2"/>
    <s v="EU"/>
    <s v="12"/>
    <s v="4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6"/>
    <n v="1547164108"/>
    <s v=""/>
    <s v=""/>
    <s v="42"/>
    <x v="2"/>
    <s v="EU"/>
    <s v="12"/>
    <s v="4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9"/>
    <n v="1547164108"/>
    <s v=""/>
    <s v=""/>
    <s v="42"/>
    <x v="2"/>
    <s v="EU"/>
    <s v="12"/>
    <s v="4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2"/>
    <n v="1547164108"/>
    <s v=""/>
    <s v=""/>
    <s v="52"/>
    <x v="0"/>
    <s v="EU"/>
    <s v="13"/>
    <s v="4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79"/>
    <n v="589865286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2"/>
    <n v="589865286"/>
    <s v=""/>
    <s v=""/>
    <s v="42"/>
    <x v="2"/>
    <s v="EU"/>
    <s v="12"/>
    <s v="1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5"/>
    <n v="589865286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4"/>
    <n v="589865286"/>
    <s v=""/>
    <s v=""/>
    <s v="42"/>
    <x v="2"/>
    <s v="EU"/>
    <s v="12"/>
    <s v="2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7"/>
    <n v="589865286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07"/>
    <n v="589865286"/>
    <s v=""/>
    <s v=""/>
    <s v="42"/>
    <x v="2"/>
    <s v="EU"/>
    <s v="12"/>
    <s v="9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31"/>
    <n v="1261461742"/>
    <s v=""/>
    <s v="W"/>
    <s v="2M"/>
    <x v="3"/>
    <s v="MY"/>
    <s v="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702"/>
    <n v="1261461742"/>
    <s v=""/>
    <s v=""/>
    <s v="42"/>
    <x v="2"/>
    <s v="EU"/>
    <s v="12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03"/>
    <n v="1261461742"/>
    <s v=""/>
    <s v="RG"/>
    <s v="2M"/>
    <x v="3"/>
    <s v="MY"/>
    <s v="2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39"/>
    <n v="1261461742"/>
    <s v=""/>
    <s v=""/>
    <s v="42"/>
    <x v="2"/>
    <s v="EU"/>
    <s v="12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73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88"/>
    <n v="1261461742"/>
    <s v="2"/>
    <s v="RS"/>
    <s v="S1"/>
    <x v="16"/>
    <s v="FW"/>
    <s v="0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726"/>
    <n v="1261461742"/>
    <s v=""/>
    <s v=""/>
    <s v="42"/>
    <x v="2"/>
    <s v="EU"/>
    <s v="1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27"/>
    <n v="1261461742"/>
    <s v=""/>
    <s v=""/>
    <s v="52"/>
    <x v="0"/>
    <s v="EU"/>
    <s v="13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82"/>
    <n v="1261461742"/>
    <s v=""/>
    <s v=""/>
    <s v="42"/>
    <x v="2"/>
    <s v="EU"/>
    <s v="12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54"/>
    <n v="1261461742"/>
    <s v=""/>
    <s v=""/>
    <s v="42"/>
    <x v="2"/>
    <s v="EU"/>
    <s v="12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69"/>
    <n v="1261461742"/>
    <s v=""/>
    <s v=""/>
    <s v="42"/>
    <x v="2"/>
    <s v="EU"/>
    <s v="12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94"/>
    <n v="1261461742"/>
    <s v=""/>
    <s v=""/>
    <s v="52"/>
    <x v="0"/>
    <s v="EU"/>
    <s v="13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97"/>
    <n v="1261461742"/>
    <s v=""/>
    <s v=""/>
    <s v="42"/>
    <x v="2"/>
    <s v="EU"/>
    <s v="1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40"/>
    <n v="1261461742"/>
    <s v=""/>
    <s v=""/>
    <s v="42"/>
    <x v="2"/>
    <s v="EU"/>
    <s v="12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37"/>
    <n v="1261461742"/>
    <s v=""/>
    <s v="RG"/>
    <s v=""/>
    <x v="6"/>
    <s v="EU"/>
    <s v="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90"/>
    <n v="1261461742"/>
    <s v=""/>
    <s v=""/>
    <s v="42"/>
    <x v="2"/>
    <s v="EU"/>
    <s v="12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12"/>
    <n v="1261461742"/>
    <s v=""/>
    <s v="RG"/>
    <s v="2M"/>
    <x v="3"/>
    <s v="MY"/>
    <s v="2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15"/>
    <n v="1261461742"/>
    <s v=""/>
    <s v=""/>
    <s v="52"/>
    <x v="0"/>
    <s v="EU"/>
    <s v="13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70"/>
    <n v="1261461742"/>
    <s v=""/>
    <s v=""/>
    <s v="52"/>
    <x v="0"/>
    <s v="EU"/>
    <s v="13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60"/>
    <n v="1261461742"/>
    <s v=""/>
    <s v="RG"/>
    <s v=""/>
    <x v="6"/>
    <s v="EU"/>
    <s v="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64"/>
    <n v="1261461742"/>
    <s v=""/>
    <s v=""/>
    <s v="42"/>
    <x v="2"/>
    <s v="EU"/>
    <s v="12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13"/>
    <n v="1261461742"/>
    <s v="0"/>
    <s v="W"/>
    <s v="2M"/>
    <x v="3"/>
    <s v="MY"/>
    <s v="2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16"/>
    <n v="1261461742"/>
    <s v=""/>
    <s v="RG"/>
    <s v=""/>
    <x v="6"/>
    <s v="EU"/>
    <s v="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28"/>
    <n v="1261461742"/>
    <s v=""/>
    <s v="W"/>
    <s v="3M"/>
    <x v="5"/>
    <s v="MY"/>
    <s v="3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51"/>
    <n v="1261461742"/>
    <s v=""/>
    <s v="UF"/>
    <s v="2M"/>
    <x v="3"/>
    <s v="MY"/>
    <s v="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45"/>
    <n v="1261461742"/>
    <s v=""/>
    <s v="RG"/>
    <s v="2M"/>
    <x v="3"/>
    <s v="MY"/>
    <s v="2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34"/>
    <n v="1261461742"/>
    <s v=""/>
    <s v=""/>
    <s v="52"/>
    <x v="0"/>
    <s v="EU"/>
    <s v="13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46"/>
    <n v="1261461742"/>
    <s v=""/>
    <s v="RG"/>
    <s v="3M"/>
    <x v="5"/>
    <s v="MY"/>
    <s v="3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0929319"/>
    <n v="589865286"/>
    <s v=""/>
    <s v=""/>
    <s v="42"/>
    <x v="2"/>
    <s v="EU"/>
    <s v="12"/>
    <s v="9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37"/>
    <n v="589865286"/>
    <s v=""/>
    <s v=""/>
    <s v="42"/>
    <x v="2"/>
    <s v="EU"/>
    <s v="12"/>
    <s v="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3"/>
    <n v="589865286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6"/>
    <n v="589865286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9"/>
    <n v="589865286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52"/>
    <n v="589865286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55"/>
    <n v="589865286"/>
    <s v=""/>
    <s v=""/>
    <s v="52"/>
    <x v="0"/>
    <s v="EU"/>
    <s v="13"/>
    <s v="1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64"/>
    <n v="589865286"/>
    <s v=""/>
    <s v=""/>
    <s v="42"/>
    <x v="2"/>
    <s v="EU"/>
    <s v="12"/>
    <s v="1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85"/>
    <n v="589865286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97"/>
    <n v="589865286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18"/>
    <n v="589865286"/>
    <s v=""/>
    <s v=""/>
    <s v="42"/>
    <x v="2"/>
    <s v="EU"/>
    <s v="12"/>
    <s v="3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21"/>
    <n v="1547164108"/>
    <s v=""/>
    <s v=""/>
    <s v="32"/>
    <x v="11"/>
    <s v="EU"/>
    <s v="11"/>
    <s v="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3"/>
    <n v="1547164108"/>
    <s v=""/>
    <s v=""/>
    <s v="42"/>
    <x v="2"/>
    <s v="EU"/>
    <s v="12"/>
    <s v="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6"/>
    <n v="1547164108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9"/>
    <n v="1547164108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51"/>
    <n v="1547164108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54"/>
    <n v="1547164108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0"/>
    <n v="1547164108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72"/>
    <n v="1547164108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75"/>
    <n v="1547164108"/>
    <s v=""/>
    <s v=""/>
    <s v="52"/>
    <x v="0"/>
    <s v="EU"/>
    <s v="13"/>
    <s v="1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12"/>
    <n v="589865286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1"/>
    <n v="589865286"/>
    <s v=""/>
    <s v=""/>
    <s v="42"/>
    <x v="2"/>
    <s v="EU"/>
    <s v="12"/>
    <s v="3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78"/>
    <n v="1547164108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0"/>
    <n v="1547164108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02"/>
    <n v="1547164108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74"/>
    <n v="1547164108"/>
    <s v=""/>
    <s v=""/>
    <s v="42"/>
    <x v="2"/>
    <s v="EU"/>
    <s v="12"/>
    <s v="5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62"/>
    <n v="589865286"/>
    <s v=""/>
    <s v=""/>
    <s v="42"/>
    <x v="2"/>
    <s v="EU"/>
    <s v="12"/>
    <s v="7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0"/>
    <n v="589865286"/>
    <s v=""/>
    <s v=""/>
    <s v="42"/>
    <x v="2"/>
    <s v="EU"/>
    <s v="12"/>
    <s v="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26"/>
    <n v="589865286"/>
    <s v=""/>
    <s v=""/>
    <s v="42"/>
    <x v="2"/>
    <s v="EU"/>
    <s v="12"/>
    <s v="6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22"/>
    <n v="1261461742"/>
    <s v=""/>
    <s v="RG"/>
    <s v="2M"/>
    <x v="3"/>
    <s v="MY"/>
    <s v="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67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78"/>
    <n v="1261461742"/>
    <s v=""/>
    <s v=""/>
    <s v="52"/>
    <x v="0"/>
    <s v="EU"/>
    <s v="13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36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10"/>
    <n v="1261461742"/>
    <s v=""/>
    <s v="W"/>
    <s v=""/>
    <x v="6"/>
    <s v="EU"/>
    <s v="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76"/>
    <n v="1261461742"/>
    <s v=""/>
    <s v=""/>
    <s v="42"/>
    <x v="2"/>
    <s v="EU"/>
    <s v="1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81"/>
    <n v="1261461742"/>
    <s v=""/>
    <s v="RG"/>
    <s v="2M"/>
    <x v="3"/>
    <s v="MY"/>
    <s v="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96"/>
    <n v="1261461742"/>
    <s v="0"/>
    <s v=""/>
    <s v="42"/>
    <x v="2"/>
    <s v="EU"/>
    <s v="12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0"/>
    <n v="1261461742"/>
    <s v=""/>
    <s v=""/>
    <s v="42"/>
    <x v="2"/>
    <s v="EU"/>
    <s v="12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52"/>
    <n v="1261461742"/>
    <s v=""/>
    <s v=""/>
    <s v="52"/>
    <x v="0"/>
    <s v="EU"/>
    <s v="13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42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99"/>
    <n v="1261461742"/>
    <s v=""/>
    <s v=""/>
    <s v="42"/>
    <x v="2"/>
    <s v="EU"/>
    <s v="12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0929160"/>
    <n v="589865286"/>
    <s v=""/>
    <s v=""/>
    <s v="42"/>
    <x v="2"/>
    <s v="EU"/>
    <s v="12"/>
    <s v="4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22"/>
    <n v="1547164108"/>
    <s v=""/>
    <s v=""/>
    <s v="42"/>
    <x v="2"/>
    <s v="EU"/>
    <s v="12"/>
    <s v="6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3"/>
    <n v="1547164108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6"/>
    <n v="1547164108"/>
    <s v=""/>
    <s v=""/>
    <s v="42"/>
    <x v="2"/>
    <s v="EU"/>
    <s v="12"/>
    <s v="6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15"/>
    <n v="589865286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3"/>
    <n v="589865286"/>
    <s v=""/>
    <s v=""/>
    <s v="52"/>
    <x v="0"/>
    <s v="EU"/>
    <s v="13"/>
    <s v="3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84"/>
    <n v="1547164108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11"/>
    <n v="589865286"/>
    <s v=""/>
    <s v=""/>
    <s v="42"/>
    <x v="2"/>
    <s v="EU"/>
    <s v="12"/>
    <s v="6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54"/>
    <n v="589865286"/>
    <s v=""/>
    <s v=""/>
    <s v="42"/>
    <x v="2"/>
    <s v="EU"/>
    <s v="12"/>
    <s v="4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80"/>
    <n v="1547164108"/>
    <s v=""/>
    <s v=""/>
    <s v="52"/>
    <x v="0"/>
    <s v="EU"/>
    <s v="13"/>
    <s v="5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09"/>
    <n v="589865286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637"/>
    <n v="1547164108"/>
    <s v=""/>
    <s v=""/>
    <s v="42"/>
    <x v="2"/>
    <s v="EU"/>
    <s v="12"/>
    <s v="7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72"/>
    <n v="589865286"/>
    <s v=""/>
    <s v=""/>
    <s v="31"/>
    <x v="7"/>
    <s v="EU"/>
    <s v="02"/>
    <s v="4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95"/>
    <n v="589865286"/>
    <s v=""/>
    <s v=""/>
    <s v="42"/>
    <x v="2"/>
    <s v="EU"/>
    <s v="12"/>
    <s v="9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79"/>
    <n v="589865286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30"/>
    <n v="1547164108"/>
    <s v=""/>
    <s v=""/>
    <s v="52"/>
    <x v="0"/>
    <s v="EU"/>
    <s v="13"/>
    <s v="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91"/>
    <n v="589865286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84"/>
    <n v="589865286"/>
    <s v=""/>
    <s v=""/>
    <s v="42"/>
    <x v="2"/>
    <s v="EU"/>
    <s v="12"/>
    <s v="5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08"/>
    <n v="1547164108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48"/>
    <n v="1547164108"/>
    <s v=""/>
    <s v=""/>
    <s v="52"/>
    <x v="0"/>
    <s v="EU"/>
    <s v="13"/>
    <s v="1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34"/>
    <n v="1547164108"/>
    <s v=""/>
    <s v=""/>
    <s v="42"/>
    <x v="2"/>
    <s v="EU"/>
    <s v="12"/>
    <s v="7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28"/>
    <n v="589865286"/>
    <s v=""/>
    <s v=""/>
    <s v="42"/>
    <x v="2"/>
    <s v="EU"/>
    <s v="12"/>
    <s v="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31"/>
    <n v="589865286"/>
    <s v=""/>
    <s v=""/>
    <s v="42"/>
    <x v="2"/>
    <s v="EU"/>
    <s v="12"/>
    <s v="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31"/>
    <n v="1547164108"/>
    <s v=""/>
    <s v=""/>
    <s v="42"/>
    <x v="2"/>
    <s v="EU"/>
    <s v="12"/>
    <s v="7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8"/>
    <n v="1547164108"/>
    <s v=""/>
    <s v=""/>
    <s v="42"/>
    <x v="2"/>
    <s v="EU"/>
    <s v="12"/>
    <s v="4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44"/>
    <n v="1547164108"/>
    <s v=""/>
    <s v=""/>
    <s v="52"/>
    <x v="0"/>
    <s v="EU"/>
    <s v="13"/>
    <s v="4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58"/>
    <n v="589865286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7"/>
    <n v="589865286"/>
    <s v=""/>
    <s v=""/>
    <s v="42"/>
    <x v="2"/>
    <s v="EU"/>
    <s v="12"/>
    <s v="3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0"/>
    <n v="589865286"/>
    <s v=""/>
    <s v=""/>
    <s v="52"/>
    <x v="0"/>
    <s v="EU"/>
    <s v="13"/>
    <s v="3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77"/>
    <n v="589865286"/>
    <s v=""/>
    <s v=""/>
    <s v="52"/>
    <x v="0"/>
    <s v="EU"/>
    <s v="13"/>
    <s v="8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3"/>
    <n v="589865286"/>
    <s v=""/>
    <s v=""/>
    <s v="42"/>
    <x v="2"/>
    <s v="EU"/>
    <s v="12"/>
    <s v="8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2"/>
    <n v="1547164108"/>
    <s v=""/>
    <s v=""/>
    <s v="42"/>
    <x v="2"/>
    <s v="EU"/>
    <s v="12"/>
    <s v="5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58"/>
    <n v="589865286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67"/>
    <n v="589865286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8"/>
    <n v="589865286"/>
    <s v=""/>
    <s v=""/>
    <s v="42"/>
    <x v="2"/>
    <s v="EU"/>
    <s v="12"/>
    <s v="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67"/>
    <n v="589865286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70"/>
    <n v="589865286"/>
    <s v=""/>
    <s v=""/>
    <s v="53"/>
    <x v="4"/>
    <s v="EU"/>
    <s v="22"/>
    <s v="1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27"/>
    <n v="1547164108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23"/>
    <n v="1547164108"/>
    <s v=""/>
    <s v=""/>
    <s v="42"/>
    <x v="2"/>
    <s v="EU"/>
    <s v="12"/>
    <s v="3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25"/>
    <n v="1547164108"/>
    <s v=""/>
    <s v=""/>
    <s v="42"/>
    <x v="2"/>
    <s v="EU"/>
    <s v="12"/>
    <s v="6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12"/>
    <n v="589865286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42"/>
    <n v="1547164108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94"/>
    <n v="589865286"/>
    <s v=""/>
    <s v=""/>
    <s v="42"/>
    <x v="2"/>
    <s v="EU"/>
    <s v="12"/>
    <s v="2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75"/>
    <n v="589865286"/>
    <s v=""/>
    <s v=""/>
    <s v="42"/>
    <x v="2"/>
    <s v="EU"/>
    <s v="12"/>
    <s v="5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9"/>
    <n v="589865286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03"/>
    <n v="589865286"/>
    <s v=""/>
    <s v=""/>
    <s v="42"/>
    <x v="2"/>
    <s v="EU"/>
    <s v="12"/>
    <s v="2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0"/>
    <n v="589865286"/>
    <s v=""/>
    <s v=""/>
    <s v="42"/>
    <x v="2"/>
    <s v="EU"/>
    <s v="12"/>
    <s v="1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31"/>
    <n v="589865286"/>
    <s v=""/>
    <s v=""/>
    <s v="42"/>
    <x v="2"/>
    <s v="EU"/>
    <s v="12"/>
    <s v="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217"/>
    <n v="589865286"/>
    <s v=""/>
    <s v=""/>
    <s v="52"/>
    <x v="0"/>
    <s v="EU"/>
    <s v="13"/>
    <s v="6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28"/>
    <n v="1547164108"/>
    <s v=""/>
    <s v=""/>
    <s v="42"/>
    <x v="2"/>
    <s v="EU"/>
    <s v="12"/>
    <s v="7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83"/>
    <n v="1547164108"/>
    <s v=""/>
    <s v=""/>
    <s v="42"/>
    <x v="2"/>
    <s v="EU"/>
    <s v="12"/>
    <s v="5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45"/>
    <n v="589865286"/>
    <s v=""/>
    <s v=""/>
    <s v="52"/>
    <x v="0"/>
    <s v="EU"/>
    <s v="13"/>
    <s v="4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65"/>
    <n v="589865286"/>
    <s v=""/>
    <s v=""/>
    <s v="42"/>
    <x v="2"/>
    <s v="EU"/>
    <s v="12"/>
    <s v="8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0"/>
    <n v="589865286"/>
    <s v=""/>
    <s v=""/>
    <s v="42"/>
    <x v="2"/>
    <s v="EU"/>
    <s v="12"/>
    <s v="8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64"/>
    <n v="589865286"/>
    <s v=""/>
    <s v=""/>
    <s v="52"/>
    <x v="0"/>
    <s v="EU"/>
    <s v="13"/>
    <s v="1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46"/>
    <n v="1547164108"/>
    <s v=""/>
    <s v=""/>
    <s v="42"/>
    <x v="2"/>
    <s v="EU"/>
    <s v="12"/>
    <s v="7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00"/>
    <n v="589865286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66"/>
    <n v="1547164108"/>
    <s v=""/>
    <s v=""/>
    <s v="52"/>
    <x v="0"/>
    <s v="EU"/>
    <s v="13"/>
    <s v="1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93"/>
    <n v="589865286"/>
    <s v=""/>
    <s v=""/>
    <s v="42"/>
    <x v="2"/>
    <s v="EU"/>
    <s v="12"/>
    <s v="5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8"/>
    <n v="1547164108"/>
    <s v=""/>
    <s v=""/>
    <s v="42"/>
    <x v="2"/>
    <s v="EU"/>
    <s v="12"/>
    <s v="6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44"/>
    <n v="589865286"/>
    <s v=""/>
    <s v=""/>
    <s v="52"/>
    <x v="0"/>
    <s v="EU"/>
    <s v="13"/>
    <s v="7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61"/>
    <n v="589865286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46"/>
    <n v="589865286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76"/>
    <n v="589865286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06"/>
    <n v="589865286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517"/>
    <n v="1547164108"/>
    <s v=""/>
    <s v=""/>
    <s v="52"/>
    <x v="0"/>
    <s v="EU"/>
    <s v="13"/>
    <s v="3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16"/>
    <n v="589865286"/>
    <s v=""/>
    <s v=""/>
    <s v="42"/>
    <x v="2"/>
    <s v="EU"/>
    <s v="12"/>
    <s v="9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89"/>
    <n v="1547164108"/>
    <s v=""/>
    <s v=""/>
    <s v="42"/>
    <x v="2"/>
    <s v="EU"/>
    <s v="12"/>
    <s v="5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4"/>
    <n v="1547164108"/>
    <s v=""/>
    <s v=""/>
    <s v="42"/>
    <x v="2"/>
    <s v="EU"/>
    <s v="12"/>
    <s v="6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5"/>
    <n v="1547164108"/>
    <s v=""/>
    <s v=""/>
    <s v="42"/>
    <x v="2"/>
    <s v="EU"/>
    <s v="12"/>
    <s v="3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34"/>
    <n v="589865286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0"/>
    <n v="589865286"/>
    <s v=""/>
    <s v=""/>
    <s v="63"/>
    <x v="8"/>
    <s v="EU"/>
    <s v="23"/>
    <s v="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640"/>
    <n v="1547164108"/>
    <s v=""/>
    <s v=""/>
    <s v="42"/>
    <x v="2"/>
    <s v="EU"/>
    <s v="12"/>
    <s v="7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57"/>
    <n v="589865286"/>
    <s v=""/>
    <s v=""/>
    <s v="53"/>
    <x v="4"/>
    <s v="EU"/>
    <s v="22"/>
    <s v="4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41"/>
    <n v="1547164108"/>
    <s v=""/>
    <s v=""/>
    <s v="42"/>
    <x v="2"/>
    <s v="EU"/>
    <s v="12"/>
    <s v="4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24"/>
    <n v="1547164108"/>
    <s v=""/>
    <s v=""/>
    <s v="52"/>
    <x v="0"/>
    <s v="EU"/>
    <s v="13"/>
    <s v="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9"/>
    <n v="1547164108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55"/>
    <n v="589865286"/>
    <s v=""/>
    <s v=""/>
    <s v="42"/>
    <x v="2"/>
    <s v="EU"/>
    <s v="12"/>
    <s v="1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9"/>
    <n v="589865286"/>
    <s v=""/>
    <s v=""/>
    <s v="42"/>
    <x v="2"/>
    <s v="EU"/>
    <s v="12"/>
    <s v="8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9"/>
    <n v="1547164108"/>
    <s v=""/>
    <s v=""/>
    <s v="42"/>
    <x v="2"/>
    <s v="EU"/>
    <s v="12"/>
    <s v="3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3"/>
    <n v="1547164108"/>
    <s v=""/>
    <s v=""/>
    <s v="42"/>
    <x v="2"/>
    <s v="EU"/>
    <s v="12"/>
    <s v="1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5"/>
    <n v="1547164108"/>
    <s v=""/>
    <s v=""/>
    <s v="42"/>
    <x v="2"/>
    <s v="EU"/>
    <s v="12"/>
    <s v="4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3"/>
    <n v="1547164108"/>
    <s v=""/>
    <s v=""/>
    <s v="42"/>
    <x v="2"/>
    <s v="EU"/>
    <s v="12"/>
    <s v="6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9"/>
    <n v="1547164108"/>
    <s v=""/>
    <s v=""/>
    <s v="42"/>
    <x v="2"/>
    <s v="EU"/>
    <s v="12"/>
    <s v="6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92"/>
    <n v="589865286"/>
    <s v=""/>
    <s v=""/>
    <s v="42"/>
    <x v="2"/>
    <s v="EU"/>
    <s v="12"/>
    <s v="8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5"/>
    <n v="1547164108"/>
    <s v=""/>
    <s v=""/>
    <s v="42"/>
    <x v="2"/>
    <s v="EU"/>
    <s v="12"/>
    <s v="5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20"/>
    <n v="589865286"/>
    <s v=""/>
    <s v=""/>
    <s v="42"/>
    <x v="2"/>
    <s v="EU"/>
    <s v="12"/>
    <s v="6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50"/>
    <n v="1547164108"/>
    <s v=""/>
    <s v=""/>
    <s v="42"/>
    <x v="2"/>
    <s v="EU"/>
    <s v="12"/>
    <s v="4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74"/>
    <n v="589865286"/>
    <s v=""/>
    <s v=""/>
    <s v="42"/>
    <x v="2"/>
    <s v="EU"/>
    <s v="12"/>
    <s v="8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81"/>
    <n v="589865286"/>
    <s v=""/>
    <s v=""/>
    <s v="52"/>
    <x v="0"/>
    <s v="EU"/>
    <s v="13"/>
    <s v="5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13"/>
    <n v="589865286"/>
    <s v=""/>
    <s v=""/>
    <s v="42"/>
    <x v="2"/>
    <s v="EU"/>
    <s v="12"/>
    <s v="9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03"/>
    <n v="589865286"/>
    <s v=""/>
    <s v="UM"/>
    <s v="S2"/>
    <x v="15"/>
    <s v="FW"/>
    <s v="1"/>
    <s v="2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36"/>
    <n v="589865286"/>
    <s v=""/>
    <s v=""/>
    <s v="42"/>
    <x v="2"/>
    <s v="EU"/>
    <s v="12"/>
    <s v="3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48"/>
    <n v="589865286"/>
    <s v=""/>
    <s v=""/>
    <s v="52"/>
    <x v="0"/>
    <s v="EU"/>
    <s v="13"/>
    <s v="4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98"/>
    <n v="589865286"/>
    <s v=""/>
    <s v=""/>
    <s v="42"/>
    <x v="2"/>
    <s v="EU"/>
    <s v="12"/>
    <s v="9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15"/>
    <n v="589865286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571"/>
    <n v="1547164108"/>
    <s v=""/>
    <s v=""/>
    <s v="42"/>
    <x v="2"/>
    <s v="EU"/>
    <s v="12"/>
    <s v="5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7"/>
    <n v="1547164108"/>
    <s v=""/>
    <s v=""/>
    <s v="42"/>
    <x v="2"/>
    <s v="EU"/>
    <s v="12"/>
    <s v="6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66"/>
    <n v="589865286"/>
    <s v=""/>
    <s v=""/>
    <s v="42"/>
    <x v="2"/>
    <s v="EU"/>
    <s v="12"/>
    <s v="4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45"/>
    <n v="1547164108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73"/>
    <n v="589865286"/>
    <s v=""/>
    <s v=""/>
    <s v="32"/>
    <x v="11"/>
    <s v="EU"/>
    <s v="11"/>
    <s v="1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229"/>
    <n v="589865286"/>
    <s v=""/>
    <s v=""/>
    <s v="42"/>
    <x v="2"/>
    <s v="EU"/>
    <s v="12"/>
    <s v="6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9"/>
    <n v="589865286"/>
    <s v=""/>
    <s v=""/>
    <s v="52"/>
    <x v="0"/>
    <s v="EU"/>
    <s v="13"/>
    <s v="3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8"/>
    <n v="589865286"/>
    <s v=""/>
    <s v=""/>
    <s v="42"/>
    <x v="2"/>
    <s v="EU"/>
    <s v="12"/>
    <s v="7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6"/>
    <n v="589865286"/>
    <s v=""/>
    <s v=""/>
    <s v="42"/>
    <x v="2"/>
    <s v="EU"/>
    <s v="12"/>
    <s v="8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2"/>
    <n v="589865286"/>
    <s v=""/>
    <s v=""/>
    <s v="42"/>
    <x v="2"/>
    <s v="EU"/>
    <s v="12"/>
    <s v="5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5"/>
    <n v="589865286"/>
    <s v=""/>
    <s v=""/>
    <s v="42"/>
    <x v="2"/>
    <s v="EU"/>
    <s v="12"/>
    <s v="10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10"/>
    <n v="589865286"/>
    <s v=""/>
    <s v=""/>
    <s v="42"/>
    <x v="2"/>
    <s v="EU"/>
    <s v="12"/>
    <s v="9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04"/>
    <n v="589865286"/>
    <s v=""/>
    <s v=""/>
    <s v="52"/>
    <x v="0"/>
    <s v="EU"/>
    <s v="13"/>
    <s v="9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3"/>
    <n v="589865286"/>
    <s v=""/>
    <s v=""/>
    <s v="42"/>
    <x v="2"/>
    <s v="EU"/>
    <s v="12"/>
    <s v="7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0"/>
    <n v="1547164108"/>
    <s v=""/>
    <s v=""/>
    <s v="42"/>
    <x v="2"/>
    <s v="EU"/>
    <s v="12"/>
    <s v="3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00"/>
    <n v="589865286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57"/>
    <n v="1547164108"/>
    <s v=""/>
    <s v=""/>
    <s v="42"/>
    <x v="2"/>
    <s v="EU"/>
    <s v="12"/>
    <s v="1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01"/>
    <n v="589865286"/>
    <s v=""/>
    <s v=""/>
    <s v="42"/>
    <x v="2"/>
    <s v="EU"/>
    <s v="12"/>
    <s v="9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8"/>
    <n v="589865286"/>
    <s v=""/>
    <s v=""/>
    <s v="42"/>
    <x v="2"/>
    <s v="EU"/>
    <s v="12"/>
    <s v="2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87"/>
    <n v="589865286"/>
    <s v=""/>
    <s v=""/>
    <s v="52"/>
    <x v="0"/>
    <s v="EU"/>
    <s v="13"/>
    <s v="5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41"/>
    <n v="589865286"/>
    <s v=""/>
    <s v=""/>
    <s v="42"/>
    <x v="2"/>
    <s v="EU"/>
    <s v="12"/>
    <s v="7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87"/>
    <n v="1547164108"/>
    <s v=""/>
    <s v=""/>
    <s v="52"/>
    <x v="0"/>
    <s v="EU"/>
    <s v="13"/>
    <s v="2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81"/>
    <n v="1547164108"/>
    <s v=""/>
    <s v=""/>
    <s v="42"/>
    <x v="2"/>
    <s v="EU"/>
    <s v="12"/>
    <s v="2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47"/>
    <n v="1547164108"/>
    <s v=""/>
    <s v=""/>
    <s v="42"/>
    <x v="2"/>
    <s v="EU"/>
    <s v="12"/>
    <s v="4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78"/>
    <n v="589865286"/>
    <s v=""/>
    <s v=""/>
    <s v="52"/>
    <x v="0"/>
    <s v="EU"/>
    <s v="13"/>
    <s v="5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3"/>
    <n v="589865286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63"/>
    <n v="589865286"/>
    <s v=""/>
    <s v=""/>
    <s v="42"/>
    <x v="2"/>
    <s v="EU"/>
    <s v="12"/>
    <s v="4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5"/>
    <n v="589865286"/>
    <s v=""/>
    <s v=""/>
    <s v="42"/>
    <x v="2"/>
    <s v="EU"/>
    <s v="12"/>
    <s v="6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9"/>
    <n v="589865286"/>
    <s v=""/>
    <s v=""/>
    <s v="42"/>
    <x v="2"/>
    <s v="EU"/>
    <s v="12"/>
    <s v="7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2"/>
    <n v="589865286"/>
    <s v=""/>
    <s v=""/>
    <s v="52"/>
    <x v="0"/>
    <s v="EU"/>
    <s v="13"/>
    <s v="9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88"/>
    <n v="589865286"/>
    <s v=""/>
    <s v=""/>
    <s v="52"/>
    <x v="0"/>
    <s v="EU"/>
    <s v="13"/>
    <s v="2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52"/>
    <n v="589865286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6"/>
    <n v="589865286"/>
    <s v=""/>
    <s v=""/>
    <s v="42"/>
    <x v="2"/>
    <s v="EU"/>
    <s v="12"/>
    <s v="7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6"/>
    <n v="1547164108"/>
    <s v=""/>
    <s v=""/>
    <s v="42"/>
    <x v="2"/>
    <s v="EU"/>
    <s v="12"/>
    <s v="3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8"/>
    <n v="1547164108"/>
    <s v=""/>
    <s v=""/>
    <s v="52"/>
    <x v="0"/>
    <s v="EU"/>
    <s v="13"/>
    <s v="5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1"/>
    <n v="1547164108"/>
    <s v=""/>
    <s v=""/>
    <s v="42"/>
    <x v="2"/>
    <s v="EU"/>
    <s v="12"/>
    <s v="6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51"/>
    <n v="589865286"/>
    <s v=""/>
    <s v=""/>
    <s v="53"/>
    <x v="4"/>
    <s v="EU"/>
    <s v="22"/>
    <s v="4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99"/>
    <n v="1547164108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82"/>
    <n v="589865286"/>
    <s v=""/>
    <s v=""/>
    <s v="42"/>
    <x v="2"/>
    <s v="EU"/>
    <s v="12"/>
    <s v="1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06"/>
    <n v="589865286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1"/>
    <n v="589865286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68"/>
    <n v="589865286"/>
    <s v=""/>
    <s v=""/>
    <s v="42"/>
    <x v="2"/>
    <s v="EU"/>
    <s v="12"/>
    <s v="8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675"/>
    <n v="1261461742"/>
    <s v=""/>
    <s v="RG"/>
    <s v="2M"/>
    <x v="3"/>
    <s v="MY"/>
    <s v="2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72"/>
    <n v="1261461742"/>
    <s v=""/>
    <s v=""/>
    <s v="42"/>
    <x v="2"/>
    <s v="EU"/>
    <s v="1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19"/>
    <n v="1261461742"/>
    <s v="0"/>
    <s v=""/>
    <s v="41"/>
    <x v="1"/>
    <s v="EU"/>
    <s v="03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25"/>
    <n v="1261461742"/>
    <s v=""/>
    <s v="W"/>
    <s v="2M"/>
    <x v="3"/>
    <s v="MY"/>
    <s v="2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49"/>
    <n v="1261461742"/>
    <s v=""/>
    <s v="W"/>
    <s v="2M"/>
    <x v="3"/>
    <s v="MY"/>
    <s v="2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55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58"/>
    <n v="1261461742"/>
    <s v=""/>
    <s v=""/>
    <s v="52"/>
    <x v="0"/>
    <s v="EU"/>
    <s v="13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4283155"/>
    <n v="947152025"/>
    <s v="2"/>
    <s v="RS"/>
    <s v=""/>
    <x v="6"/>
    <s v="EU"/>
    <s v=""/>
    <s v="4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58"/>
    <n v="947152025"/>
    <s v="2"/>
    <s v="RS"/>
    <s v="S2"/>
    <x v="15"/>
    <s v="FW"/>
    <s v="1"/>
    <s v="5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64"/>
    <n v="947152025"/>
    <s v="2"/>
    <s v="RS"/>
    <s v="S1"/>
    <x v="16"/>
    <s v="FW"/>
    <s v="0"/>
    <s v="7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76"/>
    <n v="947152025"/>
    <s v=""/>
    <s v="RG"/>
    <s v=""/>
    <x v="6"/>
    <s v="EU"/>
    <s v=""/>
    <s v="1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79"/>
    <n v="947152025"/>
    <s v="2"/>
    <s v="RS"/>
    <s v=""/>
    <x v="6"/>
    <s v="EU"/>
    <s v=""/>
    <s v="1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94"/>
    <n v="947152025"/>
    <s v="2"/>
    <s v="RS"/>
    <s v=""/>
    <x v="6"/>
    <s v="EU"/>
    <s v=""/>
    <s v="17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97"/>
    <n v="947152025"/>
    <s v="2"/>
    <s v="RS"/>
    <s v=""/>
    <x v="6"/>
    <s v="EU"/>
    <s v=""/>
    <s v="18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24"/>
    <n v="348152464"/>
    <s v="0"/>
    <s v=""/>
    <s v="52"/>
    <x v="0"/>
    <s v="EU"/>
    <s v="13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30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27"/>
    <n v="348152464"/>
    <s v="0"/>
    <s v=""/>
    <s v="42"/>
    <x v="2"/>
    <s v="EU"/>
    <s v="12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54"/>
    <n v="348152464"/>
    <s v=""/>
    <s v=""/>
    <s v="42"/>
    <x v="2"/>
    <s v="EU"/>
    <s v="12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60"/>
    <n v="348152464"/>
    <s v="0"/>
    <s v=""/>
    <s v="42"/>
    <x v="2"/>
    <s v="EU"/>
    <s v="1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78"/>
    <n v="348152464"/>
    <s v=""/>
    <s v=""/>
    <s v="41"/>
    <x v="1"/>
    <s v="EU"/>
    <s v="03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02"/>
    <n v="348152464"/>
    <s v="0"/>
    <s v=""/>
    <s v="52"/>
    <x v="0"/>
    <s v="EU"/>
    <s v="13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05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08"/>
    <n v="348152464"/>
    <s v="0"/>
    <s v=""/>
    <s v="31"/>
    <x v="7"/>
    <s v="EU"/>
    <s v="0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29"/>
    <n v="348152464"/>
    <s v="0"/>
    <s v=""/>
    <s v="52"/>
    <x v="0"/>
    <s v="EU"/>
    <s v="13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35"/>
    <n v="348152464"/>
    <s v="0"/>
    <s v="RG"/>
    <s v="2M"/>
    <x v="3"/>
    <s v="MY"/>
    <s v="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41"/>
    <n v="348152464"/>
    <s v="0"/>
    <s v=""/>
    <s v="52"/>
    <x v="0"/>
    <s v="EU"/>
    <s v="13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44"/>
    <n v="348152464"/>
    <s v="0"/>
    <s v=""/>
    <s v="52"/>
    <x v="0"/>
    <s v="EU"/>
    <s v="13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59"/>
    <n v="348152464"/>
    <s v="0"/>
    <s v=""/>
    <s v="42"/>
    <x v="2"/>
    <s v="EU"/>
    <s v="12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73"/>
    <n v="52346421"/>
    <s v=""/>
    <s v=""/>
    <s v="41"/>
    <x v="1"/>
    <s v="EU"/>
    <s v="03"/>
    <s v="A2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4979"/>
    <n v="52346421"/>
    <s v=""/>
    <s v=""/>
    <s v="41"/>
    <x v="1"/>
    <s v="EU"/>
    <s v="03"/>
    <s v="A4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0"/>
    <n v="52346421"/>
    <s v=""/>
    <s v=""/>
    <s v="52"/>
    <x v="0"/>
    <s v="EU"/>
    <s v="13"/>
    <s v="B1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15"/>
    <n v="52346421"/>
    <s v=""/>
    <s v=""/>
    <s v="52"/>
    <x v="0"/>
    <s v="EU"/>
    <s v="13"/>
    <s v="B6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21"/>
    <n v="52346421"/>
    <s v=""/>
    <s v=""/>
    <s v="41"/>
    <x v="1"/>
    <s v="EU"/>
    <s v="03"/>
    <s v="B8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33"/>
    <n v="52346421"/>
    <s v="2"/>
    <s v="RS"/>
    <s v="S2"/>
    <x v="15"/>
    <s v="FW"/>
    <s v="1"/>
    <s v="3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377"/>
    <n v="348152464"/>
    <s v="0"/>
    <s v=""/>
    <s v="42"/>
    <x v="2"/>
    <s v="EU"/>
    <s v="12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80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92"/>
    <n v="348152464"/>
    <s v="0"/>
    <s v=""/>
    <s v="52"/>
    <x v="0"/>
    <s v="EU"/>
    <s v="13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01"/>
    <n v="348152464"/>
    <s v="0"/>
    <s v=""/>
    <s v="52"/>
    <x v="0"/>
    <s v="EU"/>
    <s v="13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0"/>
    <n v="348152464"/>
    <s v="0"/>
    <s v=""/>
    <s v="31"/>
    <x v="7"/>
    <s v="EU"/>
    <s v="0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3"/>
    <n v="348152464"/>
    <s v="0"/>
    <s v=""/>
    <s v="63"/>
    <x v="8"/>
    <s v="EU"/>
    <s v="2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6"/>
    <n v="348152464"/>
    <s v="0"/>
    <s v=""/>
    <s v="42"/>
    <x v="2"/>
    <s v="EU"/>
    <s v="12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9"/>
    <n v="348152464"/>
    <s v="0"/>
    <s v="UF"/>
    <s v="2M"/>
    <x v="3"/>
    <s v="MY"/>
    <s v="2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34"/>
    <n v="348152464"/>
    <s v="0"/>
    <s v=""/>
    <s v="52"/>
    <x v="0"/>
    <s v="EU"/>
    <s v="1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40"/>
    <n v="348152464"/>
    <s v="0"/>
    <s v="RG"/>
    <s v="2M"/>
    <x v="3"/>
    <s v="MY"/>
    <s v="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43"/>
    <n v="348152464"/>
    <s v="0"/>
    <s v="RG"/>
    <s v="3M"/>
    <x v="5"/>
    <s v="MY"/>
    <s v="3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61"/>
    <n v="348152464"/>
    <s v="0"/>
    <s v=""/>
    <s v="52"/>
    <x v="0"/>
    <s v="EU"/>
    <s v="13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67"/>
    <n v="348152464"/>
    <s v="0"/>
    <s v=""/>
    <s v="42"/>
    <x v="2"/>
    <s v="EU"/>
    <s v="1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76"/>
    <n v="348152464"/>
    <s v="0"/>
    <s v=""/>
    <s v="42"/>
    <x v="2"/>
    <s v="EU"/>
    <s v="12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79"/>
    <n v="348152464"/>
    <s v="0"/>
    <s v=""/>
    <s v="52"/>
    <x v="0"/>
    <s v="EU"/>
    <s v="13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82"/>
    <n v="348152464"/>
    <s v="0"/>
    <s v=""/>
    <s v="52"/>
    <x v="0"/>
    <s v="EU"/>
    <s v="1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94"/>
    <n v="348152464"/>
    <s v="0"/>
    <s v="W"/>
    <s v="2M"/>
    <x v="3"/>
    <s v="MY"/>
    <s v="2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0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3"/>
    <n v="348152464"/>
    <s v=""/>
    <s v="RG"/>
    <s v=""/>
    <x v="6"/>
    <s v="EU"/>
    <s v="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9"/>
    <n v="348152464"/>
    <s v="0"/>
    <s v=""/>
    <s v="52"/>
    <x v="0"/>
    <s v="EU"/>
    <s v="1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49"/>
    <n v="348152464"/>
    <s v="0"/>
    <s v=""/>
    <s v="31"/>
    <x v="7"/>
    <s v="EU"/>
    <s v="02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185"/>
    <n v="947152025"/>
    <s v="2"/>
    <s v="RS"/>
    <s v="S2"/>
    <x v="15"/>
    <s v="FW"/>
    <s v="1"/>
    <s v="14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32"/>
    <n v="348152464"/>
    <s v=""/>
    <s v="UF"/>
    <s v="3M"/>
    <x v="5"/>
    <s v="MY"/>
    <s v="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37"/>
    <n v="348152464"/>
    <s v="0"/>
    <s v=""/>
    <s v="52"/>
    <x v="0"/>
    <s v="EU"/>
    <s v="13"/>
    <s v="2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73"/>
    <n v="348152464"/>
    <s v="0"/>
    <s v="W"/>
    <s v="3M"/>
    <x v="5"/>
    <s v="MY"/>
    <s v="3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97"/>
    <n v="52346421"/>
    <s v=""/>
    <s v=""/>
    <s v="42"/>
    <x v="2"/>
    <s v="EU"/>
    <s v="12"/>
    <s v="A10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66"/>
    <n v="348152464"/>
    <s v="0"/>
    <s v=""/>
    <s v="42"/>
    <x v="2"/>
    <s v="EU"/>
    <s v="12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149"/>
    <n v="947152025"/>
    <s v="2"/>
    <s v="RS"/>
    <s v="S2"/>
    <x v="15"/>
    <s v="FW"/>
    <s v="1"/>
    <s v="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25003"/>
    <n v="52346421"/>
    <s v=""/>
    <s v=""/>
    <s v="21"/>
    <x v="9"/>
    <s v="EU"/>
    <s v="01"/>
    <s v="B2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09"/>
    <n v="947152025"/>
    <s v="2"/>
    <s v="RS"/>
    <s v=""/>
    <x v="6"/>
    <s v="EU"/>
    <s v=""/>
    <s v="2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69"/>
    <n v="348152464"/>
    <s v="0"/>
    <s v=""/>
    <s v="52"/>
    <x v="0"/>
    <s v="EU"/>
    <s v="13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85"/>
    <n v="348152464"/>
    <s v=""/>
    <s v=""/>
    <s v="31"/>
    <x v="7"/>
    <s v="EU"/>
    <s v="0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39"/>
    <n v="348152464"/>
    <s v="0"/>
    <s v=""/>
    <s v="42"/>
    <x v="2"/>
    <s v="EU"/>
    <s v="12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74"/>
    <n v="348152464"/>
    <s v="0"/>
    <s v=""/>
    <s v="63"/>
    <x v="8"/>
    <s v="EU"/>
    <s v="23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88"/>
    <n v="947152025"/>
    <s v=""/>
    <s v="UD"/>
    <s v=""/>
    <x v="6"/>
    <s v="EU"/>
    <s v=""/>
    <s v="15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17"/>
    <n v="348152464"/>
    <s v="0"/>
    <s v="RG"/>
    <s v="2M"/>
    <x v="3"/>
    <s v="MY"/>
    <s v="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52"/>
    <n v="348152464"/>
    <s v="0"/>
    <s v="RG"/>
    <s v="3M"/>
    <x v="5"/>
    <s v="MY"/>
    <s v="3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6"/>
    <n v="348152464"/>
    <s v="0"/>
    <s v=""/>
    <s v="52"/>
    <x v="0"/>
    <s v="EU"/>
    <s v="13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88"/>
    <n v="52346421"/>
    <s v=""/>
    <s v=""/>
    <s v="31"/>
    <x v="7"/>
    <s v="EU"/>
    <s v="02"/>
    <s v="A7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4970"/>
    <n v="52346421"/>
    <s v=""/>
    <s v=""/>
    <s v="41"/>
    <x v="1"/>
    <s v="EU"/>
    <s v="03"/>
    <s v="A1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6"/>
    <n v="52346421"/>
    <s v=""/>
    <s v=""/>
    <s v="52"/>
    <x v="0"/>
    <s v="EU"/>
    <s v="13"/>
    <s v="B3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91"/>
    <n v="348152464"/>
    <s v="0"/>
    <s v=""/>
    <s v="63"/>
    <x v="8"/>
    <s v="EU"/>
    <s v="23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42"/>
    <n v="348152464"/>
    <s v="0"/>
    <s v=""/>
    <s v="53"/>
    <x v="4"/>
    <s v="EU"/>
    <s v="2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88"/>
    <n v="348152464"/>
    <s v="0"/>
    <s v=""/>
    <s v="52"/>
    <x v="0"/>
    <s v="EU"/>
    <s v="1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72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12"/>
    <n v="52346421"/>
    <s v=""/>
    <s v=""/>
    <s v="52"/>
    <x v="0"/>
    <s v="EU"/>
    <s v="13"/>
    <s v="B5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398"/>
    <n v="348152464"/>
    <s v="0"/>
    <s v=""/>
    <s v="42"/>
    <x v="2"/>
    <s v="EU"/>
    <s v="12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14"/>
    <n v="348152464"/>
    <s v="0"/>
    <s v="RG"/>
    <s v="3M"/>
    <x v="5"/>
    <s v="MY"/>
    <s v="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06"/>
    <n v="947152025"/>
    <s v="2"/>
    <s v="RS"/>
    <s v="S2"/>
    <x v="15"/>
    <s v="FW"/>
    <s v="1"/>
    <s v="2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03"/>
    <n v="947152025"/>
    <s v="2"/>
    <s v="RS"/>
    <s v=""/>
    <x v="6"/>
    <s v="EU"/>
    <s v=""/>
    <s v="20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89"/>
    <n v="348152464"/>
    <s v="0"/>
    <s v=""/>
    <s v="52"/>
    <x v="0"/>
    <s v="EU"/>
    <s v="1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25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70"/>
    <n v="947152025"/>
    <s v="2"/>
    <s v="RS"/>
    <s v=""/>
    <x v="6"/>
    <s v="EU"/>
    <s v=""/>
    <s v="9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51"/>
    <n v="348152464"/>
    <s v="0"/>
    <s v="W"/>
    <s v="3M"/>
    <x v="5"/>
    <s v="MY"/>
    <s v="3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71"/>
    <n v="348152464"/>
    <s v="0"/>
    <s v=""/>
    <s v="42"/>
    <x v="2"/>
    <s v="EU"/>
    <s v="12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04"/>
    <n v="348152464"/>
    <s v="0"/>
    <s v="RG"/>
    <s v="2M"/>
    <x v="3"/>
    <s v="MY"/>
    <s v="2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70"/>
    <n v="348152464"/>
    <s v="0"/>
    <s v=""/>
    <s v="42"/>
    <x v="2"/>
    <s v="EU"/>
    <s v="1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33"/>
    <n v="348152464"/>
    <s v="0"/>
    <s v="RG"/>
    <s v="3M"/>
    <x v="5"/>
    <s v="MY"/>
    <s v="3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30"/>
    <n v="52346421"/>
    <s v=""/>
    <s v="RG"/>
    <s v=""/>
    <x v="6"/>
    <s v="EU"/>
    <s v=""/>
    <s v="1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365"/>
    <n v="348152464"/>
    <s v="0"/>
    <s v=""/>
    <s v="42"/>
    <x v="2"/>
    <s v="EU"/>
    <s v="1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82"/>
    <n v="947152025"/>
    <s v=""/>
    <s v="RG"/>
    <s v=""/>
    <x v="6"/>
    <s v="EU"/>
    <s v=""/>
    <s v="13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20"/>
    <n v="348152464"/>
    <s v="0"/>
    <s v=""/>
    <s v="63"/>
    <x v="8"/>
    <s v="EU"/>
    <s v="23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57"/>
    <n v="348152464"/>
    <s v=""/>
    <s v=""/>
    <s v="31"/>
    <x v="7"/>
    <s v="EU"/>
    <s v="02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90"/>
    <n v="348152464"/>
    <s v=""/>
    <s v=""/>
    <s v="31"/>
    <x v="7"/>
    <s v="EU"/>
    <s v="0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86"/>
    <n v="348152464"/>
    <s v="0"/>
    <s v=""/>
    <s v="31"/>
    <x v="7"/>
    <s v="EU"/>
    <s v="02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61"/>
    <n v="947152025"/>
    <s v="2"/>
    <s v="RS"/>
    <s v=""/>
    <x v="6"/>
    <s v="EU"/>
    <s v=""/>
    <s v="6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6"/>
    <n v="348152464"/>
    <s v="0"/>
    <s v=""/>
    <s v="31"/>
    <x v="7"/>
    <s v="EU"/>
    <s v="02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46"/>
    <n v="947152025"/>
    <s v="2"/>
    <s v="RS"/>
    <s v="S3"/>
    <x v="17"/>
    <s v="FW"/>
    <s v="2"/>
    <s v="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3"/>
    <n v="348152464"/>
    <s v="0"/>
    <s v=""/>
    <s v="52"/>
    <x v="0"/>
    <s v="EU"/>
    <s v="13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52"/>
    <n v="947152025"/>
    <s v="2"/>
    <s v="RS"/>
    <s v=""/>
    <x v="6"/>
    <s v="EU"/>
    <s v=""/>
    <s v="3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24994"/>
    <n v="52346421"/>
    <s v=""/>
    <s v=""/>
    <s v="52"/>
    <x v="0"/>
    <s v="EU"/>
    <s v="13"/>
    <s v="A9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173"/>
    <n v="947152025"/>
    <s v="2"/>
    <s v="RS"/>
    <s v="S2"/>
    <x v="15"/>
    <s v="FW"/>
    <s v="1"/>
    <s v="10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48"/>
    <n v="348152464"/>
    <s v=""/>
    <s v="RG"/>
    <s v=""/>
    <x v="6"/>
    <s v="EU"/>
    <s v="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75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47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91"/>
    <n v="52346421"/>
    <s v=""/>
    <s v=""/>
    <s v="41"/>
    <x v="1"/>
    <s v="EU"/>
    <s v="03"/>
    <s v="A8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9"/>
    <n v="52346421"/>
    <s v=""/>
    <s v=""/>
    <s v="52"/>
    <x v="0"/>
    <s v="EU"/>
    <s v="13"/>
    <s v="B4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368"/>
    <n v="348152464"/>
    <s v=""/>
    <s v=""/>
    <s v="42"/>
    <x v="2"/>
    <s v="EU"/>
    <s v="12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55"/>
    <n v="348152464"/>
    <s v="0"/>
    <s v="RG"/>
    <s v="3M"/>
    <x v="5"/>
    <s v="MY"/>
    <s v="3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5024"/>
    <n v="52346421"/>
    <s v=""/>
    <s v=""/>
    <s v="41"/>
    <x v="1"/>
    <s v="EU"/>
    <s v="03"/>
    <s v="B9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46"/>
    <n v="348152464"/>
    <s v="0"/>
    <s v=""/>
    <s v="52"/>
    <x v="0"/>
    <s v="EU"/>
    <s v="13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167"/>
    <n v="947152025"/>
    <s v="2"/>
    <s v="RS"/>
    <s v=""/>
    <x v="6"/>
    <s v="EU"/>
    <s v=""/>
    <s v="8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53"/>
    <n v="348152464"/>
    <s v="0"/>
    <s v="RG"/>
    <s v="2M"/>
    <x v="3"/>
    <s v="MY"/>
    <s v="2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5036"/>
    <n v="52346421"/>
    <s v="2"/>
    <s v="RS"/>
    <s v="S2"/>
    <x v="15"/>
    <s v="FW"/>
    <s v="1"/>
    <s v="4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464"/>
    <n v="348152464"/>
    <s v="0"/>
    <s v=""/>
    <s v="52"/>
    <x v="0"/>
    <s v="EU"/>
    <s v="1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323"/>
    <n v="348152464"/>
    <s v="0"/>
    <s v=""/>
    <s v="42"/>
    <x v="2"/>
    <s v="EU"/>
    <s v="12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50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76"/>
    <n v="52346421"/>
    <s v=""/>
    <s v=""/>
    <s v="41"/>
    <x v="1"/>
    <s v="EU"/>
    <s v="03"/>
    <s v="A3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07"/>
    <n v="348152464"/>
    <s v="0"/>
    <s v=""/>
    <s v="52"/>
    <x v="0"/>
    <s v="EU"/>
    <s v="1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24985"/>
    <n v="52346421"/>
    <s v=""/>
    <s v=""/>
    <s v="42"/>
    <x v="2"/>
    <s v="EU"/>
    <s v="12"/>
    <s v="A6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191"/>
    <n v="947152025"/>
    <s v=""/>
    <s v="NS"/>
    <s v=""/>
    <x v="6"/>
    <s v="EU"/>
    <s v=""/>
    <s v="16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428"/>
    <n v="348152464"/>
    <s v="0"/>
    <s v=""/>
    <s v="63"/>
    <x v="8"/>
    <s v="EU"/>
    <s v="23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236"/>
    <n v="348152464"/>
    <s v="0"/>
    <s v=""/>
    <s v="52"/>
    <x v="0"/>
    <s v="EU"/>
    <s v="13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95"/>
    <n v="348152464"/>
    <s v="0"/>
    <s v="W"/>
    <s v="2M"/>
    <x v="3"/>
    <s v="MY"/>
    <s v="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281"/>
    <n v="348152464"/>
    <s v="0"/>
    <s v="RG"/>
    <s v="2M"/>
    <x v="3"/>
    <s v="MY"/>
    <s v="2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62"/>
    <n v="348152464"/>
    <s v="0"/>
    <s v=""/>
    <s v="52"/>
    <x v="0"/>
    <s v="EU"/>
    <s v="13"/>
    <s v="2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22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11"/>
    <n v="348152464"/>
    <s v="0"/>
    <s v=""/>
    <s v="31"/>
    <x v="7"/>
    <s v="EU"/>
    <s v="02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38"/>
    <n v="348152464"/>
    <s v="0"/>
    <s v=""/>
    <s v="52"/>
    <x v="0"/>
    <s v="EU"/>
    <s v="1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45"/>
    <n v="348152464"/>
    <s v="0"/>
    <s v=""/>
    <s v="42"/>
    <x v="2"/>
    <s v="EU"/>
    <s v="1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84"/>
    <n v="348152464"/>
    <s v="0"/>
    <s v=""/>
    <s v="41"/>
    <x v="1"/>
    <s v="EU"/>
    <s v="0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00"/>
    <n v="947152025"/>
    <s v="1"/>
    <s v="W"/>
    <s v="3M"/>
    <x v="5"/>
    <s v="MY"/>
    <s v="3"/>
    <s v="19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9"/>
    <n v="348152464"/>
    <s v="0"/>
    <s v=""/>
    <s v="42"/>
    <x v="2"/>
    <s v="EU"/>
    <s v="12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83"/>
    <n v="348152464"/>
    <s v="0"/>
    <s v=""/>
    <s v="31"/>
    <x v="7"/>
    <s v="EU"/>
    <s v="0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97"/>
    <n v="348152464"/>
    <s v=""/>
    <s v="RG"/>
    <s v=""/>
    <x v="6"/>
    <s v="EU"/>
    <s v="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82"/>
    <n v="52346421"/>
    <s v=""/>
    <s v=""/>
    <s v="31"/>
    <x v="7"/>
    <s v="EU"/>
    <s v="02"/>
    <s v="A5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18"/>
    <n v="348152464"/>
    <s v="0"/>
    <s v=""/>
    <s v="42"/>
    <x v="2"/>
    <s v="EU"/>
    <s v="12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18"/>
    <n v="52346421"/>
    <s v=""/>
    <s v=""/>
    <s v="52"/>
    <x v="0"/>
    <s v="EU"/>
    <s v="13"/>
    <s v="B7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27"/>
    <n v="52346421"/>
    <s v=""/>
    <s v=""/>
    <s v="52"/>
    <x v="0"/>
    <s v="EU"/>
    <s v="13"/>
    <s v="B10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21"/>
    <n v="348152464"/>
    <s v="0"/>
    <s v=""/>
    <s v="63"/>
    <x v="8"/>
    <s v="EU"/>
    <s v="23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63"/>
    <n v="348152464"/>
    <s v="0"/>
    <s v=""/>
    <s v="31"/>
    <x v="7"/>
    <s v="EU"/>
    <s v="02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31"/>
    <n v="348152464"/>
    <s v="0"/>
    <s v=""/>
    <s v="52"/>
    <x v="0"/>
    <s v="EU"/>
    <s v="13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58"/>
    <n v="348152464"/>
    <s v="0"/>
    <s v=""/>
    <s v="42"/>
    <x v="2"/>
    <s v="EU"/>
    <s v="1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2941433"/>
    <n v="331382442"/>
    <s v=""/>
    <s v=""/>
    <s v="53"/>
    <x v="4"/>
    <s v="EU"/>
    <s v="2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6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9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42"/>
    <n v="331382442"/>
    <s v=""/>
    <s v=""/>
    <s v="52"/>
    <x v="0"/>
    <s v="EU"/>
    <s v="13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45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63"/>
    <n v="331382442"/>
    <s v=""/>
    <s v=""/>
    <s v="53"/>
    <x v="4"/>
    <s v="EU"/>
    <s v="2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72"/>
    <n v="331382442"/>
    <s v=""/>
    <s v=""/>
    <s v="53"/>
    <x v="4"/>
    <s v="EU"/>
    <s v="2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84"/>
    <n v="331382442"/>
    <s v=""/>
    <s v=""/>
    <s v="53"/>
    <x v="4"/>
    <s v="EU"/>
    <s v="2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6"/>
    <n v="331382442"/>
    <s v=""/>
    <s v="RG"/>
    <s v="2M"/>
    <x v="3"/>
    <s v="MY"/>
    <s v="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11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2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4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50"/>
    <n v="331382442"/>
    <s v="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56"/>
    <n v="331382442"/>
    <s v=""/>
    <s v="RG"/>
    <s v="2M"/>
    <x v="3"/>
    <s v="MY"/>
    <s v="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77"/>
    <n v="331382442"/>
    <s v=""/>
    <s v=""/>
    <s v="53"/>
    <x v="4"/>
    <s v="EU"/>
    <s v="2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83"/>
    <n v="331382442"/>
    <s v=""/>
    <s v="UD"/>
    <s v=""/>
    <x v="6"/>
    <s v="EU"/>
    <s v="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95"/>
    <n v="331382442"/>
    <s v=""/>
    <s v=""/>
    <s v="52"/>
    <x v="0"/>
    <s v="EU"/>
    <s v="13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10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25"/>
    <n v="331382442"/>
    <s v=""/>
    <s v=""/>
    <s v="52"/>
    <x v="0"/>
    <s v="EU"/>
    <s v="13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37"/>
    <n v="331382442"/>
    <s v=""/>
    <s v=""/>
    <s v="53"/>
    <x v="4"/>
    <s v="EU"/>
    <s v="2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43"/>
    <n v="331382442"/>
    <s v=""/>
    <s v=""/>
    <s v="53"/>
    <x v="4"/>
    <s v="EU"/>
    <s v="2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64"/>
    <n v="331382442"/>
    <s v="0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70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4"/>
    <n v="331382442"/>
    <s v=""/>
    <s v=""/>
    <s v="53"/>
    <x v="4"/>
    <s v="EU"/>
    <s v="2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03"/>
    <n v="331382442"/>
    <s v=""/>
    <s v=""/>
    <s v="53"/>
    <x v="4"/>
    <s v="EU"/>
    <s v="2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06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5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8"/>
    <n v="331382442"/>
    <s v=""/>
    <s v=""/>
    <s v="52"/>
    <x v="0"/>
    <s v="EU"/>
    <s v="1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63"/>
    <n v="331382442"/>
    <s v=""/>
    <s v="RG"/>
    <s v="3M"/>
    <x v="5"/>
    <s v="MY"/>
    <s v="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72"/>
    <n v="331382442"/>
    <s v=""/>
    <s v="RG"/>
    <s v="2M"/>
    <x v="3"/>
    <s v="MY"/>
    <s v="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69"/>
    <n v="331382442"/>
    <s v=""/>
    <s v="RG"/>
    <s v="3M"/>
    <x v="5"/>
    <s v="MY"/>
    <s v="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90"/>
    <n v="331382442"/>
    <s v="0"/>
    <s v=""/>
    <s v="42"/>
    <x v="2"/>
    <s v="EU"/>
    <s v="1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93"/>
    <n v="331382442"/>
    <s v="0"/>
    <s v=""/>
    <s v="42"/>
    <x v="2"/>
    <s v="EU"/>
    <s v="1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96"/>
    <n v="331382442"/>
    <s v="0"/>
    <s v=""/>
    <s v="42"/>
    <x v="2"/>
    <s v="EU"/>
    <s v="1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802"/>
    <n v="331382442"/>
    <s v=""/>
    <s v="RG"/>
    <s v="2M"/>
    <x v="3"/>
    <s v="MY"/>
    <s v="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3008902"/>
    <n v="607358362"/>
    <s v="1"/>
    <s v=""/>
    <s v="42"/>
    <x v="2"/>
    <s v="EU"/>
    <s v="12"/>
    <s v="1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05"/>
    <n v="607358362"/>
    <s v="0"/>
    <s v="RG"/>
    <s v="2M"/>
    <x v="3"/>
    <s v="MY"/>
    <s v="2"/>
    <s v="1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1"/>
    <n v="607358362"/>
    <s v="0"/>
    <s v=""/>
    <s v="42"/>
    <x v="2"/>
    <s v="EU"/>
    <s v="12"/>
    <s v="1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4"/>
    <n v="607358362"/>
    <s v="1"/>
    <s v=""/>
    <s v="42"/>
    <x v="2"/>
    <s v="EU"/>
    <s v="12"/>
    <s v="1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38"/>
    <n v="607358362"/>
    <s v="0"/>
    <s v="RG"/>
    <s v="3M"/>
    <x v="5"/>
    <s v="MY"/>
    <s v="3"/>
    <s v="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56"/>
    <n v="607358362"/>
    <s v="0"/>
    <s v=""/>
    <s v="42"/>
    <x v="2"/>
    <s v="EU"/>
    <s v="12"/>
    <s v="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71"/>
    <n v="607358362"/>
    <s v="1"/>
    <s v=""/>
    <s v="42"/>
    <x v="2"/>
    <s v="EU"/>
    <s v="12"/>
    <s v="1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298"/>
    <n v="331382442"/>
    <s v=""/>
    <s v=""/>
    <s v="31"/>
    <x v="7"/>
    <s v="EU"/>
    <s v="0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07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748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67"/>
    <n v="331382442"/>
    <s v=""/>
    <s v=""/>
    <s v="53"/>
    <x v="4"/>
    <s v="EU"/>
    <s v="2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406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55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00"/>
    <n v="331382442"/>
    <s v="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2"/>
    <n v="331382442"/>
    <s v=""/>
    <s v=""/>
    <s v="52"/>
    <x v="0"/>
    <s v="EU"/>
    <s v="13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80"/>
    <n v="607358362"/>
    <s v="0"/>
    <s v=""/>
    <s v="42"/>
    <x v="2"/>
    <s v="EU"/>
    <s v="12"/>
    <s v="1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46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805"/>
    <n v="331382442"/>
    <s v="0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388"/>
    <n v="331382442"/>
    <s v=""/>
    <s v=""/>
    <s v="52"/>
    <x v="0"/>
    <s v="EU"/>
    <s v="1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57"/>
    <n v="331382442"/>
    <s v=""/>
    <s v=""/>
    <s v="53"/>
    <x v="4"/>
    <s v="EU"/>
    <s v="2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02"/>
    <n v="331382442"/>
    <s v=""/>
    <s v="RG"/>
    <s v=""/>
    <x v="6"/>
    <s v="EU"/>
    <s v="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739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68"/>
    <n v="331382442"/>
    <s v=""/>
    <s v=""/>
    <s v="63"/>
    <x v="8"/>
    <s v="EU"/>
    <s v="2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52"/>
    <n v="331382442"/>
    <s v=""/>
    <s v="RG"/>
    <s v="2M"/>
    <x v="3"/>
    <s v="MY"/>
    <s v="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685"/>
    <n v="331382442"/>
    <s v=""/>
    <s v="RG"/>
    <s v="2M"/>
    <x v="3"/>
    <s v="MY"/>
    <s v="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98"/>
    <n v="331382442"/>
    <s v=""/>
    <s v="RG"/>
    <s v="3M"/>
    <x v="5"/>
    <s v="MY"/>
    <s v="3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28"/>
    <n v="331382442"/>
    <s v=""/>
    <s v=""/>
    <s v="63"/>
    <x v="8"/>
    <s v="EU"/>
    <s v="23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57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61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24"/>
    <n v="331382442"/>
    <s v=""/>
    <s v=""/>
    <s v="52"/>
    <x v="0"/>
    <s v="EU"/>
    <s v="13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7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28"/>
    <n v="331382442"/>
    <s v=""/>
    <s v=""/>
    <s v="21"/>
    <x v="9"/>
    <s v="EU"/>
    <s v="01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69"/>
    <n v="331382442"/>
    <s v=""/>
    <s v=""/>
    <s v="41"/>
    <x v="1"/>
    <s v="EU"/>
    <s v="0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3"/>
    <n v="331382442"/>
    <s v=""/>
    <s v=""/>
    <s v="52"/>
    <x v="0"/>
    <s v="EU"/>
    <s v="1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74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0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75"/>
    <n v="331382442"/>
    <s v=""/>
    <s v=""/>
    <s v="63"/>
    <x v="8"/>
    <s v="EU"/>
    <s v="23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86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92"/>
    <n v="331382442"/>
    <s v=""/>
    <s v="UD"/>
    <s v=""/>
    <x v="6"/>
    <s v="EU"/>
    <s v="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34"/>
    <n v="331382442"/>
    <s v=""/>
    <s v="NS"/>
    <s v=""/>
    <x v="6"/>
    <s v="EU"/>
    <s v="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54"/>
    <n v="331382442"/>
    <s v=""/>
    <s v="RG"/>
    <s v="2M"/>
    <x v="3"/>
    <s v="MY"/>
    <s v="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9"/>
    <n v="331382442"/>
    <s v=""/>
    <s v=""/>
    <s v="53"/>
    <x v="4"/>
    <s v="EU"/>
    <s v="2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866"/>
    <n v="607358362"/>
    <s v="0"/>
    <s v="RG"/>
    <s v="2M"/>
    <x v="3"/>
    <s v="MY"/>
    <s v="2"/>
    <s v="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7"/>
    <n v="607358362"/>
    <s v="2"/>
    <s v="RS"/>
    <s v="S2"/>
    <x v="15"/>
    <s v="FW"/>
    <s v="1"/>
    <s v="2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529"/>
    <n v="331382442"/>
    <s v=""/>
    <s v=""/>
    <s v="53"/>
    <x v="4"/>
    <s v="EU"/>
    <s v="2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35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49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45"/>
    <n v="331382442"/>
    <s v=""/>
    <s v="UF"/>
    <s v="3M"/>
    <x v="5"/>
    <s v="MY"/>
    <s v="3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60"/>
    <n v="331382442"/>
    <s v=""/>
    <s v="RG"/>
    <s v="2M"/>
    <x v="3"/>
    <s v="MY"/>
    <s v="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887"/>
    <n v="607358362"/>
    <s v="0"/>
    <s v=""/>
    <s v="22"/>
    <x v="18"/>
    <s v="EU"/>
    <s v="10"/>
    <s v="1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0"/>
    <n v="607358362"/>
    <s v="1"/>
    <s v=""/>
    <s v="42"/>
    <x v="2"/>
    <s v="EU"/>
    <s v="12"/>
    <s v="1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45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05"/>
    <n v="331382442"/>
    <s v=""/>
    <s v=""/>
    <s v="63"/>
    <x v="8"/>
    <s v="EU"/>
    <s v="23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16"/>
    <n v="331382442"/>
    <s v=""/>
    <s v="RG"/>
    <s v=""/>
    <x v="6"/>
    <s v="EU"/>
    <s v="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400"/>
    <n v="331382442"/>
    <s v=""/>
    <s v=""/>
    <s v="53"/>
    <x v="4"/>
    <s v="EU"/>
    <s v="2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0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41"/>
    <n v="607358362"/>
    <s v="0"/>
    <s v=""/>
    <s v="52"/>
    <x v="0"/>
    <s v="EU"/>
    <s v="13"/>
    <s v="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24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9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32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99"/>
    <n v="331382442"/>
    <s v=""/>
    <s v=""/>
    <s v="53"/>
    <x v="4"/>
    <s v="EU"/>
    <s v="2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78"/>
    <n v="331382442"/>
    <s v="0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3008899"/>
    <n v="607358362"/>
    <s v="0"/>
    <s v=""/>
    <s v="42"/>
    <x v="2"/>
    <s v="EU"/>
    <s v="12"/>
    <s v="1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5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15"/>
    <n v="331382442"/>
    <s v=""/>
    <s v=""/>
    <s v="53"/>
    <x v="4"/>
    <s v="EU"/>
    <s v="2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0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959"/>
    <n v="607358362"/>
    <s v="0"/>
    <s v=""/>
    <s v="42"/>
    <x v="2"/>
    <s v="EU"/>
    <s v="12"/>
    <s v="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12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42"/>
    <n v="331382442"/>
    <s v=""/>
    <s v=""/>
    <s v="53"/>
    <x v="4"/>
    <s v="EU"/>
    <s v="2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481"/>
    <n v="331382442"/>
    <s v=""/>
    <s v=""/>
    <s v="53"/>
    <x v="4"/>
    <s v="EU"/>
    <s v="2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721"/>
    <n v="331382442"/>
    <s v=""/>
    <s v=""/>
    <s v="42"/>
    <x v="2"/>
    <s v="EU"/>
    <s v="1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82"/>
    <n v="331382442"/>
    <s v=""/>
    <s v="UF"/>
    <s v="3M"/>
    <x v="5"/>
    <s v="MY"/>
    <s v="3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65"/>
    <n v="331382442"/>
    <s v=""/>
    <s v=""/>
    <s v="53"/>
    <x v="4"/>
    <s v="EU"/>
    <s v="2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66"/>
    <n v="331382442"/>
    <s v=""/>
    <s v="RG"/>
    <s v="2M"/>
    <x v="3"/>
    <s v="MY"/>
    <s v="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962"/>
    <n v="607358362"/>
    <s v="1"/>
    <s v=""/>
    <s v="42"/>
    <x v="2"/>
    <s v="EU"/>
    <s v="12"/>
    <s v="1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83"/>
    <n v="607358362"/>
    <s v=""/>
    <s v="UD"/>
    <s v=""/>
    <x v="6"/>
    <s v="EU"/>
    <s v=""/>
    <s v="1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49"/>
    <n v="331382442"/>
    <s v=""/>
    <s v=""/>
    <s v="52"/>
    <x v="0"/>
    <s v="EU"/>
    <s v="13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0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44"/>
    <n v="331382442"/>
    <s v=""/>
    <s v="RG"/>
    <s v="3M"/>
    <x v="5"/>
    <s v="MY"/>
    <s v="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22"/>
    <n v="331382442"/>
    <s v=""/>
    <s v=""/>
    <s v="53"/>
    <x v="4"/>
    <s v="EU"/>
    <s v="2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04"/>
    <n v="331382442"/>
    <s v=""/>
    <s v=""/>
    <s v="32"/>
    <x v="11"/>
    <s v="EU"/>
    <s v="11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19"/>
    <n v="331382442"/>
    <s v=""/>
    <s v=""/>
    <s v="42"/>
    <x v="2"/>
    <s v="EU"/>
    <s v="1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81"/>
    <n v="331382442"/>
    <s v=""/>
    <s v=""/>
    <s v="63"/>
    <x v="8"/>
    <s v="EU"/>
    <s v="23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337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953"/>
    <n v="607358362"/>
    <s v="1"/>
    <s v=""/>
    <s v="42"/>
    <x v="2"/>
    <s v="EU"/>
    <s v="12"/>
    <s v="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7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27"/>
    <n v="331382442"/>
    <s v=""/>
    <s v=""/>
    <s v="42"/>
    <x v="2"/>
    <s v="EU"/>
    <s v="1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10"/>
    <n v="331382442"/>
    <s v=""/>
    <s v=""/>
    <s v="52"/>
    <x v="0"/>
    <s v="EU"/>
    <s v="13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64"/>
    <n v="331382442"/>
    <s v=""/>
    <s v="NS"/>
    <s v=""/>
    <x v="6"/>
    <s v="EU"/>
    <s v="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18"/>
    <n v="331382442"/>
    <s v=""/>
    <s v=""/>
    <s v="42"/>
    <x v="2"/>
    <s v="EU"/>
    <s v="1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16"/>
    <n v="331382442"/>
    <s v=""/>
    <s v=""/>
    <s v="52"/>
    <x v="0"/>
    <s v="EU"/>
    <s v="13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40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869"/>
    <n v="607358362"/>
    <s v="0"/>
    <s v=""/>
    <s v="42"/>
    <x v="2"/>
    <s v="EU"/>
    <s v="12"/>
    <s v="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3"/>
    <n v="607358362"/>
    <s v="1"/>
    <s v=""/>
    <s v="42"/>
    <x v="2"/>
    <s v="EU"/>
    <s v="12"/>
    <s v="1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08"/>
    <n v="607358362"/>
    <s v="0"/>
    <s v=""/>
    <s v="42"/>
    <x v="2"/>
    <s v="EU"/>
    <s v="12"/>
    <s v="1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70"/>
    <n v="331382442"/>
    <s v=""/>
    <s v=""/>
    <s v="31"/>
    <x v="7"/>
    <s v="EU"/>
    <s v="0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36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91"/>
    <n v="331382442"/>
    <s v=""/>
    <s v="RG"/>
    <s v="2M"/>
    <x v="3"/>
    <s v="MY"/>
    <s v="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40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31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860"/>
    <n v="607358362"/>
    <s v="0"/>
    <s v="W"/>
    <s v="2M"/>
    <x v="3"/>
    <s v="MY"/>
    <s v="2"/>
    <s v="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23"/>
    <n v="607358362"/>
    <s v="0"/>
    <s v=""/>
    <s v="42"/>
    <x v="2"/>
    <s v="EU"/>
    <s v="12"/>
    <s v="2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75"/>
    <n v="607358362"/>
    <s v="0"/>
    <s v=""/>
    <s v="42"/>
    <x v="2"/>
    <s v="EU"/>
    <s v="12"/>
    <s v="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775"/>
    <n v="331382442"/>
    <s v="0"/>
    <s v="RG"/>
    <s v="2M"/>
    <x v="3"/>
    <s v="MY"/>
    <s v="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55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5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872"/>
    <n v="607358362"/>
    <s v="1"/>
    <s v=""/>
    <s v="42"/>
    <x v="2"/>
    <s v="EU"/>
    <s v="12"/>
    <s v="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32"/>
    <n v="607358362"/>
    <s v="0"/>
    <s v=""/>
    <s v="32"/>
    <x v="11"/>
    <s v="EU"/>
    <s v="11"/>
    <s v="2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652"/>
    <n v="331382442"/>
    <s v=""/>
    <s v=""/>
    <s v="52"/>
    <x v="0"/>
    <s v="EU"/>
    <s v="13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13"/>
    <n v="331382442"/>
    <s v=""/>
    <s v=""/>
    <s v="52"/>
    <x v="0"/>
    <s v="EU"/>
    <s v="1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67"/>
    <n v="331382442"/>
    <s v=""/>
    <s v=""/>
    <s v="52"/>
    <x v="0"/>
    <s v="EU"/>
    <s v="13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541"/>
    <n v="331382442"/>
    <s v=""/>
    <s v=""/>
    <s v="42"/>
    <x v="2"/>
    <s v="EU"/>
    <s v="1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487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07"/>
    <n v="331382442"/>
    <s v=""/>
    <s v=""/>
    <s v="63"/>
    <x v="8"/>
    <s v="EU"/>
    <s v="23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884"/>
    <n v="607358362"/>
    <s v="0"/>
    <s v=""/>
    <s v="52"/>
    <x v="0"/>
    <s v="EU"/>
    <s v="13"/>
    <s v="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6"/>
    <n v="607358362"/>
    <s v="1"/>
    <s v=""/>
    <s v="42"/>
    <x v="2"/>
    <s v="EU"/>
    <s v="12"/>
    <s v="1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43"/>
    <n v="331382442"/>
    <s v=""/>
    <s v=""/>
    <s v="42"/>
    <x v="2"/>
    <s v="EU"/>
    <s v="1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514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82"/>
    <n v="331382442"/>
    <s v=""/>
    <s v=""/>
    <s v="53"/>
    <x v="4"/>
    <s v="EU"/>
    <s v="2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51"/>
    <n v="331382442"/>
    <s v=""/>
    <s v=""/>
    <s v="42"/>
    <x v="2"/>
    <s v="EU"/>
    <s v="1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977"/>
    <n v="607358362"/>
    <s v="2"/>
    <s v="UF"/>
    <s v=""/>
    <x v="6"/>
    <s v="EU"/>
    <s v=""/>
    <s v="1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754"/>
    <n v="331382442"/>
    <s v=""/>
    <s v=""/>
    <s v="63"/>
    <x v="8"/>
    <s v="EU"/>
    <s v="23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34"/>
    <n v="331382442"/>
    <s v=""/>
    <s v=""/>
    <s v="53"/>
    <x v="4"/>
    <s v="EU"/>
    <s v="2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968"/>
    <n v="607358362"/>
    <s v="0"/>
    <s v=""/>
    <s v="32"/>
    <x v="11"/>
    <s v="EU"/>
    <s v="11"/>
    <s v="1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295"/>
    <n v="331382442"/>
    <s v=""/>
    <s v=""/>
    <s v="42"/>
    <x v="2"/>
    <s v="EU"/>
    <s v="1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48"/>
    <n v="331382442"/>
    <s v=""/>
    <s v=""/>
    <s v="31"/>
    <x v="7"/>
    <s v="EU"/>
    <s v="0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26"/>
    <n v="331382442"/>
    <s v=""/>
    <s v=""/>
    <s v="42"/>
    <x v="2"/>
    <s v="EU"/>
    <s v="1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62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863"/>
    <n v="607358362"/>
    <s v="1"/>
    <s v=""/>
    <s v="42"/>
    <x v="2"/>
    <s v="EU"/>
    <s v="12"/>
    <s v="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47"/>
    <n v="607358362"/>
    <s v="2"/>
    <s v="RS"/>
    <s v="S2"/>
    <x v="15"/>
    <s v="FW"/>
    <s v="1"/>
    <s v="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60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935"/>
    <n v="607358362"/>
    <s v="0"/>
    <s v=""/>
    <s v="32"/>
    <x v="11"/>
    <s v="EU"/>
    <s v="11"/>
    <s v="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517"/>
    <n v="331382442"/>
    <s v=""/>
    <s v=""/>
    <s v="31"/>
    <x v="7"/>
    <s v="EU"/>
    <s v="0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53"/>
    <n v="331382442"/>
    <s v=""/>
    <s v=""/>
    <s v="53"/>
    <x v="4"/>
    <s v="EU"/>
    <s v="2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920"/>
    <n v="607358362"/>
    <s v="0"/>
    <s v=""/>
    <s v="42"/>
    <x v="2"/>
    <s v="EU"/>
    <s v="12"/>
    <s v="2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676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1"/>
    <n v="331382442"/>
    <s v=""/>
    <s v=""/>
    <s v="52"/>
    <x v="0"/>
    <s v="EU"/>
    <s v="13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878"/>
    <n v="607358362"/>
    <s v="1"/>
    <s v=""/>
    <s v="42"/>
    <x v="2"/>
    <s v="EU"/>
    <s v="12"/>
    <s v="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580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79"/>
    <n v="331382442"/>
    <s v=""/>
    <s v="RG"/>
    <s v=""/>
    <x v="6"/>
    <s v="EU"/>
    <s v="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61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733"/>
    <n v="331382442"/>
    <s v=""/>
    <s v="RG"/>
    <s v="2M"/>
    <x v="3"/>
    <s v="MY"/>
    <s v="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65"/>
    <n v="607358362"/>
    <s v="0"/>
    <s v="RG"/>
    <s v="1M"/>
    <x v="14"/>
    <s v="MY"/>
    <s v="1"/>
    <s v="1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520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30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881"/>
    <n v="607358362"/>
    <s v="0"/>
    <s v=""/>
    <s v="52"/>
    <x v="0"/>
    <s v="EU"/>
    <s v="13"/>
    <s v="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50"/>
    <n v="607358362"/>
    <s v="0"/>
    <s v=""/>
    <s v="52"/>
    <x v="0"/>
    <s v="EU"/>
    <s v="13"/>
    <s v="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26"/>
    <n v="607358362"/>
    <s v="0"/>
    <s v="RG"/>
    <s v="1M"/>
    <x v="14"/>
    <s v="MY"/>
    <s v="1"/>
    <s v="2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76"/>
    <n v="331382442"/>
    <s v="0"/>
    <s v=""/>
    <s v="52"/>
    <x v="0"/>
    <s v="EU"/>
    <s v="13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71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79"/>
    <n v="331382442"/>
    <s v=""/>
    <s v="RG"/>
    <s v=""/>
    <x v="6"/>
    <s v="EU"/>
    <s v="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0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31"/>
    <n v="331382442"/>
    <s v=""/>
    <s v=""/>
    <s v="53"/>
    <x v="4"/>
    <s v="EU"/>
    <s v="2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04"/>
    <n v="331382442"/>
    <s v=""/>
    <s v=""/>
    <s v="31"/>
    <x v="7"/>
    <s v="EU"/>
    <s v="0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929"/>
    <n v="607358362"/>
    <s v="0"/>
    <s v=""/>
    <s v="32"/>
    <x v="11"/>
    <s v="EU"/>
    <s v="11"/>
    <s v="2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466"/>
    <n v="331382442"/>
    <s v=""/>
    <s v=""/>
    <s v="53"/>
    <x v="4"/>
    <s v="EU"/>
    <s v="2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944"/>
    <n v="607358362"/>
    <s v="0"/>
    <s v=""/>
    <s v="52"/>
    <x v="0"/>
    <s v="EU"/>
    <s v="13"/>
    <s v="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688"/>
    <n v="331382442"/>
    <s v=""/>
    <s v=""/>
    <s v="42"/>
    <x v="2"/>
    <s v="EU"/>
    <s v="1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89"/>
    <n v="331382442"/>
    <s v=""/>
    <s v=""/>
    <s v="53"/>
    <x v="4"/>
    <s v="EU"/>
    <s v="2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974"/>
    <n v="607358362"/>
    <s v="0"/>
    <s v=""/>
    <s v="42"/>
    <x v="2"/>
    <s v="EU"/>
    <s v="12"/>
    <s v="1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19"/>
    <n v="331382442"/>
    <s v=""/>
    <s v=""/>
    <s v="31"/>
    <x v="7"/>
    <s v="EU"/>
    <s v="0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22"/>
    <n v="331382442"/>
    <s v=""/>
    <s v=""/>
    <s v="31"/>
    <x v="7"/>
    <s v="EU"/>
    <s v="0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25"/>
    <n v="331382442"/>
    <s v=""/>
    <s v="NS"/>
    <s v=""/>
    <x v="6"/>
    <s v="EU"/>
    <s v="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55"/>
    <n v="331382442"/>
    <s v=""/>
    <s v=""/>
    <s v="41"/>
    <x v="1"/>
    <s v="EU"/>
    <s v="03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85"/>
    <n v="331382442"/>
    <s v=""/>
    <s v=""/>
    <s v="42"/>
    <x v="2"/>
    <s v="EU"/>
    <s v="1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94"/>
    <n v="331382442"/>
    <s v=""/>
    <s v=""/>
    <s v="41"/>
    <x v="1"/>
    <s v="EU"/>
    <s v="0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03"/>
    <n v="331382442"/>
    <s v=""/>
    <s v=""/>
    <s v="42"/>
    <x v="2"/>
    <s v="EU"/>
    <s v="1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21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0"/>
    <n v="331382442"/>
    <s v=""/>
    <s v="RG"/>
    <s v="2M"/>
    <x v="3"/>
    <s v="MY"/>
    <s v="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-1003793677"/>
    <n v="-1000011233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89"/>
    <n v="-1000011233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9"/>
    <n v="-1000011233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36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35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375"/>
    <n v="-1000011229"/>
    <s v=""/>
    <s v="RG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8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389"/>
    <n v="-1000011229"/>
    <s v=""/>
    <s v=""/>
    <s v="2M"/>
    <x v="3"/>
    <s v="MY"/>
    <s v="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9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0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0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2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42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435"/>
    <n v="-1000011229"/>
    <s v=""/>
    <s v=""/>
    <s v="2M"/>
    <x v="3"/>
    <s v="MY"/>
    <s v="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37"/>
    <n v="-1000011229"/>
    <s v=""/>
    <s v=""/>
    <s v="31"/>
    <x v="7"/>
    <s v="EU"/>
    <s v="0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3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4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2547"/>
    <n v="-1000011217"/>
    <s v=""/>
    <s v=""/>
    <s v="41"/>
    <x v="1"/>
    <s v="EU"/>
    <s v="03"/>
    <s v="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3"/>
    <n v="-1000011217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9"/>
    <n v="-1000011217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5"/>
    <n v="-1000011217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7"/>
    <n v="-1000011217"/>
    <s v=""/>
    <s v=""/>
    <s v="31"/>
    <x v="7"/>
    <s v="EU"/>
    <s v="02"/>
    <s v="1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9"/>
    <n v="-1000011217"/>
    <s v=""/>
    <s v="RG"/>
    <s v=""/>
    <x v="6"/>
    <s v=""/>
    <s v=""/>
    <s v="1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67"/>
    <n v="-1000011217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69"/>
    <n v="-1000011217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71"/>
    <n v="-1000011233"/>
    <s v=""/>
    <s v=""/>
    <s v="52"/>
    <x v="0"/>
    <s v="EU"/>
    <s v="13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9"/>
    <n v="-1000011233"/>
    <s v=""/>
    <s v=""/>
    <s v="52"/>
    <x v="0"/>
    <s v="EU"/>
    <s v="13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81"/>
    <n v="-1000011233"/>
    <s v=""/>
    <s v=""/>
    <s v="2M"/>
    <x v="3"/>
    <s v="MY"/>
    <s v="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3"/>
    <n v="-1000011233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5"/>
    <n v="-1000011233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1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17"/>
    <n v="-1000011233"/>
    <s v=""/>
    <s v=""/>
    <s v="32"/>
    <x v="11"/>
    <s v="EU"/>
    <s v="11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2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29"/>
    <n v="-1000011233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31"/>
    <n v="-1000011233"/>
    <s v=""/>
    <s v="RG"/>
    <s v=""/>
    <x v="6"/>
    <s v=""/>
    <s v="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35"/>
    <n v="-1000011233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41"/>
    <n v="-1000011233"/>
    <s v=""/>
    <s v=""/>
    <s v="52"/>
    <x v="0"/>
    <s v="EU"/>
    <s v="1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53"/>
    <n v="-1000011233"/>
    <s v=""/>
    <s v=""/>
    <s v="31"/>
    <x v="7"/>
    <s v="EU"/>
    <s v="0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55"/>
    <n v="-1000011233"/>
    <s v=""/>
    <s v=""/>
    <s v="41"/>
    <x v="1"/>
    <s v="EU"/>
    <s v="0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61"/>
    <n v="-1000011233"/>
    <s v=""/>
    <s v=""/>
    <s v="2M"/>
    <x v="3"/>
    <s v="MY"/>
    <s v="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65"/>
    <n v="-1000011233"/>
    <s v=""/>
    <s v=""/>
    <s v="41"/>
    <x v="1"/>
    <s v="EU"/>
    <s v="03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67"/>
    <n v="-1000011233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71"/>
    <n v="-1000011233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79"/>
    <n v="-1000011233"/>
    <s v=""/>
    <s v=""/>
    <s v="31"/>
    <x v="7"/>
    <s v="EU"/>
    <s v="0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87"/>
    <n v="-1000011233"/>
    <s v=""/>
    <s v=""/>
    <s v="41"/>
    <x v="1"/>
    <s v="EU"/>
    <s v="03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89"/>
    <n v="-1000011233"/>
    <s v=""/>
    <s v=""/>
    <s v="2M"/>
    <x v="3"/>
    <s v="MY"/>
    <s v="2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1"/>
    <n v="-1000011233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3"/>
    <n v="-1000011233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5"/>
    <n v="-1000011233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093"/>
    <n v="-1000011225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85"/>
    <n v="-1000011225"/>
    <s v=""/>
    <s v=""/>
    <s v="32"/>
    <x v="11"/>
    <s v="EU"/>
    <s v="11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5"/>
    <n v="-1000011225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1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5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5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61"/>
    <n v="-1000011229"/>
    <s v=""/>
    <s v="UD"/>
    <s v=""/>
    <x v="6"/>
    <s v=""/>
    <s v="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7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73"/>
    <n v="-1000011229"/>
    <s v=""/>
    <s v=""/>
    <s v="41"/>
    <x v="1"/>
    <s v="EU"/>
    <s v="0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79"/>
    <n v="-1000011229"/>
    <s v=""/>
    <s v=""/>
    <s v="2M"/>
    <x v="3"/>
    <s v="MY"/>
    <s v="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5"/>
    <n v="-1000011229"/>
    <s v=""/>
    <s v="UD"/>
    <s v=""/>
    <x v="6"/>
    <s v=""/>
    <s v="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9"/>
    <n v="-1000011229"/>
    <s v=""/>
    <s v="UD"/>
    <s v=""/>
    <x v="6"/>
    <s v=""/>
    <s v="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9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197"/>
    <n v="-1000011229"/>
    <s v=""/>
    <s v=""/>
    <s v="2M"/>
    <x v="3"/>
    <s v="MY"/>
    <s v="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199"/>
    <n v="-1000011229"/>
    <s v=""/>
    <s v=""/>
    <s v="2M"/>
    <x v="3"/>
    <s v="MY"/>
    <s v="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2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217"/>
    <n v="-1000011229"/>
    <s v=""/>
    <s v="RG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2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29"/>
    <n v="-1000011229"/>
    <s v=""/>
    <s v=""/>
    <s v="52"/>
    <x v="0"/>
    <s v="EU"/>
    <s v="13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41"/>
    <n v="-1000011229"/>
    <s v=""/>
    <s v=""/>
    <s v="2M"/>
    <x v="3"/>
    <s v="MY"/>
    <s v="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24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259"/>
    <n v="-1000011229"/>
    <s v=""/>
    <s v=""/>
    <s v="3M"/>
    <x v="5"/>
    <s v="MY"/>
    <s v="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28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29"/>
    <n v="-1000011225"/>
    <s v=""/>
    <s v="RG"/>
    <s v=""/>
    <x v="6"/>
    <s v=""/>
    <s v="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3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35"/>
    <n v="-1000011225"/>
    <s v=""/>
    <s v=""/>
    <s v="52"/>
    <x v="0"/>
    <s v="EU"/>
    <s v="13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5"/>
    <n v="-1000011225"/>
    <s v=""/>
    <s v=""/>
    <s v="31"/>
    <x v="7"/>
    <s v="EU"/>
    <s v="0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7"/>
    <n v="-1000011225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5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59"/>
    <n v="-1000011225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63"/>
    <n v="-1000011225"/>
    <s v=""/>
    <s v=""/>
    <s v="31"/>
    <x v="7"/>
    <s v="EU"/>
    <s v="0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73"/>
    <n v="-1000011225"/>
    <s v=""/>
    <s v=""/>
    <s v="2M"/>
    <x v="3"/>
    <s v="MY"/>
    <s v="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7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79"/>
    <n v="-1000011225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7"/>
    <n v="-1000011225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9"/>
    <n v="-1000011225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09"/>
    <n v="-1000011225"/>
    <s v=""/>
    <s v=""/>
    <s v="52"/>
    <x v="0"/>
    <s v="EU"/>
    <s v="1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27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7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93"/>
    <n v="-1000011229"/>
    <s v=""/>
    <s v=""/>
    <s v="31"/>
    <x v="7"/>
    <s v="EU"/>
    <s v="0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9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11"/>
    <n v="-1000011229"/>
    <s v=""/>
    <s v=""/>
    <s v="52"/>
    <x v="0"/>
    <s v="EU"/>
    <s v="13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1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2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2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2577"/>
    <n v="-1000011217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73"/>
    <n v="-1000011217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95"/>
    <n v="-1000011217"/>
    <s v=""/>
    <s v=""/>
    <s v="2M"/>
    <x v="3"/>
    <s v="MY"/>
    <s v="2"/>
    <s v="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5"/>
    <n v="-1000011217"/>
    <s v=""/>
    <s v=""/>
    <s v="41"/>
    <x v="1"/>
    <s v="EU"/>
    <s v="03"/>
    <s v="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7"/>
    <n v="-1000011217"/>
    <s v=""/>
    <s v=""/>
    <s v="51"/>
    <x v="19"/>
    <s v="EU"/>
    <s v="04"/>
    <s v="1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29"/>
    <n v="-1000011217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5"/>
    <n v="-1000011217"/>
    <s v=""/>
    <s v=""/>
    <s v="41"/>
    <x v="1"/>
    <s v="EU"/>
    <s v="03"/>
    <s v="2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92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25"/>
    <n v="-1000011225"/>
    <s v=""/>
    <s v=""/>
    <s v="3M"/>
    <x v="5"/>
    <s v="MY"/>
    <s v="3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33"/>
    <n v="-1000011225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5"/>
    <n v="-1000011225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83"/>
    <n v="-1000011225"/>
    <s v=""/>
    <s v=""/>
    <s v="31"/>
    <x v="7"/>
    <s v="EU"/>
    <s v="0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1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25"/>
    <n v="-1000011225"/>
    <s v=""/>
    <s v=""/>
    <s v="31"/>
    <x v="7"/>
    <s v="EU"/>
    <s v="0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35"/>
    <n v="-1000011225"/>
    <s v=""/>
    <s v=""/>
    <s v="3M"/>
    <x v="5"/>
    <s v="MY"/>
    <s v="3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39"/>
    <n v="-1000011225"/>
    <s v=""/>
    <s v=""/>
    <s v="52"/>
    <x v="0"/>
    <s v="EU"/>
    <s v="1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4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53"/>
    <n v="-1000011225"/>
    <s v=""/>
    <s v=""/>
    <s v="52"/>
    <x v="0"/>
    <s v="EU"/>
    <s v="1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7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33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32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277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5"/>
    <n v="-1000011225"/>
    <s v=""/>
    <s v=""/>
    <s v="41"/>
    <x v="1"/>
    <s v="EU"/>
    <s v="03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9"/>
    <n v="-1000011225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8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0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03"/>
    <n v="-1000011225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17"/>
    <n v="-1000011225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075"/>
    <n v="-1000011225"/>
    <s v=""/>
    <s v="W"/>
    <s v=""/>
    <x v="6"/>
    <s v=""/>
    <s v="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73"/>
    <n v="-1000011225"/>
    <s v=""/>
    <s v=""/>
    <s v="41"/>
    <x v="1"/>
    <s v="EU"/>
    <s v="0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601"/>
    <n v="-1000011233"/>
    <s v=""/>
    <s v=""/>
    <s v="3M"/>
    <x v="5"/>
    <s v="MY"/>
    <s v="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0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13"/>
    <n v="-1000011233"/>
    <s v=""/>
    <s v=""/>
    <s v="53"/>
    <x v="4"/>
    <s v="EU"/>
    <s v="2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1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25"/>
    <n v="-1000011233"/>
    <s v=""/>
    <s v=""/>
    <s v="52"/>
    <x v="0"/>
    <s v="EU"/>
    <s v="13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39"/>
    <n v="-1000011233"/>
    <s v=""/>
    <s v=""/>
    <s v="32"/>
    <x v="11"/>
    <s v="EU"/>
    <s v="11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43"/>
    <n v="-1000011233"/>
    <s v=""/>
    <s v=""/>
    <s v="31"/>
    <x v="7"/>
    <s v="EU"/>
    <s v="0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51"/>
    <n v="-1000011233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6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6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1"/>
    <n v="-1000011233"/>
    <s v=""/>
    <s v=""/>
    <s v="2M"/>
    <x v="3"/>
    <s v="MY"/>
    <s v="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3"/>
    <n v="-1000011233"/>
    <s v=""/>
    <s v=""/>
    <s v="2M"/>
    <x v="3"/>
    <s v="MY"/>
    <s v="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563"/>
    <n v="-1000011217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20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84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21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6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4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87"/>
    <n v="-1000011233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607"/>
    <n v="-1000011233"/>
    <s v=""/>
    <s v=""/>
    <s v="31"/>
    <x v="7"/>
    <s v="EU"/>
    <s v="0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1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8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44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1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85"/>
    <n v="-1000011233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89"/>
    <n v="-1000011217"/>
    <s v=""/>
    <s v=""/>
    <s v="41"/>
    <x v="1"/>
    <s v="EU"/>
    <s v="03"/>
    <s v="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82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43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011"/>
    <n v="-1000011225"/>
    <s v=""/>
    <s v=""/>
    <s v="52"/>
    <x v="0"/>
    <s v="EU"/>
    <s v="13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44"/>
    <n v="795601983"/>
    <s v=""/>
    <s v=""/>
    <s v="42"/>
    <x v="2"/>
    <s v="EU"/>
    <s v="12"/>
    <s v="1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29"/>
    <n v="795601983"/>
    <s v=""/>
    <s v="RG"/>
    <s v="2M"/>
    <x v="3"/>
    <s v="MY"/>
    <s v="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794"/>
    <n v="795601983"/>
    <s v=""/>
    <s v="RG"/>
    <s v="1M"/>
    <x v="14"/>
    <s v="MY"/>
    <s v="1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42"/>
    <n v="795601983"/>
    <s v=""/>
    <s v=""/>
    <s v="42"/>
    <x v="2"/>
    <s v="EU"/>
    <s v="12"/>
    <s v="2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13"/>
    <n v="-1000011225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941"/>
    <n v="-1000011225"/>
    <s v=""/>
    <s v=""/>
    <s v="52"/>
    <x v="0"/>
    <s v="EU"/>
    <s v="1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86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565"/>
    <n v="-1000011217"/>
    <s v=""/>
    <s v=""/>
    <s v="41"/>
    <x v="1"/>
    <s v="EU"/>
    <s v="03"/>
    <s v="1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27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6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823"/>
    <n v="-1000011225"/>
    <s v=""/>
    <s v=""/>
    <s v="3M"/>
    <x v="5"/>
    <s v="MY"/>
    <s v="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93"/>
    <n v="-1000011225"/>
    <s v=""/>
    <s v=""/>
    <s v="41"/>
    <x v="1"/>
    <s v="EU"/>
    <s v="0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29"/>
    <n v="-1000011225"/>
    <s v=""/>
    <s v=""/>
    <s v="52"/>
    <x v="0"/>
    <s v="EU"/>
    <s v="1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117"/>
    <n v="-1000011225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59"/>
    <n v="-1000011229"/>
    <s v=""/>
    <s v="UD"/>
    <s v=""/>
    <x v="6"/>
    <s v=""/>
    <s v="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203"/>
    <n v="-1000011229"/>
    <s v=""/>
    <s v=""/>
    <s v="41"/>
    <x v="1"/>
    <s v="EU"/>
    <s v="0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06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8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51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4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896"/>
    <n v="795601983"/>
    <s v=""/>
    <s v=""/>
    <s v="31"/>
    <x v="7"/>
    <s v="EU"/>
    <s v="02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36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701"/>
    <n v="-1000011233"/>
    <s v=""/>
    <s v=""/>
    <s v="52"/>
    <x v="0"/>
    <s v="EU"/>
    <s v="1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787"/>
    <n v="-1000011225"/>
    <s v=""/>
    <s v=""/>
    <s v="52"/>
    <x v="0"/>
    <s v="EU"/>
    <s v="13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1"/>
    <n v="-1000011225"/>
    <s v=""/>
    <s v=""/>
    <s v="2M"/>
    <x v="3"/>
    <s v="MY"/>
    <s v="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637"/>
    <n v="-1000011217"/>
    <s v=""/>
    <s v=""/>
    <s v="41"/>
    <x v="1"/>
    <s v="EU"/>
    <s v="03"/>
    <s v="2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17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56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927"/>
    <n v="-1000011225"/>
    <s v=""/>
    <s v=""/>
    <s v="52"/>
    <x v="0"/>
    <s v="EU"/>
    <s v="1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3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63"/>
    <n v="-1000011225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4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80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165"/>
    <n v="-1000011229"/>
    <s v=""/>
    <s v="UD"/>
    <s v=""/>
    <x v="6"/>
    <s v=""/>
    <s v="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501"/>
    <n v="-1000011233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09"/>
    <n v="-1000011225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73"/>
    <n v="-1000011233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0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541"/>
    <n v="-1000011217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359"/>
    <n v="-1000011229"/>
    <s v=""/>
    <s v=""/>
    <s v="52"/>
    <x v="0"/>
    <s v="EU"/>
    <s v="1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6122788"/>
    <n v="795601983"/>
    <s v="0"/>
    <s v=""/>
    <s v="52"/>
    <x v="0"/>
    <s v="EU"/>
    <s v="13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3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001"/>
    <n v="-1000011225"/>
    <s v=""/>
    <s v=""/>
    <s v="41"/>
    <x v="1"/>
    <s v="EU"/>
    <s v="03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87"/>
    <n v="-1000011225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13"/>
    <n v="-1000011225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33"/>
    <n v="-1000011225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85"/>
    <n v="-1000011229"/>
    <s v=""/>
    <s v=""/>
    <s v="2M"/>
    <x v="3"/>
    <s v="MY"/>
    <s v="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633"/>
    <n v="-1000011233"/>
    <s v=""/>
    <s v=""/>
    <s v="31"/>
    <x v="7"/>
    <s v="EU"/>
    <s v="0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63"/>
    <n v="-1000011233"/>
    <s v=""/>
    <s v=""/>
    <s v="2M"/>
    <x v="3"/>
    <s v="MY"/>
    <s v="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94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685"/>
    <n v="-1000011233"/>
    <s v=""/>
    <s v=""/>
    <s v="52"/>
    <x v="0"/>
    <s v="EU"/>
    <s v="13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979"/>
    <n v="-1000011225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782"/>
    <n v="795601983"/>
    <s v=""/>
    <s v=""/>
    <s v="42"/>
    <x v="2"/>
    <s v="EU"/>
    <s v="12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24"/>
    <n v="795601983"/>
    <s v=""/>
    <s v=""/>
    <s v="41"/>
    <x v="1"/>
    <s v="EU"/>
    <s v="03"/>
    <s v="1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791"/>
    <n v="795601983"/>
    <s v=""/>
    <s v="RG"/>
    <s v=""/>
    <x v="6"/>
    <s v="EU"/>
    <s v="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797"/>
    <n v="795601983"/>
    <s v=""/>
    <s v=""/>
    <s v="52"/>
    <x v="0"/>
    <s v="EU"/>
    <s v="13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00"/>
    <n v="795601983"/>
    <s v=""/>
    <s v=""/>
    <s v="52"/>
    <x v="0"/>
    <s v="EU"/>
    <s v="13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12"/>
    <n v="795601983"/>
    <s v=""/>
    <s v="RG"/>
    <s v=""/>
    <x v="6"/>
    <s v="EU"/>
    <s v="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15"/>
    <n v="795601983"/>
    <s v=""/>
    <s v=""/>
    <s v="42"/>
    <x v="2"/>
    <s v="EU"/>
    <s v="1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21"/>
    <n v="795601983"/>
    <s v=""/>
    <s v=""/>
    <s v="42"/>
    <x v="2"/>
    <s v="EU"/>
    <s v="12"/>
    <s v="1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51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54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60"/>
    <n v="795601983"/>
    <s v=""/>
    <s v=""/>
    <s v="42"/>
    <x v="2"/>
    <s v="EU"/>
    <s v="12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66"/>
    <n v="795601983"/>
    <s v=""/>
    <s v="UD"/>
    <s v=""/>
    <x v="6"/>
    <s v="EU"/>
    <s v="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75"/>
    <n v="795601983"/>
    <s v=""/>
    <s v="RG"/>
    <s v="2M"/>
    <x v="3"/>
    <s v="MY"/>
    <s v="2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78"/>
    <n v="795601983"/>
    <s v=""/>
    <s v="RG"/>
    <s v="2M"/>
    <x v="3"/>
    <s v="MY"/>
    <s v="2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87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90"/>
    <n v="795601983"/>
    <s v=""/>
    <s v=""/>
    <s v="41"/>
    <x v="1"/>
    <s v="EU"/>
    <s v="03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17"/>
    <n v="795601983"/>
    <s v=""/>
    <s v=""/>
    <s v="41"/>
    <x v="1"/>
    <s v="EU"/>
    <s v="0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35"/>
    <n v="795601983"/>
    <s v=""/>
    <s v=""/>
    <s v="42"/>
    <x v="2"/>
    <s v="EU"/>
    <s v="12"/>
    <s v="1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41"/>
    <n v="795601983"/>
    <s v=""/>
    <s v=""/>
    <s v="41"/>
    <x v="1"/>
    <s v="EU"/>
    <s v="03"/>
    <s v="1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47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0"/>
    <n v="795601983"/>
    <s v=""/>
    <s v="RG"/>
    <s v="2M"/>
    <x v="3"/>
    <s v="MY"/>
    <s v="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6"/>
    <n v="795601983"/>
    <s v=""/>
    <s v=""/>
    <s v="42"/>
    <x v="2"/>
    <s v="EU"/>
    <s v="12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9"/>
    <n v="795601983"/>
    <s v=""/>
    <s v="RG"/>
    <s v="2M"/>
    <x v="3"/>
    <s v="MY"/>
    <s v="2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0"/>
    <n v="795601983"/>
    <s v="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3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6"/>
    <n v="795601983"/>
    <s v=""/>
    <s v=""/>
    <s v="42"/>
    <x v="2"/>
    <s v="EU"/>
    <s v="1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9"/>
    <n v="795601983"/>
    <s v=""/>
    <s v=""/>
    <s v="42"/>
    <x v="2"/>
    <s v="EU"/>
    <s v="12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06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9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0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2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103"/>
    <n v="-1000011225"/>
    <s v=""/>
    <s v=""/>
    <s v="3M"/>
    <x v="5"/>
    <s v="MY"/>
    <s v="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785"/>
    <n v="795601983"/>
    <s v=""/>
    <s v=""/>
    <s v="41"/>
    <x v="1"/>
    <s v="EU"/>
    <s v="03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8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2591"/>
    <n v="-1000011217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585"/>
    <n v="-1000011217"/>
    <s v=""/>
    <s v=""/>
    <s v="41"/>
    <x v="1"/>
    <s v="EU"/>
    <s v="03"/>
    <s v="2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599"/>
    <n v="-1000011233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87"/>
    <n v="-1000011233"/>
    <s v=""/>
    <s v="MF"/>
    <s v=""/>
    <x v="6"/>
    <s v=""/>
    <s v="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3"/>
    <n v="-1000011233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7"/>
    <n v="-1000011233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37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0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82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8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4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31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0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69"/>
    <n v="-1000011229"/>
    <s v=""/>
    <s v="UD"/>
    <s v=""/>
    <x v="6"/>
    <s v=""/>
    <s v="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473"/>
    <n v="-1000011233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7"/>
    <n v="-1000011233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6122974"/>
    <n v="795601983"/>
    <s v=""/>
    <s v=""/>
    <s v="52"/>
    <x v="0"/>
    <s v="EU"/>
    <s v="1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333"/>
    <n v="-1000011229"/>
    <s v=""/>
    <s v=""/>
    <s v="63"/>
    <x v="8"/>
    <s v="EU"/>
    <s v="2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805"/>
    <n v="-1000011225"/>
    <s v=""/>
    <s v=""/>
    <s v="52"/>
    <x v="0"/>
    <s v="EU"/>
    <s v="1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213"/>
    <n v="-1000011229"/>
    <s v=""/>
    <s v=""/>
    <s v="52"/>
    <x v="0"/>
    <s v="EU"/>
    <s v="1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7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523"/>
    <n v="-1000011233"/>
    <s v=""/>
    <s v=""/>
    <s v="52"/>
    <x v="0"/>
    <s v="EU"/>
    <s v="13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707"/>
    <n v="-1000011233"/>
    <s v=""/>
    <s v=""/>
    <s v="52"/>
    <x v="0"/>
    <s v="EU"/>
    <s v="13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559"/>
    <n v="-1000011233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88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1"/>
    <n v="-1000011225"/>
    <s v=""/>
    <s v=""/>
    <s v="52"/>
    <x v="0"/>
    <s v="EU"/>
    <s v="1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61"/>
    <n v="-1000011225"/>
    <s v=""/>
    <s v="RG"/>
    <s v=""/>
    <x v="6"/>
    <s v=""/>
    <s v="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85"/>
    <n v="-1000011225"/>
    <s v=""/>
    <s v=""/>
    <s v="2M"/>
    <x v="3"/>
    <s v="MY"/>
    <s v="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0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41"/>
    <n v="-1000011225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51"/>
    <n v="-1000011229"/>
    <s v=""/>
    <s v=""/>
    <s v="2M"/>
    <x v="3"/>
    <s v="MY"/>
    <s v="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8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2855"/>
    <n v="-1000011225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645"/>
    <n v="-1000011233"/>
    <s v=""/>
    <s v="UD"/>
    <s v=""/>
    <x v="6"/>
    <s v=""/>
    <s v="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923"/>
    <n v="795601983"/>
    <s v="0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7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22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29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491"/>
    <n v="-1000011233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27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9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6122827"/>
    <n v="795601983"/>
    <s v=""/>
    <s v=""/>
    <s v="42"/>
    <x v="2"/>
    <s v="EU"/>
    <s v="12"/>
    <s v="1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45"/>
    <n v="-1000011229"/>
    <s v=""/>
    <s v=""/>
    <s v="52"/>
    <x v="0"/>
    <s v="EU"/>
    <s v="1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599"/>
    <n v="-1000011217"/>
    <s v=""/>
    <s v=""/>
    <s v="31"/>
    <x v="7"/>
    <s v="EU"/>
    <s v="02"/>
    <s v="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177"/>
    <n v="-1000011229"/>
    <s v=""/>
    <s v="UD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2615"/>
    <n v="-1000011217"/>
    <s v=""/>
    <s v="RG"/>
    <s v=""/>
    <x v="6"/>
    <s v=""/>
    <s v=""/>
    <s v="1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17"/>
    <n v="-1000011233"/>
    <s v=""/>
    <s v=""/>
    <s v="31"/>
    <x v="7"/>
    <s v="EU"/>
    <s v="0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5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91"/>
    <n v="-1000011233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6122920"/>
    <n v="795601983"/>
    <s v=""/>
    <s v=""/>
    <s v="41"/>
    <x v="1"/>
    <s v="EU"/>
    <s v="03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57"/>
    <n v="795601983"/>
    <s v=""/>
    <s v="RG"/>
    <s v=""/>
    <x v="6"/>
    <s v="EU"/>
    <s v="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641"/>
    <n v="-1000011233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965"/>
    <n v="795601983"/>
    <s v=""/>
    <s v="RG"/>
    <s v="52"/>
    <x v="0"/>
    <s v="EU"/>
    <s v="13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18"/>
    <n v="795601983"/>
    <s v=""/>
    <s v=""/>
    <s v="42"/>
    <x v="2"/>
    <s v="EU"/>
    <s v="12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24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443"/>
    <n v="-1000011229"/>
    <s v=""/>
    <s v=""/>
    <s v="52"/>
    <x v="0"/>
    <s v="EU"/>
    <s v="1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282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8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99"/>
    <n v="-1000011225"/>
    <s v=""/>
    <s v=""/>
    <s v="2M"/>
    <x v="3"/>
    <s v="MY"/>
    <s v="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93"/>
    <n v="-1000011229"/>
    <s v=""/>
    <s v=""/>
    <s v="3M"/>
    <x v="5"/>
    <s v="MY"/>
    <s v="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619"/>
    <n v="-1000011217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3"/>
    <n v="-1000011217"/>
    <s v=""/>
    <s v=""/>
    <s v="31"/>
    <x v="7"/>
    <s v="EU"/>
    <s v="02"/>
    <s v="2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93"/>
    <n v="-1000011233"/>
    <s v=""/>
    <s v=""/>
    <s v="52"/>
    <x v="0"/>
    <s v="EU"/>
    <s v="13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16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297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57"/>
    <n v="-1000011229"/>
    <s v=""/>
    <s v=""/>
    <s v="52"/>
    <x v="0"/>
    <s v="EU"/>
    <s v="1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3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381"/>
    <n v="-1000011229"/>
    <s v=""/>
    <s v=""/>
    <s v="3M"/>
    <x v="5"/>
    <s v="MY"/>
    <s v="3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547"/>
    <n v="-1000011233"/>
    <s v=""/>
    <s v=""/>
    <s v="63"/>
    <x v="8"/>
    <s v="EU"/>
    <s v="23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23"/>
    <n v="-1000011225"/>
    <s v=""/>
    <s v=""/>
    <s v="52"/>
    <x v="0"/>
    <s v="EU"/>
    <s v="1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247"/>
    <n v="-1000011229"/>
    <s v=""/>
    <s v=""/>
    <s v="41"/>
    <x v="1"/>
    <s v="EU"/>
    <s v="0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507"/>
    <n v="-1000011233"/>
    <s v=""/>
    <s v=""/>
    <s v="31"/>
    <x v="7"/>
    <s v="EU"/>
    <s v="0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15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597"/>
    <n v="-1000011233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83"/>
    <n v="-1000011217"/>
    <s v=""/>
    <s v=""/>
    <s v="3M"/>
    <x v="5"/>
    <s v="MY"/>
    <s v="3"/>
    <s v="2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4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6122803"/>
    <n v="795601983"/>
    <s v=""/>
    <s v=""/>
    <s v="52"/>
    <x v="0"/>
    <s v="EU"/>
    <s v="1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8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6122902"/>
    <n v="795601983"/>
    <s v=""/>
    <s v=""/>
    <s v="52"/>
    <x v="0"/>
    <s v="EU"/>
    <s v="13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2959"/>
    <n v="-1000011225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683"/>
    <n v="-1000011233"/>
    <s v=""/>
    <s v="MF"/>
    <s v=""/>
    <x v="6"/>
    <s v=""/>
    <s v="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255"/>
    <n v="-1000011229"/>
    <s v=""/>
    <s v=""/>
    <s v="31"/>
    <x v="7"/>
    <s v="EU"/>
    <s v="0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479"/>
    <n v="-1000011233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6122962"/>
    <n v="795601983"/>
    <s v=""/>
    <s v=""/>
    <s v="42"/>
    <x v="2"/>
    <s v="EU"/>
    <s v="12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2793"/>
    <n v="-1000011225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81"/>
    <n v="-1000011233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489"/>
    <n v="-1000011233"/>
    <s v=""/>
    <s v=""/>
    <s v="52"/>
    <x v="0"/>
    <s v="EU"/>
    <s v="13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05"/>
    <n v="-1000011225"/>
    <s v=""/>
    <s v=""/>
    <s v="52"/>
    <x v="0"/>
    <s v="EU"/>
    <s v="1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09"/>
    <n v="-1000011225"/>
    <s v=""/>
    <s v=""/>
    <s v="3M"/>
    <x v="5"/>
    <s v="MY"/>
    <s v="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77"/>
    <n v="-1000011229"/>
    <s v=""/>
    <s v=""/>
    <s v="31"/>
    <x v="7"/>
    <s v="EU"/>
    <s v="0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58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21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2929"/>
    <n v="-1000011225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519"/>
    <n v="-1000011233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617"/>
    <n v="-1000011217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1"/>
    <n v="-1000011217"/>
    <s v=""/>
    <s v=""/>
    <s v="41"/>
    <x v="1"/>
    <s v="EU"/>
    <s v="03"/>
    <s v="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11"/>
    <n v="-1000011217"/>
    <s v=""/>
    <s v=""/>
    <s v="3M"/>
    <x v="5"/>
    <s v="MY"/>
    <s v="3"/>
    <s v="1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31"/>
    <n v="-1000011233"/>
    <s v=""/>
    <s v=""/>
    <s v="2M"/>
    <x v="3"/>
    <s v="MY"/>
    <s v="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81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43"/>
    <n v="-1000011233"/>
    <s v=""/>
    <s v=""/>
    <s v="52"/>
    <x v="0"/>
    <s v="EU"/>
    <s v="13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2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3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6122776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627"/>
    <n v="-1000011217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6122971"/>
    <n v="795601983"/>
    <s v=""/>
    <s v=""/>
    <s v="42"/>
    <x v="2"/>
    <s v="EU"/>
    <s v="12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48"/>
    <n v="795601983"/>
    <s v=""/>
    <s v=""/>
    <s v="42"/>
    <x v="2"/>
    <s v="EU"/>
    <s v="12"/>
    <s v="2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905"/>
    <n v="795601983"/>
    <s v=""/>
    <s v=""/>
    <s v="41"/>
    <x v="1"/>
    <s v="EU"/>
    <s v="03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45"/>
    <n v="795601983"/>
    <s v=""/>
    <s v=""/>
    <s v="42"/>
    <x v="2"/>
    <s v="EU"/>
    <s v="12"/>
    <s v="2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6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571"/>
    <n v="-1000011217"/>
    <s v=""/>
    <s v=""/>
    <s v="31"/>
    <x v="7"/>
    <s v="EU"/>
    <s v="02"/>
    <s v="1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2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911"/>
    <n v="-1000011225"/>
    <s v=""/>
    <s v=""/>
    <s v="2M"/>
    <x v="3"/>
    <s v="MY"/>
    <s v="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69"/>
    <n v="-1000011225"/>
    <s v=""/>
    <s v="RG"/>
    <s v=""/>
    <x v="6"/>
    <s v=""/>
    <s v="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91"/>
    <n v="-1000011225"/>
    <s v=""/>
    <s v=""/>
    <s v="3M"/>
    <x v="5"/>
    <s v="MY"/>
    <s v="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83"/>
    <n v="-1000011225"/>
    <s v=""/>
    <s v=""/>
    <s v="2M"/>
    <x v="3"/>
    <s v="MY"/>
    <s v="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97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0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65"/>
    <n v="-1000011225"/>
    <s v=""/>
    <s v="RG"/>
    <s v=""/>
    <x v="6"/>
    <s v=""/>
    <s v="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0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30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079"/>
    <n v="-1000011225"/>
    <s v=""/>
    <s v="W"/>
    <s v=""/>
    <x v="6"/>
    <s v=""/>
    <s v="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579"/>
    <n v="-1000011217"/>
    <s v=""/>
    <s v=""/>
    <s v="31"/>
    <x v="7"/>
    <s v="EU"/>
    <s v="02"/>
    <s v="2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089"/>
    <n v="-1000011225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7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57"/>
    <n v="-1000011233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461"/>
    <n v="-1000011233"/>
    <s v=""/>
    <s v=""/>
    <s v="52"/>
    <x v="0"/>
    <s v="EU"/>
    <s v="13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3"/>
    <n v="-1000011233"/>
    <s v=""/>
    <s v=""/>
    <s v="31"/>
    <x v="7"/>
    <s v="EU"/>
    <s v="0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21"/>
    <n v="-1000011233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357"/>
    <n v="-1000011229"/>
    <s v=""/>
    <s v=""/>
    <s v="3M"/>
    <x v="5"/>
    <s v="MY"/>
    <s v="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091"/>
    <n v="-1000011225"/>
    <s v=""/>
    <s v=""/>
    <s v="31"/>
    <x v="7"/>
    <s v="EU"/>
    <s v="0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926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635"/>
    <n v="-1000011233"/>
    <s v=""/>
    <s v="RG"/>
    <s v=""/>
    <x v="6"/>
    <s v=""/>
    <s v="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623"/>
    <n v="-1000011217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95"/>
    <n v="-1000011233"/>
    <s v=""/>
    <s v=""/>
    <s v="52"/>
    <x v="0"/>
    <s v="EU"/>
    <s v="13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8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59"/>
    <n v="-1000011225"/>
    <s v=""/>
    <s v=""/>
    <s v="31"/>
    <x v="7"/>
    <s v="EU"/>
    <s v="02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539"/>
    <n v="-1000011217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6122953"/>
    <n v="795601983"/>
    <s v=""/>
    <s v="MF"/>
    <s v=""/>
    <x v="6"/>
    <s v="EU"/>
    <s v="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11"/>
    <n v="795601983"/>
    <s v=""/>
    <s v=""/>
    <s v="42"/>
    <x v="2"/>
    <s v="EU"/>
    <s v="1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465"/>
    <n v="-1000011233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61"/>
    <n v="-1000011225"/>
    <s v=""/>
    <s v=""/>
    <s v="31"/>
    <x v="7"/>
    <s v="EU"/>
    <s v="0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593"/>
    <n v="-1000011217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1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597"/>
    <n v="-1000011217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1"/>
    <n v="-1000011217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813"/>
    <n v="-1000011225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29"/>
    <n v="-1000011233"/>
    <s v=""/>
    <s v=""/>
    <s v="52"/>
    <x v="0"/>
    <s v="EU"/>
    <s v="13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93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865"/>
    <n v="-1000011225"/>
    <s v=""/>
    <s v="RG"/>
    <s v=""/>
    <x v="6"/>
    <s v=""/>
    <s v="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387"/>
    <n v="-1000011229"/>
    <s v=""/>
    <s v=""/>
    <s v="2M"/>
    <x v="3"/>
    <s v="MY"/>
    <s v="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2581"/>
    <n v="-1000011217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53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19"/>
    <n v="-1000011225"/>
    <s v=""/>
    <s v=""/>
    <s v="31"/>
    <x v="7"/>
    <s v="EU"/>
    <s v="0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55"/>
    <n v="-1000011225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47"/>
    <n v="-1000011229"/>
    <s v=""/>
    <s v=""/>
    <s v="31"/>
    <x v="7"/>
    <s v="EU"/>
    <s v="0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949"/>
    <n v="-1000011225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417"/>
    <n v="-1000011229"/>
    <s v=""/>
    <s v=""/>
    <s v="41"/>
    <x v="1"/>
    <s v="EU"/>
    <s v="0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13"/>
    <n v="-1000011233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38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2553"/>
    <n v="-1000011217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659"/>
    <n v="-1000011233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893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779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06"/>
    <n v="795601983"/>
    <s v=""/>
    <s v=""/>
    <s v="42"/>
    <x v="2"/>
    <s v="EU"/>
    <s v="1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2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6122836"/>
    <n v="795601983"/>
    <s v=""/>
    <s v="RG"/>
    <s v="2M"/>
    <x v="3"/>
    <s v="MY"/>
    <s v="2"/>
    <s v="2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9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1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89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609"/>
    <n v="-1000011217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99"/>
    <n v="-1000011233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649"/>
    <n v="-1000011233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2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2907"/>
    <n v="-1000011225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33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1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29"/>
  </r>
  <r>
    <n v="-1003793485"/>
    <n v="-1000011233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363"/>
    <n v="-1000011229"/>
    <s v=""/>
    <s v=""/>
    <s v="52"/>
    <x v="0"/>
    <s v="EU"/>
    <s v="1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8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3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16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26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6122869"/>
    <n v="795601983"/>
    <s v=""/>
    <s v=""/>
    <s v="42"/>
    <x v="2"/>
    <s v="EU"/>
    <s v="12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39"/>
    <n v="795601983"/>
    <s v=""/>
    <s v=""/>
    <s v="42"/>
    <x v="2"/>
    <s v="EU"/>
    <s v="12"/>
    <s v="2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90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23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2913"/>
    <n v="-1000011225"/>
    <s v=""/>
    <s v=""/>
    <s v="41"/>
    <x v="1"/>
    <s v="EU"/>
    <s v="0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17"/>
    <n v="-1000011225"/>
    <s v=""/>
    <s v=""/>
    <s v="31"/>
    <x v="7"/>
    <s v="EU"/>
    <s v="0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39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2603"/>
    <n v="-1000011217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395"/>
    <n v="-1000011229"/>
    <s v=""/>
    <s v="W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1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37"/>
    <n v="-1000011233"/>
    <s v=""/>
    <s v=""/>
    <s v="31"/>
    <x v="7"/>
    <s v="EU"/>
    <s v="0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77"/>
    <n v="-1000011233"/>
    <s v=""/>
    <s v=""/>
    <s v="41"/>
    <x v="1"/>
    <s v="EU"/>
    <s v="03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8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1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6122938"/>
    <n v="795601983"/>
    <s v=""/>
    <s v="UF"/>
    <s v="3M"/>
    <x v="5"/>
    <s v="MY"/>
    <s v="3"/>
    <s v="1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33"/>
    <n v="-1000011229"/>
    <s v=""/>
    <s v="UD"/>
    <s v=""/>
    <x v="6"/>
    <s v=""/>
    <s v="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315"/>
    <n v="-1000011229"/>
    <s v=""/>
    <s v=""/>
    <s v="41"/>
    <x v="1"/>
    <s v="EU"/>
    <s v="03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48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7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6122932"/>
    <n v="795601983"/>
    <s v=""/>
    <s v="UD"/>
    <s v=""/>
    <x v="6"/>
    <s v="EU"/>
    <s v="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2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6122884"/>
    <n v="795601983"/>
    <s v=""/>
    <s v=""/>
    <s v="41"/>
    <x v="1"/>
    <s v="EU"/>
    <s v="03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081"/>
    <n v="-1000011225"/>
    <s v=""/>
    <s v=""/>
    <s v="2M"/>
    <x v="3"/>
    <s v="MY"/>
    <s v="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623"/>
    <n v="-1000011233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429"/>
    <n v="-1000011229"/>
    <s v=""/>
    <s v=""/>
    <s v="31"/>
    <x v="7"/>
    <s v="EU"/>
    <s v="0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49"/>
    <n v="-1000011233"/>
    <s v=""/>
    <s v=""/>
    <s v="52"/>
    <x v="0"/>
    <s v="EU"/>
    <s v="1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837"/>
    <n v="-1000011225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8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68"/>
    <n v="795601983"/>
    <s v=""/>
    <s v=""/>
    <s v="42"/>
    <x v="2"/>
    <s v="EU"/>
    <s v="1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81"/>
    <n v="795601983"/>
    <s v=""/>
    <s v=""/>
    <s v="42"/>
    <x v="2"/>
    <s v="EU"/>
    <s v="1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2561"/>
    <n v="-1000011217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5"/>
    <n v="-1000011217"/>
    <s v=""/>
    <s v=""/>
    <s v="41"/>
    <x v="1"/>
    <s v="EU"/>
    <s v="03"/>
    <s v="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15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3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2769"/>
    <n v="-1000011225"/>
    <s v=""/>
    <s v=""/>
    <s v="41"/>
    <x v="1"/>
    <s v="EU"/>
    <s v="03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625"/>
    <n v="-1000011217"/>
    <s v=""/>
    <s v=""/>
    <s v="41"/>
    <x v="1"/>
    <s v="EU"/>
    <s v="03"/>
    <s v="1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0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2839"/>
    <n v="-1000011225"/>
    <s v=""/>
    <s v=""/>
    <s v="31"/>
    <x v="7"/>
    <s v="EU"/>
    <s v="0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527"/>
    <n v="-1000011233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81"/>
    <n v="-1000011233"/>
    <s v=""/>
    <s v=""/>
    <s v="52"/>
    <x v="0"/>
    <s v="EU"/>
    <s v="13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999"/>
    <n v="-1000011225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37"/>
    <n v="-1000011229"/>
    <s v=""/>
    <s v="UD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70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47"/>
    <n v="-1000011233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534695"/>
    <n v="-1000007893"/>
    <s v=""/>
    <s v="RG"/>
    <s v=""/>
    <x v="6"/>
    <s v=""/>
    <s v="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85"/>
    <n v="-1000007893"/>
    <s v=""/>
    <s v=""/>
    <s v="31"/>
    <x v="7"/>
    <s v="EU"/>
    <s v="0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97"/>
    <n v="-1000007893"/>
    <s v=""/>
    <s v="W"/>
    <s v=""/>
    <x v="6"/>
    <s v=""/>
    <s v="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99"/>
    <n v="-1000007893"/>
    <s v=""/>
    <s v=""/>
    <s v="52"/>
    <x v="0"/>
    <s v="EU"/>
    <s v="1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0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7"/>
    <n v="-1000007893"/>
    <s v=""/>
    <s v="NA"/>
    <s v=""/>
    <x v="6"/>
    <s v=""/>
    <s v="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793023"/>
    <n v="-1000011225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6122908"/>
    <n v="795601983"/>
    <s v=""/>
    <s v=""/>
    <s v="42"/>
    <x v="2"/>
    <s v="EU"/>
    <s v="12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657"/>
    <n v="-1000011233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355"/>
    <n v="-1000011229"/>
    <s v=""/>
    <s v=""/>
    <s v="31"/>
    <x v="7"/>
    <s v="EU"/>
    <s v="0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42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043"/>
    <n v="-1000011225"/>
    <s v=""/>
    <s v=""/>
    <s v="41"/>
    <x v="1"/>
    <s v="EU"/>
    <s v="0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9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1"/>
    <n v="-1000011225"/>
    <s v=""/>
    <s v="RG"/>
    <s v=""/>
    <x v="6"/>
    <s v=""/>
    <s v="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534723"/>
    <n v="-1000007893"/>
    <s v=""/>
    <s v=""/>
    <s v="31"/>
    <x v="7"/>
    <s v="EU"/>
    <s v="02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793621"/>
    <n v="-1000011233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53473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37"/>
    <n v="-1000007893"/>
    <s v=""/>
    <s v="RG"/>
    <s v=""/>
    <x v="6"/>
    <s v=""/>
    <s v="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39"/>
    <n v="-1000007893"/>
    <s v=""/>
    <s v=""/>
    <s v="31"/>
    <x v="7"/>
    <s v="EU"/>
    <s v="0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4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51"/>
    <n v="-1000007893"/>
    <s v=""/>
    <s v="W"/>
    <s v=""/>
    <x v="6"/>
    <s v=""/>
    <s v="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53"/>
    <n v="-1000007893"/>
    <s v=""/>
    <s v="NP"/>
    <s v=""/>
    <x v="6"/>
    <s v=""/>
    <s v="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63"/>
    <n v="-1000007893"/>
    <s v=""/>
    <s v=""/>
    <s v="31"/>
    <x v="7"/>
    <s v="EU"/>
    <s v="02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7"/>
    <n v="-1000007893"/>
    <s v=""/>
    <s v=""/>
    <s v="42"/>
    <x v="2"/>
    <s v="EU"/>
    <s v="12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8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0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07"/>
    <n v="-1000007893"/>
    <s v=""/>
    <s v="MF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13"/>
    <n v="-1000007893"/>
    <s v=""/>
    <s v=""/>
    <s v="41"/>
    <x v="1"/>
    <s v="EU"/>
    <s v="03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17"/>
    <n v="-1000007893"/>
    <s v=""/>
    <s v=""/>
    <s v="31"/>
    <x v="7"/>
    <s v="EU"/>
    <s v="0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23"/>
    <n v="-1000007893"/>
    <s v=""/>
    <s v=""/>
    <s v="42"/>
    <x v="2"/>
    <s v="EU"/>
    <s v="12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1"/>
    <n v="-1000007893"/>
    <s v=""/>
    <s v=""/>
    <s v="31"/>
    <x v="7"/>
    <s v="EU"/>
    <s v="02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3"/>
    <n v="-1000007893"/>
    <s v=""/>
    <s v="RG"/>
    <s v=""/>
    <x v="6"/>
    <s v=""/>
    <s v="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9"/>
    <n v="-1000007893"/>
    <s v=""/>
    <s v=""/>
    <s v="42"/>
    <x v="2"/>
    <s v="EU"/>
    <s v="12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7"/>
    <n v="-1000007893"/>
    <s v=""/>
    <s v=""/>
    <s v="41"/>
    <x v="1"/>
    <s v="EU"/>
    <s v="03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9"/>
    <n v="-1000007893"/>
    <s v=""/>
    <s v=""/>
    <s v="31"/>
    <x v="7"/>
    <s v="EU"/>
    <s v="0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3"/>
    <n v="-1000007893"/>
    <s v=""/>
    <s v=""/>
    <s v="41"/>
    <x v="1"/>
    <s v="EU"/>
    <s v="03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6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71"/>
    <n v="-1000007893"/>
    <s v=""/>
    <s v=""/>
    <s v="41"/>
    <x v="1"/>
    <s v="EU"/>
    <s v="03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89"/>
    <n v="-1000007893"/>
    <s v=""/>
    <s v=""/>
    <s v="41"/>
    <x v="1"/>
    <s v="EU"/>
    <s v="03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97"/>
    <n v="-1000007893"/>
    <s v=""/>
    <s v=""/>
    <s v="52"/>
    <x v="0"/>
    <s v="EU"/>
    <s v="13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99"/>
    <n v="-1000007893"/>
    <s v=""/>
    <s v=""/>
    <s v="52"/>
    <x v="0"/>
    <s v="EU"/>
    <s v="1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21"/>
    <n v="-1000007891"/>
    <s v=""/>
    <s v=""/>
    <s v="52"/>
    <x v="0"/>
    <s v="EU"/>
    <s v="13"/>
    <s v="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33"/>
    <n v="-1000007891"/>
    <s v=""/>
    <s v=""/>
    <s v="42"/>
    <x v="2"/>
    <s v="EU"/>
    <s v="12"/>
    <s v="1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792773"/>
    <n v="-1000011225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63"/>
    <n v="-1000011233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16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005"/>
    <n v="-1000011225"/>
    <s v=""/>
    <s v=""/>
    <s v="41"/>
    <x v="1"/>
    <s v="EU"/>
    <s v="0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4097791"/>
    <n v="-1000013311"/>
    <s v=""/>
    <s v=""/>
    <s v="41"/>
    <x v="1"/>
    <s v="EU"/>
    <s v="03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79331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4097793"/>
    <n v="-1000013311"/>
    <s v=""/>
    <s v="RG"/>
    <s v=""/>
    <x v="6"/>
    <s v=""/>
    <s v="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7"/>
    <n v="-1000013311"/>
    <s v=""/>
    <s v="RG"/>
    <s v=""/>
    <x v="6"/>
    <s v=""/>
    <s v="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51"/>
    <n v="-1000013311"/>
    <s v=""/>
    <s v=""/>
    <s v="2M"/>
    <x v="3"/>
    <s v="MY"/>
    <s v="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5"/>
    <n v="-1000013311"/>
    <s v=""/>
    <s v=""/>
    <s v="41"/>
    <x v="1"/>
    <s v="EU"/>
    <s v="03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7"/>
    <n v="-1000013311"/>
    <s v=""/>
    <s v=""/>
    <s v="2M"/>
    <x v="3"/>
    <s v="MY"/>
    <s v="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7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5"/>
    <n v="-1000013311"/>
    <s v=""/>
    <s v=""/>
    <s v="53"/>
    <x v="4"/>
    <s v="EU"/>
    <s v="2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4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4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5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9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7"/>
    <n v="-1000013311"/>
    <s v=""/>
    <s v="RG"/>
    <s v=""/>
    <x v="6"/>
    <s v=""/>
    <s v="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9"/>
    <n v="-1000013311"/>
    <s v=""/>
    <s v=""/>
    <s v="S2"/>
    <x v="15"/>
    <s v="FW"/>
    <s v="1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9"/>
    <n v="-1000013311"/>
    <s v=""/>
    <s v=""/>
    <s v="53"/>
    <x v="4"/>
    <s v="EU"/>
    <s v="2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49"/>
    <n v="-1000013311"/>
    <s v=""/>
    <s v=""/>
    <s v="53"/>
    <x v="4"/>
    <s v="EU"/>
    <s v="2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4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51"/>
    <n v="-1000013311"/>
    <s v=""/>
    <s v=""/>
    <s v="53"/>
    <x v="4"/>
    <s v="EU"/>
    <s v="2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71"/>
    <n v="-1000013311"/>
    <s v=""/>
    <s v=""/>
    <s v="2M"/>
    <x v="3"/>
    <s v="MY"/>
    <s v="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83"/>
    <n v="-1000013311"/>
    <s v=""/>
    <s v="RG"/>
    <s v=""/>
    <x v="6"/>
    <s v=""/>
    <s v="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6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0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15"/>
    <n v="-1000013311"/>
    <s v=""/>
    <s v=""/>
    <s v="31"/>
    <x v="7"/>
    <s v="EU"/>
    <s v="0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19"/>
    <n v="-1000013311"/>
    <s v=""/>
    <s v=""/>
    <s v="53"/>
    <x v="4"/>
    <s v="EU"/>
    <s v="2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39"/>
    <n v="-1000013311"/>
    <s v=""/>
    <s v=""/>
    <s v="2M"/>
    <x v="3"/>
    <s v="MY"/>
    <s v="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43"/>
    <n v="-1000013311"/>
    <s v=""/>
    <s v=""/>
    <s v="41"/>
    <x v="1"/>
    <s v="EU"/>
    <s v="03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3"/>
    <n v="-1000013311"/>
    <s v=""/>
    <s v=""/>
    <s v="2M"/>
    <x v="3"/>
    <s v="MY"/>
    <s v="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7"/>
    <n v="-1000013311"/>
    <s v=""/>
    <s v=""/>
    <s v="2M"/>
    <x v="3"/>
    <s v="MY"/>
    <s v="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67"/>
    <n v="-1000013311"/>
    <s v=""/>
    <s v="W"/>
    <s v=""/>
    <x v="6"/>
    <s v=""/>
    <s v="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565"/>
    <n v="-1000007891"/>
    <s v=""/>
    <s v=""/>
    <s v="42"/>
    <x v="2"/>
    <s v="EU"/>
    <s v="12"/>
    <s v="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51"/>
    <n v="-1000007891"/>
    <s v=""/>
    <s v=""/>
    <s v="42"/>
    <x v="2"/>
    <s v="EU"/>
    <s v="12"/>
    <s v="2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67"/>
    <n v="-1000007891"/>
    <s v=""/>
    <s v=""/>
    <s v="52"/>
    <x v="0"/>
    <s v="EU"/>
    <s v="13"/>
    <s v="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75"/>
    <n v="-1000007891"/>
    <s v=""/>
    <s v=""/>
    <s v="52"/>
    <x v="0"/>
    <s v="EU"/>
    <s v="13"/>
    <s v="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79"/>
    <n v="-1000007891"/>
    <s v=""/>
    <s v=""/>
    <s v="53"/>
    <x v="4"/>
    <s v="EU"/>
    <s v="22"/>
    <s v="1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1"/>
    <n v="-1000007891"/>
    <s v=""/>
    <s v=""/>
    <s v="42"/>
    <x v="2"/>
    <s v="EU"/>
    <s v="12"/>
    <s v="1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9"/>
    <n v="-1000007891"/>
    <s v=""/>
    <s v=""/>
    <s v="42"/>
    <x v="2"/>
    <s v="EU"/>
    <s v="12"/>
    <s v="2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1"/>
    <n v="-1000007891"/>
    <s v=""/>
    <s v=""/>
    <s v="42"/>
    <x v="2"/>
    <s v="EU"/>
    <s v="12"/>
    <s v="2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3"/>
    <n v="-1000007891"/>
    <s v=""/>
    <s v=""/>
    <s v="53"/>
    <x v="4"/>
    <s v="EU"/>
    <s v="22"/>
    <s v="2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5"/>
    <n v="-1000007891"/>
    <s v=""/>
    <s v="RG"/>
    <s v=""/>
    <x v="6"/>
    <s v=""/>
    <s v=""/>
    <s v="2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11"/>
    <n v="-1000007893"/>
    <s v=""/>
    <s v=""/>
    <s v="32"/>
    <x v="11"/>
    <s v="EU"/>
    <s v="11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13"/>
    <n v="-1000007893"/>
    <s v=""/>
    <s v=""/>
    <s v="42"/>
    <x v="2"/>
    <s v="EU"/>
    <s v="12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27"/>
    <n v="-1000007893"/>
    <s v=""/>
    <s v="RG"/>
    <s v=""/>
    <x v="6"/>
    <s v=""/>
    <s v="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31"/>
    <n v="-1000007893"/>
    <s v=""/>
    <s v=""/>
    <s v="42"/>
    <x v="2"/>
    <s v="EU"/>
    <s v="12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4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43"/>
    <n v="-1000007893"/>
    <s v=""/>
    <s v=""/>
    <s v="41"/>
    <x v="1"/>
    <s v="EU"/>
    <s v="03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55"/>
    <n v="-1000007893"/>
    <s v=""/>
    <s v=""/>
    <s v="42"/>
    <x v="2"/>
    <s v="EU"/>
    <s v="1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61"/>
    <n v="-1000007893"/>
    <s v=""/>
    <s v="W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67"/>
    <n v="-1000007893"/>
    <s v=""/>
    <s v="RG"/>
    <s v=""/>
    <x v="6"/>
    <s v=""/>
    <s v="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7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77"/>
    <n v="-1000007893"/>
    <s v=""/>
    <s v="RG"/>
    <s v=""/>
    <x v="6"/>
    <s v=""/>
    <s v="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81"/>
    <n v="-1000007893"/>
    <s v=""/>
    <s v=""/>
    <s v="41"/>
    <x v="1"/>
    <s v="EU"/>
    <s v="0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489"/>
    <n v="-1000013311"/>
    <s v=""/>
    <s v=""/>
    <s v="2M"/>
    <x v="3"/>
    <s v="MY"/>
    <s v="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4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79281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78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1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27"/>
    <n v="-1000011233"/>
    <s v=""/>
    <s v=""/>
    <s v="52"/>
    <x v="0"/>
    <s v="EU"/>
    <s v="13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5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75"/>
    <n v="-1000011217"/>
    <s v=""/>
    <s v=""/>
    <s v="3M"/>
    <x v="5"/>
    <s v="MY"/>
    <s v="3"/>
    <s v="1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35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94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73"/>
    <n v="-1000011225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14"/>
    <n v="795601983"/>
    <s v="0"/>
    <s v=""/>
    <s v="41"/>
    <x v="1"/>
    <s v="EU"/>
    <s v="03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09"/>
    <n v="795601983"/>
    <s v="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63"/>
    <n v="795601983"/>
    <s v=""/>
    <s v=""/>
    <s v="42"/>
    <x v="2"/>
    <s v="EU"/>
    <s v="12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667"/>
    <n v="-1000011233"/>
    <s v=""/>
    <s v=""/>
    <s v="2M"/>
    <x v="3"/>
    <s v="MY"/>
    <s v="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6122872"/>
    <n v="795601983"/>
    <s v=""/>
    <s v=""/>
    <s v="53"/>
    <x v="4"/>
    <s v="EU"/>
    <s v="2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43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551"/>
    <n v="-1000011233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63"/>
    <n v="-1000011225"/>
    <s v=""/>
    <s v=""/>
    <s v="3M"/>
    <x v="5"/>
    <s v="MY"/>
    <s v="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613"/>
    <n v="-1000011217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03"/>
    <n v="-1000011233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39"/>
    <n v="-1000011233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45"/>
    <n v="-1000011233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07"/>
    <n v="-1000011225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23"/>
    <n v="-1000011229"/>
    <s v=""/>
    <s v=""/>
    <s v="32"/>
    <x v="11"/>
    <s v="EU"/>
    <s v="11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0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0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04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6122899"/>
    <n v="795601983"/>
    <s v=""/>
    <s v="UF"/>
    <s v="3M"/>
    <x v="5"/>
    <s v="MY"/>
    <s v="3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53"/>
    <n v="-1000011229"/>
    <s v=""/>
    <s v=""/>
    <s v="53"/>
    <x v="4"/>
    <s v="EU"/>
    <s v="2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02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96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587"/>
    <n v="-1000011217"/>
    <s v=""/>
    <s v=""/>
    <s v="41"/>
    <x v="1"/>
    <s v="EU"/>
    <s v="03"/>
    <s v="2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13"/>
    <n v="-1000011229"/>
    <s v=""/>
    <s v=""/>
    <s v="52"/>
    <x v="0"/>
    <s v="EU"/>
    <s v="1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551"/>
    <n v="-1000011217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703"/>
    <n v="-1000011233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6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407"/>
    <n v="-1000011229"/>
    <s v=""/>
    <s v=""/>
    <s v="3M"/>
    <x v="5"/>
    <s v="MY"/>
    <s v="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397"/>
    <n v="-1000011229"/>
    <s v=""/>
    <s v="W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95"/>
    <n v="-1000011233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41"/>
    <n v="-1000011225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3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789"/>
    <n v="-1000011225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37"/>
    <n v="-1000011233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23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6122977"/>
    <n v="795601983"/>
    <s v=""/>
    <s v="RG"/>
    <s v="2M"/>
    <x v="3"/>
    <s v="MY"/>
    <s v="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37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6122830"/>
    <n v="795601983"/>
    <s v=""/>
    <s v=""/>
    <s v="42"/>
    <x v="2"/>
    <s v="EU"/>
    <s v="12"/>
    <s v="1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621"/>
    <n v="-1000011217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997"/>
    <n v="-1000011225"/>
    <s v=""/>
    <s v=""/>
    <s v="52"/>
    <x v="0"/>
    <s v="EU"/>
    <s v="1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653"/>
    <n v="-1000011233"/>
    <s v=""/>
    <s v=""/>
    <s v="2M"/>
    <x v="3"/>
    <s v="MY"/>
    <s v="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109"/>
    <n v="-1000011225"/>
    <s v=""/>
    <s v="W"/>
    <s v=""/>
    <x v="6"/>
    <s v=""/>
    <s v="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833"/>
    <n v="795601983"/>
    <s v=""/>
    <s v=""/>
    <s v="42"/>
    <x v="2"/>
    <s v="EU"/>
    <s v="12"/>
    <s v="2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534541"/>
    <n v="-1000007891"/>
    <s v=""/>
    <s v="RG"/>
    <s v=""/>
    <x v="6"/>
    <s v=""/>
    <s v=""/>
    <s v="1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79301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534805"/>
    <n v="-1000007893"/>
    <s v=""/>
    <s v="RG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90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7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8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19"/>
    <n v="-1000013311"/>
    <s v=""/>
    <s v="W"/>
    <s v=""/>
    <x v="6"/>
    <s v=""/>
    <s v="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4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699"/>
    <n v="-1000013311"/>
    <s v=""/>
    <s v=""/>
    <s v="52"/>
    <x v="0"/>
    <s v="EU"/>
    <s v="13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6926632"/>
    <n v="1621560383"/>
    <s v=""/>
    <s v=""/>
    <s v="42"/>
    <x v="2"/>
    <s v="EU"/>
    <s v="12"/>
    <s v="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17"/>
    <n v="1621560383"/>
    <s v=""/>
    <s v=""/>
    <s v="41"/>
    <x v="1"/>
    <s v="EU"/>
    <s v="03"/>
    <s v="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44"/>
    <n v="1621560383"/>
    <s v=""/>
    <s v=""/>
    <s v="52"/>
    <x v="0"/>
    <s v="EU"/>
    <s v="13"/>
    <s v="1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47"/>
    <n v="1621560383"/>
    <s v=""/>
    <s v=""/>
    <s v="52"/>
    <x v="0"/>
    <s v="EU"/>
    <s v="13"/>
    <s v="1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56"/>
    <n v="1621560383"/>
    <s v=""/>
    <s v=""/>
    <s v="42"/>
    <x v="2"/>
    <s v="EU"/>
    <s v="12"/>
    <s v="1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0"/>
    <n v="1621560383"/>
    <s v=""/>
    <s v=""/>
    <s v="41"/>
    <x v="1"/>
    <s v="EU"/>
    <s v="03"/>
    <s v="2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3"/>
    <n v="1621560383"/>
    <s v=""/>
    <s v=""/>
    <s v="41"/>
    <x v="1"/>
    <s v="EU"/>
    <s v="03"/>
    <s v="2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6"/>
    <n v="1621560383"/>
    <s v=""/>
    <s v=""/>
    <s v="41"/>
    <x v="1"/>
    <s v="EU"/>
    <s v="03"/>
    <s v="2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95"/>
    <n v="1621560383"/>
    <s v=""/>
    <s v=""/>
    <s v="42"/>
    <x v="2"/>
    <s v="EU"/>
    <s v="12"/>
    <s v="2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98"/>
    <n v="1621560383"/>
    <s v=""/>
    <s v=""/>
    <s v="52"/>
    <x v="0"/>
    <s v="EU"/>
    <s v="13"/>
    <s v="2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04"/>
    <n v="1621560383"/>
    <s v=""/>
    <s v=""/>
    <s v="41"/>
    <x v="1"/>
    <s v="EU"/>
    <s v="03"/>
    <s v="3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16"/>
    <n v="1621560383"/>
    <s v=""/>
    <s v=""/>
    <s v="42"/>
    <x v="2"/>
    <s v="EU"/>
    <s v="12"/>
    <s v="3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2"/>
    <n v="1621560383"/>
    <s v=""/>
    <s v=""/>
    <s v="41"/>
    <x v="1"/>
    <s v="EU"/>
    <s v="03"/>
    <s v="3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46"/>
    <n v="1621560383"/>
    <s v=""/>
    <s v=""/>
    <s v="31"/>
    <x v="7"/>
    <s v="EU"/>
    <s v="02"/>
    <s v="4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61"/>
    <n v="1621560383"/>
    <s v=""/>
    <s v=""/>
    <s v="42"/>
    <x v="2"/>
    <s v="EU"/>
    <s v="12"/>
    <s v="5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52"/>
    <n v="1621560383"/>
    <s v=""/>
    <s v=""/>
    <s v="42"/>
    <x v="2"/>
    <s v="EU"/>
    <s v="12"/>
    <s v="4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99"/>
    <n v="-1000007893"/>
    <s v=""/>
    <s v="W"/>
    <s v=""/>
    <x v="6"/>
    <s v=""/>
    <s v="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55"/>
    <n v="-1000007893"/>
    <s v=""/>
    <s v="RG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9"/>
    <n v="-1000007893"/>
    <s v=""/>
    <s v="RG"/>
    <s v=""/>
    <x v="6"/>
    <s v=""/>
    <s v="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901"/>
    <n v="-1000007893"/>
    <s v=""/>
    <s v="RS"/>
    <s v=""/>
    <x v="6"/>
    <s v=""/>
    <s v="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83"/>
    <n v="-1000007891"/>
    <s v=""/>
    <s v=""/>
    <s v="31"/>
    <x v="7"/>
    <s v="EU"/>
    <s v="02"/>
    <s v="1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582"/>
    <n v="901807897"/>
    <s v=""/>
    <s v=""/>
    <s v="42"/>
    <x v="2"/>
    <s v="EU"/>
    <s v="12"/>
    <s v="1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27"/>
    <n v="-1000007893"/>
    <s v=""/>
    <s v=""/>
    <s v="52"/>
    <x v="0"/>
    <s v="EU"/>
    <s v="13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8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49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66"/>
    <n v="901807897"/>
    <s v=""/>
    <s v=""/>
    <s v="52"/>
    <x v="0"/>
    <s v="EU"/>
    <s v="13"/>
    <s v="3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25"/>
    <n v="-1000007893"/>
    <s v=""/>
    <s v=""/>
    <s v="42"/>
    <x v="2"/>
    <s v="EU"/>
    <s v="1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10393606"/>
    <n v="901807897"/>
    <s v=""/>
    <s v=""/>
    <s v="42"/>
    <x v="2"/>
    <s v="EU"/>
    <s v="12"/>
    <s v="1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58"/>
    <n v="901807897"/>
    <s v="0"/>
    <s v=""/>
    <s v="42"/>
    <x v="2"/>
    <s v="EU"/>
    <s v="12"/>
    <s v="3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-1003534829"/>
    <n v="-1000007893"/>
    <s v=""/>
    <s v=""/>
    <s v="42"/>
    <x v="2"/>
    <s v="EU"/>
    <s v="12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69"/>
    <n v="-1000007891"/>
    <s v=""/>
    <s v=""/>
    <s v="42"/>
    <x v="2"/>
    <s v="EU"/>
    <s v="12"/>
    <s v="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74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8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6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75"/>
    <n v="-1000013311"/>
    <s v=""/>
    <s v=""/>
    <s v="41"/>
    <x v="1"/>
    <s v="EU"/>
    <s v="03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717"/>
    <n v="901807897"/>
    <s v=""/>
    <s v=""/>
    <s v="42"/>
    <x v="2"/>
    <s v="EU"/>
    <s v="12"/>
    <s v="5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89"/>
    <n v="-1000007893"/>
    <s v=""/>
    <s v="W"/>
    <s v=""/>
    <x v="6"/>
    <s v=""/>
    <s v="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27"/>
    <n v="-1000007893"/>
    <s v=""/>
    <s v=""/>
    <s v="52"/>
    <x v="0"/>
    <s v="EU"/>
    <s v="13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10393573"/>
    <n v="901807897"/>
    <s v=""/>
    <s v=""/>
    <s v="42"/>
    <x v="2"/>
    <s v="EU"/>
    <s v="12"/>
    <s v="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668"/>
    <n v="1621560383"/>
    <s v=""/>
    <s v=""/>
    <s v="42"/>
    <x v="2"/>
    <s v="EU"/>
    <s v="12"/>
    <s v="1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81"/>
    <n v="-1000007893"/>
    <s v=""/>
    <s v="RG"/>
    <s v=""/>
    <x v="6"/>
    <s v=""/>
    <s v="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511"/>
    <n v="-1000007891"/>
    <s v=""/>
    <s v=""/>
    <s v="42"/>
    <x v="2"/>
    <s v="EU"/>
    <s v="12"/>
    <s v="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10393642"/>
    <n v="901807897"/>
    <s v=""/>
    <s v=""/>
    <s v="42"/>
    <x v="2"/>
    <s v="EU"/>
    <s v="12"/>
    <s v="3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77"/>
    <n v="901807897"/>
    <s v=""/>
    <s v=""/>
    <s v="42"/>
    <x v="2"/>
    <s v="EU"/>
    <s v="12"/>
    <s v="7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6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651"/>
    <n v="901807897"/>
    <s v=""/>
    <s v=""/>
    <s v="42"/>
    <x v="2"/>
    <s v="EU"/>
    <s v="12"/>
    <s v="3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6"/>
    <n v="901807897"/>
    <s v=""/>
    <s v=""/>
    <s v="42"/>
    <x v="2"/>
    <s v="EU"/>
    <s v="12"/>
    <s v="5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38"/>
    <n v="901807897"/>
    <s v=""/>
    <s v=""/>
    <s v="42"/>
    <x v="2"/>
    <s v="EU"/>
    <s v="12"/>
    <s v="6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3"/>
    <n v="901807897"/>
    <s v=""/>
    <s v=""/>
    <s v="42"/>
    <x v="2"/>
    <s v="EU"/>
    <s v="12"/>
    <s v="2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08"/>
    <n v="901807897"/>
    <s v=""/>
    <s v=""/>
    <s v="42"/>
    <x v="2"/>
    <s v="EU"/>
    <s v="12"/>
    <s v="5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40"/>
    <n v="1621560383"/>
    <s v=""/>
    <s v=""/>
    <s v="42"/>
    <x v="2"/>
    <s v="EU"/>
    <s v="12"/>
    <s v="4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8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893"/>
    <n v="-1000007893"/>
    <s v=""/>
    <s v=""/>
    <s v="52"/>
    <x v="0"/>
    <s v="EU"/>
    <s v="13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61"/>
    <n v="-1000007893"/>
    <s v=""/>
    <s v=""/>
    <s v="31"/>
    <x v="7"/>
    <s v="EU"/>
    <s v="02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10393699"/>
    <n v="901807897"/>
    <s v=""/>
    <s v=""/>
    <s v="52"/>
    <x v="0"/>
    <s v="EU"/>
    <s v="13"/>
    <s v="5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19"/>
    <n v="-1000007893"/>
    <s v=""/>
    <s v=""/>
    <s v="42"/>
    <x v="2"/>
    <s v="EU"/>
    <s v="1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675"/>
    <n v="-1000007893"/>
    <s v=""/>
    <s v="RG"/>
    <s v=""/>
    <x v="6"/>
    <s v=""/>
    <s v="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87"/>
    <n v="-1000007891"/>
    <s v=""/>
    <s v=""/>
    <s v="42"/>
    <x v="2"/>
    <s v="EU"/>
    <s v="12"/>
    <s v="1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7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9"/>
    <n v="-1000007893"/>
    <s v=""/>
    <s v="W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5"/>
    <n v="-1000007893"/>
    <s v=""/>
    <s v="NP"/>
    <s v=""/>
    <x v="6"/>
    <s v=""/>
    <s v="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79"/>
    <n v="-1000013311"/>
    <s v=""/>
    <s v="W"/>
    <s v=""/>
    <x v="6"/>
    <s v=""/>
    <s v="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875"/>
    <n v="-1000013311"/>
    <s v=""/>
    <s v=""/>
    <s v="42"/>
    <x v="2"/>
    <s v="EU"/>
    <s v="1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49"/>
    <n v="-1000013311"/>
    <s v=""/>
    <s v=""/>
    <s v="53"/>
    <x v="4"/>
    <s v="EU"/>
    <s v="2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85"/>
    <n v="-1000013311"/>
    <s v=""/>
    <s v=""/>
    <s v="2M"/>
    <x v="3"/>
    <s v="MY"/>
    <s v="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645"/>
    <n v="-1000013311"/>
    <s v=""/>
    <s v=""/>
    <s v="41"/>
    <x v="1"/>
    <s v="EU"/>
    <s v="03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4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95"/>
    <n v="-1000013311"/>
    <s v=""/>
    <s v=""/>
    <s v="2M"/>
    <x v="3"/>
    <s v="MY"/>
    <s v="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529"/>
    <n v="-1000007891"/>
    <s v=""/>
    <s v=""/>
    <s v="42"/>
    <x v="2"/>
    <s v="EU"/>
    <s v="12"/>
    <s v="1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8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10393663"/>
    <n v="901807897"/>
    <s v=""/>
    <s v=""/>
    <s v="42"/>
    <x v="2"/>
    <s v="EU"/>
    <s v="12"/>
    <s v="3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6926749"/>
    <n v="1621560383"/>
    <s v=""/>
    <s v=""/>
    <s v="41"/>
    <x v="1"/>
    <s v="EU"/>
    <s v="03"/>
    <s v="4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07"/>
    <n v="-1000007891"/>
    <s v=""/>
    <s v=""/>
    <s v="53"/>
    <x v="4"/>
    <s v="EU"/>
    <s v="22"/>
    <s v="2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909"/>
    <n v="-1000007893"/>
    <s v=""/>
    <s v=""/>
    <s v="41"/>
    <x v="1"/>
    <s v="EU"/>
    <s v="03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19"/>
    <n v="-1000007893"/>
    <s v=""/>
    <s v=""/>
    <s v="41"/>
    <x v="1"/>
    <s v="EU"/>
    <s v="03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65"/>
    <n v="1621560383"/>
    <s v=""/>
    <s v=""/>
    <s v="41"/>
    <x v="1"/>
    <s v="EU"/>
    <s v="03"/>
    <s v="1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786"/>
    <n v="901807897"/>
    <s v=""/>
    <s v=""/>
    <s v="53"/>
    <x v="4"/>
    <s v="EU"/>
    <s v="22"/>
    <s v="7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29"/>
    <n v="-1000007893"/>
    <s v=""/>
    <s v="RG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74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73"/>
    <n v="-1000013311"/>
    <s v=""/>
    <s v="W"/>
    <s v=""/>
    <x v="6"/>
    <s v=""/>
    <s v="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747"/>
    <n v="901807897"/>
    <s v=""/>
    <s v="UM"/>
    <s v="S2"/>
    <x v="15"/>
    <s v="FW"/>
    <s v="1"/>
    <s v="6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14"/>
    <n v="901807897"/>
    <s v=""/>
    <s v=""/>
    <s v="42"/>
    <x v="2"/>
    <s v="EU"/>
    <s v="12"/>
    <s v="5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1"/>
    <n v="901807897"/>
    <s v=""/>
    <s v=""/>
    <s v="42"/>
    <x v="2"/>
    <s v="EU"/>
    <s v="12"/>
    <s v="2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33"/>
    <n v="-1000007893"/>
    <s v=""/>
    <s v="W"/>
    <s v=""/>
    <x v="6"/>
    <s v=""/>
    <s v="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69"/>
    <n v="-1000007893"/>
    <s v=""/>
    <s v="W"/>
    <s v=""/>
    <x v="6"/>
    <s v=""/>
    <s v="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11"/>
    <n v="-1000007893"/>
    <s v=""/>
    <s v="RG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77"/>
    <n v="-1000007891"/>
    <s v=""/>
    <s v=""/>
    <s v="42"/>
    <x v="2"/>
    <s v="EU"/>
    <s v="12"/>
    <s v="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672"/>
    <n v="901807897"/>
    <s v=""/>
    <s v=""/>
    <s v="52"/>
    <x v="0"/>
    <s v="EU"/>
    <s v="13"/>
    <s v="4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15"/>
    <n v="901807897"/>
    <s v=""/>
    <s v=""/>
    <s v="52"/>
    <x v="0"/>
    <s v="EU"/>
    <s v="13"/>
    <s v="2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07"/>
    <n v="901807897"/>
    <s v=""/>
    <s v=""/>
    <s v="42"/>
    <x v="2"/>
    <s v="EU"/>
    <s v="12"/>
    <s v="8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3"/>
    <n v="901807897"/>
    <s v=""/>
    <s v=""/>
    <s v="42"/>
    <x v="2"/>
    <s v="EU"/>
    <s v="12"/>
    <s v="8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6"/>
    <n v="901807897"/>
    <s v=""/>
    <s v=""/>
    <s v="42"/>
    <x v="2"/>
    <s v="EU"/>
    <s v="12"/>
    <s v="8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25"/>
    <n v="901807897"/>
    <s v=""/>
    <s v=""/>
    <s v="52"/>
    <x v="0"/>
    <s v="EU"/>
    <s v="13"/>
    <s v="9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34"/>
    <n v="901807897"/>
    <s v=""/>
    <s v=""/>
    <s v="42"/>
    <x v="2"/>
    <s v="EU"/>
    <s v="12"/>
    <s v="9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40"/>
    <n v="901807897"/>
    <s v=""/>
    <s v=""/>
    <s v="42"/>
    <x v="2"/>
    <s v="EU"/>
    <s v="12"/>
    <s v="9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46"/>
    <n v="901807897"/>
    <s v=""/>
    <s v=""/>
    <s v="42"/>
    <x v="2"/>
    <s v="EU"/>
    <s v="12"/>
    <s v="9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52"/>
    <n v="901807897"/>
    <s v="1"/>
    <s v=""/>
    <s v="42"/>
    <x v="2"/>
    <s v="EU"/>
    <s v="12"/>
    <s v="1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10393855"/>
    <n v="901807897"/>
    <s v="1"/>
    <s v=""/>
    <s v="52"/>
    <x v="0"/>
    <s v="EU"/>
    <s v="13"/>
    <s v="2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10393639"/>
    <n v="901807897"/>
    <s v=""/>
    <s v=""/>
    <s v="42"/>
    <x v="2"/>
    <s v="EU"/>
    <s v="12"/>
    <s v="3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6"/>
    <n v="901807897"/>
    <s v=""/>
    <s v=""/>
    <s v="42"/>
    <x v="2"/>
    <s v="EU"/>
    <s v="12"/>
    <s v="2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54"/>
    <n v="901807897"/>
    <s v=""/>
    <s v=""/>
    <s v="42"/>
    <x v="2"/>
    <s v="EU"/>
    <s v="12"/>
    <s v="3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4"/>
    <n v="901807897"/>
    <s v=""/>
    <s v=""/>
    <s v="42"/>
    <x v="2"/>
    <s v="EU"/>
    <s v="12"/>
    <s v="4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7"/>
    <n v="901807897"/>
    <s v=""/>
    <s v=""/>
    <s v="52"/>
    <x v="0"/>
    <s v="EU"/>
    <s v="13"/>
    <s v="4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02"/>
    <n v="901807897"/>
    <s v=""/>
    <s v="UM"/>
    <s v="S2"/>
    <x v="15"/>
    <s v="FW"/>
    <s v="1"/>
    <s v="5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3"/>
    <n v="901807897"/>
    <s v=""/>
    <s v=""/>
    <s v="42"/>
    <x v="2"/>
    <s v="EU"/>
    <s v="12"/>
    <s v="5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35"/>
    <n v="901807897"/>
    <s v=""/>
    <s v=""/>
    <s v="42"/>
    <x v="2"/>
    <s v="EU"/>
    <s v="12"/>
    <s v="6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44"/>
    <n v="901807897"/>
    <s v=""/>
    <s v=""/>
    <s v="42"/>
    <x v="2"/>
    <s v="EU"/>
    <s v="12"/>
    <s v="6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6"/>
    <n v="901807897"/>
    <s v=""/>
    <s v=""/>
    <s v="42"/>
    <x v="2"/>
    <s v="EU"/>
    <s v="12"/>
    <s v="6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68"/>
    <n v="901807897"/>
    <s v=""/>
    <s v=""/>
    <s v="42"/>
    <x v="2"/>
    <s v="EU"/>
    <s v="12"/>
    <s v="7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80"/>
    <n v="901807897"/>
    <s v=""/>
    <s v=""/>
    <s v="42"/>
    <x v="2"/>
    <s v="EU"/>
    <s v="12"/>
    <s v="7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55"/>
    <n v="901807897"/>
    <s v=""/>
    <s v=""/>
    <s v="42"/>
    <x v="2"/>
    <s v="EU"/>
    <s v="12"/>
    <s v="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4"/>
    <n v="901807897"/>
    <s v=""/>
    <s v=""/>
    <s v="42"/>
    <x v="2"/>
    <s v="EU"/>
    <s v="12"/>
    <s v="2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61"/>
    <n v="901807897"/>
    <s v=""/>
    <s v=""/>
    <s v="42"/>
    <x v="2"/>
    <s v="EU"/>
    <s v="12"/>
    <s v="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76"/>
    <n v="901807897"/>
    <s v=""/>
    <s v=""/>
    <s v="32"/>
    <x v="11"/>
    <s v="EU"/>
    <s v="11"/>
    <s v="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79"/>
    <n v="901807897"/>
    <s v=""/>
    <s v=""/>
    <s v="42"/>
    <x v="2"/>
    <s v="EU"/>
    <s v="12"/>
    <s v="1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85"/>
    <n v="901807897"/>
    <s v=""/>
    <s v=""/>
    <s v="42"/>
    <x v="2"/>
    <s v="EU"/>
    <s v="12"/>
    <s v="1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91"/>
    <n v="901807897"/>
    <s v=""/>
    <s v=""/>
    <s v="42"/>
    <x v="2"/>
    <s v="EU"/>
    <s v="12"/>
    <s v="1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01"/>
    <n v="-1000013311"/>
    <s v=""/>
    <s v=""/>
    <s v="52"/>
    <x v="0"/>
    <s v="EU"/>
    <s v="13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753"/>
    <n v="901807897"/>
    <s v=""/>
    <s v=""/>
    <s v="42"/>
    <x v="2"/>
    <s v="EU"/>
    <s v="12"/>
    <s v="6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03"/>
    <n v="901807897"/>
    <s v=""/>
    <s v=""/>
    <s v="42"/>
    <x v="2"/>
    <s v="EU"/>
    <s v="12"/>
    <s v="1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45"/>
    <n v="901807897"/>
    <s v=""/>
    <s v=""/>
    <s v="42"/>
    <x v="2"/>
    <s v="EU"/>
    <s v="12"/>
    <s v="3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01"/>
    <n v="901807897"/>
    <s v=""/>
    <s v=""/>
    <s v="42"/>
    <x v="2"/>
    <s v="EU"/>
    <s v="12"/>
    <s v="8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78"/>
    <n v="901807897"/>
    <s v=""/>
    <s v=""/>
    <s v="42"/>
    <x v="2"/>
    <s v="EU"/>
    <s v="12"/>
    <s v="4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5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0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69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82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5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857"/>
    <n v="-1000013311"/>
    <s v=""/>
    <s v=""/>
    <s v="2M"/>
    <x v="3"/>
    <s v="MY"/>
    <s v="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17"/>
    <n v="-1000013311"/>
    <s v=""/>
    <s v=""/>
    <s v="53"/>
    <x v="4"/>
    <s v="EU"/>
    <s v="2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789"/>
    <n v="901807897"/>
    <s v=""/>
    <s v=""/>
    <s v="42"/>
    <x v="2"/>
    <s v="EU"/>
    <s v="12"/>
    <s v="8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25"/>
    <n v="-1000007891"/>
    <s v=""/>
    <s v="RG"/>
    <s v=""/>
    <x v="6"/>
    <s v=""/>
    <s v=""/>
    <s v="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907"/>
    <n v="-1000007893"/>
    <s v=""/>
    <s v="RG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65"/>
    <n v="-1000007893"/>
    <s v=""/>
    <s v="W"/>
    <s v=""/>
    <x v="6"/>
    <s v=""/>
    <s v="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7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558"/>
    <n v="901807897"/>
    <s v=""/>
    <s v=""/>
    <s v="42"/>
    <x v="2"/>
    <s v="EU"/>
    <s v="12"/>
    <s v="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13"/>
    <n v="-1000013311"/>
    <s v=""/>
    <s v="W"/>
    <s v=""/>
    <x v="6"/>
    <s v=""/>
    <s v="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749"/>
    <n v="-1000007893"/>
    <s v=""/>
    <s v="RG"/>
    <s v=""/>
    <x v="6"/>
    <s v=""/>
    <s v="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7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709"/>
    <n v="-1000013311"/>
    <s v=""/>
    <s v=""/>
    <s v="43"/>
    <x v="10"/>
    <s v="EU"/>
    <s v="21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612"/>
    <n v="901807897"/>
    <s v=""/>
    <s v=""/>
    <s v="42"/>
    <x v="2"/>
    <s v="EU"/>
    <s v="12"/>
    <s v="2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90"/>
    <n v="901807897"/>
    <s v=""/>
    <s v=""/>
    <s v="42"/>
    <x v="2"/>
    <s v="EU"/>
    <s v="12"/>
    <s v="4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5"/>
    <n v="901807897"/>
    <s v=""/>
    <s v=""/>
    <s v="42"/>
    <x v="2"/>
    <s v="EU"/>
    <s v="12"/>
    <s v="8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73"/>
    <n v="1621560383"/>
    <s v=""/>
    <s v=""/>
    <s v="52"/>
    <x v="0"/>
    <s v="EU"/>
    <s v="13"/>
    <s v="5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5"/>
    <n v="1621560383"/>
    <s v=""/>
    <s v=""/>
    <s v="41"/>
    <x v="1"/>
    <s v="EU"/>
    <s v="03"/>
    <s v="3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8"/>
    <n v="1621560383"/>
    <s v=""/>
    <s v=""/>
    <s v="41"/>
    <x v="1"/>
    <s v="EU"/>
    <s v="03"/>
    <s v="3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29"/>
    <n v="1621560383"/>
    <s v=""/>
    <s v=""/>
    <s v="52"/>
    <x v="0"/>
    <s v="EU"/>
    <s v="13"/>
    <s v="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71"/>
    <n v="1621560383"/>
    <s v=""/>
    <s v=""/>
    <s v="42"/>
    <x v="2"/>
    <s v="EU"/>
    <s v="12"/>
    <s v="2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96"/>
    <n v="901807897"/>
    <s v=""/>
    <s v=""/>
    <s v="53"/>
    <x v="4"/>
    <s v="EU"/>
    <s v="22"/>
    <s v="4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43"/>
    <n v="1621560383"/>
    <s v=""/>
    <s v=""/>
    <s v="52"/>
    <x v="0"/>
    <s v="EU"/>
    <s v="13"/>
    <s v="4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01"/>
    <n v="1621560383"/>
    <s v=""/>
    <s v=""/>
    <s v="52"/>
    <x v="0"/>
    <s v="EU"/>
    <s v="13"/>
    <s v="3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10"/>
    <n v="1621560383"/>
    <s v=""/>
    <s v=""/>
    <s v="42"/>
    <x v="2"/>
    <s v="EU"/>
    <s v="12"/>
    <s v="3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34"/>
    <n v="1621560383"/>
    <s v=""/>
    <s v=""/>
    <s v="41"/>
    <x v="1"/>
    <s v="EU"/>
    <s v="03"/>
    <s v="4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79"/>
    <n v="1621560383"/>
    <s v=""/>
    <s v=""/>
    <s v="42"/>
    <x v="2"/>
    <s v="EU"/>
    <s v="12"/>
    <s v="5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795"/>
    <n v="-1000007893"/>
    <s v=""/>
    <s v=""/>
    <s v="31"/>
    <x v="7"/>
    <s v="EU"/>
    <s v="0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689"/>
    <n v="-1000007893"/>
    <s v=""/>
    <s v=""/>
    <s v="41"/>
    <x v="1"/>
    <s v="EU"/>
    <s v="03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3"/>
    <n v="-1000007893"/>
    <s v=""/>
    <s v="RG"/>
    <s v=""/>
    <x v="6"/>
    <s v=""/>
    <s v="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21"/>
    <n v="-1000007893"/>
    <s v=""/>
    <s v="RG"/>
    <s v=""/>
    <x v="6"/>
    <s v=""/>
    <s v="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7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5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491"/>
    <n v="-1000013311"/>
    <s v=""/>
    <s v=""/>
    <s v="S2"/>
    <x v="15"/>
    <s v="FW"/>
    <s v="1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745"/>
    <n v="-1000007893"/>
    <s v=""/>
    <s v=""/>
    <s v="31"/>
    <x v="7"/>
    <s v="EU"/>
    <s v="0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8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3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787"/>
    <n v="-1000007893"/>
    <s v=""/>
    <s v="NP"/>
    <s v=""/>
    <x v="6"/>
    <s v=""/>
    <s v="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65"/>
    <n v="-1000007893"/>
    <s v=""/>
    <s v=""/>
    <s v="31"/>
    <x v="7"/>
    <s v="EU"/>
    <s v="0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3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35"/>
    <n v="-1000007891"/>
    <s v=""/>
    <s v=""/>
    <s v="32"/>
    <x v="11"/>
    <s v="EU"/>
    <s v="11"/>
    <s v="1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55"/>
    <n v="-1000007891"/>
    <s v=""/>
    <s v=""/>
    <s v="42"/>
    <x v="2"/>
    <s v="EU"/>
    <s v="12"/>
    <s v="2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57"/>
    <n v="-1000007893"/>
    <s v=""/>
    <s v=""/>
    <s v="52"/>
    <x v="0"/>
    <s v="EU"/>
    <s v="13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765"/>
    <n v="901807897"/>
    <s v=""/>
    <s v=""/>
    <s v="42"/>
    <x v="2"/>
    <s v="EU"/>
    <s v="12"/>
    <s v="7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31"/>
    <n v="901807897"/>
    <s v=""/>
    <s v=""/>
    <s v="42"/>
    <x v="2"/>
    <s v="EU"/>
    <s v="12"/>
    <s v="9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6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6926623"/>
    <n v="1621560383"/>
    <s v=""/>
    <s v=""/>
    <s v="42"/>
    <x v="2"/>
    <s v="EU"/>
    <s v="12"/>
    <s v="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6926770"/>
    <n v="1621560383"/>
    <s v=""/>
    <s v=""/>
    <s v="52"/>
    <x v="0"/>
    <s v="EU"/>
    <s v="13"/>
    <s v="5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97"/>
    <n v="-1000007893"/>
    <s v=""/>
    <s v=""/>
    <s v="52"/>
    <x v="0"/>
    <s v="EU"/>
    <s v="13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6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663"/>
    <n v="-1000007893"/>
    <s v=""/>
    <s v="W"/>
    <s v=""/>
    <x v="6"/>
    <s v=""/>
    <s v="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9"/>
    <n v="-1000007893"/>
    <s v=""/>
    <s v=""/>
    <s v="31"/>
    <x v="7"/>
    <s v="EU"/>
    <s v="0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91"/>
    <n v="-1000007893"/>
    <s v=""/>
    <s v="NP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49"/>
    <n v="-1000007893"/>
    <s v=""/>
    <s v=""/>
    <s v="41"/>
    <x v="1"/>
    <s v="EU"/>
    <s v="0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88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79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571"/>
    <n v="-1000007891"/>
    <s v=""/>
    <s v=""/>
    <s v="42"/>
    <x v="2"/>
    <s v="EU"/>
    <s v="12"/>
    <s v="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8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519"/>
    <n v="-1000007891"/>
    <s v=""/>
    <s v=""/>
    <s v="31"/>
    <x v="7"/>
    <s v="EU"/>
    <s v="02"/>
    <s v="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8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643"/>
    <n v="-1000013311"/>
    <s v=""/>
    <s v=""/>
    <s v="52"/>
    <x v="0"/>
    <s v="EU"/>
    <s v="13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8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9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41"/>
    <n v="-1000013311"/>
    <s v=""/>
    <s v="W"/>
    <s v=""/>
    <x v="6"/>
    <s v=""/>
    <s v="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1"/>
    <n v="-1000013311"/>
    <s v=""/>
    <s v="W"/>
    <s v=""/>
    <x v="6"/>
    <s v=""/>
    <s v="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875"/>
    <n v="-1000007893"/>
    <s v=""/>
    <s v=""/>
    <s v="41"/>
    <x v="1"/>
    <s v="EU"/>
    <s v="03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6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6926662"/>
    <n v="1621560383"/>
    <s v=""/>
    <s v=""/>
    <s v="41"/>
    <x v="1"/>
    <s v="EU"/>
    <s v="03"/>
    <s v="1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564"/>
    <n v="901807897"/>
    <s v=""/>
    <s v=""/>
    <s v="42"/>
    <x v="2"/>
    <s v="EU"/>
    <s v="12"/>
    <s v="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0"/>
    <n v="901807897"/>
    <s v=""/>
    <s v=""/>
    <s v="42"/>
    <x v="2"/>
    <s v="EU"/>
    <s v="12"/>
    <s v="6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55"/>
    <n v="-1000007893"/>
    <s v=""/>
    <s v=""/>
    <s v="31"/>
    <x v="7"/>
    <s v="EU"/>
    <s v="0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68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31"/>
    <n v="-1000007891"/>
    <s v=""/>
    <s v=""/>
    <s v="42"/>
    <x v="2"/>
    <s v="EU"/>
    <s v="12"/>
    <s v="1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85"/>
    <n v="-1000007891"/>
    <s v=""/>
    <s v=""/>
    <s v="53"/>
    <x v="4"/>
    <s v="EU"/>
    <s v="22"/>
    <s v="1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79"/>
    <n v="-1000007893"/>
    <s v=""/>
    <s v="RG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905"/>
    <n v="-1000007893"/>
    <s v=""/>
    <s v=""/>
    <s v="31"/>
    <x v="7"/>
    <s v="EU"/>
    <s v="0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8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07"/>
    <n v="-1000013311"/>
    <s v=""/>
    <s v="RG"/>
    <s v=""/>
    <x v="6"/>
    <s v=""/>
    <s v="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7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5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493"/>
    <n v="-1000013311"/>
    <s v=""/>
    <s v=""/>
    <s v="2M"/>
    <x v="3"/>
    <s v="MY"/>
    <s v="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57"/>
    <n v="901807897"/>
    <s v=""/>
    <s v=""/>
    <s v="42"/>
    <x v="2"/>
    <s v="EU"/>
    <s v="12"/>
    <s v="3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729"/>
    <n v="-1000007893"/>
    <s v=""/>
    <s v=""/>
    <s v="42"/>
    <x v="2"/>
    <s v="EU"/>
    <s v="12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79"/>
    <n v="-1000007893"/>
    <s v=""/>
    <s v=""/>
    <s v="41"/>
    <x v="1"/>
    <s v="EU"/>
    <s v="03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15"/>
    <n v="-1000007893"/>
    <s v=""/>
    <s v=""/>
    <s v="52"/>
    <x v="0"/>
    <s v="EU"/>
    <s v="13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553"/>
    <n v="-1000007891"/>
    <s v=""/>
    <s v=""/>
    <s v="42"/>
    <x v="2"/>
    <s v="EU"/>
    <s v="12"/>
    <s v="2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683"/>
    <n v="-1000007893"/>
    <s v=""/>
    <s v=""/>
    <s v="31"/>
    <x v="7"/>
    <s v="EU"/>
    <s v="0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93"/>
    <n v="-1000007891"/>
    <s v=""/>
    <s v=""/>
    <s v="42"/>
    <x v="2"/>
    <s v="EU"/>
    <s v="12"/>
    <s v="1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7"/>
    <n v="-1000007891"/>
    <s v=""/>
    <s v=""/>
    <s v="42"/>
    <x v="2"/>
    <s v="EU"/>
    <s v="12"/>
    <s v="1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8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6926719"/>
    <n v="1621560383"/>
    <s v=""/>
    <s v=""/>
    <s v="32"/>
    <x v="11"/>
    <s v="EU"/>
    <s v="11"/>
    <s v="3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93"/>
    <n v="901807897"/>
    <s v=""/>
    <s v=""/>
    <s v="52"/>
    <x v="0"/>
    <s v="EU"/>
    <s v="13"/>
    <s v="4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64"/>
    <n v="1621560383"/>
    <s v=""/>
    <s v=""/>
    <s v="31"/>
    <x v="7"/>
    <s v="EU"/>
    <s v="02"/>
    <s v="5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75"/>
    <n v="-1000013311"/>
    <s v=""/>
    <s v=""/>
    <s v="42"/>
    <x v="2"/>
    <s v="EU"/>
    <s v="1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721"/>
    <n v="-1000007893"/>
    <s v=""/>
    <s v="W"/>
    <s v=""/>
    <x v="6"/>
    <s v=""/>
    <s v="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7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83"/>
    <n v="-1000007893"/>
    <s v=""/>
    <s v=""/>
    <s v="52"/>
    <x v="0"/>
    <s v="EU"/>
    <s v="13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13"/>
    <n v="-1000007891"/>
    <s v=""/>
    <s v="RG"/>
    <s v=""/>
    <x v="6"/>
    <s v=""/>
    <s v=""/>
    <s v="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73"/>
    <n v="-1000007891"/>
    <s v=""/>
    <s v=""/>
    <s v="42"/>
    <x v="2"/>
    <s v="EU"/>
    <s v="12"/>
    <s v="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771"/>
    <n v="-1000013311"/>
    <s v=""/>
    <s v=""/>
    <s v="2M"/>
    <x v="3"/>
    <s v="MY"/>
    <s v="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8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6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69"/>
    <n v="-1000013311"/>
    <s v=""/>
    <s v=""/>
    <s v="2M"/>
    <x v="3"/>
    <s v="MY"/>
    <s v="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63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5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60"/>
    <n v="901807897"/>
    <s v=""/>
    <s v=""/>
    <s v="42"/>
    <x v="2"/>
    <s v="EU"/>
    <s v="12"/>
    <s v="3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11"/>
    <n v="-1000007893"/>
    <s v=""/>
    <s v=""/>
    <s v="42"/>
    <x v="2"/>
    <s v="EU"/>
    <s v="12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3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617"/>
    <n v="-1000007893"/>
    <s v=""/>
    <s v=""/>
    <s v="52"/>
    <x v="0"/>
    <s v="EU"/>
    <s v="13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14"/>
    <n v="1621560383"/>
    <s v=""/>
    <s v=""/>
    <s v="42"/>
    <x v="2"/>
    <s v="EU"/>
    <s v="12"/>
    <s v="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552"/>
    <n v="901807897"/>
    <s v=""/>
    <s v=""/>
    <s v="42"/>
    <x v="2"/>
    <s v="EU"/>
    <s v="12"/>
    <s v="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22"/>
    <n v="901807897"/>
    <s v=""/>
    <s v=""/>
    <s v="42"/>
    <x v="2"/>
    <s v="EU"/>
    <s v="12"/>
    <s v="9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1"/>
    <n v="901807897"/>
    <s v=""/>
    <s v=""/>
    <s v="42"/>
    <x v="2"/>
    <s v="EU"/>
    <s v="12"/>
    <s v="4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9"/>
    <n v="901807897"/>
    <s v=""/>
    <s v=""/>
    <s v="42"/>
    <x v="2"/>
    <s v="EU"/>
    <s v="12"/>
    <s v="7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0"/>
    <n v="901807897"/>
    <s v=""/>
    <s v=""/>
    <s v="42"/>
    <x v="2"/>
    <s v="EU"/>
    <s v="12"/>
    <s v="5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8"/>
    <n v="901807897"/>
    <s v=""/>
    <s v=""/>
    <s v="42"/>
    <x v="2"/>
    <s v="EU"/>
    <s v="12"/>
    <s v="8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03"/>
    <n v="-1000013311"/>
    <s v=""/>
    <s v=""/>
    <s v="52"/>
    <x v="0"/>
    <s v="EU"/>
    <s v="13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6926674"/>
    <n v="1621560383"/>
    <s v=""/>
    <s v=""/>
    <s v="42"/>
    <x v="2"/>
    <s v="EU"/>
    <s v="12"/>
    <s v="2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38"/>
    <n v="1621560383"/>
    <s v=""/>
    <s v=""/>
    <s v="42"/>
    <x v="2"/>
    <s v="EU"/>
    <s v="12"/>
    <s v="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6926737"/>
    <n v="1621560383"/>
    <s v=""/>
    <s v=""/>
    <s v="31"/>
    <x v="7"/>
    <s v="EU"/>
    <s v="02"/>
    <s v="4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6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71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557"/>
    <n v="-1000007891"/>
    <s v=""/>
    <s v=""/>
    <s v="42"/>
    <x v="2"/>
    <s v="EU"/>
    <s v="12"/>
    <s v="2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81"/>
    <n v="-1000007891"/>
    <s v=""/>
    <s v=""/>
    <s v="42"/>
    <x v="2"/>
    <s v="EU"/>
    <s v="12"/>
    <s v="1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39"/>
    <n v="-1000007891"/>
    <s v=""/>
    <s v=""/>
    <s v="53"/>
    <x v="4"/>
    <s v="EU"/>
    <s v="22"/>
    <s v="1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831"/>
    <n v="-1000007893"/>
    <s v=""/>
    <s v=""/>
    <s v="52"/>
    <x v="0"/>
    <s v="EU"/>
    <s v="1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10393819"/>
    <n v="901807897"/>
    <s v=""/>
    <s v=""/>
    <s v="52"/>
    <x v="0"/>
    <s v="EU"/>
    <s v="13"/>
    <s v="9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81"/>
    <n v="-1000013311"/>
    <s v=""/>
    <s v="W"/>
    <s v=""/>
    <x v="6"/>
    <s v=""/>
    <s v="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828"/>
    <n v="901807897"/>
    <s v=""/>
    <s v=""/>
    <s v="52"/>
    <x v="0"/>
    <s v="EU"/>
    <s v="13"/>
    <s v="9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57"/>
    <n v="-1000007893"/>
    <s v=""/>
    <s v="NP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10393861"/>
    <n v="901807897"/>
    <s v="0"/>
    <s v="RG"/>
    <s v="2M"/>
    <x v="3"/>
    <s v="MY"/>
    <s v="2"/>
    <s v="4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-1004097661"/>
    <n v="-1000013311"/>
    <s v=""/>
    <s v=""/>
    <s v="53"/>
    <x v="4"/>
    <s v="EU"/>
    <s v="2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600"/>
    <n v="901807897"/>
    <s v=""/>
    <s v="UM"/>
    <s v="S2"/>
    <x v="15"/>
    <s v="FW"/>
    <s v="1"/>
    <s v="1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5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731"/>
    <n v="1621560383"/>
    <s v=""/>
    <s v=""/>
    <s v="41"/>
    <x v="1"/>
    <s v="EU"/>
    <s v="03"/>
    <s v="4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61"/>
    <n v="-1000013311"/>
    <s v=""/>
    <s v=""/>
    <s v="2M"/>
    <x v="3"/>
    <s v="MY"/>
    <s v="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6926776"/>
    <n v="1621560383"/>
    <s v=""/>
    <s v=""/>
    <s v="42"/>
    <x v="2"/>
    <s v="EU"/>
    <s v="12"/>
    <s v="5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09"/>
    <n v="901807897"/>
    <s v=""/>
    <s v=""/>
    <s v="42"/>
    <x v="2"/>
    <s v="EU"/>
    <s v="12"/>
    <s v="2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9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10393594"/>
    <n v="901807897"/>
    <s v=""/>
    <s v=""/>
    <s v="42"/>
    <x v="2"/>
    <s v="EU"/>
    <s v="12"/>
    <s v="1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95"/>
    <n v="-1000007893"/>
    <s v=""/>
    <s v=""/>
    <s v="32"/>
    <x v="11"/>
    <s v="EU"/>
    <s v="11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6926713"/>
    <n v="1621560383"/>
    <s v=""/>
    <s v=""/>
    <s v="41"/>
    <x v="1"/>
    <s v="EU"/>
    <s v="03"/>
    <s v="3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39"/>
    <n v="-1000007893"/>
    <s v=""/>
    <s v=""/>
    <s v="42"/>
    <x v="2"/>
    <s v="EU"/>
    <s v="1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755"/>
    <n v="1621560383"/>
    <s v=""/>
    <s v=""/>
    <s v="41"/>
    <x v="1"/>
    <s v="EU"/>
    <s v="03"/>
    <s v="4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87"/>
    <n v="-1000013311"/>
    <s v=""/>
    <s v="W"/>
    <s v=""/>
    <x v="6"/>
    <s v=""/>
    <s v="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53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711"/>
    <n v="-1000013311"/>
    <s v=""/>
    <s v=""/>
    <s v="53"/>
    <x v="4"/>
    <s v="EU"/>
    <s v="2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81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7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5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86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1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837"/>
    <n v="901807897"/>
    <s v=""/>
    <s v=""/>
    <s v="42"/>
    <x v="2"/>
    <s v="EU"/>
    <s v="12"/>
    <s v="9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0"/>
    <n v="901807897"/>
    <s v=""/>
    <s v=""/>
    <s v="52"/>
    <x v="0"/>
    <s v="EU"/>
    <s v="13"/>
    <s v="8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5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10393783"/>
    <n v="901807897"/>
    <s v=""/>
    <s v=""/>
    <s v="42"/>
    <x v="2"/>
    <s v="EU"/>
    <s v="12"/>
    <s v="7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47"/>
    <n v="-1000007891"/>
    <s v=""/>
    <s v=""/>
    <s v="42"/>
    <x v="2"/>
    <s v="EU"/>
    <s v="12"/>
    <s v="1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609"/>
    <n v="-1000007891"/>
    <s v=""/>
    <s v=""/>
    <s v="42"/>
    <x v="2"/>
    <s v="EU"/>
    <s v="12"/>
    <s v="2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6926689"/>
    <n v="1621560383"/>
    <s v=""/>
    <s v=""/>
    <s v="42"/>
    <x v="2"/>
    <s v="EU"/>
    <s v="12"/>
    <s v="2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61"/>
    <n v="-1000007893"/>
    <s v=""/>
    <s v="W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6926782"/>
    <n v="1621560383"/>
    <s v=""/>
    <s v=""/>
    <s v="52"/>
    <x v="0"/>
    <s v="EU"/>
    <s v="13"/>
    <s v="5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8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47"/>
    <n v="-1000013311"/>
    <s v=""/>
    <s v="RG"/>
    <s v=""/>
    <x v="6"/>
    <s v=""/>
    <s v="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10393597"/>
    <n v="901807897"/>
    <s v=""/>
    <s v=""/>
    <s v="42"/>
    <x v="2"/>
    <s v="EU"/>
    <s v="12"/>
    <s v="1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11"/>
    <n v="901807897"/>
    <s v=""/>
    <s v=""/>
    <s v="42"/>
    <x v="2"/>
    <s v="EU"/>
    <s v="12"/>
    <s v="5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31"/>
    <n v="-1000013311"/>
    <s v=""/>
    <s v="W"/>
    <s v=""/>
    <x v="6"/>
    <s v=""/>
    <s v="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81"/>
    <n v="-1000007893"/>
    <s v=""/>
    <s v=""/>
    <s v="41"/>
    <x v="1"/>
    <s v="EU"/>
    <s v="0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405"/>
    <n v="-1000007887"/>
    <s v=""/>
    <s v=""/>
    <s v=""/>
    <x v="6"/>
    <s v=""/>
    <s v=""/>
    <s v="2"/>
    <s v="Scales"/>
    <n v="2126660001"/>
    <s v="10 SCALES ACROSS PER FISH"/>
    <n v="-1000005620"/>
    <s v="ATNARKO ESCAPEMENT-1989"/>
    <n v="968"/>
    <s v="BELLA COOLA RIVER"/>
    <x v="17"/>
    <s v="107"/>
    <n v="1"/>
    <s v="SOCKEYE SALMON"/>
    <n v="2086090006"/>
    <x v="0"/>
    <n v="11"/>
    <s v="Other Gillnet/Set Net"/>
    <s v="Adult"/>
    <d v="1989-06-20T00:00:00"/>
    <d v="1989-06-20T00:00:00"/>
    <s v="1989310010747954"/>
  </r>
  <r>
    <n v="-1003534623"/>
    <n v="-1000007893"/>
    <s v=""/>
    <s v="RG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26"/>
    <n v="1621560383"/>
    <s v=""/>
    <s v=""/>
    <s v="52"/>
    <x v="0"/>
    <s v="EU"/>
    <s v="13"/>
    <s v="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804"/>
    <n v="901807897"/>
    <s v=""/>
    <s v=""/>
    <s v="42"/>
    <x v="2"/>
    <s v="EU"/>
    <s v="12"/>
    <s v="8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659"/>
    <n v="1621560383"/>
    <s v=""/>
    <s v=""/>
    <s v="41"/>
    <x v="1"/>
    <s v="EU"/>
    <s v="03"/>
    <s v="1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65"/>
    <n v="-1000013311"/>
    <s v=""/>
    <s v="RG"/>
    <s v=""/>
    <x v="6"/>
    <s v=""/>
    <s v="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91"/>
    <n v="-1000013311"/>
    <s v=""/>
    <s v="RG"/>
    <s v=""/>
    <x v="6"/>
    <s v=""/>
    <s v="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6926758"/>
    <n v="1621560383"/>
    <s v=""/>
    <s v=""/>
    <s v="41"/>
    <x v="1"/>
    <s v="EU"/>
    <s v="03"/>
    <s v="4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53"/>
    <n v="1621560383"/>
    <s v=""/>
    <s v=""/>
    <s v="41"/>
    <x v="1"/>
    <s v="EU"/>
    <s v="03"/>
    <s v="1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549"/>
    <n v="-1000007891"/>
    <s v=""/>
    <s v=""/>
    <s v="42"/>
    <x v="2"/>
    <s v="EU"/>
    <s v="12"/>
    <s v="2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8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705"/>
    <n v="-1000007893"/>
    <s v=""/>
    <s v="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10393732"/>
    <n v="901807897"/>
    <s v=""/>
    <s v="UM"/>
    <s v="S2"/>
    <x v="15"/>
    <s v="FW"/>
    <s v="1"/>
    <s v="6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59"/>
    <n v="-1000007893"/>
    <s v=""/>
    <s v="W"/>
    <s v=""/>
    <x v="6"/>
    <s v=""/>
    <s v="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849"/>
    <n v="901807897"/>
    <s v=""/>
    <s v=""/>
    <s v="42"/>
    <x v="2"/>
    <s v="EU"/>
    <s v="12"/>
    <s v="10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618"/>
    <n v="901807897"/>
    <s v=""/>
    <s v=""/>
    <s v="42"/>
    <x v="2"/>
    <s v="EU"/>
    <s v="12"/>
    <s v="2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48"/>
    <n v="901807897"/>
    <s v=""/>
    <s v=""/>
    <s v="42"/>
    <x v="2"/>
    <s v="EU"/>
    <s v="12"/>
    <s v="3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7"/>
    <n v="901807897"/>
    <s v=""/>
    <s v=""/>
    <s v="42"/>
    <x v="2"/>
    <s v="EU"/>
    <s v="12"/>
    <s v="2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803"/>
    <n v="-1000013311"/>
    <s v=""/>
    <s v="W"/>
    <s v=""/>
    <x v="6"/>
    <s v=""/>
    <s v="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6926620"/>
    <n v="1621560383"/>
    <s v=""/>
    <s v=""/>
    <s v="52"/>
    <x v="0"/>
    <s v="EU"/>
    <s v="13"/>
    <s v="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8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10393567"/>
    <n v="901807897"/>
    <s v=""/>
    <s v=""/>
    <s v="42"/>
    <x v="2"/>
    <s v="EU"/>
    <s v="12"/>
    <s v="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61"/>
    <n v="-1000007891"/>
    <s v=""/>
    <s v=""/>
    <s v="42"/>
    <x v="2"/>
    <s v="EU"/>
    <s v="12"/>
    <s v="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705"/>
    <n v="901807897"/>
    <s v=""/>
    <s v=""/>
    <s v="42"/>
    <x v="2"/>
    <s v="EU"/>
    <s v="12"/>
    <s v="5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6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10393771"/>
    <n v="901807897"/>
    <s v=""/>
    <s v=""/>
    <s v="42"/>
    <x v="2"/>
    <s v="EU"/>
    <s v="12"/>
    <s v="7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67"/>
    <n v="1621560383"/>
    <s v=""/>
    <s v=""/>
    <s v="41"/>
    <x v="1"/>
    <s v="EU"/>
    <s v="03"/>
    <s v="5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67"/>
    <n v="-1000007893"/>
    <s v=""/>
    <s v=""/>
    <s v="42"/>
    <x v="2"/>
    <s v="EU"/>
    <s v="1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729"/>
    <n v="901807897"/>
    <s v=""/>
    <s v=""/>
    <s v="42"/>
    <x v="2"/>
    <s v="EU"/>
    <s v="12"/>
    <s v="6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25"/>
    <n v="-1000007893"/>
    <s v=""/>
    <s v=""/>
    <s v="42"/>
    <x v="2"/>
    <s v="EU"/>
    <s v="1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6926707"/>
    <n v="1621560383"/>
    <s v=""/>
    <s v=""/>
    <s v="31"/>
    <x v="7"/>
    <s v="EU"/>
    <s v="02"/>
    <s v="3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35"/>
    <n v="1621560383"/>
    <s v=""/>
    <s v=""/>
    <s v="41"/>
    <x v="1"/>
    <s v="EU"/>
    <s v="03"/>
    <s v="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36237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09756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362393"/>
    <n v="-1000014997"/>
    <s v=""/>
    <s v=""/>
    <s v="52"/>
    <x v="0"/>
    <s v="EU"/>
    <s v="13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-1004362405"/>
    <n v="-1000014997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407"/>
    <n v="-1000014997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415"/>
    <n v="-1000014997"/>
    <s v=""/>
    <s v=""/>
    <s v="41"/>
    <x v="1"/>
    <s v="EU"/>
    <s v="03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0475"/>
    <n v="-1000014991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89"/>
    <n v="-1000014991"/>
    <s v=""/>
    <s v=""/>
    <s v="41"/>
    <x v="1"/>
    <s v="EU"/>
    <s v="0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91"/>
    <n v="-1000014991"/>
    <s v=""/>
    <s v=""/>
    <s v="41"/>
    <x v="1"/>
    <s v="EU"/>
    <s v="0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9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49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511"/>
    <n v="-1000014991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519"/>
    <n v="-1000014991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23"/>
    <n v="-1000014991"/>
    <s v=""/>
    <s v=""/>
    <s v="52"/>
    <x v="0"/>
    <s v="EU"/>
    <s v="1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31"/>
    <n v="-1000014991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3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3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51"/>
    <n v="-1000014991"/>
    <s v=""/>
    <s v=""/>
    <s v="52"/>
    <x v="0"/>
    <s v="EU"/>
    <s v="1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9"/>
    <n v="-1000014991"/>
    <s v=""/>
    <s v=""/>
    <s v="42"/>
    <x v="2"/>
    <s v="EU"/>
    <s v="12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5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5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6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3534645"/>
    <n v="-1000007893"/>
    <s v=""/>
    <s v=""/>
    <s v="42"/>
    <x v="2"/>
    <s v="EU"/>
    <s v="1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69"/>
    <n v="-1000007893"/>
    <s v=""/>
    <s v=""/>
    <s v="42"/>
    <x v="2"/>
    <s v="EU"/>
    <s v="1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7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99"/>
    <n v="-1000013311"/>
    <s v=""/>
    <s v=""/>
    <s v="41"/>
    <x v="1"/>
    <s v="EU"/>
    <s v="03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7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515"/>
    <n v="-1000007891"/>
    <s v=""/>
    <s v=""/>
    <s v="42"/>
    <x v="2"/>
    <s v="EU"/>
    <s v="12"/>
    <s v="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31"/>
    <n v="-1000007893"/>
    <s v=""/>
    <s v="W"/>
    <s v=""/>
    <x v="6"/>
    <s v=""/>
    <s v="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775"/>
    <n v="-1000013311"/>
    <s v=""/>
    <s v="W"/>
    <s v=""/>
    <x v="6"/>
    <s v=""/>
    <s v="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570"/>
    <n v="901807897"/>
    <s v=""/>
    <s v=""/>
    <s v="42"/>
    <x v="2"/>
    <s v="EU"/>
    <s v="12"/>
    <s v="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65"/>
    <n v="-1000013311"/>
    <s v=""/>
    <s v=""/>
    <s v="2M"/>
    <x v="3"/>
    <s v="MY"/>
    <s v="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669"/>
    <n v="901807897"/>
    <s v=""/>
    <s v=""/>
    <s v="42"/>
    <x v="2"/>
    <s v="EU"/>
    <s v="12"/>
    <s v="4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41"/>
    <n v="901807897"/>
    <s v=""/>
    <s v=""/>
    <s v="42"/>
    <x v="2"/>
    <s v="EU"/>
    <s v="12"/>
    <s v="6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2"/>
    <n v="901807897"/>
    <s v=""/>
    <s v=""/>
    <s v="42"/>
    <x v="2"/>
    <s v="EU"/>
    <s v="12"/>
    <s v="8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0"/>
    <n v="901807897"/>
    <s v=""/>
    <s v=""/>
    <s v="42"/>
    <x v="2"/>
    <s v="EU"/>
    <s v="12"/>
    <s v="2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3534563"/>
    <n v="-1000007891"/>
    <s v=""/>
    <s v="W"/>
    <s v=""/>
    <x v="6"/>
    <s v=""/>
    <s v=""/>
    <s v="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774"/>
    <n v="901807897"/>
    <s v=""/>
    <s v=""/>
    <s v="42"/>
    <x v="2"/>
    <s v="EU"/>
    <s v="12"/>
    <s v="7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01"/>
    <n v="-1000007893"/>
    <s v=""/>
    <s v=""/>
    <s v="41"/>
    <x v="1"/>
    <s v="EU"/>
    <s v="03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37"/>
    <n v="-1000013311"/>
    <s v=""/>
    <s v=""/>
    <s v="53"/>
    <x v="4"/>
    <s v="EU"/>
    <s v="2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791"/>
    <n v="-1000007893"/>
    <s v=""/>
    <s v=""/>
    <s v="42"/>
    <x v="2"/>
    <s v="EU"/>
    <s v="12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885"/>
    <n v="-1000013311"/>
    <s v=""/>
    <s v="W"/>
    <s v=""/>
    <x v="6"/>
    <s v=""/>
    <s v="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6926692"/>
    <n v="1621560383"/>
    <s v=""/>
    <s v=""/>
    <s v="42"/>
    <x v="2"/>
    <s v="EU"/>
    <s v="12"/>
    <s v="2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709"/>
    <n v="-1000007893"/>
    <s v=""/>
    <s v=""/>
    <s v="42"/>
    <x v="2"/>
    <s v="EU"/>
    <s v="1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65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762"/>
    <n v="901807897"/>
    <s v=""/>
    <s v=""/>
    <s v="42"/>
    <x v="2"/>
    <s v="EU"/>
    <s v="12"/>
    <s v="7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43"/>
    <n v="-1000007891"/>
    <s v=""/>
    <s v="NP"/>
    <s v=""/>
    <x v="6"/>
    <s v=""/>
    <s v=""/>
    <s v="1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6926650"/>
    <n v="1621560383"/>
    <s v=""/>
    <s v=""/>
    <s v="52"/>
    <x v="0"/>
    <s v="EU"/>
    <s v="13"/>
    <s v="1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559"/>
    <n v="-1000007891"/>
    <s v=""/>
    <s v=""/>
    <s v="42"/>
    <x v="2"/>
    <s v="EU"/>
    <s v="12"/>
    <s v="2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809"/>
    <n v="-1000007893"/>
    <s v=""/>
    <s v=""/>
    <s v="31"/>
    <x v="7"/>
    <s v="EU"/>
    <s v="0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45"/>
    <n v="-1000007893"/>
    <s v=""/>
    <s v=""/>
    <s v="42"/>
    <x v="2"/>
    <s v="EU"/>
    <s v="1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703"/>
    <n v="-1000007893"/>
    <s v=""/>
    <s v=""/>
    <s v="42"/>
    <x v="2"/>
    <s v="EU"/>
    <s v="1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45"/>
    <n v="-1000007891"/>
    <s v=""/>
    <s v="RG"/>
    <s v=""/>
    <x v="6"/>
    <s v=""/>
    <s v=""/>
    <s v="1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66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77"/>
    <n v="-1000007893"/>
    <s v=""/>
    <s v=""/>
    <s v="31"/>
    <x v="7"/>
    <s v="EU"/>
    <s v="02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10393588"/>
    <n v="901807897"/>
    <s v=""/>
    <s v=""/>
    <s v="52"/>
    <x v="0"/>
    <s v="EU"/>
    <s v="13"/>
    <s v="1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37"/>
    <n v="-1000007891"/>
    <s v=""/>
    <s v=""/>
    <s v="42"/>
    <x v="2"/>
    <s v="EU"/>
    <s v="12"/>
    <s v="1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5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3534825"/>
    <n v="-1000007893"/>
    <s v=""/>
    <s v=""/>
    <s v="31"/>
    <x v="7"/>
    <s v="EU"/>
    <s v="0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6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35"/>
    <n v="-1000007893"/>
    <s v=""/>
    <s v="W"/>
    <s v=""/>
    <x v="6"/>
    <s v=""/>
    <s v="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37"/>
    <n v="-1000007893"/>
    <s v=""/>
    <s v=""/>
    <s v="42"/>
    <x v="2"/>
    <s v="EU"/>
    <s v="1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7"/>
    <n v="-1000007893"/>
    <s v=""/>
    <s v=""/>
    <s v="31"/>
    <x v="7"/>
    <s v="EU"/>
    <s v="0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8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39"/>
    <n v="-1000007893"/>
    <s v=""/>
    <s v=""/>
    <s v="42"/>
    <x v="2"/>
    <s v="EU"/>
    <s v="1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6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659"/>
    <n v="-1000007893"/>
    <s v=""/>
    <s v=""/>
    <s v="32"/>
    <x v="11"/>
    <s v="EU"/>
    <s v="11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6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8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4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843"/>
    <n v="901807897"/>
    <s v=""/>
    <s v=""/>
    <s v="52"/>
    <x v="0"/>
    <s v="EU"/>
    <s v="13"/>
    <s v="9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8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6926641"/>
    <n v="1621560383"/>
    <s v=""/>
    <s v="MF"/>
    <s v=""/>
    <x v="6"/>
    <s v="EU"/>
    <s v=""/>
    <s v="1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6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7"/>
    <n v="-1000013311"/>
    <s v=""/>
    <s v=""/>
    <s v="52"/>
    <x v="0"/>
    <s v="EU"/>
    <s v="13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47"/>
    <n v="-1000013311"/>
    <s v=""/>
    <s v=""/>
    <s v="2M"/>
    <x v="3"/>
    <s v="MY"/>
    <s v="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6926677"/>
    <n v="1621560383"/>
    <s v=""/>
    <s v=""/>
    <s v="52"/>
    <x v="0"/>
    <s v="EU"/>
    <s v="13"/>
    <s v="2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8115716"/>
    <n v="1676851198"/>
    <s v=""/>
    <s v=""/>
    <s v="52"/>
    <x v="0"/>
    <s v="EU"/>
    <s v="1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0393675"/>
    <n v="901807897"/>
    <s v=""/>
    <s v=""/>
    <s v="42"/>
    <x v="2"/>
    <s v="EU"/>
    <s v="12"/>
    <s v="4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8115734"/>
    <n v="1676851198"/>
    <s v=""/>
    <s v=""/>
    <s v="41"/>
    <x v="1"/>
    <s v="EU"/>
    <s v="03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37"/>
    <n v="1676851198"/>
    <s v=""/>
    <s v=""/>
    <s v="42"/>
    <x v="2"/>
    <s v="EU"/>
    <s v="12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43"/>
    <n v="1676851198"/>
    <s v=""/>
    <s v=""/>
    <s v="52"/>
    <x v="0"/>
    <s v="EU"/>
    <s v="13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52"/>
    <n v="1676851198"/>
    <s v=""/>
    <s v=""/>
    <s v="41"/>
    <x v="1"/>
    <s v="EU"/>
    <s v="03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58"/>
    <n v="1676851198"/>
    <s v=""/>
    <s v=""/>
    <s v="52"/>
    <x v="0"/>
    <s v="EU"/>
    <s v="13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73"/>
    <n v="1676851198"/>
    <s v=""/>
    <s v=""/>
    <s v="42"/>
    <x v="2"/>
    <s v="EU"/>
    <s v="1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76"/>
    <n v="1676851198"/>
    <s v=""/>
    <s v=""/>
    <s v="52"/>
    <x v="0"/>
    <s v="EU"/>
    <s v="13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85"/>
    <n v="1676851198"/>
    <s v=""/>
    <s v=""/>
    <s v="42"/>
    <x v="2"/>
    <s v="EU"/>
    <s v="12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91"/>
    <n v="1676851198"/>
    <s v=""/>
    <s v=""/>
    <s v="52"/>
    <x v="0"/>
    <s v="EU"/>
    <s v="13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00"/>
    <n v="1676851198"/>
    <s v=""/>
    <s v=""/>
    <s v="52"/>
    <x v="0"/>
    <s v="EU"/>
    <s v="13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09"/>
    <n v="1676851198"/>
    <s v=""/>
    <s v=""/>
    <s v="52"/>
    <x v="0"/>
    <s v="EU"/>
    <s v="13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12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38"/>
    <n v="1676851198"/>
    <s v=""/>
    <s v=""/>
    <s v="52"/>
    <x v="0"/>
    <s v="EU"/>
    <s v="1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65"/>
    <n v="1676851198"/>
    <s v=""/>
    <s v=""/>
    <s v="42"/>
    <x v="2"/>
    <s v="EU"/>
    <s v="12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71"/>
    <n v="1676851198"/>
    <s v=""/>
    <s v=""/>
    <s v="52"/>
    <x v="0"/>
    <s v="EU"/>
    <s v="13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74"/>
    <n v="1676851198"/>
    <s v=""/>
    <s v=""/>
    <s v="31"/>
    <x v="7"/>
    <s v="EU"/>
    <s v="02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80"/>
    <n v="1676851198"/>
    <s v=""/>
    <s v=""/>
    <s v="42"/>
    <x v="2"/>
    <s v="EU"/>
    <s v="12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15"/>
    <n v="1676851198"/>
    <s v=""/>
    <s v=""/>
    <s v="41"/>
    <x v="1"/>
    <s v="EU"/>
    <s v="03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1"/>
    <n v="1676851198"/>
    <s v=""/>
    <s v=""/>
    <s v="41"/>
    <x v="1"/>
    <s v="EU"/>
    <s v="0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4"/>
    <n v="1676851198"/>
    <s v=""/>
    <s v=""/>
    <s v="52"/>
    <x v="0"/>
    <s v="EU"/>
    <s v="13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7"/>
    <n v="1676851198"/>
    <s v=""/>
    <s v=""/>
    <s v="52"/>
    <x v="0"/>
    <s v="EU"/>
    <s v="13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3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6"/>
    <n v="1676851198"/>
    <s v=""/>
    <s v=""/>
    <s v="42"/>
    <x v="2"/>
    <s v="EU"/>
    <s v="12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57"/>
    <n v="1676851198"/>
    <s v=""/>
    <s v=""/>
    <s v="41"/>
    <x v="1"/>
    <s v="EU"/>
    <s v="03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36"/>
    <n v="1676851198"/>
    <s v=""/>
    <s v=""/>
    <s v="42"/>
    <x v="2"/>
    <s v="EU"/>
    <s v="12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63"/>
    <n v="1676851198"/>
    <s v=""/>
    <s v=""/>
    <s v="52"/>
    <x v="0"/>
    <s v="EU"/>
    <s v="13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45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57"/>
    <n v="1676851198"/>
    <s v=""/>
    <s v=""/>
    <s v="42"/>
    <x v="2"/>
    <s v="EU"/>
    <s v="1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60"/>
    <n v="1676851198"/>
    <s v=""/>
    <s v=""/>
    <s v="42"/>
    <x v="2"/>
    <s v="EU"/>
    <s v="12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69"/>
    <n v="1676851198"/>
    <s v=""/>
    <s v=""/>
    <s v="52"/>
    <x v="0"/>
    <s v="EU"/>
    <s v="13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78"/>
    <n v="1676851198"/>
    <s v=""/>
    <s v=""/>
    <s v="31"/>
    <x v="7"/>
    <s v="EU"/>
    <s v="02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81"/>
    <n v="1676851198"/>
    <s v=""/>
    <s v=""/>
    <s v="42"/>
    <x v="2"/>
    <s v="EU"/>
    <s v="12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05"/>
    <n v="1676851198"/>
    <s v=""/>
    <s v=""/>
    <s v="42"/>
    <x v="2"/>
    <s v="EU"/>
    <s v="12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08"/>
    <n v="1676851198"/>
    <s v=""/>
    <s v=""/>
    <s v="42"/>
    <x v="2"/>
    <s v="EU"/>
    <s v="12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14"/>
    <n v="1676851198"/>
    <s v=""/>
    <s v=""/>
    <s v="41"/>
    <x v="1"/>
    <s v="EU"/>
    <s v="03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0"/>
    <n v="1676851198"/>
    <s v=""/>
    <s v=""/>
    <s v="42"/>
    <x v="2"/>
    <s v="EU"/>
    <s v="12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6"/>
    <n v="1676851198"/>
    <s v=""/>
    <s v=""/>
    <s v="41"/>
    <x v="1"/>
    <s v="EU"/>
    <s v="03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47"/>
    <n v="1676851198"/>
    <s v=""/>
    <s v=""/>
    <s v="42"/>
    <x v="2"/>
    <s v="EU"/>
    <s v="12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86"/>
    <n v="1676851198"/>
    <s v=""/>
    <s v=""/>
    <s v="41"/>
    <x v="1"/>
    <s v="EU"/>
    <s v="0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98"/>
    <n v="1676851198"/>
    <s v=""/>
    <s v=""/>
    <s v="41"/>
    <x v="1"/>
    <s v="EU"/>
    <s v="03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07"/>
    <n v="1676851198"/>
    <s v=""/>
    <s v=""/>
    <s v="41"/>
    <x v="1"/>
    <s v="EU"/>
    <s v="03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0"/>
    <n v="1676851198"/>
    <s v=""/>
    <s v=""/>
    <s v="41"/>
    <x v="1"/>
    <s v="EU"/>
    <s v="03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3"/>
    <n v="1676851198"/>
    <s v=""/>
    <s v=""/>
    <s v="41"/>
    <x v="1"/>
    <s v="EU"/>
    <s v="0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9"/>
    <n v="1676851198"/>
    <s v=""/>
    <s v=""/>
    <s v="52"/>
    <x v="0"/>
    <s v="EU"/>
    <s v="1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22"/>
    <n v="1676851198"/>
    <s v=""/>
    <s v=""/>
    <s v="52"/>
    <x v="0"/>
    <s v="EU"/>
    <s v="13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25"/>
    <n v="1676851198"/>
    <s v=""/>
    <s v=""/>
    <s v="42"/>
    <x v="2"/>
    <s v="EU"/>
    <s v="12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40"/>
    <n v="1676851198"/>
    <s v=""/>
    <s v=""/>
    <s v="41"/>
    <x v="1"/>
    <s v="EU"/>
    <s v="0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55"/>
    <n v="1676851198"/>
    <s v=""/>
    <s v=""/>
    <s v="42"/>
    <x v="2"/>
    <s v="EU"/>
    <s v="12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58"/>
    <n v="1676851198"/>
    <s v=""/>
    <s v=""/>
    <s v="52"/>
    <x v="0"/>
    <s v="EU"/>
    <s v="13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61"/>
    <n v="1676851198"/>
    <s v=""/>
    <s v=""/>
    <s v="52"/>
    <x v="0"/>
    <s v="EU"/>
    <s v="13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70"/>
    <n v="1676851198"/>
    <s v=""/>
    <s v=""/>
    <s v="41"/>
    <x v="1"/>
    <s v="EU"/>
    <s v="03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79"/>
    <n v="1676851198"/>
    <s v=""/>
    <s v=""/>
    <s v="52"/>
    <x v="0"/>
    <s v="EU"/>
    <s v="1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2"/>
    <n v="1676851198"/>
    <s v=""/>
    <s v=""/>
    <s v="42"/>
    <x v="2"/>
    <s v="EU"/>
    <s v="12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5"/>
    <n v="1676851198"/>
    <s v=""/>
    <s v=""/>
    <s v="31"/>
    <x v="7"/>
    <s v="EU"/>
    <s v="0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8"/>
    <n v="1676851198"/>
    <s v=""/>
    <s v=""/>
    <s v="52"/>
    <x v="0"/>
    <s v="EU"/>
    <s v="13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94"/>
    <n v="1676851198"/>
    <s v=""/>
    <s v=""/>
    <s v="41"/>
    <x v="1"/>
    <s v="EU"/>
    <s v="03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97"/>
    <n v="1676851198"/>
    <s v=""/>
    <s v=""/>
    <s v="42"/>
    <x v="2"/>
    <s v="EU"/>
    <s v="12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12"/>
    <n v="1676851198"/>
    <s v=""/>
    <s v=""/>
    <s v="41"/>
    <x v="1"/>
    <s v="EU"/>
    <s v="03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15"/>
    <n v="1676851198"/>
    <s v=""/>
    <s v=""/>
    <s v="52"/>
    <x v="0"/>
    <s v="EU"/>
    <s v="1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26"/>
    <n v="1676851198"/>
    <s v=""/>
    <s v=""/>
    <s v="32"/>
    <x v="11"/>
    <s v="EU"/>
    <s v="11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32"/>
    <n v="1676851198"/>
    <s v=""/>
    <s v=""/>
    <s v="52"/>
    <x v="0"/>
    <s v="EU"/>
    <s v="1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35"/>
    <n v="1676851198"/>
    <s v=""/>
    <s v=""/>
    <s v="42"/>
    <x v="2"/>
    <s v="EU"/>
    <s v="12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83"/>
    <n v="1676851198"/>
    <s v=""/>
    <s v=""/>
    <s v="62"/>
    <x v="13"/>
    <s v="EU"/>
    <s v="14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89"/>
    <n v="1676851198"/>
    <s v=""/>
    <s v=""/>
    <s v="52"/>
    <x v="0"/>
    <s v="EU"/>
    <s v="13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95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98"/>
    <n v="1676851198"/>
    <s v=""/>
    <s v=""/>
    <s v="42"/>
    <x v="2"/>
    <s v="EU"/>
    <s v="12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4"/>
    <n v="1676851198"/>
    <s v=""/>
    <s v=""/>
    <s v="52"/>
    <x v="0"/>
    <s v="EU"/>
    <s v="13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7"/>
    <n v="1676851198"/>
    <s v=""/>
    <s v=""/>
    <s v="51"/>
    <x v="19"/>
    <s v="EU"/>
    <s v="04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80"/>
    <n v="1676851198"/>
    <s v=""/>
    <s v=""/>
    <s v="42"/>
    <x v="2"/>
    <s v="EU"/>
    <s v="12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3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6"/>
    <n v="1676851198"/>
    <s v=""/>
    <s v=""/>
    <s v="42"/>
    <x v="2"/>
    <s v="EU"/>
    <s v="12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9"/>
    <n v="1676851198"/>
    <s v=""/>
    <s v=""/>
    <s v="52"/>
    <x v="0"/>
    <s v="EU"/>
    <s v="13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2"/>
    <n v="1676851198"/>
    <s v=""/>
    <s v=""/>
    <s v="42"/>
    <x v="2"/>
    <s v="EU"/>
    <s v="12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5"/>
    <n v="1676851198"/>
    <s v=""/>
    <s v=""/>
    <s v="41"/>
    <x v="1"/>
    <s v="EU"/>
    <s v="03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8"/>
    <n v="1676851198"/>
    <s v=""/>
    <s v=""/>
    <s v="52"/>
    <x v="0"/>
    <s v="EU"/>
    <s v="13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10"/>
    <n v="1676851198"/>
    <s v=""/>
    <s v=""/>
    <s v="42"/>
    <x v="2"/>
    <s v="EU"/>
    <s v="12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13"/>
    <n v="1676851198"/>
    <s v=""/>
    <s v=""/>
    <s v="52"/>
    <x v="0"/>
    <s v="EU"/>
    <s v="1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31"/>
    <n v="1676851198"/>
    <s v=""/>
    <s v=""/>
    <s v="42"/>
    <x v="2"/>
    <s v="EU"/>
    <s v="12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3"/>
    <n v="1676851198"/>
    <s v=""/>
    <s v=""/>
    <s v="52"/>
    <x v="0"/>
    <s v="EU"/>
    <s v="13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6"/>
    <n v="1676851198"/>
    <s v=""/>
    <s v=""/>
    <s v="52"/>
    <x v="0"/>
    <s v="EU"/>
    <s v="13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9"/>
    <n v="1676851198"/>
    <s v=""/>
    <s v=""/>
    <s v="52"/>
    <x v="0"/>
    <s v="EU"/>
    <s v="13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52"/>
    <n v="1676851198"/>
    <s v=""/>
    <s v=""/>
    <s v="41"/>
    <x v="1"/>
    <s v="EU"/>
    <s v="0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9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6"/>
    <n v="1676851198"/>
    <s v=""/>
    <s v=""/>
    <s v="52"/>
    <x v="0"/>
    <s v="EU"/>
    <s v="13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08"/>
    <n v="1676851198"/>
    <s v=""/>
    <s v=""/>
    <s v="41"/>
    <x v="1"/>
    <s v="EU"/>
    <s v="03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11"/>
    <n v="1676851198"/>
    <s v=""/>
    <s v=""/>
    <s v="42"/>
    <x v="2"/>
    <s v="EU"/>
    <s v="12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23"/>
    <n v="1676851198"/>
    <s v=""/>
    <s v=""/>
    <s v="32"/>
    <x v="11"/>
    <s v="EU"/>
    <s v="11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26"/>
    <n v="1676851198"/>
    <s v=""/>
    <s v=""/>
    <s v="32"/>
    <x v="11"/>
    <s v="EU"/>
    <s v="11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6532"/>
    <n v="1676851198"/>
    <s v=""/>
    <s v=""/>
    <s v="52"/>
    <x v="0"/>
    <s v="EU"/>
    <s v="1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6538"/>
    <n v="1676851198"/>
    <s v=""/>
    <s v="NA"/>
    <s v=""/>
    <x v="6"/>
    <s v="EU"/>
    <s v="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5878"/>
    <n v="1676851198"/>
    <s v=""/>
    <s v=""/>
    <s v="41"/>
    <x v="1"/>
    <s v="EU"/>
    <s v="03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72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84"/>
    <n v="1676851198"/>
    <s v=""/>
    <s v=""/>
    <s v="52"/>
    <x v="0"/>
    <s v="EU"/>
    <s v="13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02"/>
    <n v="1676851198"/>
    <s v=""/>
    <s v=""/>
    <s v="42"/>
    <x v="2"/>
    <s v="EU"/>
    <s v="12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38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17"/>
    <n v="1676851198"/>
    <s v=""/>
    <s v=""/>
    <s v="52"/>
    <x v="0"/>
    <s v="EU"/>
    <s v="13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1"/>
    <n v="1676851198"/>
    <s v=""/>
    <s v=""/>
    <s v="41"/>
    <x v="1"/>
    <s v="EU"/>
    <s v="03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7"/>
    <n v="1676851198"/>
    <s v=""/>
    <s v=""/>
    <s v="52"/>
    <x v="0"/>
    <s v="EU"/>
    <s v="13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0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3"/>
    <n v="1676851198"/>
    <s v=""/>
    <s v=""/>
    <s v="52"/>
    <x v="0"/>
    <s v="EU"/>
    <s v="13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6"/>
    <n v="1676851198"/>
    <s v=""/>
    <s v=""/>
    <s v="41"/>
    <x v="1"/>
    <s v="EU"/>
    <s v="03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9"/>
    <n v="1676851198"/>
    <s v=""/>
    <s v=""/>
    <s v="42"/>
    <x v="2"/>
    <s v="EU"/>
    <s v="12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71"/>
    <n v="1676851198"/>
    <s v=""/>
    <s v=""/>
    <s v="42"/>
    <x v="2"/>
    <s v="EU"/>
    <s v="12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58"/>
    <n v="1676851198"/>
    <s v=""/>
    <s v=""/>
    <s v="52"/>
    <x v="0"/>
    <s v="EU"/>
    <s v="13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67"/>
    <n v="1676851198"/>
    <s v=""/>
    <s v=""/>
    <s v="42"/>
    <x v="2"/>
    <s v="EU"/>
    <s v="12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76"/>
    <n v="1676851198"/>
    <s v=""/>
    <s v=""/>
    <s v="32"/>
    <x v="11"/>
    <s v="EU"/>
    <s v="11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82"/>
    <n v="1676851198"/>
    <s v=""/>
    <s v=""/>
    <s v="52"/>
    <x v="0"/>
    <s v="EU"/>
    <s v="13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88"/>
    <n v="1676851198"/>
    <s v=""/>
    <s v=""/>
    <s v="42"/>
    <x v="2"/>
    <s v="EU"/>
    <s v="12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09"/>
    <n v="1676851198"/>
    <s v=""/>
    <s v=""/>
    <s v="42"/>
    <x v="2"/>
    <s v="EU"/>
    <s v="12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1"/>
    <n v="1676851198"/>
    <s v=""/>
    <s v=""/>
    <s v="41"/>
    <x v="1"/>
    <s v="EU"/>
    <s v="03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4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7"/>
    <n v="1676851198"/>
    <s v=""/>
    <s v=""/>
    <s v="42"/>
    <x v="2"/>
    <s v="EU"/>
    <s v="12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33"/>
    <n v="1676851198"/>
    <s v=""/>
    <s v=""/>
    <s v="52"/>
    <x v="0"/>
    <s v="EU"/>
    <s v="1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36"/>
    <n v="1676851198"/>
    <s v=""/>
    <s v=""/>
    <s v="42"/>
    <x v="2"/>
    <s v="EU"/>
    <s v="12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63"/>
    <n v="1676851198"/>
    <s v=""/>
    <s v=""/>
    <s v="52"/>
    <x v="0"/>
    <s v="EU"/>
    <s v="13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54"/>
    <n v="1676851198"/>
    <s v=""/>
    <s v=""/>
    <s v="42"/>
    <x v="2"/>
    <s v="EU"/>
    <s v="12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69"/>
    <n v="1676851198"/>
    <s v=""/>
    <s v=""/>
    <s v="53"/>
    <x v="4"/>
    <s v="EU"/>
    <s v="22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75"/>
    <n v="1676851198"/>
    <s v=""/>
    <s v=""/>
    <s v="42"/>
    <x v="2"/>
    <s v="EU"/>
    <s v="12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78"/>
    <n v="1676851198"/>
    <s v=""/>
    <s v=""/>
    <s v="41"/>
    <x v="1"/>
    <s v="EU"/>
    <s v="03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84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3"/>
    <n v="1676851198"/>
    <s v=""/>
    <s v=""/>
    <s v="42"/>
    <x v="2"/>
    <s v="EU"/>
    <s v="12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98"/>
    <n v="1612784443"/>
    <s v=""/>
    <s v=""/>
    <s v="42"/>
    <x v="2"/>
    <s v="EU"/>
    <s v="12"/>
    <s v="8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13"/>
    <n v="1612784443"/>
    <s v=""/>
    <s v=""/>
    <s v="42"/>
    <x v="2"/>
    <s v="EU"/>
    <s v="12"/>
    <s v="8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16"/>
    <n v="1612784443"/>
    <s v=""/>
    <s v=""/>
    <s v="42"/>
    <x v="2"/>
    <s v="EU"/>
    <s v="12"/>
    <s v="8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692"/>
    <n v="1839088084"/>
    <s v=""/>
    <s v=""/>
    <s v="42"/>
    <x v="2"/>
    <s v="EU"/>
    <s v="12"/>
    <s v="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683"/>
    <n v="1839088084"/>
    <s v=""/>
    <s v=""/>
    <s v="41"/>
    <x v="1"/>
    <s v="EU"/>
    <s v="03"/>
    <s v="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698"/>
    <n v="1839088084"/>
    <s v=""/>
    <s v=""/>
    <s v="42"/>
    <x v="2"/>
    <s v="EU"/>
    <s v="12"/>
    <s v="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28"/>
    <n v="1839088084"/>
    <s v=""/>
    <s v=""/>
    <s v="42"/>
    <x v="2"/>
    <s v="EU"/>
    <s v="12"/>
    <s v="1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37"/>
    <n v="1839088084"/>
    <s v=""/>
    <s v=""/>
    <s v="42"/>
    <x v="2"/>
    <s v="EU"/>
    <s v="12"/>
    <s v="2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46"/>
    <n v="1839088084"/>
    <s v=""/>
    <s v=""/>
    <s v="42"/>
    <x v="2"/>
    <s v="EU"/>
    <s v="12"/>
    <s v="2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49"/>
    <n v="1839088084"/>
    <s v=""/>
    <s v=""/>
    <s v="42"/>
    <x v="2"/>
    <s v="EU"/>
    <s v="12"/>
    <s v="2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52"/>
    <n v="1839088084"/>
    <s v=""/>
    <s v=""/>
    <s v="42"/>
    <x v="2"/>
    <s v="EU"/>
    <s v="12"/>
    <s v="2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61"/>
    <n v="1839088084"/>
    <s v=""/>
    <s v=""/>
    <s v="42"/>
    <x v="2"/>
    <s v="EU"/>
    <s v="12"/>
    <s v="2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73"/>
    <n v="1839088084"/>
    <s v=""/>
    <s v=""/>
    <s v="42"/>
    <x v="2"/>
    <s v="EU"/>
    <s v="12"/>
    <s v="3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91"/>
    <n v="1839088084"/>
    <s v=""/>
    <s v=""/>
    <s v="42"/>
    <x v="2"/>
    <s v="EU"/>
    <s v="12"/>
    <s v="3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94"/>
    <n v="1839088084"/>
    <s v=""/>
    <s v=""/>
    <s v="42"/>
    <x v="2"/>
    <s v="EU"/>
    <s v="12"/>
    <s v="4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15"/>
    <n v="1839088084"/>
    <s v=""/>
    <s v=""/>
    <s v="42"/>
    <x v="2"/>
    <s v="EU"/>
    <s v="12"/>
    <s v="4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18"/>
    <n v="1993655330"/>
    <s v="2"/>
    <s v="RS"/>
    <s v=""/>
    <x v="6"/>
    <s v="EU"/>
    <s v=""/>
    <s v="2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30"/>
    <n v="1993655330"/>
    <s v="2"/>
    <s v="RS"/>
    <s v="S1"/>
    <x v="16"/>
    <s v="FW"/>
    <s v="0"/>
    <s v="6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36"/>
    <n v="1993655330"/>
    <s v="2"/>
    <s v="RS"/>
    <s v="S2"/>
    <x v="15"/>
    <s v="FW"/>
    <s v="1"/>
    <s v="8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45"/>
    <n v="1993655330"/>
    <s v="2"/>
    <s v="RS"/>
    <s v="S1"/>
    <x v="16"/>
    <s v="FW"/>
    <s v="0"/>
    <s v="11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42"/>
    <n v="1993655330"/>
    <s v="2"/>
    <s v="RS"/>
    <s v="S1"/>
    <x v="16"/>
    <s v="FW"/>
    <s v="0"/>
    <s v="10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57"/>
    <n v="1993655330"/>
    <s v="2"/>
    <s v="RS"/>
    <s v="S1"/>
    <x v="16"/>
    <s v="FW"/>
    <s v="0"/>
    <s v="15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63"/>
    <n v="1993655330"/>
    <s v="2"/>
    <s v="RS"/>
    <s v=""/>
    <x v="6"/>
    <s v="EU"/>
    <s v=""/>
    <s v="17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27"/>
    <n v="1839088084"/>
    <s v=""/>
    <s v=""/>
    <s v="42"/>
    <x v="2"/>
    <s v="EU"/>
    <s v="12"/>
    <s v="5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26"/>
    <n v="1612784443"/>
    <s v=""/>
    <s v=""/>
    <s v="42"/>
    <x v="2"/>
    <s v="EU"/>
    <s v="12"/>
    <s v="5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280"/>
    <n v="368670609"/>
    <s v=""/>
    <s v=""/>
    <s v="41"/>
    <x v="1"/>
    <s v="EU"/>
    <s v="03"/>
    <s v="5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9254"/>
    <n v="363003608"/>
    <s v="2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5286"/>
    <n v="368670609"/>
    <s v="2"/>
    <s v="RS"/>
    <s v="S2"/>
    <x v="15"/>
    <s v="FW"/>
    <s v="1"/>
    <s v="2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5307"/>
    <n v="368670609"/>
    <s v="2"/>
    <s v="RS"/>
    <s v=""/>
    <x v="6"/>
    <s v="EU"/>
    <s v=""/>
    <s v="9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5475"/>
    <n v="1156302723"/>
    <s v=""/>
    <s v=""/>
    <s v="41"/>
    <x v="1"/>
    <s v="EU"/>
    <s v="03"/>
    <s v="5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481"/>
    <n v="1156302723"/>
    <s v=""/>
    <s v=""/>
    <s v="42"/>
    <x v="2"/>
    <s v="EU"/>
    <s v="12"/>
    <s v="7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490"/>
    <n v="1156302723"/>
    <s v=""/>
    <s v=""/>
    <s v="42"/>
    <x v="2"/>
    <s v="EU"/>
    <s v="12"/>
    <s v="10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14"/>
    <n v="1156302723"/>
    <s v=""/>
    <s v=""/>
    <s v="42"/>
    <x v="2"/>
    <s v="EU"/>
    <s v="12"/>
    <s v="18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26"/>
    <n v="1156302723"/>
    <s v=""/>
    <s v=""/>
    <s v="31"/>
    <x v="7"/>
    <s v="EU"/>
    <s v="02"/>
    <s v="2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29"/>
    <n v="1156302723"/>
    <s v=""/>
    <s v=""/>
    <s v="42"/>
    <x v="2"/>
    <s v="EU"/>
    <s v="12"/>
    <s v="2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62"/>
    <n v="1973161987"/>
    <s v=""/>
    <s v=""/>
    <s v="31"/>
    <x v="7"/>
    <s v="EU"/>
    <s v="02"/>
    <s v="91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65"/>
    <n v="1973161987"/>
    <s v=""/>
    <s v=""/>
    <s v="42"/>
    <x v="2"/>
    <s v="EU"/>
    <s v="12"/>
    <s v="92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68"/>
    <n v="1973161987"/>
    <s v=""/>
    <s v=""/>
    <s v="42"/>
    <x v="2"/>
    <s v="EU"/>
    <s v="12"/>
    <s v="93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83"/>
    <n v="1973161987"/>
    <s v=""/>
    <s v=""/>
    <s v="32"/>
    <x v="11"/>
    <s v="EU"/>
    <s v="11"/>
    <s v="98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89"/>
    <n v="1973161987"/>
    <s v=""/>
    <s v=""/>
    <s v="42"/>
    <x v="2"/>
    <s v="EU"/>
    <s v="12"/>
    <s v="100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4851"/>
    <n v="1839088084"/>
    <s v=""/>
    <s v=""/>
    <s v="42"/>
    <x v="2"/>
    <s v="EU"/>
    <s v="12"/>
    <s v="5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57"/>
    <n v="1839088084"/>
    <s v=""/>
    <s v=""/>
    <s v="42"/>
    <x v="2"/>
    <s v="EU"/>
    <s v="12"/>
    <s v="6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66"/>
    <n v="1839088084"/>
    <s v=""/>
    <s v=""/>
    <s v="42"/>
    <x v="2"/>
    <s v="EU"/>
    <s v="12"/>
    <s v="6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78"/>
    <n v="1839088084"/>
    <s v=""/>
    <s v=""/>
    <s v="42"/>
    <x v="2"/>
    <s v="EU"/>
    <s v="12"/>
    <s v="6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751"/>
    <n v="1612784443"/>
    <s v="2"/>
    <s v="RS"/>
    <s v="S2"/>
    <x v="15"/>
    <s v="FW"/>
    <s v="1"/>
    <s v="9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4"/>
  </r>
  <r>
    <n v="11724884"/>
    <n v="1839088084"/>
    <s v=""/>
    <s v=""/>
    <s v="42"/>
    <x v="2"/>
    <s v="EU"/>
    <s v="12"/>
    <s v="7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81"/>
    <n v="1839088084"/>
    <s v=""/>
    <s v=""/>
    <s v="42"/>
    <x v="2"/>
    <s v="EU"/>
    <s v="12"/>
    <s v="6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90"/>
    <n v="1839088084"/>
    <s v=""/>
    <s v=""/>
    <s v="42"/>
    <x v="2"/>
    <s v="EU"/>
    <s v="12"/>
    <s v="7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5"/>
    <n v="1839088084"/>
    <s v=""/>
    <s v=""/>
    <s v="42"/>
    <x v="2"/>
    <s v="EU"/>
    <s v="12"/>
    <s v="7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14"/>
    <n v="1839088084"/>
    <s v=""/>
    <s v=""/>
    <s v="42"/>
    <x v="2"/>
    <s v="EU"/>
    <s v="12"/>
    <s v="8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0"/>
    <n v="1839088084"/>
    <s v=""/>
    <s v=""/>
    <s v="42"/>
    <x v="2"/>
    <s v="EU"/>
    <s v="12"/>
    <s v="8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3"/>
    <n v="1839088084"/>
    <s v=""/>
    <s v=""/>
    <s v="42"/>
    <x v="2"/>
    <s v="EU"/>
    <s v="12"/>
    <s v="8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6"/>
    <n v="1839088084"/>
    <s v=""/>
    <s v=""/>
    <s v="42"/>
    <x v="2"/>
    <s v="EU"/>
    <s v="12"/>
    <s v="8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35"/>
    <n v="1839088084"/>
    <s v=""/>
    <s v=""/>
    <s v="42"/>
    <x v="2"/>
    <s v="EU"/>
    <s v="12"/>
    <s v="8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38"/>
    <n v="1839088084"/>
    <s v=""/>
    <s v=""/>
    <s v="42"/>
    <x v="2"/>
    <s v="EU"/>
    <s v="12"/>
    <s v="8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18"/>
    <n v="363003608"/>
    <s v="2"/>
    <s v="RS"/>
    <s v=""/>
    <x v="6"/>
    <s v="EU"/>
    <s v="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27"/>
    <n v="363003608"/>
    <s v="2"/>
    <s v="RS"/>
    <s v="S2"/>
    <x v="15"/>
    <s v="FW"/>
    <s v="1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4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45"/>
    <n v="363003608"/>
    <s v=""/>
    <s v="RG"/>
    <s v=""/>
    <x v="6"/>
    <s v="EU"/>
    <s v="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51"/>
    <n v="363003608"/>
    <s v="2"/>
    <s v="RS"/>
    <s v="S2"/>
    <x v="15"/>
    <s v="FW"/>
    <s v="1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57"/>
    <n v="363003608"/>
    <s v="2"/>
    <s v="RS"/>
    <s v="S2"/>
    <x v="15"/>
    <s v="FW"/>
    <s v="1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6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75"/>
    <n v="363003608"/>
    <s v=""/>
    <s v="NS"/>
    <s v=""/>
    <x v="6"/>
    <s v="EU"/>
    <s v="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78"/>
    <n v="363003608"/>
    <s v="2"/>
    <s v="RS"/>
    <s v="S1"/>
    <x v="16"/>
    <s v="FW"/>
    <s v="0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81"/>
    <n v="363003608"/>
    <s v="2"/>
    <s v="RS"/>
    <s v="S1"/>
    <x v="16"/>
    <s v="FW"/>
    <s v="0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9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4885414"/>
    <n v="679771232"/>
    <s v=""/>
    <s v=""/>
    <s v="42"/>
    <x v="2"/>
    <s v="EU"/>
    <s v="12"/>
    <s v="1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2430"/>
    <n v="1612784443"/>
    <s v=""/>
    <s v=""/>
    <s v="42"/>
    <x v="2"/>
    <s v="EU"/>
    <s v="12"/>
    <s v="2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2367"/>
    <n v="-1000014997"/>
    <s v=""/>
    <s v=""/>
    <s v="52"/>
    <x v="0"/>
    <s v="EU"/>
    <s v="13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11722442"/>
    <n v="1612784443"/>
    <s v=""/>
    <s v=""/>
    <s v="42"/>
    <x v="2"/>
    <s v="EU"/>
    <s v="12"/>
    <s v="3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48"/>
    <n v="1612784443"/>
    <s v=""/>
    <s v=""/>
    <s v="42"/>
    <x v="2"/>
    <s v="EU"/>
    <s v="12"/>
    <s v="3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54"/>
    <n v="1612784443"/>
    <s v=""/>
    <s v="NS"/>
    <s v=""/>
    <x v="6"/>
    <s v="EU"/>
    <s v=""/>
    <s v="3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72"/>
    <n v="1612784443"/>
    <s v=""/>
    <s v=""/>
    <s v="42"/>
    <x v="2"/>
    <s v="EU"/>
    <s v="12"/>
    <s v="4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81"/>
    <n v="1612784443"/>
    <s v=""/>
    <s v=""/>
    <s v="52"/>
    <x v="0"/>
    <s v="EU"/>
    <s v="13"/>
    <s v="4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84"/>
    <n v="1612784443"/>
    <s v=""/>
    <s v=""/>
    <s v="42"/>
    <x v="2"/>
    <s v="EU"/>
    <s v="12"/>
    <s v="4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96"/>
    <n v="1612784443"/>
    <s v=""/>
    <s v=""/>
    <s v="42"/>
    <x v="2"/>
    <s v="EU"/>
    <s v="12"/>
    <s v="4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05"/>
    <n v="1612784443"/>
    <s v=""/>
    <s v=""/>
    <s v="42"/>
    <x v="2"/>
    <s v="EU"/>
    <s v="12"/>
    <s v="5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08"/>
    <n v="1612784443"/>
    <s v=""/>
    <s v=""/>
    <s v="42"/>
    <x v="2"/>
    <s v="EU"/>
    <s v="12"/>
    <s v="5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17"/>
    <n v="1612784443"/>
    <s v=""/>
    <s v=""/>
    <s v="42"/>
    <x v="2"/>
    <s v="EU"/>
    <s v="12"/>
    <s v="5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0"/>
    <n v="1612784443"/>
    <s v=""/>
    <s v=""/>
    <s v="42"/>
    <x v="2"/>
    <s v="EU"/>
    <s v="12"/>
    <s v="5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3"/>
    <n v="1612784443"/>
    <s v=""/>
    <s v=""/>
    <s v="42"/>
    <x v="2"/>
    <s v="EU"/>
    <s v="12"/>
    <s v="5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9"/>
    <n v="1612784443"/>
    <s v=""/>
    <s v=""/>
    <s v="42"/>
    <x v="2"/>
    <s v="EU"/>
    <s v="12"/>
    <s v="6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35"/>
    <n v="1612784443"/>
    <s v=""/>
    <s v=""/>
    <s v="42"/>
    <x v="2"/>
    <s v="EU"/>
    <s v="12"/>
    <s v="6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58"/>
    <n v="1612784443"/>
    <s v=""/>
    <s v=""/>
    <s v="42"/>
    <x v="2"/>
    <s v="EU"/>
    <s v="12"/>
    <s v="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55"/>
    <n v="1612784443"/>
    <s v=""/>
    <s v=""/>
    <s v="42"/>
    <x v="2"/>
    <s v="EU"/>
    <s v="12"/>
    <s v="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64"/>
    <n v="1612784443"/>
    <s v=""/>
    <s v=""/>
    <s v="42"/>
    <x v="2"/>
    <s v="EU"/>
    <s v="12"/>
    <s v="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73"/>
    <n v="1612784443"/>
    <s v=""/>
    <s v=""/>
    <s v="42"/>
    <x v="2"/>
    <s v="EU"/>
    <s v="12"/>
    <s v="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76"/>
    <n v="1612784443"/>
    <s v=""/>
    <s v=""/>
    <s v="42"/>
    <x v="2"/>
    <s v="EU"/>
    <s v="12"/>
    <s v="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94"/>
    <n v="1612784443"/>
    <s v=""/>
    <s v=""/>
    <s v="42"/>
    <x v="2"/>
    <s v="EU"/>
    <s v="12"/>
    <s v="1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06"/>
    <n v="1612784443"/>
    <s v=""/>
    <s v=""/>
    <s v="42"/>
    <x v="2"/>
    <s v="EU"/>
    <s v="12"/>
    <s v="1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2"/>
    <n v="1612784443"/>
    <s v=""/>
    <s v=""/>
    <s v="42"/>
    <x v="2"/>
    <s v="EU"/>
    <s v="12"/>
    <s v="2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5"/>
    <n v="1612784443"/>
    <s v=""/>
    <s v=""/>
    <s v="42"/>
    <x v="2"/>
    <s v="EU"/>
    <s v="12"/>
    <s v="2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8"/>
    <n v="1612784443"/>
    <s v=""/>
    <s v=""/>
    <s v="42"/>
    <x v="2"/>
    <s v="EU"/>
    <s v="12"/>
    <s v="2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24"/>
    <n v="1612784443"/>
    <s v=""/>
    <s v=""/>
    <s v="42"/>
    <x v="2"/>
    <s v="EU"/>
    <s v="12"/>
    <s v="2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293"/>
    <n v="363003608"/>
    <s v="2"/>
    <s v="RS"/>
    <s v="S1"/>
    <x v="16"/>
    <s v="FW"/>
    <s v="0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99"/>
    <n v="363003608"/>
    <s v="2"/>
    <s v="RS"/>
    <s v="S1"/>
    <x v="16"/>
    <s v="FW"/>
    <s v="0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30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32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05"/>
    <n v="363003608"/>
    <s v="2"/>
    <s v="RS"/>
    <s v="S1"/>
    <x v="16"/>
    <s v="FW"/>
    <s v="0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3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68"/>
    <n v="1451931796"/>
    <s v="2"/>
    <s v="RS"/>
    <s v="S1"/>
    <x v="16"/>
    <s v="FW"/>
    <s v="0"/>
    <s v="5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11722562"/>
    <n v="1612784443"/>
    <s v=""/>
    <s v=""/>
    <s v="42"/>
    <x v="2"/>
    <s v="EU"/>
    <s v="12"/>
    <s v="7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47"/>
    <n v="1612784443"/>
    <s v=""/>
    <s v=""/>
    <s v="52"/>
    <x v="0"/>
    <s v="EU"/>
    <s v="13"/>
    <s v="6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74"/>
    <n v="1612784443"/>
    <s v=""/>
    <s v=""/>
    <s v="42"/>
    <x v="2"/>
    <s v="EU"/>
    <s v="12"/>
    <s v="7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89"/>
    <n v="1612784443"/>
    <s v=""/>
    <s v=""/>
    <s v="42"/>
    <x v="2"/>
    <s v="EU"/>
    <s v="12"/>
    <s v="8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47"/>
    <n v="679771232"/>
    <s v=""/>
    <s v=""/>
    <s v="42"/>
    <x v="2"/>
    <s v="EU"/>
    <s v="12"/>
    <s v="3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44"/>
    <n v="679771232"/>
    <s v=""/>
    <s v=""/>
    <s v="42"/>
    <x v="2"/>
    <s v="EU"/>
    <s v="12"/>
    <s v="3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56"/>
    <n v="679771232"/>
    <s v=""/>
    <s v=""/>
    <s v="52"/>
    <x v="0"/>
    <s v="EU"/>
    <s v="13"/>
    <s v="3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68"/>
    <n v="679771232"/>
    <s v=""/>
    <s v=""/>
    <s v="42"/>
    <x v="2"/>
    <s v="EU"/>
    <s v="12"/>
    <s v="3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7"/>
    <n v="679771232"/>
    <s v=""/>
    <s v=""/>
    <s v="42"/>
    <x v="2"/>
    <s v="EU"/>
    <s v="12"/>
    <s v="4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83"/>
    <n v="679771232"/>
    <s v=""/>
    <s v="DM"/>
    <s v="2M"/>
    <x v="3"/>
    <s v="MY"/>
    <s v="2"/>
    <s v="4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98"/>
    <n v="679771232"/>
    <s v=""/>
    <s v=""/>
    <s v="42"/>
    <x v="2"/>
    <s v="EU"/>
    <s v="12"/>
    <s v="4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16"/>
    <n v="679771232"/>
    <s v=""/>
    <s v=""/>
    <s v="41"/>
    <x v="1"/>
    <s v="EU"/>
    <s v="03"/>
    <s v="5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22"/>
    <n v="679771232"/>
    <s v=""/>
    <s v=""/>
    <s v="42"/>
    <x v="2"/>
    <s v="EU"/>
    <s v="12"/>
    <s v="5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40"/>
    <n v="679771232"/>
    <s v=""/>
    <s v=""/>
    <s v="42"/>
    <x v="2"/>
    <s v="EU"/>
    <s v="12"/>
    <s v="6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43"/>
    <n v="679771232"/>
    <s v=""/>
    <s v=""/>
    <s v="42"/>
    <x v="2"/>
    <s v="EU"/>
    <s v="12"/>
    <s v="6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58"/>
    <n v="1288148969"/>
    <s v=""/>
    <s v=""/>
    <s v="42"/>
    <x v="2"/>
    <s v="EU"/>
    <s v="12"/>
    <s v="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64"/>
    <n v="1288148969"/>
    <s v=""/>
    <s v=""/>
    <s v="42"/>
    <x v="2"/>
    <s v="EU"/>
    <s v="12"/>
    <s v="1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82"/>
    <n v="1288148969"/>
    <s v=""/>
    <s v="RG"/>
    <s v="2M"/>
    <x v="3"/>
    <s v="MY"/>
    <s v="2"/>
    <s v="1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021"/>
    <n v="1288148969"/>
    <s v="0"/>
    <s v=""/>
    <s v="42"/>
    <x v="2"/>
    <s v="EU"/>
    <s v="12"/>
    <s v="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33"/>
    <n v="1288148969"/>
    <s v=""/>
    <s v=""/>
    <s v="42"/>
    <x v="2"/>
    <s v="EU"/>
    <s v="12"/>
    <s v="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36"/>
    <n v="1288148969"/>
    <s v="0"/>
    <s v=""/>
    <s v="42"/>
    <x v="2"/>
    <s v="EU"/>
    <s v="12"/>
    <s v="1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51"/>
    <n v="1288148969"/>
    <s v=""/>
    <s v="RG"/>
    <s v=""/>
    <x v="6"/>
    <s v="EU"/>
    <s v=""/>
    <s v="1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54"/>
    <n v="1288148969"/>
    <s v=""/>
    <s v=""/>
    <s v="42"/>
    <x v="2"/>
    <s v="EU"/>
    <s v="12"/>
    <s v="1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246"/>
    <n v="679771232"/>
    <s v=""/>
    <s v=""/>
    <s v="42"/>
    <x v="2"/>
    <s v="EU"/>
    <s v="12"/>
    <s v="6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2"/>
    <n v="679771232"/>
    <s v=""/>
    <s v=""/>
    <s v="42"/>
    <x v="2"/>
    <s v="EU"/>
    <s v="12"/>
    <s v="6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5"/>
    <n v="679771232"/>
    <s v=""/>
    <s v=""/>
    <s v="42"/>
    <x v="2"/>
    <s v="EU"/>
    <s v="12"/>
    <s v="6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8"/>
    <n v="679771232"/>
    <s v=""/>
    <s v=""/>
    <s v="42"/>
    <x v="2"/>
    <s v="EU"/>
    <s v="12"/>
    <s v="6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79"/>
    <n v="679771232"/>
    <s v=""/>
    <s v=""/>
    <s v="52"/>
    <x v="0"/>
    <s v="EU"/>
    <s v="13"/>
    <s v="7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2"/>
    <n v="679771232"/>
    <s v=""/>
    <s v=""/>
    <s v="42"/>
    <x v="2"/>
    <s v="EU"/>
    <s v="12"/>
    <s v="7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5"/>
    <n v="679771232"/>
    <s v=""/>
    <s v=""/>
    <s v="42"/>
    <x v="2"/>
    <s v="EU"/>
    <s v="12"/>
    <s v="7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8"/>
    <n v="679771232"/>
    <s v=""/>
    <s v=""/>
    <s v="41"/>
    <x v="1"/>
    <s v="EU"/>
    <s v="03"/>
    <s v="7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3"/>
    <n v="679771232"/>
    <s v=""/>
    <s v=""/>
    <s v="31"/>
    <x v="7"/>
    <s v="EU"/>
    <s v="02"/>
    <s v="8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9"/>
    <n v="679771232"/>
    <s v=""/>
    <s v=""/>
    <s v="41"/>
    <x v="1"/>
    <s v="EU"/>
    <s v="03"/>
    <s v="8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15"/>
    <n v="679771232"/>
    <s v=""/>
    <s v=""/>
    <s v="41"/>
    <x v="1"/>
    <s v="EU"/>
    <s v="03"/>
    <s v="8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18"/>
    <n v="679771232"/>
    <s v=""/>
    <s v=""/>
    <s v="31"/>
    <x v="7"/>
    <s v="EU"/>
    <s v="02"/>
    <s v="8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0"/>
    <n v="679771232"/>
    <s v=""/>
    <s v=""/>
    <s v="52"/>
    <x v="0"/>
    <s v="EU"/>
    <s v="13"/>
    <s v="9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3"/>
    <n v="679771232"/>
    <s v=""/>
    <s v=""/>
    <s v="31"/>
    <x v="7"/>
    <s v="EU"/>
    <s v="02"/>
    <s v="9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6"/>
    <n v="679771232"/>
    <s v=""/>
    <s v=""/>
    <s v="31"/>
    <x v="7"/>
    <s v="EU"/>
    <s v="02"/>
    <s v="9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45"/>
    <n v="679771232"/>
    <s v=""/>
    <s v=""/>
    <s v="52"/>
    <x v="0"/>
    <s v="EU"/>
    <s v="13"/>
    <s v="9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66"/>
    <n v="679771232"/>
    <s v=""/>
    <s v=""/>
    <s v="31"/>
    <x v="7"/>
    <s v="EU"/>
    <s v="02"/>
    <s v="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72"/>
    <n v="679771232"/>
    <s v=""/>
    <s v=""/>
    <s v="42"/>
    <x v="2"/>
    <s v="EU"/>
    <s v="12"/>
    <s v="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81"/>
    <n v="679771232"/>
    <s v=""/>
    <s v=""/>
    <s v="42"/>
    <x v="2"/>
    <s v="EU"/>
    <s v="12"/>
    <s v="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0"/>
    <n v="679771232"/>
    <s v=""/>
    <s v=""/>
    <s v="42"/>
    <x v="2"/>
    <s v="EU"/>
    <s v="12"/>
    <s v="1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9"/>
    <n v="679771232"/>
    <s v=""/>
    <s v=""/>
    <s v="42"/>
    <x v="2"/>
    <s v="EU"/>
    <s v="12"/>
    <s v="1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02"/>
    <n v="679771232"/>
    <s v=""/>
    <s v=""/>
    <s v="42"/>
    <x v="2"/>
    <s v="EU"/>
    <s v="12"/>
    <s v="1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05"/>
    <n v="679771232"/>
    <s v=""/>
    <s v=""/>
    <s v="42"/>
    <x v="2"/>
    <s v="EU"/>
    <s v="12"/>
    <s v="1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20"/>
    <n v="679771232"/>
    <s v=""/>
    <s v=""/>
    <s v="42"/>
    <x v="2"/>
    <s v="EU"/>
    <s v="12"/>
    <s v="2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26"/>
    <n v="679771232"/>
    <s v=""/>
    <s v=""/>
    <s v="42"/>
    <x v="2"/>
    <s v="EU"/>
    <s v="12"/>
    <s v="2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35"/>
    <n v="679771232"/>
    <s v=""/>
    <s v=""/>
    <s v="42"/>
    <x v="2"/>
    <s v="EU"/>
    <s v="12"/>
    <s v="2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38"/>
    <n v="2094383124"/>
    <s v="1"/>
    <s v=""/>
    <s v="42"/>
    <x v="2"/>
    <s v="EU"/>
    <s v="12"/>
    <s v="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47"/>
    <n v="2094383124"/>
    <s v="1"/>
    <s v="RG"/>
    <s v="2M"/>
    <x v="3"/>
    <s v="MY"/>
    <s v="2"/>
    <s v="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50"/>
    <n v="2094383124"/>
    <s v="1"/>
    <s v=""/>
    <s v="42"/>
    <x v="2"/>
    <s v="EU"/>
    <s v="12"/>
    <s v="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56"/>
    <n v="2094383124"/>
    <s v=""/>
    <s v="MF"/>
    <s v=""/>
    <x v="6"/>
    <s v="EU"/>
    <s v=""/>
    <s v="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68"/>
    <n v="2094383124"/>
    <s v="2"/>
    <s v="RS"/>
    <s v="S2"/>
    <x v="15"/>
    <s v="FW"/>
    <s v="1"/>
    <s v="1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80"/>
    <n v="2094383124"/>
    <s v="1"/>
    <s v=""/>
    <s v="42"/>
    <x v="2"/>
    <s v="EU"/>
    <s v="12"/>
    <s v="1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83"/>
    <n v="2094383124"/>
    <s v="2"/>
    <s v="RS"/>
    <s v="S2"/>
    <x v="15"/>
    <s v="FW"/>
    <s v="1"/>
    <s v="1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2"/>
    <n v="2094383124"/>
    <s v="1"/>
    <s v=""/>
    <s v="42"/>
    <x v="2"/>
    <s v="EU"/>
    <s v="12"/>
    <s v="1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5"/>
    <n v="2094383124"/>
    <s v="1"/>
    <s v=""/>
    <s v="42"/>
    <x v="2"/>
    <s v="EU"/>
    <s v="12"/>
    <s v="2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8"/>
    <n v="2094383124"/>
    <s v="1"/>
    <s v=""/>
    <s v="52"/>
    <x v="0"/>
    <s v="EU"/>
    <s v="13"/>
    <s v="2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04"/>
    <n v="2094383124"/>
    <s v="0"/>
    <s v=""/>
    <s v="52"/>
    <x v="0"/>
    <s v="EU"/>
    <s v="13"/>
    <s v="2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07"/>
    <n v="2094383124"/>
    <s v="2"/>
    <s v="RS"/>
    <s v="S2"/>
    <x v="15"/>
    <s v="FW"/>
    <s v="1"/>
    <s v="2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060"/>
    <n v="679771232"/>
    <s v=""/>
    <s v=""/>
    <s v="42"/>
    <x v="2"/>
    <s v="EU"/>
    <s v="12"/>
    <s v="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63"/>
    <n v="679771232"/>
    <s v=""/>
    <s v=""/>
    <s v="42"/>
    <x v="2"/>
    <s v="EU"/>
    <s v="12"/>
    <s v="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75"/>
    <n v="679771232"/>
    <s v=""/>
    <s v=""/>
    <s v="42"/>
    <x v="2"/>
    <s v="EU"/>
    <s v="12"/>
    <s v="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96"/>
    <n v="679771232"/>
    <s v=""/>
    <s v=""/>
    <s v="42"/>
    <x v="2"/>
    <s v="EU"/>
    <s v="12"/>
    <s v="1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17"/>
    <n v="679771232"/>
    <s v=""/>
    <s v=""/>
    <s v="42"/>
    <x v="2"/>
    <s v="EU"/>
    <s v="12"/>
    <s v="2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26"/>
    <n v="679771232"/>
    <s v=""/>
    <s v=""/>
    <s v="42"/>
    <x v="2"/>
    <s v="EU"/>
    <s v="12"/>
    <s v="2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28"/>
    <n v="1288148969"/>
    <s v=""/>
    <s v=""/>
    <s v="42"/>
    <x v="2"/>
    <s v="EU"/>
    <s v="12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n v="4884940"/>
    <n v="1288148969"/>
    <s v=""/>
    <s v=""/>
    <s v="42"/>
    <x v="2"/>
    <s v="EU"/>
    <s v="12"/>
    <s v="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46"/>
    <n v="1288148969"/>
    <s v=""/>
    <s v="UF"/>
    <s v="3M"/>
    <x v="5"/>
    <s v="MY"/>
    <s v="3"/>
    <s v="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525"/>
    <n v="2094383124"/>
    <s v="1"/>
    <s v=""/>
    <s v="42"/>
    <x v="2"/>
    <s v="EU"/>
    <s v="12"/>
    <s v="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4949"/>
    <n v="1288148969"/>
    <s v=""/>
    <s v=""/>
    <s v="42"/>
    <x v="2"/>
    <s v="EU"/>
    <s v="12"/>
    <s v="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531"/>
    <n v="2094383124"/>
    <s v="1"/>
    <s v="W"/>
    <s v="2M"/>
    <x v="3"/>
    <s v="MY"/>
    <s v="2"/>
    <s v="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37"/>
    <n v="2094383124"/>
    <s v="0"/>
    <s v=""/>
    <s v="52"/>
    <x v="0"/>
    <s v="EU"/>
    <s v="13"/>
    <s v="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43"/>
    <n v="2094383124"/>
    <s v="1"/>
    <s v=""/>
    <s v="42"/>
    <x v="2"/>
    <s v="EU"/>
    <s v="12"/>
    <s v="1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49"/>
    <n v="2094383124"/>
    <s v="0"/>
    <s v=""/>
    <s v="42"/>
    <x v="2"/>
    <s v="EU"/>
    <s v="12"/>
    <s v="1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52"/>
    <n v="2094383124"/>
    <s v="1"/>
    <s v=""/>
    <s v="41"/>
    <x v="1"/>
    <s v="EU"/>
    <s v="03"/>
    <s v="1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64"/>
    <n v="2094383124"/>
    <s v="1"/>
    <s v=""/>
    <s v="52"/>
    <x v="0"/>
    <s v="EU"/>
    <s v="13"/>
    <s v="1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-1005773897"/>
    <n v="-1000024927"/>
    <s v=""/>
    <s v="UD"/>
    <s v=""/>
    <x v="6"/>
    <s v=""/>
    <s v=""/>
    <s v="1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4360503"/>
    <n v="-1000014991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5773919"/>
    <n v="-1000024927"/>
    <s v=""/>
    <s v=""/>
    <s v="52"/>
    <x v="0"/>
    <s v="EU"/>
    <s v="13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1"/>
    <n v="-1000024927"/>
    <s v=""/>
    <s v="UD"/>
    <s v=""/>
    <x v="6"/>
    <s v=""/>
    <s v=""/>
    <s v="1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9"/>
    <n v="-1000024927"/>
    <s v=""/>
    <s v=""/>
    <s v="3M"/>
    <x v="5"/>
    <s v="MY"/>
    <s v="3"/>
    <s v="1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1"/>
    <n v="-1000024927"/>
    <s v=""/>
    <s v=""/>
    <s v="41"/>
    <x v="1"/>
    <s v="EU"/>
    <s v="03"/>
    <s v="1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3"/>
    <n v="-1000024927"/>
    <s v=""/>
    <s v="UD"/>
    <s v=""/>
    <x v="6"/>
    <s v=""/>
    <s v=""/>
    <s v="1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13"/>
    <n v="-1000024927"/>
    <s v=""/>
    <s v="UD"/>
    <s v=""/>
    <x v="6"/>
    <s v=""/>
    <s v="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25"/>
    <n v="-1000024927"/>
    <s v=""/>
    <s v=""/>
    <s v="63"/>
    <x v="8"/>
    <s v="EU"/>
    <s v="23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27"/>
    <n v="-1000024927"/>
    <s v=""/>
    <s v=""/>
    <s v="52"/>
    <x v="0"/>
    <s v="EU"/>
    <s v="13"/>
    <s v="1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31"/>
    <n v="-1000024927"/>
    <s v=""/>
    <s v="UD"/>
    <s v=""/>
    <x v="6"/>
    <s v=""/>
    <s v=""/>
    <s v="10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45"/>
    <n v="-1000024927"/>
    <s v=""/>
    <s v=""/>
    <s v="52"/>
    <x v="0"/>
    <s v="EU"/>
    <s v="13"/>
    <s v="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65"/>
    <n v="-1000024927"/>
    <s v=""/>
    <s v=""/>
    <s v="52"/>
    <x v="0"/>
    <s v="EU"/>
    <s v="13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-1004362375"/>
    <n v="-1000014997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2385"/>
    <n v="-1000014997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-1005773949"/>
    <n v="-1000024927"/>
    <s v=""/>
    <s v=""/>
    <s v="42"/>
    <x v="2"/>
    <s v="EU"/>
    <s v="12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0473"/>
    <n v="-1000014991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9077"/>
    <n v="1973161987"/>
    <s v=""/>
    <s v=""/>
    <s v="42"/>
    <x v="2"/>
    <s v="EU"/>
    <s v="12"/>
    <s v="96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8116370"/>
    <n v="1676851198"/>
    <s v=""/>
    <s v=""/>
    <s v="42"/>
    <x v="2"/>
    <s v="EU"/>
    <s v="12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187"/>
    <n v="1676851198"/>
    <s v=""/>
    <s v=""/>
    <s v="42"/>
    <x v="2"/>
    <s v="EU"/>
    <s v="12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44"/>
    <n v="1676851198"/>
    <s v=""/>
    <s v=""/>
    <s v="52"/>
    <x v="0"/>
    <s v="EU"/>
    <s v="1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4976"/>
    <n v="1288148969"/>
    <s v=""/>
    <s v=""/>
    <s v="52"/>
    <x v="0"/>
    <s v="EU"/>
    <s v="13"/>
    <s v="1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9365"/>
    <n v="1451931796"/>
    <s v="2"/>
    <s v="RS"/>
    <s v="S2"/>
    <x v="15"/>
    <s v="FW"/>
    <s v="1"/>
    <s v="4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-1004362369"/>
    <n v="-1000014997"/>
    <s v=""/>
    <s v=""/>
    <s v="31"/>
    <x v="7"/>
    <s v="EU"/>
    <s v="0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11724929"/>
    <n v="1839088084"/>
    <s v=""/>
    <s v=""/>
    <s v="42"/>
    <x v="2"/>
    <s v="EU"/>
    <s v="12"/>
    <s v="8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610"/>
    <n v="1612784443"/>
    <s v=""/>
    <s v=""/>
    <s v="42"/>
    <x v="2"/>
    <s v="EU"/>
    <s v="12"/>
    <s v="8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022"/>
    <n v="1839088084"/>
    <s v=""/>
    <s v="RG"/>
    <s v=""/>
    <x v="6"/>
    <s v="EU"/>
    <s v=""/>
    <s v="3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5T00:00:00"/>
    <d v="2020-09-25T00:00:00"/>
    <s v="1003930"/>
  </r>
  <r>
    <n v="11722457"/>
    <n v="1612784443"/>
    <s v=""/>
    <s v=""/>
    <s v="42"/>
    <x v="2"/>
    <s v="EU"/>
    <s v="12"/>
    <s v="3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5773955"/>
    <n v="-1000024927"/>
    <s v=""/>
    <s v=""/>
    <s v="52"/>
    <x v="0"/>
    <s v="EU"/>
    <s v="13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4885444"/>
    <n v="2094383124"/>
    <s v="2"/>
    <s v="RS"/>
    <s v="S2"/>
    <x v="15"/>
    <s v="FW"/>
    <s v="1"/>
    <s v="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11723021"/>
    <n v="1993655330"/>
    <s v=""/>
    <s v="UD"/>
    <s v=""/>
    <x v="6"/>
    <s v="EU"/>
    <s v=""/>
    <s v="3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5496"/>
    <n v="1156302723"/>
    <s v=""/>
    <s v=""/>
    <s v="42"/>
    <x v="2"/>
    <s v="EU"/>
    <s v="12"/>
    <s v="1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4884961"/>
    <n v="1288148969"/>
    <s v=""/>
    <s v="UF"/>
    <s v="2M"/>
    <x v="3"/>
    <s v="MY"/>
    <s v="2"/>
    <s v="1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27"/>
    <n v="1676851198"/>
    <s v=""/>
    <s v=""/>
    <s v="42"/>
    <x v="2"/>
    <s v="EU"/>
    <s v="12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5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4885186"/>
    <n v="679771232"/>
    <s v=""/>
    <s v=""/>
    <s v="42"/>
    <x v="2"/>
    <s v="EU"/>
    <s v="12"/>
    <s v="4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379"/>
    <n v="1676851198"/>
    <s v=""/>
    <s v=""/>
    <s v="41"/>
    <x v="1"/>
    <s v="EU"/>
    <s v="0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42"/>
    <n v="1676851198"/>
    <s v=""/>
    <s v=""/>
    <s v="52"/>
    <x v="0"/>
    <s v="EU"/>
    <s v="13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261"/>
    <n v="679771232"/>
    <s v=""/>
    <s v=""/>
    <s v="42"/>
    <x v="2"/>
    <s v="EU"/>
    <s v="12"/>
    <s v="6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1"/>
    <n v="679771232"/>
    <s v=""/>
    <s v=""/>
    <s v="42"/>
    <x v="2"/>
    <s v="EU"/>
    <s v="12"/>
    <s v="3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62"/>
    <n v="2094383124"/>
    <s v="1"/>
    <s v=""/>
    <s v="52"/>
    <x v="0"/>
    <s v="EU"/>
    <s v="13"/>
    <s v="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5848"/>
    <n v="1676851198"/>
    <s v=""/>
    <s v=""/>
    <s v="52"/>
    <x v="0"/>
    <s v="EU"/>
    <s v="13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66"/>
    <n v="1676851198"/>
    <s v=""/>
    <s v=""/>
    <s v="41"/>
    <x v="1"/>
    <s v="EU"/>
    <s v="0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99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276"/>
    <n v="679771232"/>
    <s v=""/>
    <s v=""/>
    <s v="42"/>
    <x v="2"/>
    <s v="EU"/>
    <s v="12"/>
    <s v="7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19"/>
    <n v="679771232"/>
    <s v=""/>
    <s v=""/>
    <s v="42"/>
    <x v="2"/>
    <s v="EU"/>
    <s v="12"/>
    <s v="5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69"/>
    <n v="679771232"/>
    <s v="2"/>
    <s v="RS"/>
    <s v="S2"/>
    <x v="15"/>
    <s v="FW"/>
    <s v="1"/>
    <s v="21"/>
    <s v="Scales"/>
    <n v="2126660001"/>
    <s v="2 SCALES ACROSS PER FISH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09-30T00:00:00"/>
    <s v="67931"/>
  </r>
  <r>
    <n v="4885459"/>
    <n v="2094383124"/>
    <s v="2"/>
    <s v="RS"/>
    <s v="S2"/>
    <x v="15"/>
    <s v="FW"/>
    <s v="1"/>
    <s v="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436055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239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4994"/>
    <n v="1288148969"/>
    <s v="0"/>
    <s v=""/>
    <s v="42"/>
    <x v="2"/>
    <s v="EU"/>
    <s v="12"/>
    <s v="2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67"/>
    <n v="1288148969"/>
    <s v="0"/>
    <s v=""/>
    <s v="42"/>
    <x v="2"/>
    <s v="EU"/>
    <s v="12"/>
    <s v="1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5773959"/>
    <n v="-1000024927"/>
    <s v=""/>
    <s v=""/>
    <s v="52"/>
    <x v="0"/>
    <s v="EU"/>
    <s v="13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-1005773951"/>
    <n v="-1000024927"/>
    <s v=""/>
    <s v="RS"/>
    <s v=""/>
    <x v="6"/>
    <s v=""/>
    <s v="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4885225"/>
    <n v="679771232"/>
    <s v=""/>
    <s v=""/>
    <s v="42"/>
    <x v="2"/>
    <s v="EU"/>
    <s v="12"/>
    <s v="5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604"/>
    <n v="1612784443"/>
    <s v=""/>
    <s v=""/>
    <s v="42"/>
    <x v="2"/>
    <s v="EU"/>
    <s v="12"/>
    <s v="8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34"/>
    <n v="679771232"/>
    <s v=""/>
    <s v=""/>
    <s v="42"/>
    <x v="2"/>
    <s v="EU"/>
    <s v="12"/>
    <s v="6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73"/>
    <n v="679771232"/>
    <s v=""/>
    <s v=""/>
    <s v="42"/>
    <x v="2"/>
    <s v="EU"/>
    <s v="12"/>
    <s v="7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40"/>
    <n v="2094383124"/>
    <s v="2"/>
    <s v="RS"/>
    <s v="S2"/>
    <x v="15"/>
    <s v="FW"/>
    <s v="1"/>
    <s v="1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-1005773915"/>
    <n v="-1000024927"/>
    <s v=""/>
    <s v=""/>
    <s v="42"/>
    <x v="2"/>
    <s v="EU"/>
    <s v="12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4885573"/>
    <n v="2094383124"/>
    <s v="1"/>
    <s v="W"/>
    <s v="2M"/>
    <x v="3"/>
    <s v="MY"/>
    <s v="2"/>
    <s v="2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2502"/>
    <n v="1612784443"/>
    <s v=""/>
    <s v=""/>
    <s v="42"/>
    <x v="2"/>
    <s v="EU"/>
    <s v="12"/>
    <s v="5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03"/>
    <n v="1612784443"/>
    <s v=""/>
    <s v=""/>
    <s v="42"/>
    <x v="2"/>
    <s v="EU"/>
    <s v="12"/>
    <s v="1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45"/>
    <n v="1612784443"/>
    <s v=""/>
    <s v=""/>
    <s v="42"/>
    <x v="2"/>
    <s v="EU"/>
    <s v="12"/>
    <s v="3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845"/>
    <n v="1839088084"/>
    <s v=""/>
    <s v=""/>
    <s v="42"/>
    <x v="2"/>
    <s v="EU"/>
    <s v="12"/>
    <s v="5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48"/>
    <n v="1839088084"/>
    <s v=""/>
    <s v=""/>
    <s v="42"/>
    <x v="2"/>
    <s v="EU"/>
    <s v="12"/>
    <s v="5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68"/>
    <n v="368670609"/>
    <s v=""/>
    <s v=""/>
    <s v="31"/>
    <x v="7"/>
    <s v="EU"/>
    <s v="02"/>
    <s v="1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5271"/>
    <n v="368670609"/>
    <s v=""/>
    <s v=""/>
    <s v="41"/>
    <x v="1"/>
    <s v="EU"/>
    <s v="03"/>
    <s v="2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2541"/>
    <n v="1612784443"/>
    <s v=""/>
    <s v=""/>
    <s v="42"/>
    <x v="2"/>
    <s v="EU"/>
    <s v="12"/>
    <s v="6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749"/>
    <n v="1676851198"/>
    <s v=""/>
    <s v=""/>
    <s v="41"/>
    <x v="1"/>
    <s v="EU"/>
    <s v="03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854"/>
    <n v="1839088084"/>
    <s v=""/>
    <s v=""/>
    <s v="42"/>
    <x v="2"/>
    <s v="EU"/>
    <s v="12"/>
    <s v="6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50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33"/>
    <n v="1676851198"/>
    <s v=""/>
    <s v=""/>
    <s v="41"/>
    <x v="1"/>
    <s v="EU"/>
    <s v="0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092"/>
    <n v="1839088084"/>
    <s v=""/>
    <s v=""/>
    <s v="42"/>
    <x v="2"/>
    <s v="EU"/>
    <s v="12"/>
    <s v="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363"/>
    <n v="679771232"/>
    <s v=""/>
    <s v=""/>
    <s v="2M"/>
    <x v="3"/>
    <s v="MY"/>
    <s v="2"/>
    <s v="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59"/>
    <n v="679771232"/>
    <s v=""/>
    <s v=""/>
    <s v="42"/>
    <x v="2"/>
    <s v="EU"/>
    <s v="12"/>
    <s v="3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72"/>
    <n v="679771232"/>
    <s v=""/>
    <s v=""/>
    <s v="42"/>
    <x v="2"/>
    <s v="EU"/>
    <s v="12"/>
    <s v="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14"/>
    <n v="679771232"/>
    <s v=""/>
    <s v=""/>
    <s v="41"/>
    <x v="1"/>
    <s v="EU"/>
    <s v="03"/>
    <s v="2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665"/>
    <n v="1676851198"/>
    <s v=""/>
    <s v=""/>
    <s v="41"/>
    <x v="1"/>
    <s v="EU"/>
    <s v="03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11"/>
    <n v="1676851198"/>
    <s v=""/>
    <s v=""/>
    <s v="52"/>
    <x v="0"/>
    <s v="EU"/>
    <s v="13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19"/>
    <n v="1839088084"/>
    <s v=""/>
    <s v=""/>
    <s v="42"/>
    <x v="2"/>
    <s v="EU"/>
    <s v="12"/>
    <s v="1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05"/>
    <n v="1676851198"/>
    <s v=""/>
    <s v=""/>
    <s v="42"/>
    <x v="2"/>
    <s v="EU"/>
    <s v="12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28"/>
    <n v="1676851198"/>
    <s v=""/>
    <s v=""/>
    <s v="41"/>
    <x v="1"/>
    <s v="EU"/>
    <s v="0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40"/>
    <n v="1676851198"/>
    <s v=""/>
    <s v=""/>
    <s v="52"/>
    <x v="0"/>
    <s v="EU"/>
    <s v="1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30"/>
    <n v="1676851198"/>
    <s v=""/>
    <s v=""/>
    <s v="41"/>
    <x v="1"/>
    <s v="EU"/>
    <s v="03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88"/>
    <n v="1676851198"/>
    <s v=""/>
    <s v=""/>
    <s v="42"/>
    <x v="2"/>
    <s v="EU"/>
    <s v="12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56"/>
    <n v="1676851198"/>
    <s v=""/>
    <s v=""/>
    <s v="42"/>
    <x v="2"/>
    <s v="EU"/>
    <s v="12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62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28"/>
    <n v="1676851198"/>
    <s v=""/>
    <s v=""/>
    <s v="52"/>
    <x v="0"/>
    <s v="EU"/>
    <s v="1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43"/>
    <n v="1839088084"/>
    <s v=""/>
    <s v=""/>
    <s v="42"/>
    <x v="2"/>
    <s v="EU"/>
    <s v="12"/>
    <s v="2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44"/>
    <n v="1676851198"/>
    <s v=""/>
    <s v=""/>
    <s v="41"/>
    <x v="1"/>
    <s v="EU"/>
    <s v="0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72"/>
    <n v="1676851198"/>
    <s v=""/>
    <s v=""/>
    <s v="42"/>
    <x v="2"/>
    <s v="EU"/>
    <s v="12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93"/>
    <n v="679771232"/>
    <s v=""/>
    <s v=""/>
    <s v="42"/>
    <x v="2"/>
    <s v="EU"/>
    <s v="12"/>
    <s v="1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93"/>
    <n v="1676851198"/>
    <s v=""/>
    <s v=""/>
    <s v="52"/>
    <x v="0"/>
    <s v="EU"/>
    <s v="13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57"/>
    <n v="-1000014991"/>
    <s v=""/>
    <s v=""/>
    <s v="52"/>
    <x v="0"/>
    <s v="EU"/>
    <s v="13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8115626"/>
    <n v="1676851198"/>
    <s v=""/>
    <s v=""/>
    <s v="52"/>
    <x v="0"/>
    <s v="EU"/>
    <s v="1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30"/>
    <n v="1676851198"/>
    <s v=""/>
    <s v=""/>
    <s v="42"/>
    <x v="2"/>
    <s v="EU"/>
    <s v="12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37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49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8115893"/>
    <n v="1676851198"/>
    <s v=""/>
    <s v=""/>
    <s v="42"/>
    <x v="2"/>
    <s v="EU"/>
    <s v="12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580"/>
    <n v="1612784443"/>
    <s v=""/>
    <s v=""/>
    <s v="42"/>
    <x v="2"/>
    <s v="EU"/>
    <s v="12"/>
    <s v="7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4937"/>
    <n v="1288148969"/>
    <s v=""/>
    <s v=""/>
    <s v="42"/>
    <x v="2"/>
    <s v="EU"/>
    <s v="1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97"/>
    <n v="1288148969"/>
    <s v="0"/>
    <s v=""/>
    <s v="42"/>
    <x v="2"/>
    <s v="EU"/>
    <s v="12"/>
    <s v="2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24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323"/>
    <n v="363003608"/>
    <s v="2"/>
    <s v="RS"/>
    <s v=""/>
    <x v="6"/>
    <s v="EU"/>
    <s v="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4885042"/>
    <n v="1288148969"/>
    <s v=""/>
    <s v=""/>
    <s v="42"/>
    <x v="2"/>
    <s v="EU"/>
    <s v="12"/>
    <s v="1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11729353"/>
    <n v="1451931796"/>
    <s v=""/>
    <s v=""/>
    <s v="42"/>
    <x v="2"/>
    <s v="EU"/>
    <s v="12"/>
    <s v="1"/>
    <s v="Otolith - Surface"/>
    <n v="2126660002"/>
    <s v="1 OTOLITH ACROSS (TRAY)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Oto Box 5"/>
  </r>
  <r>
    <n v="11725277"/>
    <n v="368670609"/>
    <s v=""/>
    <s v=""/>
    <s v="41"/>
    <x v="1"/>
    <s v="EU"/>
    <s v="03"/>
    <s v="4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5505"/>
    <n v="1156302723"/>
    <s v=""/>
    <s v=""/>
    <s v="21"/>
    <x v="9"/>
    <s v="EU"/>
    <s v="01"/>
    <s v="15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80"/>
    <n v="1973161987"/>
    <s v=""/>
    <s v=""/>
    <s v="42"/>
    <x v="2"/>
    <s v="EU"/>
    <s v="12"/>
    <s v="97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4893"/>
    <n v="1839088084"/>
    <s v=""/>
    <s v=""/>
    <s v="42"/>
    <x v="2"/>
    <s v="EU"/>
    <s v="12"/>
    <s v="7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39"/>
    <n v="363003608"/>
    <s v=""/>
    <s v="NS"/>
    <s v=""/>
    <x v="6"/>
    <s v="EU"/>
    <s v="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69"/>
    <n v="363003608"/>
    <s v="2"/>
    <s v="RS"/>
    <s v=""/>
    <x v="6"/>
    <s v="EU"/>
    <s v="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-1004362411"/>
    <n v="-1000014997"/>
    <s v=""/>
    <s v=""/>
    <s v="52"/>
    <x v="0"/>
    <s v="EU"/>
    <s v="1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11722475"/>
    <n v="1612784443"/>
    <s v=""/>
    <s v=""/>
    <s v="42"/>
    <x v="2"/>
    <s v="EU"/>
    <s v="12"/>
    <s v="4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069"/>
    <n v="679771232"/>
    <s v=""/>
    <s v=""/>
    <s v="42"/>
    <x v="2"/>
    <s v="EU"/>
    <s v="12"/>
    <s v="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11"/>
    <n v="1612784443"/>
    <s v=""/>
    <s v=""/>
    <s v="42"/>
    <x v="2"/>
    <s v="EU"/>
    <s v="12"/>
    <s v="5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64"/>
    <n v="1839088084"/>
    <s v=""/>
    <s v=""/>
    <s v="42"/>
    <x v="2"/>
    <s v="EU"/>
    <s v="12"/>
    <s v="3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70"/>
    <n v="1839088084"/>
    <s v=""/>
    <s v=""/>
    <s v="42"/>
    <x v="2"/>
    <s v="EU"/>
    <s v="12"/>
    <s v="3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01"/>
    <n v="679771232"/>
    <s v=""/>
    <s v=""/>
    <s v="42"/>
    <x v="2"/>
    <s v="EU"/>
    <s v="12"/>
    <s v="4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818"/>
    <n v="1676851198"/>
    <s v=""/>
    <s v=""/>
    <s v="41"/>
    <x v="1"/>
    <s v="EU"/>
    <s v="03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4988"/>
    <n v="1288148969"/>
    <s v="0"/>
    <s v=""/>
    <s v="42"/>
    <x v="2"/>
    <s v="EU"/>
    <s v="12"/>
    <s v="1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39"/>
    <n v="1676851198"/>
    <s v=""/>
    <s v=""/>
    <s v="41"/>
    <x v="1"/>
    <s v="EU"/>
    <s v="03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59"/>
    <n v="1676851198"/>
    <s v=""/>
    <s v=""/>
    <s v="42"/>
    <x v="2"/>
    <s v="EU"/>
    <s v="12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52"/>
    <n v="1676851198"/>
    <s v=""/>
    <s v=""/>
    <s v="52"/>
    <x v="0"/>
    <s v="EU"/>
    <s v="1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48"/>
    <n v="1676851198"/>
    <s v=""/>
    <s v=""/>
    <s v="52"/>
    <x v="0"/>
    <s v="EU"/>
    <s v="13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01"/>
    <n v="1676851198"/>
    <s v=""/>
    <s v=""/>
    <s v="52"/>
    <x v="0"/>
    <s v="EU"/>
    <s v="1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25"/>
    <n v="1676851198"/>
    <s v=""/>
    <s v=""/>
    <s v="42"/>
    <x v="2"/>
    <s v="EU"/>
    <s v="12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71"/>
    <n v="1612784443"/>
    <s v=""/>
    <s v=""/>
    <s v="42"/>
    <x v="2"/>
    <s v="EU"/>
    <s v="12"/>
    <s v="7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25"/>
    <n v="1839088084"/>
    <s v=""/>
    <s v=""/>
    <s v="42"/>
    <x v="2"/>
    <s v="EU"/>
    <s v="12"/>
    <s v="1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391"/>
    <n v="1676851198"/>
    <s v=""/>
    <s v=""/>
    <s v="42"/>
    <x v="2"/>
    <s v="EU"/>
    <s v="12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23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57"/>
    <n v="1676851198"/>
    <s v=""/>
    <s v=""/>
    <s v="42"/>
    <x v="2"/>
    <s v="EU"/>
    <s v="1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01"/>
    <n v="1676851198"/>
    <s v=""/>
    <s v=""/>
    <s v="41"/>
    <x v="1"/>
    <s v="EU"/>
    <s v="03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06"/>
    <n v="1288148969"/>
    <s v=""/>
    <s v=""/>
    <s v="42"/>
    <x v="2"/>
    <s v="EU"/>
    <s v="12"/>
    <s v="2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3060"/>
    <n v="1993655330"/>
    <s v="2"/>
    <s v="RS"/>
    <s v="S2"/>
    <x v="15"/>
    <s v="FW"/>
    <s v="1"/>
    <s v="16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96"/>
    <n v="1839088084"/>
    <s v=""/>
    <s v=""/>
    <s v="42"/>
    <x v="2"/>
    <s v="EU"/>
    <s v="12"/>
    <s v="7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33"/>
    <n v="1839088084"/>
    <s v=""/>
    <s v=""/>
    <s v="42"/>
    <x v="2"/>
    <s v="EU"/>
    <s v="12"/>
    <s v="5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54"/>
    <n v="1993655330"/>
    <s v=""/>
    <s v="RG"/>
    <s v=""/>
    <x v="6"/>
    <s v="EU"/>
    <s v=""/>
    <s v="14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9230"/>
    <n v="363003608"/>
    <s v="2"/>
    <s v="RS"/>
    <s v=""/>
    <x v="6"/>
    <s v="EU"/>
    <s v="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8116406"/>
    <n v="1676851198"/>
    <s v=""/>
    <s v=""/>
    <s v="42"/>
    <x v="2"/>
    <s v="EU"/>
    <s v="12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77"/>
    <n v="1676851198"/>
    <s v=""/>
    <s v=""/>
    <s v="42"/>
    <x v="2"/>
    <s v="EU"/>
    <s v="12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204"/>
    <n v="679771232"/>
    <s v=""/>
    <s v=""/>
    <s v="42"/>
    <x v="2"/>
    <s v="EU"/>
    <s v="12"/>
    <s v="5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241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4885291"/>
    <n v="679771232"/>
    <s v=""/>
    <s v=""/>
    <s v="42"/>
    <x v="2"/>
    <s v="EU"/>
    <s v="12"/>
    <s v="7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58"/>
    <n v="2094383124"/>
    <s v="1"/>
    <s v=""/>
    <s v="42"/>
    <x v="2"/>
    <s v="EU"/>
    <s v="12"/>
    <s v="1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41"/>
    <n v="679771232"/>
    <s v=""/>
    <s v=""/>
    <s v="42"/>
    <x v="2"/>
    <s v="EU"/>
    <s v="12"/>
    <s v="2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80"/>
    <n v="1676851198"/>
    <s v=""/>
    <s v=""/>
    <s v="52"/>
    <x v="0"/>
    <s v="EU"/>
    <s v="13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477"/>
    <n v="2094383124"/>
    <s v="1"/>
    <s v=""/>
    <s v="42"/>
    <x v="2"/>
    <s v="EU"/>
    <s v="12"/>
    <s v="1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6445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65"/>
    <n v="1612784443"/>
    <s v=""/>
    <s v=""/>
    <s v="42"/>
    <x v="2"/>
    <s v="EU"/>
    <s v="12"/>
    <s v="7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519"/>
    <n v="2094383124"/>
    <s v="1"/>
    <s v=""/>
    <s v="53"/>
    <x v="4"/>
    <s v="EU"/>
    <s v="22"/>
    <s v="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23"/>
    <n v="679771232"/>
    <s v=""/>
    <s v=""/>
    <s v="42"/>
    <x v="2"/>
    <s v="EU"/>
    <s v="12"/>
    <s v="2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932"/>
    <n v="1839088084"/>
    <s v=""/>
    <s v=""/>
    <s v="S2"/>
    <x v="15"/>
    <s v="FW"/>
    <s v="1"/>
    <s v="8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066"/>
    <n v="679771232"/>
    <s v=""/>
    <s v=""/>
    <s v="42"/>
    <x v="2"/>
    <s v="EU"/>
    <s v="12"/>
    <s v="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68"/>
    <n v="1676851198"/>
    <s v=""/>
    <s v=""/>
    <s v="52"/>
    <x v="0"/>
    <s v="EU"/>
    <s v="13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48"/>
    <n v="679771232"/>
    <s v=""/>
    <s v=""/>
    <s v="41"/>
    <x v="1"/>
    <s v="EU"/>
    <s v="03"/>
    <s v="9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13"/>
    <n v="2094383124"/>
    <s v="0"/>
    <s v=""/>
    <s v="52"/>
    <x v="0"/>
    <s v="EU"/>
    <s v="13"/>
    <s v="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6232"/>
    <n v="1676851198"/>
    <s v=""/>
    <s v=""/>
    <s v="42"/>
    <x v="2"/>
    <s v="EU"/>
    <s v="12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79"/>
    <n v="1676851198"/>
    <s v=""/>
    <s v=""/>
    <s v="62"/>
    <x v="13"/>
    <s v="EU"/>
    <s v="14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71"/>
    <n v="1676851198"/>
    <s v=""/>
    <s v=""/>
    <s v="42"/>
    <x v="2"/>
    <s v="EU"/>
    <s v="12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27"/>
    <n v="1612784443"/>
    <s v=""/>
    <s v=""/>
    <s v="42"/>
    <x v="2"/>
    <s v="EU"/>
    <s v="12"/>
    <s v="2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311"/>
    <n v="363003608"/>
    <s v="2"/>
    <s v="RG"/>
    <s v=""/>
    <x v="6"/>
    <s v="EU"/>
    <s v="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29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-1004360563"/>
    <n v="-1000014991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2365"/>
    <n v="-1000014997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4885165"/>
    <n v="679771232"/>
    <s v=""/>
    <s v=""/>
    <s v="42"/>
    <x v="2"/>
    <s v="EU"/>
    <s v="12"/>
    <s v="3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052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249"/>
    <n v="679771232"/>
    <s v=""/>
    <s v=""/>
    <s v="42"/>
    <x v="2"/>
    <s v="EU"/>
    <s v="12"/>
    <s v="6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403"/>
    <n v="1676851198"/>
    <s v=""/>
    <s v=""/>
    <s v="42"/>
    <x v="2"/>
    <s v="EU"/>
    <s v="12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6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11725304"/>
    <n v="368670609"/>
    <s v="2"/>
    <s v="RS"/>
    <s v=""/>
    <x v="6"/>
    <s v="EU"/>
    <s v=""/>
    <s v="8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797"/>
    <n v="1676851198"/>
    <s v=""/>
    <s v=""/>
    <s v="41"/>
    <x v="1"/>
    <s v="EU"/>
    <s v="03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5466"/>
    <n v="1156302723"/>
    <s v=""/>
    <s v=""/>
    <s v="42"/>
    <x v="2"/>
    <s v="EU"/>
    <s v="12"/>
    <s v="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091"/>
    <n v="1676851198"/>
    <s v=""/>
    <s v=""/>
    <s v="41"/>
    <x v="1"/>
    <s v="EU"/>
    <s v="03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138"/>
    <n v="679771232"/>
    <s v=""/>
    <s v=""/>
    <s v="42"/>
    <x v="2"/>
    <s v="EU"/>
    <s v="12"/>
    <s v="2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899"/>
    <n v="1676851198"/>
    <s v=""/>
    <s v=""/>
    <s v="52"/>
    <x v="0"/>
    <s v="EU"/>
    <s v="13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90"/>
    <n v="1676851198"/>
    <s v=""/>
    <s v=""/>
    <s v="41"/>
    <x v="1"/>
    <s v="EU"/>
    <s v="03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34"/>
    <n v="1676851198"/>
    <s v=""/>
    <s v=""/>
    <s v="52"/>
    <x v="0"/>
    <s v="EU"/>
    <s v="13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27"/>
    <n v="-1000014991"/>
    <s v=""/>
    <s v="RG"/>
    <s v=""/>
    <x v="6"/>
    <s v=""/>
    <s v="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340"/>
    <n v="1676851198"/>
    <s v=""/>
    <s v=""/>
    <s v="41"/>
    <x v="1"/>
    <s v="EU"/>
    <s v="0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0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2359"/>
    <n v="-1000014997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5773941"/>
    <n v="-1000024927"/>
    <s v=""/>
    <s v=""/>
    <s v="41"/>
    <x v="1"/>
    <s v="EU"/>
    <s v="03"/>
    <s v="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0487"/>
    <n v="-1000014991"/>
    <s v=""/>
    <s v=""/>
    <s v="1M"/>
    <x v="14"/>
    <s v="MY"/>
    <s v="1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9314"/>
    <n v="363003608"/>
    <s v="2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8116211"/>
    <n v="1676851198"/>
    <s v=""/>
    <s v=""/>
    <s v="41"/>
    <x v="1"/>
    <s v="EU"/>
    <s v="03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5484"/>
    <n v="1156302723"/>
    <s v=""/>
    <s v=""/>
    <s v="42"/>
    <x v="2"/>
    <s v="EU"/>
    <s v="12"/>
    <s v="8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109"/>
    <n v="1676851198"/>
    <s v=""/>
    <s v=""/>
    <s v="41"/>
    <x v="1"/>
    <s v="EU"/>
    <s v="03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57"/>
    <n v="-1000024927"/>
    <s v=""/>
    <s v=""/>
    <s v="53"/>
    <x v="4"/>
    <s v="EU"/>
    <s v="22"/>
    <s v="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8115770"/>
    <n v="1676851198"/>
    <s v=""/>
    <s v=""/>
    <s v="42"/>
    <x v="2"/>
    <s v="EU"/>
    <s v="12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962"/>
    <n v="1839088084"/>
    <s v="1"/>
    <s v=""/>
    <s v="42"/>
    <x v="2"/>
    <s v="EU"/>
    <s v="12"/>
    <s v="7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7"/>
  </r>
  <r>
    <n v="8115854"/>
    <n v="1676851198"/>
    <s v=""/>
    <s v=""/>
    <s v="41"/>
    <x v="1"/>
    <s v="EU"/>
    <s v="0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652"/>
    <n v="1612784443"/>
    <s v="0"/>
    <s v=""/>
    <s v="42"/>
    <x v="2"/>
    <s v="EU"/>
    <s v="12"/>
    <s v="1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3"/>
  </r>
  <r>
    <n v="11729263"/>
    <n v="363003608"/>
    <s v="2"/>
    <s v="RS"/>
    <s v="S1"/>
    <x v="16"/>
    <s v="FW"/>
    <s v="0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8115674"/>
    <n v="1676851198"/>
    <s v=""/>
    <s v=""/>
    <s v="52"/>
    <x v="0"/>
    <s v="EU"/>
    <s v="1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045"/>
    <n v="1288148969"/>
    <s v=""/>
    <s v=""/>
    <s v="42"/>
    <x v="2"/>
    <s v="EU"/>
    <s v="12"/>
    <s v="1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-1005773893"/>
    <n v="-1000024927"/>
    <s v=""/>
    <s v=""/>
    <s v="53"/>
    <x v="4"/>
    <s v="EU"/>
    <s v="22"/>
    <s v="1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4839"/>
    <n v="1839088084"/>
    <s v=""/>
    <s v=""/>
    <s v="42"/>
    <x v="2"/>
    <s v="EU"/>
    <s v="12"/>
    <s v="5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493"/>
    <n v="1612784443"/>
    <s v=""/>
    <s v=""/>
    <s v="52"/>
    <x v="0"/>
    <s v="EU"/>
    <s v="13"/>
    <s v="4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312"/>
    <n v="679771232"/>
    <s v=""/>
    <s v=""/>
    <s v="41"/>
    <x v="1"/>
    <s v="EU"/>
    <s v="03"/>
    <s v="8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52"/>
    <n v="1288148969"/>
    <s v="0"/>
    <s v=""/>
    <s v="31"/>
    <x v="7"/>
    <s v="EU"/>
    <s v="02"/>
    <s v="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5502"/>
    <n v="1156302723"/>
    <s v=""/>
    <s v=""/>
    <s v="42"/>
    <x v="2"/>
    <s v="EU"/>
    <s v="12"/>
    <s v="14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298"/>
    <n v="368670609"/>
    <s v=""/>
    <s v="UD"/>
    <s v=""/>
    <x v="6"/>
    <s v="EU"/>
    <s v=""/>
    <s v="6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875"/>
    <n v="1839088084"/>
    <s v=""/>
    <s v=""/>
    <s v="42"/>
    <x v="2"/>
    <s v="EU"/>
    <s v="12"/>
    <s v="6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043"/>
    <n v="1676851198"/>
    <s v=""/>
    <s v=""/>
    <s v="52"/>
    <x v="0"/>
    <s v="EU"/>
    <s v="13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00"/>
    <n v="1288148969"/>
    <s v=""/>
    <s v=""/>
    <s v="31"/>
    <x v="7"/>
    <s v="EU"/>
    <s v="02"/>
    <s v="2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2382"/>
    <n v="1612784443"/>
    <s v=""/>
    <s v=""/>
    <s v="42"/>
    <x v="2"/>
    <s v="EU"/>
    <s v="12"/>
    <s v="1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620"/>
    <n v="1676851198"/>
    <s v=""/>
    <s v=""/>
    <s v="41"/>
    <x v="1"/>
    <s v="EU"/>
    <s v="0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87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64"/>
    <n v="1676851198"/>
    <s v=""/>
    <s v=""/>
    <s v="31"/>
    <x v="7"/>
    <s v="EU"/>
    <s v="02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689"/>
    <n v="1839088084"/>
    <s v=""/>
    <s v=""/>
    <s v="42"/>
    <x v="2"/>
    <s v="EU"/>
    <s v="12"/>
    <s v="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397"/>
    <n v="1676851198"/>
    <s v=""/>
    <s v=""/>
    <s v="52"/>
    <x v="0"/>
    <s v="EU"/>
    <s v="13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38"/>
    <n v="1612784443"/>
    <s v=""/>
    <s v=""/>
    <s v="42"/>
    <x v="2"/>
    <s v="EU"/>
    <s v="12"/>
    <s v="6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01"/>
    <n v="1612784443"/>
    <s v=""/>
    <s v=""/>
    <s v="42"/>
    <x v="2"/>
    <s v="EU"/>
    <s v="12"/>
    <s v="8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97"/>
    <n v="679771232"/>
    <s v=""/>
    <s v=""/>
    <s v="52"/>
    <x v="0"/>
    <s v="EU"/>
    <s v="13"/>
    <s v="8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5773921"/>
    <n v="-1000024927"/>
    <s v=""/>
    <s v=""/>
    <s v="42"/>
    <x v="2"/>
    <s v="EU"/>
    <s v="12"/>
    <s v="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4362381"/>
    <n v="-1000014997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5087"/>
    <n v="679771232"/>
    <s v=""/>
    <s v=""/>
    <s v="42"/>
    <x v="2"/>
    <s v="EU"/>
    <s v="12"/>
    <s v="1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39"/>
    <n v="1288148969"/>
    <s v=""/>
    <s v=""/>
    <s v="42"/>
    <x v="2"/>
    <s v="EU"/>
    <s v="12"/>
    <s v="1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486"/>
    <n v="2094383124"/>
    <s v="1"/>
    <s v=""/>
    <s v="42"/>
    <x v="2"/>
    <s v="EU"/>
    <s v="12"/>
    <s v="1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396"/>
    <n v="679771232"/>
    <s v=""/>
    <s v=""/>
    <s v="42"/>
    <x v="2"/>
    <s v="EU"/>
    <s v="12"/>
    <s v="1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8116265"/>
    <n v="1676851198"/>
    <s v=""/>
    <s v=""/>
    <s v="42"/>
    <x v="2"/>
    <s v="EU"/>
    <s v="12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61"/>
    <n v="-1000014997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4885528"/>
    <n v="2094383124"/>
    <s v="1"/>
    <s v="RG"/>
    <s v="3M"/>
    <x v="5"/>
    <s v="MY"/>
    <s v="3"/>
    <s v="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030"/>
    <n v="1288148969"/>
    <s v="0"/>
    <s v=""/>
    <s v="42"/>
    <x v="2"/>
    <s v="EU"/>
    <s v="12"/>
    <s v="8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5989"/>
    <n v="1676851198"/>
    <s v=""/>
    <s v=""/>
    <s v="52"/>
    <x v="0"/>
    <s v="EU"/>
    <s v="13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64"/>
    <n v="1676851198"/>
    <s v=""/>
    <s v=""/>
    <s v="52"/>
    <x v="0"/>
    <s v="EU"/>
    <s v="13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04"/>
    <n v="1676851198"/>
    <s v=""/>
    <s v=""/>
    <s v="52"/>
    <x v="0"/>
    <s v="EU"/>
    <s v="13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92"/>
    <n v="1676851198"/>
    <s v=""/>
    <s v=""/>
    <s v="41"/>
    <x v="1"/>
    <s v="EU"/>
    <s v="03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812"/>
    <n v="1839088084"/>
    <s v=""/>
    <s v=""/>
    <s v="42"/>
    <x v="2"/>
    <s v="EU"/>
    <s v="12"/>
    <s v="4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95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12"/>
    <n v="1288148969"/>
    <s v="0"/>
    <s v="RG"/>
    <s v="2M"/>
    <x v="3"/>
    <s v="MY"/>
    <s v="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6514"/>
    <n v="1676851198"/>
    <s v=""/>
    <s v=""/>
    <s v="52"/>
    <x v="0"/>
    <s v="EU"/>
    <s v="13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015"/>
    <n v="1288148969"/>
    <s v="0"/>
    <s v=""/>
    <s v="42"/>
    <x v="2"/>
    <s v="EU"/>
    <s v="12"/>
    <s v="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-1004362379"/>
    <n v="-1000014997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2532"/>
    <n v="1612784443"/>
    <s v=""/>
    <s v=""/>
    <s v="42"/>
    <x v="2"/>
    <s v="EU"/>
    <s v="12"/>
    <s v="6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238"/>
    <n v="1676851198"/>
    <s v=""/>
    <s v=""/>
    <s v="41"/>
    <x v="1"/>
    <s v="EU"/>
    <s v="0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47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270"/>
    <n v="679771232"/>
    <s v=""/>
    <s v=""/>
    <s v="42"/>
    <x v="2"/>
    <s v="EU"/>
    <s v="12"/>
    <s v="7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14"/>
    <n v="1612784443"/>
    <s v=""/>
    <s v=""/>
    <s v="42"/>
    <x v="2"/>
    <s v="EU"/>
    <s v="12"/>
    <s v="5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89"/>
    <n v="679771232"/>
    <s v=""/>
    <s v=""/>
    <s v="42"/>
    <x v="2"/>
    <s v="EU"/>
    <s v="12"/>
    <s v="4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686"/>
    <n v="1839088084"/>
    <s v=""/>
    <s v=""/>
    <s v="42"/>
    <x v="2"/>
    <s v="EU"/>
    <s v="12"/>
    <s v="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441"/>
    <n v="2094383124"/>
    <s v="2"/>
    <s v="RS"/>
    <s v="S2"/>
    <x v="15"/>
    <s v="FW"/>
    <s v="1"/>
    <s v="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10"/>
    <n v="2094383124"/>
    <s v="2"/>
    <s v="RS"/>
    <s v="S2"/>
    <x v="15"/>
    <s v="FW"/>
    <s v="1"/>
    <s v="2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11724716"/>
    <n v="1839088084"/>
    <s v=""/>
    <s v=""/>
    <s v="42"/>
    <x v="2"/>
    <s v="EU"/>
    <s v="12"/>
    <s v="1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53"/>
    <n v="1612784443"/>
    <s v=""/>
    <s v=""/>
    <s v="42"/>
    <x v="2"/>
    <s v="EU"/>
    <s v="12"/>
    <s v="6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50"/>
    <n v="1612784443"/>
    <s v=""/>
    <s v=""/>
    <s v="42"/>
    <x v="2"/>
    <s v="EU"/>
    <s v="12"/>
    <s v="6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911"/>
    <n v="1839088084"/>
    <s v=""/>
    <s v=""/>
    <s v="42"/>
    <x v="2"/>
    <s v="EU"/>
    <s v="12"/>
    <s v="7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58"/>
    <n v="1839088084"/>
    <s v=""/>
    <s v=""/>
    <s v="32"/>
    <x v="11"/>
    <s v="EU"/>
    <s v="11"/>
    <s v="2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60"/>
    <n v="1839088084"/>
    <s v=""/>
    <s v=""/>
    <s v="42"/>
    <x v="2"/>
    <s v="EU"/>
    <s v="12"/>
    <s v="6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4985"/>
    <n v="1288148969"/>
    <s v=""/>
    <s v=""/>
    <s v="52"/>
    <x v="0"/>
    <s v="EU"/>
    <s v="13"/>
    <s v="18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294"/>
    <n v="679771232"/>
    <s v=""/>
    <s v=""/>
    <s v="42"/>
    <x v="2"/>
    <s v="EU"/>
    <s v="12"/>
    <s v="8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67"/>
    <n v="679771232"/>
    <s v=""/>
    <s v=""/>
    <s v="41"/>
    <x v="1"/>
    <s v="EU"/>
    <s v="03"/>
    <s v="7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74"/>
    <n v="2094383124"/>
    <s v="2"/>
    <s v="RS"/>
    <s v=""/>
    <x v="6"/>
    <s v="EU"/>
    <s v=""/>
    <s v="1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16"/>
    <n v="2094383124"/>
    <s v=""/>
    <s v="UD"/>
    <s v=""/>
    <x v="6"/>
    <s v="EU"/>
    <s v=""/>
    <s v="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5710"/>
    <n v="1676851198"/>
    <s v=""/>
    <s v=""/>
    <s v="42"/>
    <x v="2"/>
    <s v="EU"/>
    <s v="12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084"/>
    <n v="679771232"/>
    <s v=""/>
    <s v=""/>
    <s v="42"/>
    <x v="2"/>
    <s v="EU"/>
    <s v="12"/>
    <s v="1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761"/>
    <n v="1676851198"/>
    <s v=""/>
    <s v=""/>
    <s v="52"/>
    <x v="0"/>
    <s v="EU"/>
    <s v="13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22"/>
    <n v="1676851198"/>
    <s v=""/>
    <s v=""/>
    <s v="42"/>
    <x v="2"/>
    <s v="EU"/>
    <s v="12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77"/>
    <n v="1676851198"/>
    <s v=""/>
    <s v=""/>
    <s v="32"/>
    <x v="11"/>
    <s v="EU"/>
    <s v="11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51"/>
    <n v="1676851198"/>
    <s v=""/>
    <s v=""/>
    <s v="31"/>
    <x v="7"/>
    <s v="EU"/>
    <s v="0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76"/>
    <n v="1839088084"/>
    <s v=""/>
    <s v=""/>
    <s v="42"/>
    <x v="2"/>
    <s v="EU"/>
    <s v="12"/>
    <s v="3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33"/>
    <n v="-1000024927"/>
    <s v=""/>
    <s v=""/>
    <s v="3M"/>
    <x v="5"/>
    <s v="MY"/>
    <s v="3"/>
    <s v="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2583"/>
    <n v="1612784443"/>
    <s v=""/>
    <s v=""/>
    <s v="42"/>
    <x v="2"/>
    <s v="EU"/>
    <s v="12"/>
    <s v="7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385"/>
    <n v="1676851198"/>
    <s v=""/>
    <s v=""/>
    <s v="42"/>
    <x v="2"/>
    <s v="EU"/>
    <s v="1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48"/>
    <n v="1676851198"/>
    <s v=""/>
    <s v=""/>
    <s v="42"/>
    <x v="2"/>
    <s v="EU"/>
    <s v="12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99"/>
    <n v="-1000014997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073"/>
    <n v="1676851198"/>
    <s v=""/>
    <s v=""/>
    <s v="31"/>
    <x v="7"/>
    <s v="EU"/>
    <s v="02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17"/>
    <n v="1676851198"/>
    <s v=""/>
    <s v=""/>
    <s v="42"/>
    <x v="2"/>
    <s v="EU"/>
    <s v="12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917"/>
    <n v="1839088084"/>
    <s v=""/>
    <s v=""/>
    <s v="52"/>
    <x v="0"/>
    <s v="EU"/>
    <s v="13"/>
    <s v="8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2"/>
    <n v="1839088084"/>
    <s v=""/>
    <s v=""/>
    <s v="42"/>
    <x v="2"/>
    <s v="EU"/>
    <s v="12"/>
    <s v="7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27"/>
    <n v="1993655330"/>
    <s v="2"/>
    <s v="RS"/>
    <s v="S2"/>
    <x v="15"/>
    <s v="FW"/>
    <s v="1"/>
    <s v="5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-1005773889"/>
    <n v="-1000024927"/>
    <s v=""/>
    <s v=""/>
    <s v="52"/>
    <x v="0"/>
    <s v="EU"/>
    <s v="13"/>
    <s v="1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96"/>
    <n v="1676851198"/>
    <s v=""/>
    <s v=""/>
    <s v="41"/>
    <x v="1"/>
    <s v="EU"/>
    <s v="03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466"/>
    <n v="1612784443"/>
    <s v=""/>
    <s v="NS"/>
    <s v=""/>
    <x v="6"/>
    <s v="EU"/>
    <s v=""/>
    <s v="3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632"/>
    <n v="1676851198"/>
    <s v=""/>
    <s v=""/>
    <s v="52"/>
    <x v="0"/>
    <s v="EU"/>
    <s v="1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35"/>
    <n v="1676851198"/>
    <s v=""/>
    <s v=""/>
    <s v="52"/>
    <x v="0"/>
    <s v="EU"/>
    <s v="13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60"/>
    <n v="1676851198"/>
    <s v=""/>
    <s v=""/>
    <s v="42"/>
    <x v="2"/>
    <s v="EU"/>
    <s v="12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926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4885570"/>
    <n v="2094383124"/>
    <s v="1"/>
    <s v=""/>
    <s v="42"/>
    <x v="2"/>
    <s v="EU"/>
    <s v="12"/>
    <s v="2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5508"/>
    <n v="1156302723"/>
    <s v=""/>
    <s v=""/>
    <s v="42"/>
    <x v="2"/>
    <s v="EU"/>
    <s v="12"/>
    <s v="16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4885213"/>
    <n v="679771232"/>
    <s v=""/>
    <s v=""/>
    <s v="31"/>
    <x v="7"/>
    <s v="EU"/>
    <s v="02"/>
    <s v="5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62"/>
    <n v="679771232"/>
    <s v=""/>
    <s v=""/>
    <s v="42"/>
    <x v="2"/>
    <s v="EU"/>
    <s v="12"/>
    <s v="3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57"/>
    <n v="679771232"/>
    <s v=""/>
    <s v=""/>
    <s v="3M"/>
    <x v="5"/>
    <s v="MY"/>
    <s v="3"/>
    <s v="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87"/>
    <n v="679771232"/>
    <s v=""/>
    <s v=""/>
    <s v="42"/>
    <x v="2"/>
    <s v="EU"/>
    <s v="12"/>
    <s v="1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8116322"/>
    <n v="1676851198"/>
    <s v=""/>
    <s v=""/>
    <s v="42"/>
    <x v="2"/>
    <s v="EU"/>
    <s v="12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09"/>
    <n v="1612784443"/>
    <s v=""/>
    <s v=""/>
    <s v="42"/>
    <x v="2"/>
    <s v="EU"/>
    <s v="12"/>
    <s v="2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40"/>
    <n v="1839088084"/>
    <s v=""/>
    <s v=""/>
    <s v="42"/>
    <x v="2"/>
    <s v="EU"/>
    <s v="12"/>
    <s v="2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567"/>
    <n v="2094383124"/>
    <s v="1"/>
    <s v=""/>
    <s v="42"/>
    <x v="2"/>
    <s v="EU"/>
    <s v="12"/>
    <s v="1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5517"/>
    <n v="1156302723"/>
    <s v=""/>
    <s v=""/>
    <s v="41"/>
    <x v="1"/>
    <s v="EU"/>
    <s v="03"/>
    <s v="19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74"/>
    <n v="1973161987"/>
    <s v=""/>
    <s v=""/>
    <s v="42"/>
    <x v="2"/>
    <s v="EU"/>
    <s v="12"/>
    <s v="95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2556"/>
    <n v="1612784443"/>
    <s v=""/>
    <s v=""/>
    <s v="42"/>
    <x v="2"/>
    <s v="EU"/>
    <s v="12"/>
    <s v="6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248"/>
    <n v="363003608"/>
    <s v="2"/>
    <s v="RS"/>
    <s v="S2"/>
    <x v="15"/>
    <s v="FW"/>
    <s v="1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3039"/>
    <n v="1993655330"/>
    <s v="2"/>
    <s v="RS"/>
    <s v=""/>
    <x v="6"/>
    <s v="EU"/>
    <s v=""/>
    <s v="9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9236"/>
    <n v="363003608"/>
    <s v="2"/>
    <s v="RS"/>
    <s v=""/>
    <x v="6"/>
    <s v="EU"/>
    <s v="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5511"/>
    <n v="1156302723"/>
    <s v=""/>
    <s v=""/>
    <s v="41"/>
    <x v="1"/>
    <s v="EU"/>
    <s v="03"/>
    <s v="17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710"/>
    <n v="1839088084"/>
    <s v=""/>
    <s v=""/>
    <s v="42"/>
    <x v="2"/>
    <s v="EU"/>
    <s v="12"/>
    <s v="1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102"/>
    <n v="679771232"/>
    <s v=""/>
    <s v=""/>
    <s v="42"/>
    <x v="2"/>
    <s v="EU"/>
    <s v="12"/>
    <s v="1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2395"/>
    <n v="-1000014997"/>
    <s v=""/>
    <s v=""/>
    <s v="42"/>
    <x v="2"/>
    <s v="EU"/>
    <s v="12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2544"/>
    <n v="1612784443"/>
    <s v=""/>
    <s v=""/>
    <s v="42"/>
    <x v="2"/>
    <s v="EU"/>
    <s v="12"/>
    <s v="6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22"/>
    <n v="1839088084"/>
    <s v=""/>
    <s v=""/>
    <s v="42"/>
    <x v="2"/>
    <s v="EU"/>
    <s v="12"/>
    <s v="1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95"/>
    <n v="1612784443"/>
    <s v=""/>
    <s v=""/>
    <s v="42"/>
    <x v="2"/>
    <s v="EU"/>
    <s v="12"/>
    <s v="8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317"/>
    <n v="363003608"/>
    <s v="2"/>
    <s v="RS"/>
    <s v=""/>
    <x v="6"/>
    <s v="EU"/>
    <s v="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4821"/>
    <n v="1839088084"/>
    <s v=""/>
    <s v=""/>
    <s v="42"/>
    <x v="2"/>
    <s v="EU"/>
    <s v="12"/>
    <s v="4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731"/>
    <n v="1676851198"/>
    <s v=""/>
    <s v=""/>
    <s v="42"/>
    <x v="2"/>
    <s v="EU"/>
    <s v="12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16"/>
    <n v="1676851198"/>
    <s v=""/>
    <s v=""/>
    <s v="41"/>
    <x v="1"/>
    <s v="EU"/>
    <s v="0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64"/>
    <n v="1676851198"/>
    <s v=""/>
    <s v=""/>
    <s v="42"/>
    <x v="2"/>
    <s v="EU"/>
    <s v="12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00"/>
    <n v="1676851198"/>
    <s v=""/>
    <s v=""/>
    <s v="52"/>
    <x v="0"/>
    <s v="EU"/>
    <s v="13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05"/>
    <n v="-1000024927"/>
    <s v=""/>
    <s v=""/>
    <s v="3M"/>
    <x v="5"/>
    <s v="MY"/>
    <s v="3"/>
    <s v="1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42"/>
    <n v="1676851198"/>
    <s v=""/>
    <s v=""/>
    <s v="52"/>
    <x v="0"/>
    <s v="EU"/>
    <s v="13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68"/>
    <n v="1676851198"/>
    <s v=""/>
    <s v=""/>
    <s v="32"/>
    <x v="11"/>
    <s v="EU"/>
    <s v="11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3"/>
    <n v="1676851198"/>
    <s v=""/>
    <s v=""/>
    <s v="52"/>
    <x v="0"/>
    <s v="EU"/>
    <s v="13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21"/>
    <n v="1676851198"/>
    <s v=""/>
    <s v=""/>
    <s v="31"/>
    <x v="7"/>
    <s v="EU"/>
    <s v="02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316"/>
    <n v="1676851198"/>
    <s v=""/>
    <s v=""/>
    <s v="52"/>
    <x v="0"/>
    <s v="EU"/>
    <s v="1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25"/>
    <n v="-1000014991"/>
    <s v=""/>
    <s v=""/>
    <s v="42"/>
    <x v="2"/>
    <s v="EU"/>
    <s v="12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1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520"/>
    <n v="1676851198"/>
    <s v=""/>
    <s v=""/>
    <s v="52"/>
    <x v="0"/>
    <s v="EU"/>
    <s v="13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6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4885003"/>
    <n v="1288148969"/>
    <s v=""/>
    <s v=""/>
    <s v="42"/>
    <x v="2"/>
    <s v="EU"/>
    <s v="12"/>
    <s v="2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5992"/>
    <n v="1676851198"/>
    <s v=""/>
    <s v=""/>
    <s v="42"/>
    <x v="2"/>
    <s v="EU"/>
    <s v="12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39"/>
    <n v="-1000014991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8116034"/>
    <n v="1676851198"/>
    <s v=""/>
    <s v=""/>
    <s v="42"/>
    <x v="2"/>
    <s v="EU"/>
    <s v="12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83"/>
    <n v="1676851198"/>
    <s v=""/>
    <s v=""/>
    <s v="42"/>
    <x v="2"/>
    <s v="EU"/>
    <s v="12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06"/>
    <n v="1676851198"/>
    <s v=""/>
    <s v=""/>
    <s v="31"/>
    <x v="7"/>
    <s v="EU"/>
    <s v="02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559"/>
    <n v="1612784443"/>
    <s v=""/>
    <s v=""/>
    <s v="42"/>
    <x v="2"/>
    <s v="EU"/>
    <s v="12"/>
    <s v="7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75"/>
    <n v="1676851198"/>
    <s v=""/>
    <s v=""/>
    <s v="42"/>
    <x v="2"/>
    <s v="EU"/>
    <s v="12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-1004362387"/>
    <n v="-1000014997"/>
    <s v=""/>
    <s v=""/>
    <s v="41"/>
    <x v="1"/>
    <s v="EU"/>
    <s v="03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8116439"/>
    <n v="1676851198"/>
    <s v=""/>
    <s v=""/>
    <s v="42"/>
    <x v="2"/>
    <s v="EU"/>
    <s v="12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47"/>
    <n v="1676851198"/>
    <s v=""/>
    <s v=""/>
    <s v="41"/>
    <x v="1"/>
    <s v="EU"/>
    <s v="03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47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324"/>
    <n v="679771232"/>
    <s v=""/>
    <s v="UF"/>
    <s v="2M"/>
    <x v="3"/>
    <s v="MY"/>
    <s v="2"/>
    <s v="9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048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378"/>
    <n v="679771232"/>
    <s v=""/>
    <s v=""/>
    <s v="42"/>
    <x v="2"/>
    <s v="EU"/>
    <s v="12"/>
    <s v="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3"/>
    <n v="679771232"/>
    <s v=""/>
    <s v=""/>
    <s v="42"/>
    <x v="2"/>
    <s v="EU"/>
    <s v="12"/>
    <s v="1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4941"/>
    <n v="1839088084"/>
    <s v=""/>
    <s v=""/>
    <s v="42"/>
    <x v="2"/>
    <s v="EU"/>
    <s v="12"/>
    <s v="8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64"/>
    <n v="679771232"/>
    <s v=""/>
    <s v=""/>
    <s v="42"/>
    <x v="2"/>
    <s v="EU"/>
    <s v="12"/>
    <s v="7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69"/>
    <n v="1839088084"/>
    <s v=""/>
    <s v=""/>
    <s v="42"/>
    <x v="2"/>
    <s v="EU"/>
    <s v="12"/>
    <s v="6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23"/>
    <n v="-1000024927"/>
    <s v=""/>
    <s v=""/>
    <s v="42"/>
    <x v="2"/>
    <s v="EU"/>
    <s v="12"/>
    <s v="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7"/>
    <n v="-1000024927"/>
    <s v=""/>
    <s v="UD"/>
    <s v=""/>
    <x v="6"/>
    <s v=""/>
    <s v=""/>
    <s v="10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03"/>
    <n v="1676851198"/>
    <s v=""/>
    <s v=""/>
    <s v="52"/>
    <x v="0"/>
    <s v="EU"/>
    <s v="1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82"/>
    <n v="1676851198"/>
    <s v=""/>
    <s v=""/>
    <s v="62"/>
    <x v="13"/>
    <s v="EU"/>
    <s v="14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67"/>
    <n v="1676851198"/>
    <s v=""/>
    <s v=""/>
    <s v="52"/>
    <x v="0"/>
    <s v="EU"/>
    <s v="13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228"/>
    <n v="679771232"/>
    <s v=""/>
    <s v=""/>
    <s v="42"/>
    <x v="2"/>
    <s v="EU"/>
    <s v="12"/>
    <s v="5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731"/>
    <n v="1839088084"/>
    <s v=""/>
    <s v=""/>
    <s v="42"/>
    <x v="2"/>
    <s v="EU"/>
    <s v="12"/>
    <s v="1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53"/>
    <n v="-1000024927"/>
    <s v=""/>
    <s v=""/>
    <s v="42"/>
    <x v="2"/>
    <s v="EU"/>
    <s v="12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11724818"/>
    <n v="1839088084"/>
    <s v=""/>
    <s v=""/>
    <s v="42"/>
    <x v="2"/>
    <s v="EU"/>
    <s v="12"/>
    <s v="4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83"/>
    <n v="368670609"/>
    <s v="2"/>
    <s v="RS"/>
    <s v="S2"/>
    <x v="15"/>
    <s v="FW"/>
    <s v="1"/>
    <s v="1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629"/>
    <n v="1676851198"/>
    <s v=""/>
    <s v=""/>
    <s v="52"/>
    <x v="0"/>
    <s v="EU"/>
    <s v="1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25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90"/>
    <n v="1676851198"/>
    <s v=""/>
    <s v=""/>
    <s v="52"/>
    <x v="0"/>
    <s v="EU"/>
    <s v="13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07"/>
    <n v="1676851198"/>
    <s v=""/>
    <s v=""/>
    <s v="52"/>
    <x v="0"/>
    <s v="EU"/>
    <s v="1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0"/>
    <n v="1676851198"/>
    <s v=""/>
    <s v=""/>
    <s v="62"/>
    <x v="13"/>
    <s v="EU"/>
    <s v="14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31"/>
    <n v="1676851198"/>
    <s v=""/>
    <s v=""/>
    <s v="42"/>
    <x v="2"/>
    <s v="EU"/>
    <s v="12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37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367"/>
    <n v="1612784443"/>
    <s v=""/>
    <s v=""/>
    <s v="42"/>
    <x v="2"/>
    <s v="EU"/>
    <s v="12"/>
    <s v="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60"/>
    <n v="1676851198"/>
    <s v=""/>
    <s v=""/>
    <s v="42"/>
    <x v="2"/>
    <s v="EU"/>
    <s v="12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5478"/>
    <n v="1156302723"/>
    <s v=""/>
    <s v=""/>
    <s v="41"/>
    <x v="1"/>
    <s v="EU"/>
    <s v="03"/>
    <s v="6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872"/>
    <n v="1839088084"/>
    <s v=""/>
    <s v=""/>
    <s v="42"/>
    <x v="2"/>
    <s v="EU"/>
    <s v="12"/>
    <s v="6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845"/>
    <n v="1676851198"/>
    <s v=""/>
    <s v=""/>
    <s v="31"/>
    <x v="7"/>
    <s v="EU"/>
    <s v="0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04"/>
    <n v="1676851198"/>
    <s v=""/>
    <s v=""/>
    <s v="52"/>
    <x v="0"/>
    <s v="EU"/>
    <s v="1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53"/>
    <n v="1676851198"/>
    <s v=""/>
    <s v=""/>
    <s v="42"/>
    <x v="2"/>
    <s v="EU"/>
    <s v="12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679"/>
    <n v="1612784443"/>
    <s v="1"/>
    <s v=""/>
    <s v="42"/>
    <x v="2"/>
    <s v="EU"/>
    <s v="12"/>
    <s v="10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3"/>
  </r>
  <r>
    <n v="8116142"/>
    <n v="1676851198"/>
    <s v=""/>
    <s v=""/>
    <s v="42"/>
    <x v="2"/>
    <s v="EU"/>
    <s v="12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13"/>
    <n v="-1000014991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049"/>
    <n v="1676851198"/>
    <s v=""/>
    <s v=""/>
    <s v="52"/>
    <x v="0"/>
    <s v="EU"/>
    <s v="13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221"/>
    <n v="363003608"/>
    <s v="2"/>
    <s v="RS"/>
    <s v="S2"/>
    <x v="15"/>
    <s v="FW"/>
    <s v="1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153"/>
    <n v="679771232"/>
    <s v=""/>
    <s v=""/>
    <s v="52"/>
    <x v="0"/>
    <s v="EU"/>
    <s v="13"/>
    <s v="3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5523"/>
    <n v="1156302723"/>
    <s v=""/>
    <s v=""/>
    <s v="42"/>
    <x v="2"/>
    <s v="EU"/>
    <s v="12"/>
    <s v="2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418"/>
    <n v="1676851198"/>
    <s v=""/>
    <s v=""/>
    <s v="42"/>
    <x v="2"/>
    <s v="EU"/>
    <s v="12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4970"/>
    <n v="1288148969"/>
    <s v=""/>
    <s v="RG"/>
    <s v="2M"/>
    <x v="3"/>
    <s v="MY"/>
    <s v="2"/>
    <s v="1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4360495"/>
    <n v="-1000014991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48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471"/>
    <n v="2094383124"/>
    <s v="0"/>
    <s v=""/>
    <s v="42"/>
    <x v="2"/>
    <s v="EU"/>
    <s v="12"/>
    <s v="1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29"/>
    <n v="679771232"/>
    <s v=""/>
    <s v=""/>
    <s v="42"/>
    <x v="2"/>
    <s v="EU"/>
    <s v="12"/>
    <s v="2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2463"/>
    <n v="1612784443"/>
    <s v=""/>
    <s v="NS"/>
    <s v=""/>
    <x v="6"/>
    <s v="EU"/>
    <s v=""/>
    <s v="3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481"/>
    <n v="1676851198"/>
    <s v=""/>
    <s v=""/>
    <s v="52"/>
    <x v="0"/>
    <s v="EU"/>
    <s v="13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842"/>
    <n v="1839088084"/>
    <s v=""/>
    <s v=""/>
    <s v="42"/>
    <x v="2"/>
    <s v="EU"/>
    <s v="12"/>
    <s v="5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090"/>
    <n v="679771232"/>
    <s v=""/>
    <s v=""/>
    <s v="42"/>
    <x v="2"/>
    <s v="EU"/>
    <s v="12"/>
    <s v="1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24"/>
    <n v="1839088084"/>
    <s v=""/>
    <s v=""/>
    <s v="42"/>
    <x v="2"/>
    <s v="EU"/>
    <s v="12"/>
    <s v="5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439"/>
    <n v="1612784443"/>
    <s v=""/>
    <s v=""/>
    <s v="42"/>
    <x v="2"/>
    <s v="EU"/>
    <s v="12"/>
    <s v="3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0571"/>
    <n v="-1000014991"/>
    <s v=""/>
    <s v=""/>
    <s v="41"/>
    <x v="1"/>
    <s v="EU"/>
    <s v="0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6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5773909"/>
    <n v="-1000024927"/>
    <s v=""/>
    <s v=""/>
    <s v="31"/>
    <x v="7"/>
    <s v="EU"/>
    <s v="02"/>
    <s v="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5289"/>
    <n v="368670609"/>
    <s v=""/>
    <s v="RG"/>
    <s v=""/>
    <x v="6"/>
    <s v="EU"/>
    <s v=""/>
    <s v="3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956"/>
    <n v="1676851198"/>
    <s v=""/>
    <s v=""/>
    <s v="42"/>
    <x v="2"/>
    <s v="EU"/>
    <s v="12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41"/>
    <n v="1676851198"/>
    <s v=""/>
    <s v=""/>
    <s v="42"/>
    <x v="2"/>
    <s v="EU"/>
    <s v="12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1"/>
    <n v="1676851198"/>
    <s v=""/>
    <s v=""/>
    <s v="42"/>
    <x v="2"/>
    <s v="EU"/>
    <s v="12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15"/>
    <n v="1676851198"/>
    <s v=""/>
    <s v=""/>
    <s v="41"/>
    <x v="1"/>
    <s v="EU"/>
    <s v="0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05"/>
    <n v="1676851198"/>
    <s v=""/>
    <s v=""/>
    <s v="41"/>
    <x v="1"/>
    <s v="EU"/>
    <s v="03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9284"/>
    <n v="363003608"/>
    <s v="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8115662"/>
    <n v="1676851198"/>
    <s v=""/>
    <s v=""/>
    <s v="41"/>
    <x v="1"/>
    <s v="EU"/>
    <s v="03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12"/>
    <n v="1676851198"/>
    <s v=""/>
    <s v=""/>
    <s v="42"/>
    <x v="2"/>
    <s v="EU"/>
    <s v="12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28"/>
    <n v="1676851198"/>
    <s v=""/>
    <s v=""/>
    <s v="52"/>
    <x v="0"/>
    <s v="EU"/>
    <s v="1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272"/>
    <n v="363003608"/>
    <s v="2"/>
    <s v="RS"/>
    <s v=""/>
    <x v="6"/>
    <s v="EU"/>
    <s v="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-1004360543"/>
    <n v="-1000014991"/>
    <s v=""/>
    <s v=""/>
    <s v="41"/>
    <x v="1"/>
    <s v="EU"/>
    <s v="0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2391"/>
    <n v="-1000014997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5465"/>
    <n v="2094383124"/>
    <s v="1"/>
    <s v=""/>
    <s v="42"/>
    <x v="2"/>
    <s v="EU"/>
    <s v="12"/>
    <s v="1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436050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2409"/>
    <n v="-1000014997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11729233"/>
    <n v="363003608"/>
    <s v="2"/>
    <s v="RS"/>
    <s v=""/>
    <x v="6"/>
    <s v="EU"/>
    <s v="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2469"/>
    <n v="1612784443"/>
    <s v=""/>
    <s v="NS"/>
    <s v=""/>
    <x v="6"/>
    <s v="EU"/>
    <s v=""/>
    <s v="4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472"/>
    <n v="1156302723"/>
    <s v=""/>
    <s v=""/>
    <s v="42"/>
    <x v="2"/>
    <s v="EU"/>
    <s v="12"/>
    <s v="4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2478"/>
    <n v="1612784443"/>
    <s v=""/>
    <s v=""/>
    <s v="42"/>
    <x v="2"/>
    <s v="EU"/>
    <s v="12"/>
    <s v="4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184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46"/>
    <n v="1676851198"/>
    <s v=""/>
    <s v=""/>
    <s v="42"/>
    <x v="2"/>
    <s v="EU"/>
    <s v="12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417"/>
    <n v="679771232"/>
    <s v=""/>
    <s v=""/>
    <s v="32"/>
    <x v="11"/>
    <s v="EU"/>
    <s v="11"/>
    <s v="2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11"/>
    <n v="679771232"/>
    <s v=""/>
    <s v=""/>
    <s v="42"/>
    <x v="2"/>
    <s v="EU"/>
    <s v="12"/>
    <s v="1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361"/>
    <n v="1612784443"/>
    <s v=""/>
    <s v=""/>
    <s v="42"/>
    <x v="2"/>
    <s v="EU"/>
    <s v="12"/>
    <s v="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08"/>
    <n v="679771232"/>
    <s v=""/>
    <s v=""/>
    <s v="42"/>
    <x v="2"/>
    <s v="EU"/>
    <s v="12"/>
    <s v="1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517"/>
    <n v="1676851198"/>
    <s v=""/>
    <s v=""/>
    <s v="52"/>
    <x v="0"/>
    <s v="EU"/>
    <s v="13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5773943"/>
    <n v="-1000024927"/>
    <s v=""/>
    <s v=""/>
    <s v="42"/>
    <x v="2"/>
    <s v="EU"/>
    <s v="12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4884979"/>
    <n v="1288148969"/>
    <s v="0"/>
    <s v=""/>
    <s v="41"/>
    <x v="1"/>
    <s v="EU"/>
    <s v="03"/>
    <s v="1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150"/>
    <n v="679771232"/>
    <s v=""/>
    <s v=""/>
    <s v="42"/>
    <x v="2"/>
    <s v="EU"/>
    <s v="12"/>
    <s v="3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03"/>
    <n v="1676851198"/>
    <s v=""/>
    <s v=""/>
    <s v="52"/>
    <x v="0"/>
    <s v="EU"/>
    <s v="13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120"/>
    <n v="679771232"/>
    <s v=""/>
    <s v=""/>
    <s v="42"/>
    <x v="2"/>
    <s v="EU"/>
    <s v="12"/>
    <s v="2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11"/>
    <n v="679771232"/>
    <s v=""/>
    <s v=""/>
    <s v="42"/>
    <x v="2"/>
    <s v="EU"/>
    <s v="12"/>
    <s v="1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099"/>
    <n v="679771232"/>
    <s v=""/>
    <s v=""/>
    <s v="42"/>
    <x v="2"/>
    <s v="EU"/>
    <s v="12"/>
    <s v="1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713"/>
    <n v="1839088084"/>
    <s v=""/>
    <s v=""/>
    <s v="41"/>
    <x v="1"/>
    <s v="EU"/>
    <s v="03"/>
    <s v="1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30"/>
    <n v="1839088084"/>
    <s v=""/>
    <s v=""/>
    <s v="42"/>
    <x v="2"/>
    <s v="EU"/>
    <s v="12"/>
    <s v="5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466"/>
    <n v="1676851198"/>
    <s v=""/>
    <s v=""/>
    <s v="3M"/>
    <x v="5"/>
    <s v="MY"/>
    <s v="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3024"/>
    <n v="1993655330"/>
    <s v="2"/>
    <s v="RS"/>
    <s v=""/>
    <x v="6"/>
    <s v="EU"/>
    <s v=""/>
    <s v="4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99"/>
    <n v="1839088084"/>
    <s v=""/>
    <s v=""/>
    <s v="42"/>
    <x v="2"/>
    <s v="EU"/>
    <s v="12"/>
    <s v="7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4362389"/>
    <n v="-1000014997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4991"/>
    <n v="1288148969"/>
    <s v=""/>
    <s v=""/>
    <s v="42"/>
    <x v="2"/>
    <s v="EU"/>
    <s v="12"/>
    <s v="2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076"/>
    <n v="1676851198"/>
    <s v=""/>
    <s v=""/>
    <s v="52"/>
    <x v="0"/>
    <s v="EU"/>
    <s v="13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55"/>
    <n v="1676851198"/>
    <s v=""/>
    <s v=""/>
    <s v="42"/>
    <x v="2"/>
    <s v="EU"/>
    <s v="12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01"/>
    <n v="1839088084"/>
    <s v=""/>
    <s v=""/>
    <s v="42"/>
    <x v="2"/>
    <s v="EU"/>
    <s v="12"/>
    <s v="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359"/>
    <n v="1451931796"/>
    <s v="2"/>
    <s v="RS"/>
    <s v="S2"/>
    <x v="15"/>
    <s v="FW"/>
    <s v="1"/>
    <s v="1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11725463"/>
    <n v="1156302723"/>
    <s v=""/>
    <s v=""/>
    <s v="41"/>
    <x v="1"/>
    <s v="EU"/>
    <s v="03"/>
    <s v="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2586"/>
    <n v="1612784443"/>
    <s v=""/>
    <s v=""/>
    <s v="42"/>
    <x v="2"/>
    <s v="EU"/>
    <s v="12"/>
    <s v="7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92"/>
    <n v="1612784443"/>
    <s v=""/>
    <s v=""/>
    <s v="42"/>
    <x v="2"/>
    <s v="EU"/>
    <s v="12"/>
    <s v="8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974"/>
    <n v="1839088084"/>
    <s v="2"/>
    <s v="RS"/>
    <s v="S2"/>
    <x v="15"/>
    <s v="FW"/>
    <s v="1"/>
    <s v="1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8"/>
  </r>
  <r>
    <n v="11723015"/>
    <n v="1993655330"/>
    <s v=""/>
    <s v="NS"/>
    <s v=""/>
    <x v="6"/>
    <s v="EU"/>
    <s v=""/>
    <s v="1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2397"/>
    <n v="1612784443"/>
    <s v=""/>
    <s v=""/>
    <s v="42"/>
    <x v="2"/>
    <s v="EU"/>
    <s v="12"/>
    <s v="1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80"/>
    <n v="679771232"/>
    <s v=""/>
    <s v="UF"/>
    <s v="3M"/>
    <x v="5"/>
    <s v="MY"/>
    <s v="3"/>
    <s v="4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32"/>
    <n v="679771232"/>
    <s v=""/>
    <s v=""/>
    <s v="42"/>
    <x v="2"/>
    <s v="EU"/>
    <s v="12"/>
    <s v="2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53"/>
    <n v="2094383124"/>
    <s v="2"/>
    <s v="RS"/>
    <s v=""/>
    <x v="6"/>
    <s v="EU"/>
    <s v=""/>
    <s v="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4934"/>
    <n v="1288148969"/>
    <s v=""/>
    <s v="UD"/>
    <s v=""/>
    <x v="6"/>
    <s v="EU"/>
    <s v="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5773929"/>
    <n v="-1000024927"/>
    <s v=""/>
    <s v=""/>
    <s v="41"/>
    <x v="1"/>
    <s v="EU"/>
    <s v="03"/>
    <s v="1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8115953"/>
    <n v="1676851198"/>
    <s v=""/>
    <s v=""/>
    <s v="52"/>
    <x v="0"/>
    <s v="EU"/>
    <s v="13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35"/>
    <n v="-1000024927"/>
    <s v=""/>
    <s v=""/>
    <s v="3M"/>
    <x v="5"/>
    <s v="MY"/>
    <s v="3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39"/>
    <n v="-1000024927"/>
    <s v=""/>
    <s v="RG"/>
    <s v=""/>
    <x v="6"/>
    <s v=""/>
    <s v="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2413"/>
    <n v="-1000014997"/>
    <s v=""/>
    <s v=""/>
    <s v="41"/>
    <x v="1"/>
    <s v="EU"/>
    <s v="03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38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5301"/>
    <n v="368670609"/>
    <s v="2"/>
    <s v="RS"/>
    <s v="S2"/>
    <x v="15"/>
    <s v="FW"/>
    <s v="1"/>
    <s v="7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836"/>
    <n v="1839088084"/>
    <s v=""/>
    <s v=""/>
    <s v="41"/>
    <x v="1"/>
    <s v="EU"/>
    <s v="03"/>
    <s v="5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520"/>
    <n v="1156302723"/>
    <s v=""/>
    <s v=""/>
    <s v="21"/>
    <x v="9"/>
    <s v="EU"/>
    <s v="01"/>
    <s v="20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71"/>
    <n v="1973161987"/>
    <s v=""/>
    <s v=""/>
    <s v="42"/>
    <x v="2"/>
    <s v="EU"/>
    <s v="12"/>
    <s v="94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-1005773937"/>
    <n v="-1000024927"/>
    <s v=""/>
    <s v="RS"/>
    <s v=""/>
    <x v="6"/>
    <s v=""/>
    <s v="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3048"/>
    <n v="1993655330"/>
    <s v="2"/>
    <s v="RS"/>
    <s v=""/>
    <x v="6"/>
    <s v="EU"/>
    <s v=""/>
    <s v="12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5295"/>
    <n v="368670609"/>
    <s v="2"/>
    <s v="RS"/>
    <s v=""/>
    <x v="6"/>
    <s v="EU"/>
    <s v=""/>
    <s v="5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779"/>
    <n v="1839088084"/>
    <s v=""/>
    <s v=""/>
    <s v="42"/>
    <x v="2"/>
    <s v="EU"/>
    <s v="12"/>
    <s v="3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196"/>
    <n v="1676851198"/>
    <s v=""/>
    <s v=""/>
    <s v="42"/>
    <x v="2"/>
    <s v="EU"/>
    <s v="12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607"/>
    <n v="1612784443"/>
    <s v=""/>
    <s v=""/>
    <s v="42"/>
    <x v="2"/>
    <s v="EU"/>
    <s v="12"/>
    <s v="8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250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73"/>
    <n v="-1000014997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8116118"/>
    <n v="1676851198"/>
    <s v=""/>
    <s v=""/>
    <s v="63"/>
    <x v="8"/>
    <s v="EU"/>
    <s v="23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67"/>
    <n v="1839088084"/>
    <s v=""/>
    <s v=""/>
    <s v="42"/>
    <x v="2"/>
    <s v="EU"/>
    <s v="12"/>
    <s v="3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451"/>
    <n v="1676851198"/>
    <s v=""/>
    <s v=""/>
    <s v="42"/>
    <x v="2"/>
    <s v="EU"/>
    <s v="1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02"/>
    <n v="1676851198"/>
    <s v=""/>
    <s v=""/>
    <s v="42"/>
    <x v="2"/>
    <s v="EU"/>
    <s v="12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400"/>
    <n v="1612784443"/>
    <s v=""/>
    <s v=""/>
    <s v="42"/>
    <x v="2"/>
    <s v="EU"/>
    <s v="12"/>
    <s v="1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66"/>
    <n v="1676851198"/>
    <s v=""/>
    <s v=""/>
    <s v="52"/>
    <x v="0"/>
    <s v="EU"/>
    <s v="13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69"/>
    <n v="1676851198"/>
    <s v=""/>
    <s v=""/>
    <s v="52"/>
    <x v="0"/>
    <s v="EU"/>
    <s v="13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4"/>
    <n v="1676851198"/>
    <s v=""/>
    <s v=""/>
    <s v="52"/>
    <x v="0"/>
    <s v="EU"/>
    <s v="13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87"/>
    <n v="1676851198"/>
    <s v=""/>
    <s v=""/>
    <s v="32"/>
    <x v="11"/>
    <s v="EU"/>
    <s v="11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1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048"/>
    <n v="1288148969"/>
    <s v=""/>
    <s v="W"/>
    <s v="2M"/>
    <x v="3"/>
    <s v="MY"/>
    <s v="2"/>
    <s v="1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5851"/>
    <n v="1676851198"/>
    <s v=""/>
    <s v=""/>
    <s v="42"/>
    <x v="2"/>
    <s v="EU"/>
    <s v="12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342"/>
    <n v="679771232"/>
    <s v=""/>
    <s v=""/>
    <s v="31"/>
    <x v="7"/>
    <s v="EU"/>
    <s v="02"/>
    <s v="9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487"/>
    <n v="1612784443"/>
    <s v=""/>
    <s v=""/>
    <s v="52"/>
    <x v="0"/>
    <s v="EU"/>
    <s v="13"/>
    <s v="4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384"/>
    <n v="679771232"/>
    <s v=""/>
    <s v=""/>
    <s v="42"/>
    <x v="2"/>
    <s v="EU"/>
    <s v="12"/>
    <s v="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35"/>
    <n v="679771232"/>
    <s v=""/>
    <s v=""/>
    <s v="42"/>
    <x v="2"/>
    <s v="EU"/>
    <s v="12"/>
    <s v="2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5064"/>
    <n v="1839088084"/>
    <s v="1"/>
    <s v=""/>
    <s v="42"/>
    <x v="2"/>
    <s v="EU"/>
    <s v="12"/>
    <s v="7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5T00:00:00"/>
    <d v="2020-09-25T00:00:00"/>
    <s v="1003931"/>
  </r>
  <r>
    <n v="11729215"/>
    <n v="363003608"/>
    <s v="2"/>
    <s v="RS"/>
    <s v="S1"/>
    <x v="16"/>
    <s v="FW"/>
    <s v="0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009"/>
    <n v="1288148969"/>
    <s v=""/>
    <s v=""/>
    <s v="52"/>
    <x v="0"/>
    <s v="EU"/>
    <s v="13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489"/>
    <n v="2094383124"/>
    <s v="0"/>
    <s v="RG"/>
    <s v="3M"/>
    <x v="5"/>
    <s v="MY"/>
    <s v="3"/>
    <s v="1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5773911"/>
    <n v="-1000024927"/>
    <s v=""/>
    <s v="UD"/>
    <s v=""/>
    <x v="6"/>
    <s v=""/>
    <s v="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5"/>
    <n v="-1000024927"/>
    <s v=""/>
    <s v="UD"/>
    <s v=""/>
    <x v="6"/>
    <s v=""/>
    <s v=""/>
    <s v="1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5499"/>
    <n v="1156302723"/>
    <s v=""/>
    <s v=""/>
    <s v="41"/>
    <x v="1"/>
    <s v="EU"/>
    <s v="03"/>
    <s v="1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785"/>
    <n v="1839088084"/>
    <s v=""/>
    <s v=""/>
    <s v="42"/>
    <x v="2"/>
    <s v="EU"/>
    <s v="12"/>
    <s v="3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3536175"/>
    <n v="-1000007907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115767"/>
    <n v="1676851198"/>
    <s v=""/>
    <s v=""/>
    <s v="52"/>
    <x v="0"/>
    <s v="EU"/>
    <s v="1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-100353662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11"/>
    <n v="-1000007921"/>
    <s v=""/>
    <s v=""/>
    <s v="42"/>
    <x v="2"/>
    <s v="EU"/>
    <s v="12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49"/>
    <n v="-1000007921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765"/>
    <n v="-1000007925"/>
    <s v=""/>
    <s v=""/>
    <s v="42"/>
    <x v="2"/>
    <s v="EU"/>
    <s v="12"/>
    <s v="14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67"/>
    <n v="-1000007925"/>
    <s v=""/>
    <s v=""/>
    <s v="41"/>
    <x v="1"/>
    <s v="EU"/>
    <s v="03"/>
    <s v="13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75"/>
    <n v="-1000007925"/>
    <s v=""/>
    <s v=""/>
    <s v="42"/>
    <x v="2"/>
    <s v="EU"/>
    <s v="12"/>
    <s v="9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79"/>
    <n v="-1000007925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81"/>
    <n v="-1000007925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83"/>
    <n v="-1000007925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437"/>
    <n v="-1000007917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39"/>
    <n v="-1000007917"/>
    <s v=""/>
    <s v="RG"/>
    <s v=""/>
    <x v="6"/>
    <s v=""/>
    <s v=""/>
    <s v="5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41"/>
    <n v="-1000007917"/>
    <s v=""/>
    <s v=""/>
    <s v="53"/>
    <x v="4"/>
    <s v="EU"/>
    <s v="22"/>
    <s v="4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75"/>
    <n v="-1000007921"/>
    <s v=""/>
    <s v=""/>
    <s v="52"/>
    <x v="0"/>
    <s v="EU"/>
    <s v="13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7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99"/>
    <n v="-1000007921"/>
    <s v=""/>
    <s v=""/>
    <s v="52"/>
    <x v="0"/>
    <s v="EU"/>
    <s v="13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0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25"/>
    <n v="-1000007921"/>
    <s v=""/>
    <s v=""/>
    <s v="42"/>
    <x v="2"/>
    <s v="EU"/>
    <s v="12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1"/>
    <n v="-1000007921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9"/>
    <n v="-1000007921"/>
    <s v=""/>
    <s v=""/>
    <s v="52"/>
    <x v="0"/>
    <s v="EU"/>
    <s v="13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61"/>
    <n v="-1000007921"/>
    <s v=""/>
    <s v="RG"/>
    <s v=""/>
    <x v="6"/>
    <s v=""/>
    <s v="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6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7"/>
    <n v="-1000007921"/>
    <s v=""/>
    <s v=""/>
    <s v="52"/>
    <x v="0"/>
    <s v="EU"/>
    <s v="13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9"/>
    <n v="-1000007921"/>
    <s v=""/>
    <s v="NP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5"/>
    <n v="-1000007921"/>
    <s v=""/>
    <s v="RS"/>
    <s v=""/>
    <x v="6"/>
    <s v=""/>
    <s v="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7"/>
    <n v="-1000007921"/>
    <s v=""/>
    <s v=""/>
    <s v="42"/>
    <x v="2"/>
    <s v="EU"/>
    <s v="12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91"/>
    <n v="-1000007921"/>
    <s v=""/>
    <s v=""/>
    <s v="42"/>
    <x v="2"/>
    <s v="EU"/>
    <s v="12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01"/>
    <n v="-1000007921"/>
    <s v=""/>
    <s v="W"/>
    <s v=""/>
    <x v="6"/>
    <s v=""/>
    <s v="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03"/>
    <n v="-1000007921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116502"/>
    <n v="1676851198"/>
    <s v=""/>
    <s v=""/>
    <s v="63"/>
    <x v="8"/>
    <s v="EU"/>
    <s v="23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59"/>
    <n v="1676851198"/>
    <s v=""/>
    <s v=""/>
    <s v="41"/>
    <x v="1"/>
    <s v="EU"/>
    <s v="03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361"/>
    <n v="1676851198"/>
    <s v=""/>
    <s v=""/>
    <s v="32"/>
    <x v="11"/>
    <s v="EU"/>
    <s v="11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21"/>
    <n v="679771232"/>
    <s v=""/>
    <s v=""/>
    <s v="31"/>
    <x v="7"/>
    <s v="EU"/>
    <s v="02"/>
    <s v="8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77"/>
    <n v="1612784443"/>
    <s v=""/>
    <s v=""/>
    <s v="42"/>
    <x v="2"/>
    <s v="EU"/>
    <s v="12"/>
    <s v="7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469"/>
    <n v="1156302723"/>
    <s v=""/>
    <s v=""/>
    <s v="42"/>
    <x v="2"/>
    <s v="EU"/>
    <s v="12"/>
    <s v="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-100436052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555"/>
    <n v="2094383124"/>
    <s v="0"/>
    <s v=""/>
    <s v="42"/>
    <x v="2"/>
    <s v="EU"/>
    <s v="12"/>
    <s v="1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4943"/>
    <n v="1288148969"/>
    <s v=""/>
    <s v=""/>
    <s v="42"/>
    <x v="2"/>
    <s v="EU"/>
    <s v="12"/>
    <s v="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2499"/>
    <n v="1612784443"/>
    <s v=""/>
    <s v=""/>
    <s v="42"/>
    <x v="2"/>
    <s v="EU"/>
    <s v="12"/>
    <s v="5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236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0537"/>
    <n v="-1000014991"/>
    <s v=""/>
    <s v="RG"/>
    <s v=""/>
    <x v="6"/>
    <s v=""/>
    <s v="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4885195"/>
    <n v="679771232"/>
    <s v=""/>
    <s v=""/>
    <s v="42"/>
    <x v="2"/>
    <s v="EU"/>
    <s v="12"/>
    <s v="4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490"/>
    <n v="1612784443"/>
    <s v=""/>
    <s v=""/>
    <s v="42"/>
    <x v="2"/>
    <s v="EU"/>
    <s v="12"/>
    <s v="4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07"/>
    <n v="679771232"/>
    <s v=""/>
    <s v=""/>
    <s v="42"/>
    <x v="2"/>
    <s v="EU"/>
    <s v="12"/>
    <s v="5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6"/>
    <n v="679771232"/>
    <s v=""/>
    <s v=""/>
    <s v="42"/>
    <x v="2"/>
    <s v="EU"/>
    <s v="12"/>
    <s v="8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27"/>
    <n v="679771232"/>
    <s v=""/>
    <s v=""/>
    <s v="31"/>
    <x v="7"/>
    <s v="EU"/>
    <s v="02"/>
    <s v="9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01"/>
    <n v="2094383124"/>
    <s v="1"/>
    <s v=""/>
    <s v="42"/>
    <x v="2"/>
    <s v="EU"/>
    <s v="12"/>
    <s v="2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62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546"/>
    <n v="2094383124"/>
    <s v="0"/>
    <s v=""/>
    <s v="52"/>
    <x v="0"/>
    <s v="EU"/>
    <s v="13"/>
    <s v="1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6046"/>
    <n v="1676851198"/>
    <s v=""/>
    <s v=""/>
    <s v="42"/>
    <x v="2"/>
    <s v="EU"/>
    <s v="12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86"/>
    <n v="1676851198"/>
    <s v=""/>
    <s v=""/>
    <s v="41"/>
    <x v="1"/>
    <s v="EU"/>
    <s v="0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19"/>
    <n v="1676851198"/>
    <s v=""/>
    <s v=""/>
    <s v="41"/>
    <x v="1"/>
    <s v="EU"/>
    <s v="0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19"/>
    <n v="1676851198"/>
    <s v=""/>
    <s v=""/>
    <s v="52"/>
    <x v="0"/>
    <s v="EU"/>
    <s v="13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9329"/>
    <n v="363003608"/>
    <s v="2"/>
    <s v="RS"/>
    <s v="S1"/>
    <x v="16"/>
    <s v="FW"/>
    <s v="0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-1005773947"/>
    <n v="-1000024927"/>
    <s v=""/>
    <s v=""/>
    <s v="3M"/>
    <x v="5"/>
    <s v="MY"/>
    <s v="3"/>
    <s v="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4803"/>
    <n v="1839088084"/>
    <s v=""/>
    <s v=""/>
    <s v="52"/>
    <x v="0"/>
    <s v="EU"/>
    <s v="13"/>
    <s v="4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487"/>
    <n v="1156302723"/>
    <s v=""/>
    <s v=""/>
    <s v="41"/>
    <x v="1"/>
    <s v="EU"/>
    <s v="03"/>
    <s v="9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5881"/>
    <n v="1676851198"/>
    <s v=""/>
    <s v=""/>
    <s v="42"/>
    <x v="2"/>
    <s v="EU"/>
    <s v="12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3033"/>
    <n v="1993655330"/>
    <s v="2"/>
    <s v="RS"/>
    <s v=""/>
    <x v="6"/>
    <s v="EU"/>
    <s v=""/>
    <s v="7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8116373"/>
    <n v="1676851198"/>
    <s v=""/>
    <s v=""/>
    <s v="52"/>
    <x v="0"/>
    <s v="EU"/>
    <s v="13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94"/>
    <n v="1676851198"/>
    <s v=""/>
    <s v=""/>
    <s v="52"/>
    <x v="0"/>
    <s v="EU"/>
    <s v="13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41"/>
    <n v="1676851198"/>
    <s v=""/>
    <s v=""/>
    <s v="41"/>
    <x v="1"/>
    <s v="EU"/>
    <s v="0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39"/>
    <n v="1676851198"/>
    <s v=""/>
    <s v=""/>
    <s v="31"/>
    <x v="7"/>
    <s v="EU"/>
    <s v="0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77"/>
    <n v="1676851198"/>
    <s v=""/>
    <s v=""/>
    <s v="52"/>
    <x v="0"/>
    <s v="EU"/>
    <s v="13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734"/>
    <n v="1839088084"/>
    <s v=""/>
    <s v=""/>
    <s v="42"/>
    <x v="2"/>
    <s v="EU"/>
    <s v="12"/>
    <s v="2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086"/>
    <n v="1973161987"/>
    <s v=""/>
    <s v=""/>
    <s v="32"/>
    <x v="11"/>
    <s v="EU"/>
    <s v="11"/>
    <s v="99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4885024"/>
    <n v="1288148969"/>
    <s v="0"/>
    <s v=""/>
    <s v="42"/>
    <x v="2"/>
    <s v="EU"/>
    <s v="12"/>
    <s v="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11724806"/>
    <n v="1839088084"/>
    <s v=""/>
    <s v=""/>
    <s v="42"/>
    <x v="2"/>
    <s v="EU"/>
    <s v="12"/>
    <s v="4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32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5493"/>
    <n v="1156302723"/>
    <s v=""/>
    <s v=""/>
    <s v="41"/>
    <x v="1"/>
    <s v="EU"/>
    <s v="03"/>
    <s v="1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947"/>
    <n v="1839088084"/>
    <s v="2"/>
    <s v="RS"/>
    <s v="S2"/>
    <x v="15"/>
    <s v="FW"/>
    <s v="1"/>
    <s v="2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7"/>
  </r>
  <r>
    <n v="-1004360483"/>
    <n v="-1000014991"/>
    <s v=""/>
    <s v=""/>
    <s v="52"/>
    <x v="0"/>
    <s v="EU"/>
    <s v="1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2391"/>
    <n v="1612784443"/>
    <s v=""/>
    <s v=""/>
    <s v="42"/>
    <x v="2"/>
    <s v="EU"/>
    <s v="12"/>
    <s v="1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0505"/>
    <n v="-1000014991"/>
    <s v=""/>
    <s v=""/>
    <s v="42"/>
    <x v="2"/>
    <s v="EU"/>
    <s v="12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4885423"/>
    <n v="679771232"/>
    <s v=""/>
    <s v=""/>
    <s v="42"/>
    <x v="2"/>
    <s v="EU"/>
    <s v="12"/>
    <s v="2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078"/>
    <n v="679771232"/>
    <s v=""/>
    <s v=""/>
    <s v="42"/>
    <x v="2"/>
    <s v="EU"/>
    <s v="12"/>
    <s v="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4"/>
    <n v="679771232"/>
    <s v=""/>
    <s v=""/>
    <s v="42"/>
    <x v="2"/>
    <s v="EU"/>
    <s v="12"/>
    <s v="4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54"/>
    <n v="1676851198"/>
    <s v=""/>
    <s v=""/>
    <s v="32"/>
    <x v="11"/>
    <s v="EU"/>
    <s v="11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13"/>
    <n v="1676851198"/>
    <s v=""/>
    <s v=""/>
    <s v="52"/>
    <x v="0"/>
    <s v="EU"/>
    <s v="13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90"/>
    <n v="1676851198"/>
    <s v=""/>
    <s v=""/>
    <s v="42"/>
    <x v="2"/>
    <s v="EU"/>
    <s v="12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2371"/>
    <n v="-1000014997"/>
    <s v=""/>
    <s v=""/>
    <s v="52"/>
    <x v="0"/>
    <s v="EU"/>
    <s v="1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2401"/>
    <n v="-1000014997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541"/>
    <n v="1676851198"/>
    <s v=""/>
    <s v=""/>
    <s v="52"/>
    <x v="0"/>
    <s v="EU"/>
    <s v="1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5908"/>
    <n v="1676851198"/>
    <s v=""/>
    <s v=""/>
    <s v="41"/>
    <x v="1"/>
    <s v="EU"/>
    <s v="03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809"/>
    <n v="1839088084"/>
    <s v=""/>
    <s v=""/>
    <s v="42"/>
    <x v="2"/>
    <s v="EU"/>
    <s v="12"/>
    <s v="4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10"/>
    <n v="679771232"/>
    <s v=""/>
    <s v=""/>
    <s v="42"/>
    <x v="2"/>
    <s v="EU"/>
    <s v="12"/>
    <s v="5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87"/>
    <n v="1839088084"/>
    <s v=""/>
    <s v=""/>
    <s v="31"/>
    <x v="7"/>
    <s v="EU"/>
    <s v="02"/>
    <s v="7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339"/>
    <n v="679771232"/>
    <s v=""/>
    <s v=""/>
    <s v="32"/>
    <x v="11"/>
    <s v="EU"/>
    <s v="11"/>
    <s v="9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370"/>
    <n v="1612784443"/>
    <s v=""/>
    <s v=""/>
    <s v="42"/>
    <x v="2"/>
    <s v="EU"/>
    <s v="12"/>
    <s v="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535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11729362"/>
    <n v="1451931796"/>
    <s v="2"/>
    <s v="RS"/>
    <s v="S2"/>
    <x v="15"/>
    <s v="FW"/>
    <s v="1"/>
    <s v="3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8115668"/>
    <n v="1676851198"/>
    <s v=""/>
    <s v=""/>
    <s v="52"/>
    <x v="0"/>
    <s v="EU"/>
    <s v="13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94"/>
    <n v="1676851198"/>
    <s v=""/>
    <s v=""/>
    <s v="42"/>
    <x v="2"/>
    <s v="EU"/>
    <s v="12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00"/>
    <n v="1676851198"/>
    <s v=""/>
    <s v=""/>
    <s v="31"/>
    <x v="7"/>
    <s v="EU"/>
    <s v="02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40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355"/>
    <n v="1676851198"/>
    <s v=""/>
    <s v=""/>
    <s v="31"/>
    <x v="7"/>
    <s v="EU"/>
    <s v="02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163"/>
    <n v="1676851198"/>
    <s v=""/>
    <s v=""/>
    <s v="42"/>
    <x v="2"/>
    <s v="EU"/>
    <s v="12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57"/>
    <n v="679771232"/>
    <s v=""/>
    <s v=""/>
    <s v="42"/>
    <x v="2"/>
    <s v="EU"/>
    <s v="12"/>
    <s v="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18"/>
    <n v="1288148969"/>
    <s v="0"/>
    <s v=""/>
    <s v="42"/>
    <x v="2"/>
    <s v="EU"/>
    <s v="12"/>
    <s v="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6262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35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75"/>
    <n v="679771232"/>
    <s v=""/>
    <s v=""/>
    <s v="42"/>
    <x v="2"/>
    <s v="EU"/>
    <s v="12"/>
    <s v="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231"/>
    <n v="679771232"/>
    <s v=""/>
    <s v=""/>
    <s v="42"/>
    <x v="2"/>
    <s v="EU"/>
    <s v="12"/>
    <s v="5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22"/>
    <n v="2094383124"/>
    <s v="2"/>
    <s v="RS"/>
    <s v="S2"/>
    <x v="15"/>
    <s v="FW"/>
    <s v="1"/>
    <s v="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027"/>
    <n v="1288148969"/>
    <s v="0"/>
    <s v="UF"/>
    <s v="2M"/>
    <x v="3"/>
    <s v="MY"/>
    <s v="2"/>
    <s v="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354"/>
    <n v="679771232"/>
    <s v=""/>
    <s v=""/>
    <s v="42"/>
    <x v="2"/>
    <s v="EU"/>
    <s v="12"/>
    <s v="10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51"/>
    <n v="679771232"/>
    <s v=""/>
    <s v=""/>
    <s v="31"/>
    <x v="7"/>
    <s v="EU"/>
    <s v="02"/>
    <s v="9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08"/>
    <n v="679771232"/>
    <s v=""/>
    <s v=""/>
    <s v="52"/>
    <x v="0"/>
    <s v="EU"/>
    <s v="13"/>
    <s v="1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9308"/>
    <n v="363003608"/>
    <s v="2"/>
    <s v="RS"/>
    <s v=""/>
    <x v="6"/>
    <s v="EU"/>
    <s v="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4800"/>
    <n v="1839088084"/>
    <s v=""/>
    <s v=""/>
    <s v="42"/>
    <x v="2"/>
    <s v="EU"/>
    <s v="12"/>
    <s v="4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534"/>
    <n v="2094383124"/>
    <s v="2"/>
    <s v="RS"/>
    <s v=""/>
    <x v="6"/>
    <s v="EU"/>
    <s v=""/>
    <s v="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4863"/>
    <n v="1839088084"/>
    <s v=""/>
    <s v=""/>
    <s v="42"/>
    <x v="2"/>
    <s v="EU"/>
    <s v="12"/>
    <s v="6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8"/>
    <n v="1839088084"/>
    <s v=""/>
    <s v=""/>
    <s v="42"/>
    <x v="2"/>
    <s v="EU"/>
    <s v="12"/>
    <s v="7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24"/>
    <n v="363003608"/>
    <s v="2"/>
    <s v="RS"/>
    <s v="S2"/>
    <x v="15"/>
    <s v="FW"/>
    <s v="1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360"/>
    <n v="679771232"/>
    <s v=""/>
    <s v=""/>
    <s v="31"/>
    <x v="7"/>
    <s v="EU"/>
    <s v="02"/>
    <s v="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5274"/>
    <n v="368670609"/>
    <s v=""/>
    <s v=""/>
    <s v="42"/>
    <x v="2"/>
    <s v="EU"/>
    <s v="12"/>
    <s v="3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4884931"/>
    <n v="1288148969"/>
    <s v="0"/>
    <s v=""/>
    <s v="42"/>
    <x v="2"/>
    <s v="EU"/>
    <s v="1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n v="4885129"/>
    <n v="679771232"/>
    <s v=""/>
    <s v=""/>
    <s v="42"/>
    <x v="2"/>
    <s v="EU"/>
    <s v="12"/>
    <s v="2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92"/>
    <n v="679771232"/>
    <s v=""/>
    <s v=""/>
    <s v="42"/>
    <x v="2"/>
    <s v="EU"/>
    <s v="12"/>
    <s v="4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0"/>
    <n v="679771232"/>
    <s v=""/>
    <s v=""/>
    <s v="42"/>
    <x v="2"/>
    <s v="EU"/>
    <s v="12"/>
    <s v="8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37"/>
    <n v="679771232"/>
    <s v=""/>
    <s v=""/>
    <s v="42"/>
    <x v="2"/>
    <s v="EU"/>
    <s v="12"/>
    <s v="6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32"/>
    <n v="679771232"/>
    <s v=""/>
    <s v=""/>
    <s v="42"/>
    <x v="2"/>
    <s v="EU"/>
    <s v="12"/>
    <s v="2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61"/>
    <n v="2094383124"/>
    <s v="1"/>
    <s v="W"/>
    <s v="2M"/>
    <x v="3"/>
    <s v="MY"/>
    <s v="2"/>
    <s v="1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05"/>
    <n v="679771232"/>
    <s v=""/>
    <s v=""/>
    <s v="31"/>
    <x v="7"/>
    <s v="EU"/>
    <s v="02"/>
    <s v="1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74"/>
    <n v="1676851198"/>
    <s v=""/>
    <s v=""/>
    <s v="52"/>
    <x v="0"/>
    <s v="EU"/>
    <s v="13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36"/>
    <n v="1612784443"/>
    <s v=""/>
    <s v=""/>
    <s v="42"/>
    <x v="2"/>
    <s v="EU"/>
    <s v="12"/>
    <s v="2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33"/>
    <n v="1612784443"/>
    <s v=""/>
    <s v=""/>
    <s v="42"/>
    <x v="2"/>
    <s v="EU"/>
    <s v="12"/>
    <s v="2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60"/>
    <n v="1612784443"/>
    <s v=""/>
    <s v="NS"/>
    <s v=""/>
    <x v="6"/>
    <s v="EU"/>
    <s v=""/>
    <s v="3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21"/>
    <n v="1612784443"/>
    <s v=""/>
    <s v=""/>
    <s v="42"/>
    <x v="2"/>
    <s v="EU"/>
    <s v="12"/>
    <s v="2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081"/>
    <n v="679771232"/>
    <s v=""/>
    <s v=""/>
    <s v="42"/>
    <x v="2"/>
    <s v="EU"/>
    <s v="12"/>
    <s v="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614"/>
    <n v="1676851198"/>
    <s v=""/>
    <s v=""/>
    <s v="42"/>
    <x v="2"/>
    <s v="EU"/>
    <s v="12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04"/>
    <n v="1839088084"/>
    <s v=""/>
    <s v=""/>
    <s v="42"/>
    <x v="2"/>
    <s v="EU"/>
    <s v="12"/>
    <s v="1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175"/>
    <n v="1676851198"/>
    <s v=""/>
    <s v=""/>
    <s v="41"/>
    <x v="1"/>
    <s v="EU"/>
    <s v="03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82"/>
    <n v="1839088084"/>
    <s v=""/>
    <s v=""/>
    <s v="42"/>
    <x v="2"/>
    <s v="EU"/>
    <s v="12"/>
    <s v="3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92"/>
    <n v="368670609"/>
    <s v="2"/>
    <s v="RS"/>
    <s v="S2"/>
    <x v="15"/>
    <s v="FW"/>
    <s v="1"/>
    <s v="4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3051"/>
    <n v="1993655330"/>
    <s v="2"/>
    <s v="RS"/>
    <s v="S1"/>
    <x v="16"/>
    <s v="FW"/>
    <s v="0"/>
    <s v="13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-100436050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11722388"/>
    <n v="1612784443"/>
    <s v=""/>
    <s v=""/>
    <s v="42"/>
    <x v="2"/>
    <s v="EU"/>
    <s v="12"/>
    <s v="1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85"/>
    <n v="1612784443"/>
    <s v=""/>
    <s v=""/>
    <s v="42"/>
    <x v="2"/>
    <s v="EU"/>
    <s v="12"/>
    <s v="1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106"/>
    <n v="1676851198"/>
    <s v=""/>
    <s v=""/>
    <s v="42"/>
    <x v="2"/>
    <s v="EU"/>
    <s v="12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472"/>
    <n v="1676851198"/>
    <s v=""/>
    <s v=""/>
    <s v="63"/>
    <x v="8"/>
    <s v="EU"/>
    <s v="23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68"/>
    <n v="1612784443"/>
    <s v=""/>
    <s v=""/>
    <s v="42"/>
    <x v="2"/>
    <s v="EU"/>
    <s v="12"/>
    <s v="7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88"/>
    <n v="1839088084"/>
    <s v=""/>
    <s v=""/>
    <s v="42"/>
    <x v="2"/>
    <s v="EU"/>
    <s v="12"/>
    <s v="3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87"/>
    <n v="363003608"/>
    <s v="2"/>
    <s v="RS"/>
    <s v="S1"/>
    <x v="16"/>
    <s v="FW"/>
    <s v="0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8679999"/>
    <n v="2135900996"/>
    <s v=""/>
    <s v=""/>
    <s v="42"/>
    <x v="2"/>
    <s v="EU"/>
    <s v="12"/>
    <s v="9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05"/>
    <n v="2135900996"/>
    <s v=""/>
    <s v=""/>
    <s v="42"/>
    <x v="2"/>
    <s v="EU"/>
    <s v="12"/>
    <s v="9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17"/>
    <n v="2135900996"/>
    <s v=""/>
    <s v=""/>
    <s v="31"/>
    <x v="7"/>
    <s v="EU"/>
    <s v="02"/>
    <s v="9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3"/>
    <n v="2135900996"/>
    <s v=""/>
    <s v=""/>
    <s v="41"/>
    <x v="1"/>
    <s v="EU"/>
    <s v="03"/>
    <s v="10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6"/>
    <n v="2135900996"/>
    <s v=""/>
    <s v=""/>
    <s v="31"/>
    <x v="7"/>
    <s v="EU"/>
    <s v="0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5"/>
    <n v="2135900996"/>
    <s v=""/>
    <s v=""/>
    <s v="31"/>
    <x v="7"/>
    <s v="EU"/>
    <s v="0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53"/>
    <n v="2135900996"/>
    <s v=""/>
    <s v=""/>
    <s v="42"/>
    <x v="2"/>
    <s v="EU"/>
    <s v="1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4"/>
    <n v="2135900996"/>
    <s v=""/>
    <s v=""/>
    <s v="42"/>
    <x v="2"/>
    <s v="EU"/>
    <s v="1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80"/>
    <n v="2135900996"/>
    <s v=""/>
    <s v=""/>
    <s v="31"/>
    <x v="7"/>
    <s v="EU"/>
    <s v="0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83"/>
    <n v="2135900996"/>
    <s v=""/>
    <s v=""/>
    <s v="52"/>
    <x v="0"/>
    <s v="EU"/>
    <s v="13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01"/>
    <n v="2135900996"/>
    <s v=""/>
    <s v=""/>
    <s v="32"/>
    <x v="11"/>
    <s v="EU"/>
    <s v="11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07"/>
    <n v="2135900996"/>
    <s v=""/>
    <s v=""/>
    <s v="42"/>
    <x v="2"/>
    <s v="EU"/>
    <s v="1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19"/>
    <n v="2135900996"/>
    <s v=""/>
    <s v=""/>
    <s v="42"/>
    <x v="2"/>
    <s v="EU"/>
    <s v="12"/>
    <s v="3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25"/>
    <n v="2135900996"/>
    <s v=""/>
    <s v=""/>
    <s v="42"/>
    <x v="2"/>
    <s v="EU"/>
    <s v="12"/>
    <s v="3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31"/>
    <n v="2135900996"/>
    <s v=""/>
    <s v=""/>
    <s v="42"/>
    <x v="2"/>
    <s v="EU"/>
    <s v="12"/>
    <s v="3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55"/>
    <n v="2135900996"/>
    <s v=""/>
    <s v=""/>
    <s v="42"/>
    <x v="2"/>
    <s v="EU"/>
    <s v="12"/>
    <s v="4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61"/>
    <n v="2135900996"/>
    <s v=""/>
    <s v=""/>
    <s v="42"/>
    <x v="2"/>
    <s v="EU"/>
    <s v="12"/>
    <s v="4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76"/>
    <n v="1320713006"/>
    <s v=""/>
    <s v=""/>
    <s v="31"/>
    <x v="7"/>
    <s v="EU"/>
    <s v="02"/>
    <s v="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91"/>
    <n v="1320713006"/>
    <s v=""/>
    <s v=""/>
    <s v="52"/>
    <x v="0"/>
    <s v="EU"/>
    <s v="13"/>
    <s v="1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39"/>
    <n v="2135900996"/>
    <s v=""/>
    <s v=""/>
    <s v="32"/>
    <x v="11"/>
    <s v="EU"/>
    <s v="11"/>
    <s v="7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4"/>
    <n v="2135900996"/>
    <s v=""/>
    <s v=""/>
    <s v="42"/>
    <x v="2"/>
    <s v="EU"/>
    <s v="12"/>
    <s v="6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48"/>
    <n v="2135900996"/>
    <s v=""/>
    <s v=""/>
    <s v="42"/>
    <x v="2"/>
    <s v="EU"/>
    <s v="12"/>
    <s v="7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45"/>
    <n v="2135900996"/>
    <s v=""/>
    <s v=""/>
    <s v="31"/>
    <x v="7"/>
    <s v="EU"/>
    <s v="02"/>
    <s v="7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57"/>
    <n v="2135900996"/>
    <s v=""/>
    <s v=""/>
    <s v="42"/>
    <x v="2"/>
    <s v="EU"/>
    <s v="12"/>
    <s v="7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72"/>
    <n v="2135900996"/>
    <s v=""/>
    <s v=""/>
    <s v="42"/>
    <x v="2"/>
    <s v="EU"/>
    <s v="12"/>
    <s v="8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87"/>
    <n v="2135900996"/>
    <s v=""/>
    <s v=""/>
    <s v="41"/>
    <x v="1"/>
    <s v="EU"/>
    <s v="03"/>
    <s v="8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9"/>
    <n v="1320713006"/>
    <s v=""/>
    <s v=""/>
    <s v="31"/>
    <x v="7"/>
    <s v="EU"/>
    <s v="02"/>
    <s v="1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15"/>
    <n v="1320713006"/>
    <s v=""/>
    <s v=""/>
    <s v="52"/>
    <x v="0"/>
    <s v="EU"/>
    <s v="13"/>
    <s v="2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24"/>
    <n v="1320713006"/>
    <s v=""/>
    <s v=""/>
    <s v="52"/>
    <x v="0"/>
    <s v="EU"/>
    <s v="13"/>
    <s v="2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45"/>
    <n v="1320713006"/>
    <s v=""/>
    <s v=""/>
    <s v="52"/>
    <x v="0"/>
    <s v="EU"/>
    <s v="13"/>
    <s v="3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7343858"/>
    <n v="505236771"/>
    <s v=""/>
    <s v=""/>
    <s v="53"/>
    <x v="4"/>
    <s v="EU"/>
    <s v="22"/>
    <s v="9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64"/>
    <n v="505236771"/>
    <s v=""/>
    <s v=""/>
    <s v="42"/>
    <x v="2"/>
    <s v="EU"/>
    <s v="12"/>
    <s v="1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73"/>
    <n v="505236771"/>
    <s v=""/>
    <s v=""/>
    <s v="42"/>
    <x v="2"/>
    <s v="EU"/>
    <s v="12"/>
    <s v="1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82"/>
    <n v="505236771"/>
    <s v=""/>
    <s v=""/>
    <s v="42"/>
    <x v="2"/>
    <s v="EU"/>
    <s v="12"/>
    <s v="17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88"/>
    <n v="505236771"/>
    <s v=""/>
    <s v=""/>
    <s v="42"/>
    <x v="2"/>
    <s v="EU"/>
    <s v="12"/>
    <s v="19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97"/>
    <n v="505236771"/>
    <s v=""/>
    <s v=""/>
    <s v="42"/>
    <x v="2"/>
    <s v="EU"/>
    <s v="12"/>
    <s v="2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903"/>
    <n v="505236771"/>
    <s v=""/>
    <s v=""/>
    <s v="42"/>
    <x v="2"/>
    <s v="EU"/>
    <s v="12"/>
    <s v="2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909"/>
    <n v="505236771"/>
    <s v=""/>
    <s v=""/>
    <s v="42"/>
    <x v="2"/>
    <s v="EU"/>
    <s v="12"/>
    <s v="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7343918"/>
    <n v="505236771"/>
    <s v=""/>
    <s v=""/>
    <s v="31"/>
    <x v="7"/>
    <s v="EU"/>
    <s v="02"/>
    <s v="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8679819"/>
    <n v="2135900996"/>
    <s v=""/>
    <s v=""/>
    <s v="42"/>
    <x v="2"/>
    <s v="EU"/>
    <s v="12"/>
    <s v="3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2"/>
    <n v="2135900996"/>
    <s v=""/>
    <s v=""/>
    <s v="42"/>
    <x v="2"/>
    <s v="EU"/>
    <s v="12"/>
    <s v="3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5"/>
    <n v="2135900996"/>
    <s v=""/>
    <s v=""/>
    <s v="42"/>
    <x v="2"/>
    <s v="EU"/>
    <s v="12"/>
    <s v="3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1"/>
    <n v="2135900996"/>
    <s v=""/>
    <s v=""/>
    <s v="42"/>
    <x v="2"/>
    <s v="EU"/>
    <s v="12"/>
    <s v="3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7"/>
    <n v="2135900996"/>
    <s v=""/>
    <s v=""/>
    <s v="31"/>
    <x v="7"/>
    <s v="EU"/>
    <s v="02"/>
    <s v="3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0"/>
    <n v="2135900996"/>
    <s v=""/>
    <s v=""/>
    <s v="31"/>
    <x v="7"/>
    <s v="EU"/>
    <s v="02"/>
    <s v="3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9"/>
    <n v="2135900996"/>
    <s v=""/>
    <s v=""/>
    <s v="42"/>
    <x v="2"/>
    <s v="EU"/>
    <s v="12"/>
    <s v="4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67"/>
    <n v="2135900996"/>
    <s v=""/>
    <s v=""/>
    <s v="42"/>
    <x v="2"/>
    <s v="EU"/>
    <s v="12"/>
    <s v="4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70"/>
    <n v="2135900996"/>
    <s v=""/>
    <s v=""/>
    <s v="32"/>
    <x v="11"/>
    <s v="EU"/>
    <s v="11"/>
    <s v="4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79"/>
    <n v="2135900996"/>
    <s v=""/>
    <s v=""/>
    <s v="42"/>
    <x v="2"/>
    <s v="EU"/>
    <s v="12"/>
    <s v="5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2"/>
    <n v="2135900996"/>
    <s v=""/>
    <s v=""/>
    <s v="52"/>
    <x v="0"/>
    <s v="EU"/>
    <s v="13"/>
    <s v="6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5"/>
    <n v="2135900996"/>
    <s v=""/>
    <s v=""/>
    <s v="42"/>
    <x v="2"/>
    <s v="EU"/>
    <s v="12"/>
    <s v="6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1"/>
    <n v="2135900996"/>
    <s v=""/>
    <s v=""/>
    <s v="31"/>
    <x v="7"/>
    <s v="EU"/>
    <s v="02"/>
    <s v="6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74"/>
    <n v="2135900996"/>
    <s v=""/>
    <s v=""/>
    <s v="31"/>
    <x v="7"/>
    <s v="EU"/>
    <s v="0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68"/>
    <n v="2135900996"/>
    <s v=""/>
    <s v=""/>
    <s v="42"/>
    <x v="2"/>
    <s v="EU"/>
    <s v="1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0"/>
    <n v="2135900996"/>
    <s v=""/>
    <s v=""/>
    <s v="31"/>
    <x v="7"/>
    <s v="EU"/>
    <s v="0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3"/>
    <n v="2135900996"/>
    <s v=""/>
    <s v=""/>
    <s v="42"/>
    <x v="2"/>
    <s v="EU"/>
    <s v="12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6"/>
    <n v="2135900996"/>
    <s v=""/>
    <s v=""/>
    <s v="31"/>
    <x v="7"/>
    <s v="EU"/>
    <s v="0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1"/>
    <n v="2135900996"/>
    <s v=""/>
    <s v=""/>
    <s v="42"/>
    <x v="2"/>
    <s v="EU"/>
    <s v="12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4"/>
    <n v="2135900996"/>
    <s v=""/>
    <s v=""/>
    <s v="31"/>
    <x v="7"/>
    <s v="EU"/>
    <s v="02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7"/>
    <n v="2135900996"/>
    <s v=""/>
    <s v=""/>
    <s v="42"/>
    <x v="2"/>
    <s v="EU"/>
    <s v="1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564"/>
    <n v="1320713006"/>
    <s v=""/>
    <s v=""/>
    <s v="52"/>
    <x v="0"/>
    <s v="EU"/>
    <s v="13"/>
    <s v="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70"/>
    <n v="1320713006"/>
    <s v=""/>
    <s v=""/>
    <s v="31"/>
    <x v="7"/>
    <s v="EU"/>
    <s v="02"/>
    <s v="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44"/>
    <n v="2135900996"/>
    <s v=""/>
    <s v=""/>
    <s v="42"/>
    <x v="2"/>
    <s v="EU"/>
    <s v="12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74"/>
    <n v="2135900996"/>
    <s v=""/>
    <s v=""/>
    <s v="42"/>
    <x v="2"/>
    <s v="EU"/>
    <s v="1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95"/>
    <n v="2135900996"/>
    <s v=""/>
    <s v=""/>
    <s v="41"/>
    <x v="1"/>
    <s v="EU"/>
    <s v="03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49"/>
    <n v="505236771"/>
    <s v="0"/>
    <s v=""/>
    <s v="42"/>
    <x v="2"/>
    <s v="EU"/>
    <s v="12"/>
    <s v="6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34"/>
    <n v="505236771"/>
    <s v="0"/>
    <s v=""/>
    <s v="42"/>
    <x v="2"/>
    <s v="EU"/>
    <s v="12"/>
    <s v="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52"/>
    <n v="505236771"/>
    <s v="0"/>
    <s v=""/>
    <s v="53"/>
    <x v="4"/>
    <s v="EU"/>
    <s v="22"/>
    <s v="7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79735"/>
    <n v="2135900996"/>
    <s v=""/>
    <s v=""/>
    <s v="42"/>
    <x v="2"/>
    <s v="EU"/>
    <s v="1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91"/>
    <n v="2135900996"/>
    <s v=""/>
    <s v=""/>
    <s v="42"/>
    <x v="2"/>
    <s v="EU"/>
    <s v="12"/>
    <s v="5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9"/>
    <n v="2135900996"/>
    <s v=""/>
    <s v=""/>
    <s v="31"/>
    <x v="7"/>
    <s v="EU"/>
    <s v="02"/>
    <s v="6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24"/>
    <n v="2135900996"/>
    <s v=""/>
    <s v=""/>
    <s v="32"/>
    <x v="11"/>
    <s v="EU"/>
    <s v="11"/>
    <s v="6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9"/>
    <n v="2135900996"/>
    <s v=""/>
    <s v=""/>
    <s v="41"/>
    <x v="1"/>
    <s v="EU"/>
    <s v="03"/>
    <s v="7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48"/>
    <n v="2135900996"/>
    <s v=""/>
    <s v=""/>
    <s v="51"/>
    <x v="19"/>
    <s v="EU"/>
    <s v="04"/>
    <s v="7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51"/>
    <n v="2135900996"/>
    <s v=""/>
    <s v=""/>
    <s v="42"/>
    <x v="2"/>
    <s v="EU"/>
    <s v="12"/>
    <s v="7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02"/>
    <n v="2135900996"/>
    <s v=""/>
    <s v=""/>
    <s v="42"/>
    <x v="2"/>
    <s v="EU"/>
    <s v="12"/>
    <s v="9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4"/>
    <n v="2135900996"/>
    <s v=""/>
    <s v=""/>
    <s v="31"/>
    <x v="7"/>
    <s v="EU"/>
    <s v="02"/>
    <s v="9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26"/>
    <n v="2135900996"/>
    <s v=""/>
    <s v=""/>
    <s v="42"/>
    <x v="2"/>
    <s v="EU"/>
    <s v="1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35"/>
    <n v="2135900996"/>
    <s v=""/>
    <s v=""/>
    <s v="42"/>
    <x v="2"/>
    <s v="EU"/>
    <s v="1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79993"/>
    <n v="2135900996"/>
    <s v=""/>
    <s v=""/>
    <s v="42"/>
    <x v="2"/>
    <s v="EU"/>
    <s v="12"/>
    <s v="9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96"/>
    <n v="2135900996"/>
    <s v=""/>
    <s v=""/>
    <s v="42"/>
    <x v="2"/>
    <s v="EU"/>
    <s v="12"/>
    <s v="9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41"/>
    <n v="2135900996"/>
    <s v=""/>
    <s v=""/>
    <s v="42"/>
    <x v="2"/>
    <s v="EU"/>
    <s v="1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2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8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9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471"/>
    <n v="-1000007921"/>
    <s v=""/>
    <s v="RG"/>
    <s v=""/>
    <x v="6"/>
    <s v=""/>
    <s v="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651"/>
    <n v="-1000007921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47"/>
    <n v="-1000007917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189"/>
    <n v="-1000007907"/>
    <s v=""/>
    <s v="RG"/>
    <s v=""/>
    <x v="6"/>
    <s v=""/>
    <s v=""/>
    <s v="4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83"/>
    <n v="-1000007907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645"/>
    <n v="-1000007921"/>
    <s v=""/>
    <s v=""/>
    <s v="31"/>
    <x v="7"/>
    <s v="EU"/>
    <s v="0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065"/>
    <n v="2135900996"/>
    <s v=""/>
    <s v=""/>
    <s v="42"/>
    <x v="2"/>
    <s v="EU"/>
    <s v="1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215"/>
    <n v="2135900996"/>
    <s v=""/>
    <s v=""/>
    <s v="42"/>
    <x v="2"/>
    <s v="EU"/>
    <s v="12"/>
    <s v="6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43"/>
    <n v="505236771"/>
    <s v=""/>
    <s v=""/>
    <s v="52"/>
    <x v="0"/>
    <s v="EU"/>
    <s v="13"/>
    <s v="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27"/>
    <n v="2135900996"/>
    <s v=""/>
    <s v=""/>
    <s v="42"/>
    <x v="2"/>
    <s v="EU"/>
    <s v="12"/>
    <s v="6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85"/>
    <n v="505236771"/>
    <s v=""/>
    <s v=""/>
    <s v="42"/>
    <x v="2"/>
    <s v="EU"/>
    <s v="12"/>
    <s v="18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84"/>
    <n v="2135900996"/>
    <s v=""/>
    <s v=""/>
    <s v="41"/>
    <x v="1"/>
    <s v="EU"/>
    <s v="03"/>
    <s v="8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14"/>
    <n v="2135900996"/>
    <s v="2"/>
    <s v="RS"/>
    <s v="S1"/>
    <x v="16"/>
    <s v="FW"/>
    <s v="0"/>
    <s v="22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3"/>
  </r>
  <r>
    <n v="8679942"/>
    <n v="2135900996"/>
    <s v=""/>
    <s v=""/>
    <s v="42"/>
    <x v="2"/>
    <s v="EU"/>
    <s v="12"/>
    <s v="7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92"/>
    <n v="2135900996"/>
    <s v=""/>
    <s v=""/>
    <s v="32"/>
    <x v="11"/>
    <s v="EU"/>
    <s v="11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8"/>
    <n v="2135900996"/>
    <s v=""/>
    <s v=""/>
    <s v="42"/>
    <x v="2"/>
    <s v="EU"/>
    <s v="12"/>
    <s v="5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54"/>
    <n v="1320713006"/>
    <s v=""/>
    <s v=""/>
    <s v="31"/>
    <x v="7"/>
    <s v="EU"/>
    <s v="02"/>
    <s v="3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32"/>
    <n v="2135900996"/>
    <s v=""/>
    <s v=""/>
    <s v="42"/>
    <x v="2"/>
    <s v="EU"/>
    <s v="1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87"/>
    <n v="2135900996"/>
    <s v=""/>
    <s v=""/>
    <s v="42"/>
    <x v="2"/>
    <s v="EU"/>
    <s v="12"/>
    <s v="8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582"/>
    <n v="1320713006"/>
    <s v=""/>
    <s v=""/>
    <s v="52"/>
    <x v="0"/>
    <s v="EU"/>
    <s v="13"/>
    <s v="1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3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773"/>
    <n v="-1000007925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79960"/>
    <n v="2135900996"/>
    <s v=""/>
    <s v=""/>
    <s v="42"/>
    <x v="2"/>
    <s v="EU"/>
    <s v="12"/>
    <s v="7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51"/>
    <n v="1320713006"/>
    <s v=""/>
    <s v=""/>
    <s v="31"/>
    <x v="7"/>
    <s v="EU"/>
    <s v="02"/>
    <s v="3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64"/>
    <n v="2135900996"/>
    <s v=""/>
    <s v=""/>
    <s v="42"/>
    <x v="2"/>
    <s v="EU"/>
    <s v="12"/>
    <s v="4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09"/>
    <n v="-1000007921"/>
    <s v=""/>
    <s v=""/>
    <s v="52"/>
    <x v="0"/>
    <s v="EU"/>
    <s v="13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597"/>
    <n v="1320713006"/>
    <s v=""/>
    <s v=""/>
    <s v="31"/>
    <x v="7"/>
    <s v="EU"/>
    <s v="02"/>
    <s v="1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54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86"/>
    <n v="2135900996"/>
    <s v=""/>
    <s v=""/>
    <s v="31"/>
    <x v="7"/>
    <s v="EU"/>
    <s v="0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40"/>
    <n v="2135900996"/>
    <s v=""/>
    <s v=""/>
    <s v="42"/>
    <x v="2"/>
    <s v="EU"/>
    <s v="12"/>
    <s v="3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6"/>
    <n v="2135900996"/>
    <s v=""/>
    <s v=""/>
    <s v="31"/>
    <x v="7"/>
    <s v="EU"/>
    <s v="02"/>
    <s v="6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27"/>
    <n v="1320713006"/>
    <s v=""/>
    <s v=""/>
    <s v="52"/>
    <x v="0"/>
    <s v="EU"/>
    <s v="13"/>
    <s v="2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42"/>
    <n v="1320713006"/>
    <s v=""/>
    <s v=""/>
    <s v="42"/>
    <x v="2"/>
    <s v="EU"/>
    <s v="12"/>
    <s v="3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26"/>
    <n v="2135900996"/>
    <s v=""/>
    <s v=""/>
    <s v="42"/>
    <x v="2"/>
    <s v="EU"/>
    <s v="1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3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5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07"/>
    <n v="2135900996"/>
    <s v=""/>
    <s v=""/>
    <s v="31"/>
    <x v="7"/>
    <s v="EU"/>
    <s v="0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5"/>
    <n v="2135900996"/>
    <s v=""/>
    <s v=""/>
    <s v="42"/>
    <x v="2"/>
    <s v="EU"/>
    <s v="12"/>
    <s v="5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33"/>
    <n v="2135900996"/>
    <s v=""/>
    <s v=""/>
    <s v="42"/>
    <x v="2"/>
    <s v="EU"/>
    <s v="12"/>
    <s v="7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6"/>
    <n v="2135900996"/>
    <s v=""/>
    <s v=""/>
    <s v="42"/>
    <x v="2"/>
    <s v="EU"/>
    <s v="12"/>
    <s v="7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69"/>
    <n v="2135900996"/>
    <s v=""/>
    <s v=""/>
    <s v="31"/>
    <x v="7"/>
    <s v="EU"/>
    <s v="02"/>
    <s v="8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3"/>
    <n v="2135900996"/>
    <s v=""/>
    <s v=""/>
    <s v="42"/>
    <x v="2"/>
    <s v="EU"/>
    <s v="12"/>
    <s v="9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91"/>
    <n v="505236771"/>
    <s v=""/>
    <s v=""/>
    <s v="42"/>
    <x v="2"/>
    <s v="EU"/>
    <s v="12"/>
    <s v="20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599"/>
    <n v="-1000007921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35"/>
    <n v="-1000007921"/>
    <s v=""/>
    <s v=""/>
    <s v="31"/>
    <x v="7"/>
    <s v="EU"/>
    <s v="0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4683357"/>
    <n v="-1000016979"/>
    <s v=""/>
    <s v="UD"/>
    <s v=""/>
    <x v="6"/>
    <s v=""/>
    <s v=""/>
    <s v="3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8680143"/>
    <n v="2135900996"/>
    <s v=""/>
    <s v=""/>
    <s v="42"/>
    <x v="2"/>
    <s v="EU"/>
    <s v="12"/>
    <s v="4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69"/>
    <n v="-1000007925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170"/>
    <n v="2135900996"/>
    <s v=""/>
    <s v=""/>
    <s v="42"/>
    <x v="2"/>
    <s v="EU"/>
    <s v="12"/>
    <s v="4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84"/>
    <n v="2135900996"/>
    <s v=""/>
    <s v="MF"/>
    <s v=""/>
    <x v="6"/>
    <s v="EU"/>
    <s v=""/>
    <s v="8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23"/>
    <n v="2135900996"/>
    <s v=""/>
    <s v=""/>
    <s v="42"/>
    <x v="2"/>
    <s v="EU"/>
    <s v="12"/>
    <s v="10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3"/>
    <n v="2135900996"/>
    <s v=""/>
    <s v=""/>
    <s v="31"/>
    <x v="7"/>
    <s v="EU"/>
    <s v="02"/>
    <s v="6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11"/>
    <n v="2135900996"/>
    <s v=""/>
    <s v=""/>
    <s v="31"/>
    <x v="7"/>
    <s v="EU"/>
    <s v="02"/>
    <s v="9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0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00"/>
    <n v="2135900996"/>
    <s v=""/>
    <s v=""/>
    <s v="41"/>
    <x v="1"/>
    <s v="EU"/>
    <s v="03"/>
    <s v="5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97"/>
    <n v="2135900996"/>
    <s v=""/>
    <s v=""/>
    <s v="42"/>
    <x v="2"/>
    <s v="EU"/>
    <s v="12"/>
    <s v="5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0"/>
    <n v="2135900996"/>
    <s v=""/>
    <s v=""/>
    <s v="32"/>
    <x v="11"/>
    <s v="EU"/>
    <s v="11"/>
    <s v="6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9"/>
    <n v="2135900996"/>
    <s v=""/>
    <s v=""/>
    <s v="42"/>
    <x v="2"/>
    <s v="EU"/>
    <s v="12"/>
    <s v="9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648"/>
    <n v="1320713006"/>
    <s v=""/>
    <s v=""/>
    <s v="31"/>
    <x v="7"/>
    <s v="EU"/>
    <s v="02"/>
    <s v="3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33"/>
    <n v="2135900996"/>
    <s v=""/>
    <s v=""/>
    <s v="31"/>
    <x v="7"/>
    <s v="EU"/>
    <s v="02"/>
    <s v="7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57"/>
    <n v="2135900996"/>
    <s v=""/>
    <s v=""/>
    <s v="31"/>
    <x v="7"/>
    <s v="EU"/>
    <s v="02"/>
    <s v="7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27"/>
    <n v="-1000007921"/>
    <s v=""/>
    <s v=""/>
    <s v="52"/>
    <x v="0"/>
    <s v="EU"/>
    <s v="13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191"/>
    <n v="-1000007907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515"/>
    <n v="-1000007921"/>
    <s v=""/>
    <s v="RG"/>
    <s v=""/>
    <x v="6"/>
    <s v=""/>
    <s v="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19"/>
    <n v="-1000007921"/>
    <s v=""/>
    <s v=""/>
    <s v="52"/>
    <x v="0"/>
    <s v="EU"/>
    <s v="13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11699859"/>
    <n v="632014233"/>
    <s v=""/>
    <s v="RG"/>
    <s v="3M"/>
    <x v="5"/>
    <s v="MY"/>
    <s v="3"/>
    <s v="2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56"/>
    <n v="632014233"/>
    <s v=""/>
    <s v="W"/>
    <s v="S2"/>
    <x v="15"/>
    <s v="FW"/>
    <s v="1"/>
    <s v="1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1"/>
    <n v="632014233"/>
    <s v=""/>
    <s v=""/>
    <s v="42"/>
    <x v="2"/>
    <s v="EU"/>
    <s v="12"/>
    <s v="6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4"/>
    <n v="632014233"/>
    <s v=""/>
    <s v=""/>
    <s v="52"/>
    <x v="0"/>
    <s v="EU"/>
    <s v="13"/>
    <s v="7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7"/>
    <n v="632014233"/>
    <s v=""/>
    <s v=""/>
    <s v="42"/>
    <x v="2"/>
    <s v="EU"/>
    <s v="12"/>
    <s v="8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83"/>
    <n v="632014233"/>
    <s v=""/>
    <s v="RG"/>
    <s v="2M"/>
    <x v="3"/>
    <s v="MY"/>
    <s v="2"/>
    <s v="10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0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0"/>
    <n v="1320713006"/>
    <s v=""/>
    <s v=""/>
    <s v="31"/>
    <x v="7"/>
    <s v="EU"/>
    <s v="02"/>
    <s v="1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94"/>
    <n v="1320713006"/>
    <s v=""/>
    <s v=""/>
    <s v="52"/>
    <x v="0"/>
    <s v="EU"/>
    <s v="13"/>
    <s v="1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73"/>
    <n v="1320713006"/>
    <s v=""/>
    <s v=""/>
    <s v="42"/>
    <x v="2"/>
    <s v="EU"/>
    <s v="12"/>
    <s v="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55"/>
    <n v="1320713006"/>
    <s v=""/>
    <s v=""/>
    <s v="42"/>
    <x v="2"/>
    <s v="EU"/>
    <s v="12"/>
    <s v="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332"/>
    <n v="2135900996"/>
    <s v=""/>
    <s v=""/>
    <s v="31"/>
    <x v="7"/>
    <s v="EU"/>
    <s v="0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0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0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79765"/>
    <n v="2135900996"/>
    <s v=""/>
    <s v=""/>
    <s v="42"/>
    <x v="2"/>
    <s v="EU"/>
    <s v="1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80"/>
    <n v="2135900996"/>
    <s v=""/>
    <s v=""/>
    <s v="42"/>
    <x v="2"/>
    <s v="EU"/>
    <s v="1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68"/>
    <n v="2135900996"/>
    <s v=""/>
    <s v=""/>
    <s v="31"/>
    <x v="7"/>
    <s v="EU"/>
    <s v="0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76"/>
    <n v="2135900996"/>
    <s v=""/>
    <s v=""/>
    <s v="42"/>
    <x v="2"/>
    <s v="EU"/>
    <s v="12"/>
    <s v="5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25"/>
    <n v="-1000007921"/>
    <s v=""/>
    <s v=""/>
    <s v="53"/>
    <x v="4"/>
    <s v="EU"/>
    <s v="22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61"/>
    <n v="-1000007921"/>
    <s v=""/>
    <s v=""/>
    <s v="42"/>
    <x v="2"/>
    <s v="EU"/>
    <s v="12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1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43"/>
    <n v="-1000007917"/>
    <s v=""/>
    <s v=""/>
    <s v=""/>
    <x v="6"/>
    <s v=""/>
    <s v=""/>
    <s v="3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7343840"/>
    <n v="505236771"/>
    <s v="0"/>
    <s v=""/>
    <s v="52"/>
    <x v="0"/>
    <s v="EU"/>
    <s v="13"/>
    <s v="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477"/>
    <n v="-1000007921"/>
    <s v=""/>
    <s v=""/>
    <s v="42"/>
    <x v="2"/>
    <s v="EU"/>
    <s v="12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4683359"/>
    <n v="-1000016979"/>
    <s v=""/>
    <s v=""/>
    <s v="53"/>
    <x v="4"/>
    <s v="EU"/>
    <s v="22"/>
    <s v="2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-1004683361"/>
    <n v="-1000016979"/>
    <s v=""/>
    <s v="NS"/>
    <s v=""/>
    <x v="6"/>
    <s v=""/>
    <s v=""/>
    <s v="1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8680194"/>
    <n v="2135900996"/>
    <s v=""/>
    <s v=""/>
    <s v="31"/>
    <x v="7"/>
    <s v="EU"/>
    <s v="02"/>
    <s v="5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41"/>
    <n v="2135900996"/>
    <s v=""/>
    <s v=""/>
    <s v="42"/>
    <x v="2"/>
    <s v="EU"/>
    <s v="1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86"/>
    <n v="2135900996"/>
    <s v=""/>
    <s v=""/>
    <s v="42"/>
    <x v="2"/>
    <s v="EU"/>
    <s v="1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97"/>
    <n v="2135900996"/>
    <s v=""/>
    <s v=""/>
    <s v="42"/>
    <x v="2"/>
    <s v="EU"/>
    <s v="12"/>
    <s v="5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85"/>
    <n v="2135900996"/>
    <s v=""/>
    <s v=""/>
    <s v="42"/>
    <x v="2"/>
    <s v="EU"/>
    <s v="12"/>
    <s v="5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1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876"/>
    <n v="2135900996"/>
    <s v=""/>
    <s v=""/>
    <s v="42"/>
    <x v="2"/>
    <s v="EU"/>
    <s v="12"/>
    <s v="5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6"/>
    <n v="2135900996"/>
    <s v="1"/>
    <s v="W"/>
    <s v="2M"/>
    <x v="3"/>
    <s v="MY"/>
    <s v="2"/>
    <s v="16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1"/>
  </r>
  <r>
    <n v="11699868"/>
    <n v="632014233"/>
    <s v=""/>
    <s v=""/>
    <s v="42"/>
    <x v="2"/>
    <s v="EU"/>
    <s v="12"/>
    <s v="5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561"/>
    <n v="1320713006"/>
    <s v=""/>
    <s v=""/>
    <s v="31"/>
    <x v="7"/>
    <s v="EU"/>
    <s v="02"/>
    <s v="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48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797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1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53"/>
    <n v="-1000007921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6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787"/>
    <n v="-1000007925"/>
    <s v=""/>
    <s v="RG"/>
    <s v=""/>
    <x v="6"/>
    <s v=""/>
    <s v=""/>
    <s v="3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618"/>
    <n v="1320713006"/>
    <s v=""/>
    <s v=""/>
    <s v="52"/>
    <x v="0"/>
    <s v="EU"/>
    <s v="13"/>
    <s v="2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122"/>
    <n v="2135900996"/>
    <s v=""/>
    <s v=""/>
    <s v="42"/>
    <x v="2"/>
    <s v="EU"/>
    <s v="12"/>
    <s v="3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9"/>
    <n v="1320713006"/>
    <s v=""/>
    <s v=""/>
    <s v="31"/>
    <x v="7"/>
    <s v="EU"/>
    <s v="02"/>
    <s v="2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0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67"/>
    <n v="2135900996"/>
    <s v=""/>
    <s v=""/>
    <s v="42"/>
    <x v="2"/>
    <s v="EU"/>
    <s v="12"/>
    <s v="4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08"/>
    <n v="2135900996"/>
    <s v=""/>
    <s v=""/>
    <s v="42"/>
    <x v="2"/>
    <s v="EU"/>
    <s v="12"/>
    <s v="9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34"/>
    <n v="2135900996"/>
    <s v=""/>
    <s v=""/>
    <s v="31"/>
    <x v="7"/>
    <s v="EU"/>
    <s v="02"/>
    <s v="3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843"/>
    <n v="2135900996"/>
    <s v=""/>
    <s v=""/>
    <s v="42"/>
    <x v="2"/>
    <s v="EU"/>
    <s v="12"/>
    <s v="4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8"/>
    <n v="2135900996"/>
    <s v=""/>
    <s v=""/>
    <s v="42"/>
    <x v="2"/>
    <s v="EU"/>
    <s v="12"/>
    <s v="6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08"/>
    <n v="2135900996"/>
    <s v=""/>
    <s v=""/>
    <s v="31"/>
    <x v="7"/>
    <s v="EU"/>
    <s v="02"/>
    <s v="9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77"/>
    <n v="-1000007925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609"/>
    <n v="-1000007921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9"/>
    <n v="-1000007921"/>
    <s v=""/>
    <s v=""/>
    <s v="31"/>
    <x v="7"/>
    <s v="EU"/>
    <s v="0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9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963"/>
    <n v="2135900996"/>
    <s v=""/>
    <s v=""/>
    <s v="42"/>
    <x v="2"/>
    <s v="EU"/>
    <s v="12"/>
    <s v="8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20"/>
    <n v="2135900996"/>
    <s v="2"/>
    <s v="RS"/>
    <s v="S2"/>
    <x v="15"/>
    <s v="FW"/>
    <s v="1"/>
    <s v="24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7"/>
  </r>
  <r>
    <n v="-1003536659"/>
    <n v="-1000007921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94"/>
    <n v="2135900996"/>
    <s v=""/>
    <s v=""/>
    <s v="42"/>
    <x v="2"/>
    <s v="EU"/>
    <s v="12"/>
    <s v="5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915"/>
    <n v="505236771"/>
    <s v=""/>
    <s v=""/>
    <s v="53"/>
    <x v="4"/>
    <s v="EU"/>
    <s v="22"/>
    <s v="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11699889"/>
    <n v="632014233"/>
    <s v=""/>
    <s v="W"/>
    <s v="2M"/>
    <x v="3"/>
    <s v="MY"/>
    <s v="2"/>
    <s v="12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-1004683355"/>
    <n v="-1000016979"/>
    <s v=""/>
    <s v=""/>
    <s v="53"/>
    <x v="4"/>
    <s v="EU"/>
    <s v="22"/>
    <s v="4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11699862"/>
    <n v="632014233"/>
    <s v=""/>
    <s v=""/>
    <s v="52"/>
    <x v="0"/>
    <s v="EU"/>
    <s v="13"/>
    <s v="3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116"/>
    <n v="2135900996"/>
    <s v=""/>
    <s v=""/>
    <s v="42"/>
    <x v="2"/>
    <s v="EU"/>
    <s v="1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3"/>
    <n v="1320713006"/>
    <s v=""/>
    <s v=""/>
    <s v="32"/>
    <x v="11"/>
    <s v="EU"/>
    <s v="11"/>
    <s v="2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281"/>
    <n v="2135900996"/>
    <s v=""/>
    <s v=""/>
    <s v="42"/>
    <x v="2"/>
    <s v="EU"/>
    <s v="12"/>
    <s v="8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88"/>
    <n v="2135900996"/>
    <s v=""/>
    <s v=""/>
    <s v="42"/>
    <x v="2"/>
    <s v="EU"/>
    <s v="12"/>
    <s v="5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35"/>
    <n v="-1000007921"/>
    <s v=""/>
    <s v=""/>
    <s v="53"/>
    <x v="4"/>
    <s v="EU"/>
    <s v="2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612"/>
    <n v="1320713006"/>
    <s v=""/>
    <s v=""/>
    <s v="42"/>
    <x v="2"/>
    <s v="EU"/>
    <s v="12"/>
    <s v="2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64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837"/>
    <n v="505236771"/>
    <s v=""/>
    <s v=""/>
    <s v="42"/>
    <x v="2"/>
    <s v="EU"/>
    <s v="12"/>
    <s v="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182"/>
    <n v="2135900996"/>
    <s v=""/>
    <s v=""/>
    <s v="42"/>
    <x v="2"/>
    <s v="EU"/>
    <s v="12"/>
    <s v="5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03"/>
    <n v="2135900996"/>
    <s v=""/>
    <s v=""/>
    <s v="31"/>
    <x v="7"/>
    <s v="EU"/>
    <s v="02"/>
    <s v="6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51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906"/>
    <n v="2135900996"/>
    <s v=""/>
    <s v=""/>
    <s v="52"/>
    <x v="0"/>
    <s v="EU"/>
    <s v="13"/>
    <s v="6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0"/>
    <n v="2135900996"/>
    <s v=""/>
    <s v=""/>
    <s v="42"/>
    <x v="2"/>
    <s v="EU"/>
    <s v="12"/>
    <s v="9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44"/>
    <n v="2135900996"/>
    <s v=""/>
    <s v=""/>
    <s v="41"/>
    <x v="1"/>
    <s v="EU"/>
    <s v="03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164"/>
    <n v="2135900996"/>
    <s v=""/>
    <s v=""/>
    <s v="42"/>
    <x v="2"/>
    <s v="EU"/>
    <s v="12"/>
    <s v="4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58"/>
    <n v="2135900996"/>
    <s v=""/>
    <s v=""/>
    <s v="42"/>
    <x v="2"/>
    <s v="EU"/>
    <s v="12"/>
    <s v="4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79"/>
    <n v="2135900996"/>
    <s v=""/>
    <s v=""/>
    <s v="42"/>
    <x v="2"/>
    <s v="EU"/>
    <s v="12"/>
    <s v="5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72"/>
    <n v="2135900996"/>
    <s v=""/>
    <s v=""/>
    <s v="42"/>
    <x v="2"/>
    <s v="EU"/>
    <s v="12"/>
    <s v="8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75"/>
    <n v="2135900996"/>
    <s v=""/>
    <s v=""/>
    <s v="42"/>
    <x v="2"/>
    <s v="EU"/>
    <s v="12"/>
    <s v="8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3"/>
    <n v="-1000007921"/>
    <s v=""/>
    <s v=""/>
    <s v="53"/>
    <x v="4"/>
    <s v="EU"/>
    <s v="2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44"/>
    <n v="2135900996"/>
    <s v=""/>
    <s v=""/>
    <s v="42"/>
    <x v="2"/>
    <s v="EU"/>
    <s v="12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6"/>
    <n v="1320713006"/>
    <s v=""/>
    <s v=""/>
    <s v="31"/>
    <x v="7"/>
    <s v="EU"/>
    <s v="02"/>
    <s v="2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146"/>
    <n v="2135900996"/>
    <s v=""/>
    <s v="W"/>
    <s v="1M"/>
    <x v="14"/>
    <s v="MY"/>
    <s v="1"/>
    <s v="16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5"/>
  </r>
  <r>
    <n v="8680254"/>
    <n v="2135900996"/>
    <s v=""/>
    <s v=""/>
    <s v="31"/>
    <x v="7"/>
    <s v="EU"/>
    <s v="02"/>
    <s v="7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53"/>
    <n v="2135900996"/>
    <s v=""/>
    <s v=""/>
    <s v="42"/>
    <x v="2"/>
    <s v="EU"/>
    <s v="1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152"/>
    <n v="2135900996"/>
    <s v=""/>
    <s v=""/>
    <s v="32"/>
    <x v="11"/>
    <s v="EU"/>
    <s v="11"/>
    <s v="4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76"/>
    <n v="505236771"/>
    <s v=""/>
    <s v=""/>
    <s v="42"/>
    <x v="2"/>
    <s v="EU"/>
    <s v="12"/>
    <s v="1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11699865"/>
    <n v="632014233"/>
    <s v=""/>
    <s v=""/>
    <s v="52"/>
    <x v="0"/>
    <s v="EU"/>
    <s v="13"/>
    <s v="4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-1003536763"/>
    <n v="-1000007925"/>
    <s v=""/>
    <s v="RG"/>
    <s v=""/>
    <x v="6"/>
    <s v=""/>
    <s v=""/>
    <s v="15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61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789"/>
    <n v="-1000007925"/>
    <s v=""/>
    <s v="NP"/>
    <s v=""/>
    <x v="6"/>
    <s v=""/>
    <s v=""/>
    <s v="2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469"/>
    <n v="-1000007921"/>
    <s v=""/>
    <s v="W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29"/>
    <n v="-1000007921"/>
    <s v=""/>
    <s v="NA"/>
    <s v=""/>
    <x v="6"/>
    <s v=""/>
    <s v="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95"/>
    <n v="2135900996"/>
    <s v=""/>
    <s v=""/>
    <s v="42"/>
    <x v="2"/>
    <s v="EU"/>
    <s v="12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9"/>
    <n v="-1000007921"/>
    <s v=""/>
    <s v="RG"/>
    <s v=""/>
    <x v="6"/>
    <s v=""/>
    <s v="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47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87"/>
    <n v="-1000007921"/>
    <s v=""/>
    <s v=""/>
    <s v="31"/>
    <x v="7"/>
    <s v="EU"/>
    <s v="0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567"/>
    <n v="1320713006"/>
    <s v=""/>
    <s v=""/>
    <s v="31"/>
    <x v="7"/>
    <s v="EU"/>
    <s v="02"/>
    <s v="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61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900"/>
    <n v="505236771"/>
    <s v="0"/>
    <s v=""/>
    <s v="42"/>
    <x v="2"/>
    <s v="EU"/>
    <s v="12"/>
    <s v="2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79930"/>
    <n v="2135900996"/>
    <s v=""/>
    <s v=""/>
    <s v="42"/>
    <x v="2"/>
    <s v="EU"/>
    <s v="12"/>
    <s v="6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02"/>
    <n v="2135900996"/>
    <s v=""/>
    <s v=""/>
    <s v="42"/>
    <x v="2"/>
    <s v="EU"/>
    <s v="12"/>
    <s v="9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69"/>
    <n v="2135900996"/>
    <s v=""/>
    <s v=""/>
    <s v="42"/>
    <x v="2"/>
    <s v="EU"/>
    <s v="12"/>
    <s v="8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61"/>
    <n v="2135900996"/>
    <s v=""/>
    <s v=""/>
    <s v="42"/>
    <x v="2"/>
    <s v="EU"/>
    <s v="12"/>
    <s v="4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00"/>
    <n v="2135900996"/>
    <s v=""/>
    <s v=""/>
    <s v="41"/>
    <x v="1"/>
    <s v="EU"/>
    <s v="03"/>
    <s v="5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0"/>
    <n v="2135900996"/>
    <s v=""/>
    <s v=""/>
    <s v="42"/>
    <x v="2"/>
    <s v="EU"/>
    <s v="12"/>
    <s v="8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36"/>
    <n v="2135900996"/>
    <s v=""/>
    <s v=""/>
    <s v="42"/>
    <x v="2"/>
    <s v="EU"/>
    <s v="12"/>
    <s v="7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70"/>
    <n v="505236771"/>
    <s v=""/>
    <s v="RG"/>
    <s v="2M"/>
    <x v="3"/>
    <s v="MY"/>
    <s v="2"/>
    <s v="1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64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981"/>
    <n v="2135900996"/>
    <s v=""/>
    <s v=""/>
    <s v="31"/>
    <x v="7"/>
    <s v="EU"/>
    <s v="02"/>
    <s v="8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19"/>
    <n v="-1000007921"/>
    <s v=""/>
    <s v="NA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149"/>
    <n v="2135900996"/>
    <s v=""/>
    <s v=""/>
    <s v="42"/>
    <x v="2"/>
    <s v="EU"/>
    <s v="12"/>
    <s v="4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91"/>
    <n v="-1000007925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0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81"/>
    <n v="-1000007921"/>
    <s v=""/>
    <s v=""/>
    <s v="53"/>
    <x v="4"/>
    <s v="EU"/>
    <s v="2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242"/>
    <n v="2135900996"/>
    <s v=""/>
    <s v=""/>
    <s v="32"/>
    <x v="11"/>
    <s v="EU"/>
    <s v="11"/>
    <s v="7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4"/>
    <n v="2135900996"/>
    <s v=""/>
    <s v=""/>
    <s v="42"/>
    <x v="2"/>
    <s v="EU"/>
    <s v="12"/>
    <s v="3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37"/>
    <n v="2135900996"/>
    <s v=""/>
    <s v=""/>
    <s v="32"/>
    <x v="11"/>
    <s v="EU"/>
    <s v="11"/>
    <s v="3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95"/>
    <n v="-1000007921"/>
    <s v=""/>
    <s v=""/>
    <s v="53"/>
    <x v="4"/>
    <s v="EU"/>
    <s v="2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978"/>
    <n v="2135900996"/>
    <s v=""/>
    <s v=""/>
    <s v="31"/>
    <x v="7"/>
    <s v="EU"/>
    <s v="02"/>
    <s v="8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28"/>
    <n v="2135900996"/>
    <s v=""/>
    <s v=""/>
    <s v="42"/>
    <x v="2"/>
    <s v="EU"/>
    <s v="12"/>
    <s v="3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1"/>
    <n v="2135900996"/>
    <s v=""/>
    <s v=""/>
    <s v="42"/>
    <x v="2"/>
    <s v="EU"/>
    <s v="12"/>
    <s v="9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85"/>
    <n v="-1000007925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511"/>
    <n v="-1000007921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7343894"/>
    <n v="505236771"/>
    <s v=""/>
    <s v=""/>
    <s v="42"/>
    <x v="2"/>
    <s v="EU"/>
    <s v="12"/>
    <s v="2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60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416"/>
    <n v="2135900996"/>
    <s v=""/>
    <s v=""/>
    <s v="31"/>
    <x v="7"/>
    <s v="EU"/>
    <s v="0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21"/>
    <n v="-1000007921"/>
    <s v=""/>
    <s v=""/>
    <s v="53"/>
    <x v="4"/>
    <s v="EU"/>
    <s v="2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95"/>
    <n v="-1000007921"/>
    <s v=""/>
    <s v=""/>
    <s v="53"/>
    <x v="4"/>
    <s v="EU"/>
    <s v="2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193"/>
    <n v="-1000007907"/>
    <s v=""/>
    <s v=""/>
    <s v="52"/>
    <x v="0"/>
    <s v="EU"/>
    <s v="13"/>
    <s v="2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95"/>
    <n v="-1000007907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680221"/>
    <n v="2135900996"/>
    <s v=""/>
    <s v=""/>
    <s v="32"/>
    <x v="11"/>
    <s v="EU"/>
    <s v="11"/>
    <s v="6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66"/>
    <n v="2135900996"/>
    <s v=""/>
    <s v=""/>
    <s v="42"/>
    <x v="2"/>
    <s v="EU"/>
    <s v="12"/>
    <s v="8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66"/>
    <n v="2135900996"/>
    <s v=""/>
    <s v=""/>
    <s v="42"/>
    <x v="2"/>
    <s v="EU"/>
    <s v="12"/>
    <s v="8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85"/>
    <n v="1320713006"/>
    <s v=""/>
    <s v=""/>
    <s v="52"/>
    <x v="0"/>
    <s v="EU"/>
    <s v="13"/>
    <s v="1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11699886"/>
    <n v="632014233"/>
    <s v=""/>
    <s v=""/>
    <s v="42"/>
    <x v="2"/>
    <s v="EU"/>
    <s v="12"/>
    <s v="11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79858"/>
    <n v="2135900996"/>
    <s v=""/>
    <s v=""/>
    <s v="42"/>
    <x v="2"/>
    <s v="EU"/>
    <s v="12"/>
    <s v="4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53"/>
    <n v="2135900996"/>
    <s v=""/>
    <s v=""/>
    <s v="31"/>
    <x v="7"/>
    <s v="EU"/>
    <s v="0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91"/>
    <n v="2135900996"/>
    <s v=""/>
    <s v=""/>
    <s v="42"/>
    <x v="2"/>
    <s v="EU"/>
    <s v="12"/>
    <s v="5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187"/>
    <n v="-1000007907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501"/>
    <n v="-1000007921"/>
    <s v=""/>
    <s v=""/>
    <s v="53"/>
    <x v="4"/>
    <s v="EU"/>
    <s v="22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041"/>
    <n v="2135900996"/>
    <s v=""/>
    <s v=""/>
    <s v="31"/>
    <x v="7"/>
    <s v="EU"/>
    <s v="0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41"/>
    <n v="-1000007921"/>
    <s v=""/>
    <s v=""/>
    <s v="42"/>
    <x v="2"/>
    <s v="EU"/>
    <s v="12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365"/>
    <n v="2135900996"/>
    <s v=""/>
    <s v=""/>
    <s v="31"/>
    <x v="7"/>
    <s v="EU"/>
    <s v="0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7343879"/>
    <n v="505236771"/>
    <s v=""/>
    <s v=""/>
    <s v="42"/>
    <x v="2"/>
    <s v="EU"/>
    <s v="12"/>
    <s v="16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67"/>
    <n v="505236771"/>
    <s v=""/>
    <s v=""/>
    <s v="42"/>
    <x v="2"/>
    <s v="EU"/>
    <s v="12"/>
    <s v="1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45"/>
    <n v="2135900996"/>
    <s v=""/>
    <s v=""/>
    <s v="52"/>
    <x v="0"/>
    <s v="EU"/>
    <s v="13"/>
    <s v="7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60"/>
    <n v="2135900996"/>
    <s v=""/>
    <s v=""/>
    <s v="42"/>
    <x v="2"/>
    <s v="EU"/>
    <s v="12"/>
    <s v="7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05"/>
    <n v="2135900996"/>
    <s v=""/>
    <s v=""/>
    <s v="42"/>
    <x v="2"/>
    <s v="EU"/>
    <s v="12"/>
    <s v="9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7"/>
    <n v="2135900996"/>
    <s v=""/>
    <s v=""/>
    <s v="42"/>
    <x v="2"/>
    <s v="EU"/>
    <s v="12"/>
    <s v="9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873"/>
    <n v="2135900996"/>
    <s v=""/>
    <s v=""/>
    <s v="42"/>
    <x v="2"/>
    <s v="EU"/>
    <s v="12"/>
    <s v="5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01"/>
    <n v="2135900996"/>
    <s v=""/>
    <s v=""/>
    <s v="52"/>
    <x v="0"/>
    <s v="EU"/>
    <s v="13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68"/>
    <n v="2135900996"/>
    <s v=""/>
    <s v=""/>
    <s v="42"/>
    <x v="2"/>
    <s v="EU"/>
    <s v="1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54"/>
    <n v="2135900996"/>
    <s v=""/>
    <s v=""/>
    <s v="31"/>
    <x v="7"/>
    <s v="EU"/>
    <s v="02"/>
    <s v="7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46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9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81"/>
    <n v="-1000007921"/>
    <s v=""/>
    <s v="W"/>
    <s v=""/>
    <x v="6"/>
    <s v=""/>
    <s v="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5"/>
    <n v="-1000007921"/>
    <s v=""/>
    <s v=""/>
    <s v="31"/>
    <x v="7"/>
    <s v="EU"/>
    <s v="0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7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3"/>
    <n v="1320713006"/>
    <s v=""/>
    <s v=""/>
    <s v="42"/>
    <x v="2"/>
    <s v="EU"/>
    <s v="12"/>
    <s v="1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09"/>
    <n v="2135900996"/>
    <s v=""/>
    <s v=""/>
    <s v="42"/>
    <x v="2"/>
    <s v="EU"/>
    <s v="12"/>
    <s v="6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55"/>
    <n v="-1000007921"/>
    <s v=""/>
    <s v=""/>
    <s v="31"/>
    <x v="7"/>
    <s v="EU"/>
    <s v="0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52"/>
    <n v="2135900996"/>
    <s v=""/>
    <s v=""/>
    <s v="42"/>
    <x v="2"/>
    <s v="EU"/>
    <s v="12"/>
    <s v="4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445"/>
    <n v="-1000007917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86797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04"/>
    <n v="2135900996"/>
    <s v=""/>
    <s v=""/>
    <s v="41"/>
    <x v="1"/>
    <s v="EU"/>
    <s v="03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18"/>
    <n v="2135900996"/>
    <s v=""/>
    <s v=""/>
    <s v="42"/>
    <x v="2"/>
    <s v="EU"/>
    <s v="12"/>
    <s v="6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6"/>
    <n v="2135900996"/>
    <s v=""/>
    <s v=""/>
    <s v="42"/>
    <x v="2"/>
    <s v="EU"/>
    <s v="12"/>
    <s v="9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91"/>
    <n v="-1000007921"/>
    <s v=""/>
    <s v="RG"/>
    <s v=""/>
    <x v="6"/>
    <s v=""/>
    <s v="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45"/>
    <n v="-1000007921"/>
    <s v=""/>
    <s v="RG"/>
    <s v=""/>
    <x v="6"/>
    <s v=""/>
    <s v="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631"/>
    <n v="-1000007921"/>
    <s v=""/>
    <s v=""/>
    <s v="42"/>
    <x v="2"/>
    <s v="EU"/>
    <s v="1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861"/>
    <n v="505236771"/>
    <s v=""/>
    <s v=""/>
    <s v="42"/>
    <x v="2"/>
    <s v="EU"/>
    <s v="12"/>
    <s v="10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55"/>
    <n v="505236771"/>
    <s v=""/>
    <s v=""/>
    <s v="42"/>
    <x v="2"/>
    <s v="EU"/>
    <s v="12"/>
    <s v="8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185"/>
    <n v="-1000007907"/>
    <s v=""/>
    <s v=""/>
    <s v="52"/>
    <x v="0"/>
    <s v="EU"/>
    <s v="13"/>
    <s v="6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81"/>
    <n v="-1000007907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485"/>
    <n v="-1000007921"/>
    <s v=""/>
    <s v=""/>
    <s v="32"/>
    <x v="11"/>
    <s v="EU"/>
    <s v="11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4683353"/>
    <n v="-1000016979"/>
    <s v=""/>
    <s v=""/>
    <s v="3M"/>
    <x v="5"/>
    <s v="MY"/>
    <s v="3"/>
    <s v="5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-1003536571"/>
    <n v="-1000007921"/>
    <s v=""/>
    <s v=""/>
    <s v="42"/>
    <x v="2"/>
    <s v="EU"/>
    <s v="1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21"/>
    <n v="-1000007921"/>
    <s v=""/>
    <s v=""/>
    <s v="42"/>
    <x v="2"/>
    <s v="EU"/>
    <s v="1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783"/>
    <n v="2135900996"/>
    <s v=""/>
    <s v=""/>
    <s v="42"/>
    <x v="2"/>
    <s v="EU"/>
    <s v="12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46"/>
    <n v="505236771"/>
    <s v=""/>
    <s v=""/>
    <s v="42"/>
    <x v="2"/>
    <s v="EU"/>
    <s v="12"/>
    <s v="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588"/>
    <n v="1320713006"/>
    <s v=""/>
    <s v=""/>
    <s v="31"/>
    <x v="7"/>
    <s v="EU"/>
    <s v="02"/>
    <s v="1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0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06"/>
    <n v="1320713006"/>
    <s v=""/>
    <s v=""/>
    <s v="31"/>
    <x v="7"/>
    <s v="EU"/>
    <s v="02"/>
    <s v="1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55"/>
    <n v="2135900996"/>
    <s v=""/>
    <s v=""/>
    <s v="42"/>
    <x v="2"/>
    <s v="EU"/>
    <s v="12"/>
    <s v="4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12"/>
    <n v="2135900996"/>
    <s v=""/>
    <s v=""/>
    <s v="42"/>
    <x v="2"/>
    <s v="EU"/>
    <s v="12"/>
    <s v="6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3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503"/>
    <n v="-1000007921"/>
    <s v=""/>
    <s v="NP"/>
    <s v=""/>
    <x v="6"/>
    <s v=""/>
    <s v="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31"/>
    <n v="-1000007921"/>
    <s v=""/>
    <s v=""/>
    <s v="42"/>
    <x v="2"/>
    <s v="EU"/>
    <s v="1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4683153"/>
    <n v="-1000016973"/>
    <s v=""/>
    <s v=""/>
    <s v="42"/>
    <x v="2"/>
    <s v="EU"/>
    <s v="12"/>
    <s v="5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45"/>
    <n v="-1000016973"/>
    <s v=""/>
    <s v=""/>
    <s v="42"/>
    <x v="2"/>
    <s v="EU"/>
    <s v="12"/>
    <s v="9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55"/>
    <n v="-1000016973"/>
    <s v=""/>
    <s v=""/>
    <s v="41"/>
    <x v="1"/>
    <s v="EU"/>
    <s v="03"/>
    <s v="4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59"/>
    <n v="-1000016973"/>
    <s v=""/>
    <s v="NS"/>
    <s v=""/>
    <x v="6"/>
    <s v=""/>
    <s v=""/>
    <s v="2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61"/>
    <n v="-1000016973"/>
    <s v=""/>
    <s v="NS"/>
    <s v=""/>
    <x v="6"/>
    <s v=""/>
    <s v=""/>
    <s v="1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5515163"/>
    <n v="-1000023139"/>
    <s v=""/>
    <s v=""/>
    <s v="31"/>
    <x v="7"/>
    <s v="EU"/>
    <s v="02"/>
    <s v="10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65"/>
    <n v="-1000023139"/>
    <s v=""/>
    <s v=""/>
    <s v="42"/>
    <x v="2"/>
    <s v="EU"/>
    <s v="12"/>
    <s v="9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71"/>
    <n v="-1000023139"/>
    <s v=""/>
    <s v=""/>
    <s v="42"/>
    <x v="2"/>
    <s v="EU"/>
    <s v="12"/>
    <s v="6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75"/>
    <n v="-1000023139"/>
    <s v=""/>
    <s v=""/>
    <s v="42"/>
    <x v="2"/>
    <s v="EU"/>
    <s v="12"/>
    <s v="4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773313"/>
    <n v="-1000024921"/>
    <s v=""/>
    <s v=""/>
    <s v="31"/>
    <x v="7"/>
    <s v="EU"/>
    <s v="02"/>
    <s v="9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15"/>
    <n v="-1000024921"/>
    <s v=""/>
    <s v=""/>
    <s v="31"/>
    <x v="7"/>
    <s v="EU"/>
    <s v="02"/>
    <s v="8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33"/>
    <n v="-1000024921"/>
    <s v=""/>
    <s v=""/>
    <s v="52"/>
    <x v="0"/>
    <s v="EU"/>
    <s v="13"/>
    <s v="9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5"/>
    <n v="-1000024921"/>
    <s v=""/>
    <s v=""/>
    <s v="42"/>
    <x v="2"/>
    <s v="EU"/>
    <s v="12"/>
    <s v="8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7"/>
    <n v="-1000024921"/>
    <s v=""/>
    <s v=""/>
    <s v="42"/>
    <x v="2"/>
    <s v="EU"/>
    <s v="12"/>
    <s v="7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9"/>
    <n v="-1000024921"/>
    <s v=""/>
    <s v=""/>
    <s v="52"/>
    <x v="0"/>
    <s v="EU"/>
    <s v="13"/>
    <s v="6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353657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092"/>
    <n v="2135900996"/>
    <s v=""/>
    <s v=""/>
    <s v="42"/>
    <x v="2"/>
    <s v="EU"/>
    <s v="12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2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7343906"/>
    <n v="505236771"/>
    <s v=""/>
    <s v=""/>
    <s v="42"/>
    <x v="2"/>
    <s v="EU"/>
    <s v="12"/>
    <s v="2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179"/>
    <n v="-1000007907"/>
    <s v=""/>
    <s v=""/>
    <s v="42"/>
    <x v="2"/>
    <s v="EU"/>
    <s v="12"/>
    <s v="9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680173"/>
    <n v="2135900996"/>
    <s v=""/>
    <s v=""/>
    <s v="42"/>
    <x v="2"/>
    <s v="EU"/>
    <s v="12"/>
    <s v="5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0"/>
    <n v="1320713006"/>
    <s v=""/>
    <s v=""/>
    <s v="31"/>
    <x v="7"/>
    <s v="EU"/>
    <s v="02"/>
    <s v="2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75"/>
    <n v="2135900996"/>
    <s v=""/>
    <s v=""/>
    <s v="41"/>
    <x v="1"/>
    <s v="EU"/>
    <s v="03"/>
    <s v="8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7"/>
    <n v="2135900996"/>
    <s v=""/>
    <s v=""/>
    <s v="42"/>
    <x v="2"/>
    <s v="EU"/>
    <s v="12"/>
    <s v="6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6"/>
    <n v="2135900996"/>
    <s v=""/>
    <s v=""/>
    <s v="42"/>
    <x v="2"/>
    <s v="EU"/>
    <s v="1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2"/>
    <n v="2135900996"/>
    <s v=""/>
    <s v=""/>
    <s v="42"/>
    <x v="2"/>
    <s v="EU"/>
    <s v="12"/>
    <s v="5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4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263"/>
    <n v="2135900996"/>
    <s v=""/>
    <s v=""/>
    <s v="42"/>
    <x v="2"/>
    <s v="EU"/>
    <s v="12"/>
    <s v="8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58"/>
    <n v="1320713006"/>
    <s v=""/>
    <s v=""/>
    <s v="42"/>
    <x v="2"/>
    <s v="EU"/>
    <s v="12"/>
    <s v="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04"/>
    <n v="2135900996"/>
    <s v=""/>
    <s v=""/>
    <s v="32"/>
    <x v="11"/>
    <s v="EU"/>
    <s v="11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90"/>
    <n v="2135900996"/>
    <s v=""/>
    <s v=""/>
    <s v="42"/>
    <x v="2"/>
    <s v="EU"/>
    <s v="12"/>
    <s v="8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8"/>
    <n v="2135900996"/>
    <s v=""/>
    <s v=""/>
    <s v="31"/>
    <x v="7"/>
    <s v="EU"/>
    <s v="02"/>
    <s v="3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435"/>
    <n v="-1000007917"/>
    <s v=""/>
    <s v="W"/>
    <s v=""/>
    <x v="6"/>
    <s v=""/>
    <s v=""/>
    <s v="7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6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63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912"/>
    <n v="505236771"/>
    <s v="0"/>
    <s v=""/>
    <s v="42"/>
    <x v="2"/>
    <s v="EU"/>
    <s v="12"/>
    <s v="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8680395"/>
    <n v="2135900996"/>
    <s v=""/>
    <s v=""/>
    <s v="32"/>
    <x v="11"/>
    <s v="EU"/>
    <s v="11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551"/>
    <n v="-1000007921"/>
    <s v=""/>
    <s v="RG"/>
    <s v=""/>
    <x v="6"/>
    <s v=""/>
    <s v="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579"/>
    <n v="1320713006"/>
    <s v=""/>
    <s v=""/>
    <s v="31"/>
    <x v="7"/>
    <s v="EU"/>
    <s v="02"/>
    <s v="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51"/>
    <n v="2135900996"/>
    <s v=""/>
    <s v=""/>
    <s v="41"/>
    <x v="1"/>
    <s v="EU"/>
    <s v="03"/>
    <s v="7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11699880"/>
    <n v="632014233"/>
    <s v=""/>
    <s v=""/>
    <s v="42"/>
    <x v="2"/>
    <s v="EU"/>
    <s v="12"/>
    <s v="9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392"/>
    <n v="2135900996"/>
    <s v=""/>
    <s v=""/>
    <s v="31"/>
    <x v="7"/>
    <s v="EU"/>
    <s v="02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49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278"/>
    <n v="2135900996"/>
    <s v=""/>
    <s v=""/>
    <s v="31"/>
    <x v="7"/>
    <s v="EU"/>
    <s v="02"/>
    <s v="8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2"/>
    <n v="2135900996"/>
    <s v=""/>
    <s v=""/>
    <s v="42"/>
    <x v="2"/>
    <s v="EU"/>
    <s v="1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177"/>
    <n v="-1000007907"/>
    <s v=""/>
    <s v=""/>
    <s v="31"/>
    <x v="7"/>
    <s v="EU"/>
    <s v="02"/>
    <s v="10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771"/>
    <n v="-1000007925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9868503"/>
    <n v="1585028383"/>
    <s v=""/>
    <s v=""/>
    <s v="52"/>
    <x v="0"/>
    <s v="EU"/>
    <s v="13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8680621"/>
    <n v="1320713006"/>
    <s v=""/>
    <s v="MF"/>
    <s v=""/>
    <x v="6"/>
    <s v="EU"/>
    <s v=""/>
    <s v="2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9868521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8"/>
    <n v="1585028383"/>
    <s v=""/>
    <s v=""/>
    <s v="52"/>
    <x v="0"/>
    <s v="EU"/>
    <s v="13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24"/>
    <n v="1585028383"/>
    <s v=""/>
    <s v=""/>
    <s v="41"/>
    <x v="1"/>
    <s v="EU"/>
    <s v="03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27"/>
    <n v="1585028383"/>
    <s v=""/>
    <s v=""/>
    <s v="52"/>
    <x v="0"/>
    <s v="EU"/>
    <s v="13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42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45"/>
    <n v="1585028383"/>
    <s v=""/>
    <s v=""/>
    <s v="42"/>
    <x v="2"/>
    <s v="EU"/>
    <s v="12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57"/>
    <n v="1585028383"/>
    <s v=""/>
    <s v=""/>
    <s v="52"/>
    <x v="0"/>
    <s v="EU"/>
    <s v="13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78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81"/>
    <n v="1585028383"/>
    <s v=""/>
    <s v=""/>
    <s v="42"/>
    <x v="2"/>
    <s v="EU"/>
    <s v="12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93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75"/>
    <n v="1585028383"/>
    <s v=""/>
    <s v=""/>
    <s v="42"/>
    <x v="2"/>
    <s v="EU"/>
    <s v="12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78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87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90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02"/>
    <n v="1585028383"/>
    <s v=""/>
    <s v=""/>
    <s v="52"/>
    <x v="0"/>
    <s v="EU"/>
    <s v="13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05"/>
    <n v="1585028383"/>
    <s v=""/>
    <s v=""/>
    <s v="42"/>
    <x v="2"/>
    <s v="EU"/>
    <s v="12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11"/>
    <n v="1585028383"/>
    <s v=""/>
    <s v=""/>
    <s v="52"/>
    <x v="0"/>
    <s v="EU"/>
    <s v="13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17"/>
    <n v="1585028383"/>
    <s v=""/>
    <s v=""/>
    <s v="42"/>
    <x v="2"/>
    <s v="EU"/>
    <s v="12"/>
    <s v="9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6"/>
    <n v="1585028383"/>
    <s v=""/>
    <s v=""/>
    <s v="42"/>
    <x v="2"/>
    <s v="EU"/>
    <s v="12"/>
    <s v="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56"/>
    <n v="1585028383"/>
    <s v=""/>
    <s v=""/>
    <s v="42"/>
    <x v="2"/>
    <s v="EU"/>
    <s v="12"/>
    <s v="1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57"/>
    <n v="1585028383"/>
    <s v=""/>
    <s v=""/>
    <s v="42"/>
    <x v="2"/>
    <s v="EU"/>
    <s v="12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54"/>
    <n v="1585028383"/>
    <s v=""/>
    <s v=""/>
    <s v="42"/>
    <x v="2"/>
    <s v="EU"/>
    <s v="12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60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2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5"/>
    <n v="1585028383"/>
    <s v=""/>
    <s v=""/>
    <s v="52"/>
    <x v="0"/>
    <s v="EU"/>
    <s v="13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64"/>
    <n v="1585028383"/>
    <s v=""/>
    <s v=""/>
    <s v="42"/>
    <x v="2"/>
    <s v="EU"/>
    <s v="12"/>
    <s v="4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76"/>
    <n v="1585028383"/>
    <s v=""/>
    <s v=""/>
    <s v="42"/>
    <x v="2"/>
    <s v="EU"/>
    <s v="12"/>
    <s v="5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5"/>
    <n v="1585028383"/>
    <s v=""/>
    <s v=""/>
    <s v="53"/>
    <x v="4"/>
    <s v="EU"/>
    <s v="22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12"/>
    <n v="1585028383"/>
    <s v=""/>
    <s v=""/>
    <s v="42"/>
    <x v="2"/>
    <s v="EU"/>
    <s v="12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27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94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85"/>
    <n v="1585028383"/>
    <s v=""/>
    <s v=""/>
    <s v="42"/>
    <x v="2"/>
    <s v="EU"/>
    <s v="12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3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6"/>
    <n v="1585028383"/>
    <s v=""/>
    <s v=""/>
    <s v="42"/>
    <x v="2"/>
    <s v="EU"/>
    <s v="12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9"/>
    <n v="1585028383"/>
    <s v=""/>
    <s v=""/>
    <s v="42"/>
    <x v="2"/>
    <s v="EU"/>
    <s v="12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12"/>
    <n v="1585028383"/>
    <s v=""/>
    <s v=""/>
    <s v="42"/>
    <x v="2"/>
    <s v="EU"/>
    <s v="12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21"/>
    <n v="1585028383"/>
    <s v=""/>
    <s v=""/>
    <s v="42"/>
    <x v="2"/>
    <s v="EU"/>
    <s v="12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30"/>
    <n v="1585028383"/>
    <s v=""/>
    <s v=""/>
    <s v="41"/>
    <x v="1"/>
    <s v="EU"/>
    <s v="03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48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51"/>
    <n v="1585028383"/>
    <s v=""/>
    <s v=""/>
    <s v="42"/>
    <x v="2"/>
    <s v="EU"/>
    <s v="12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54"/>
    <n v="1585028383"/>
    <s v=""/>
    <s v=""/>
    <s v="52"/>
    <x v="0"/>
    <s v="EU"/>
    <s v="13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0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3"/>
    <n v="1585028383"/>
    <s v=""/>
    <s v=""/>
    <s v="42"/>
    <x v="2"/>
    <s v="EU"/>
    <s v="12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181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84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90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17"/>
    <n v="1585028383"/>
    <s v=""/>
    <s v=""/>
    <s v="42"/>
    <x v="2"/>
    <s v="EU"/>
    <s v="12"/>
    <s v="9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0"/>
    <n v="1585028383"/>
    <s v=""/>
    <s v=""/>
    <s v="42"/>
    <x v="2"/>
    <s v="EU"/>
    <s v="12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6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9"/>
    <n v="1585028383"/>
    <s v=""/>
    <s v=""/>
    <s v="42"/>
    <x v="2"/>
    <s v="EU"/>
    <s v="12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20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05"/>
    <n v="1585028383"/>
    <s v=""/>
    <s v=""/>
    <s v="42"/>
    <x v="2"/>
    <s v="EU"/>
    <s v="12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26"/>
    <n v="1585028383"/>
    <s v=""/>
    <s v=""/>
    <s v="42"/>
    <x v="2"/>
    <s v="EU"/>
    <s v="12"/>
    <s v="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29"/>
    <n v="1585028383"/>
    <s v=""/>
    <s v=""/>
    <s v="42"/>
    <x v="2"/>
    <s v="EU"/>
    <s v="12"/>
    <s v="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35"/>
    <n v="1585028383"/>
    <s v=""/>
    <s v=""/>
    <s v="52"/>
    <x v="0"/>
    <s v="EU"/>
    <s v="13"/>
    <s v="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59"/>
    <n v="1585028383"/>
    <s v=""/>
    <s v=""/>
    <s v="32"/>
    <x v="11"/>
    <s v="EU"/>
    <s v="11"/>
    <s v="1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62"/>
    <n v="1585028383"/>
    <s v=""/>
    <s v=""/>
    <s v="41"/>
    <x v="1"/>
    <s v="EU"/>
    <s v="03"/>
    <s v="1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68"/>
    <n v="1585028383"/>
    <s v=""/>
    <s v=""/>
    <s v="32"/>
    <x v="11"/>
    <s v="EU"/>
    <s v="11"/>
    <s v="1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89"/>
    <n v="1585028383"/>
    <s v=""/>
    <s v=""/>
    <s v="52"/>
    <x v="0"/>
    <s v="EU"/>
    <s v="13"/>
    <s v="2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92"/>
    <n v="1585028383"/>
    <s v=""/>
    <s v=""/>
    <s v="52"/>
    <x v="0"/>
    <s v="EU"/>
    <s v="13"/>
    <s v="2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04"/>
    <n v="1585028383"/>
    <s v=""/>
    <s v=""/>
    <s v="42"/>
    <x v="2"/>
    <s v="EU"/>
    <s v="12"/>
    <s v="2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2"/>
    <n v="1585028383"/>
    <s v=""/>
    <s v=""/>
    <s v="32"/>
    <x v="11"/>
    <s v="EU"/>
    <s v="11"/>
    <s v="3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5"/>
    <n v="1585028383"/>
    <s v=""/>
    <s v=""/>
    <s v="32"/>
    <x v="11"/>
    <s v="EU"/>
    <s v="11"/>
    <s v="3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8"/>
    <n v="1585028383"/>
    <s v=""/>
    <s v=""/>
    <s v="42"/>
    <x v="2"/>
    <s v="EU"/>
    <s v="12"/>
    <s v="3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37"/>
    <n v="1585028383"/>
    <s v=""/>
    <s v=""/>
    <s v="42"/>
    <x v="2"/>
    <s v="EU"/>
    <s v="12"/>
    <s v="3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80"/>
    <n v="1585028383"/>
    <s v=""/>
    <s v=""/>
    <s v="52"/>
    <x v="0"/>
    <s v="EU"/>
    <s v="13"/>
    <s v="2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98"/>
    <n v="1585028383"/>
    <s v=""/>
    <s v=""/>
    <s v="42"/>
    <x v="2"/>
    <s v="EU"/>
    <s v="12"/>
    <s v="2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1"/>
    <n v="1585028383"/>
    <s v=""/>
    <s v=""/>
    <s v="42"/>
    <x v="2"/>
    <s v="EU"/>
    <s v="12"/>
    <s v="2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1"/>
    <n v="1585028383"/>
    <s v=""/>
    <s v=""/>
    <s v="42"/>
    <x v="2"/>
    <s v="EU"/>
    <s v="12"/>
    <s v="3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7"/>
    <n v="1585028383"/>
    <s v=""/>
    <s v=""/>
    <s v="42"/>
    <x v="2"/>
    <s v="EU"/>
    <s v="12"/>
    <s v="3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40"/>
    <n v="1585028383"/>
    <s v=""/>
    <s v=""/>
    <s v="42"/>
    <x v="2"/>
    <s v="EU"/>
    <s v="12"/>
    <s v="4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43"/>
    <n v="1585028383"/>
    <s v=""/>
    <s v=""/>
    <s v="42"/>
    <x v="2"/>
    <s v="EU"/>
    <s v="12"/>
    <s v="4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27"/>
    <n v="2076564668"/>
    <s v=""/>
    <s v=""/>
    <s v="42"/>
    <x v="2"/>
    <s v="EU"/>
    <s v="12"/>
    <s v="8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24"/>
    <n v="2076564668"/>
    <s v=""/>
    <s v="RG"/>
    <s v="3M"/>
    <x v="5"/>
    <s v="MY"/>
    <s v="3"/>
    <s v="7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30"/>
    <n v="2076564668"/>
    <s v=""/>
    <s v="RG"/>
    <s v="2M"/>
    <x v="3"/>
    <s v="MY"/>
    <s v="2"/>
    <s v="9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51"/>
    <n v="2076564668"/>
    <s v=""/>
    <s v=""/>
    <s v="42"/>
    <x v="2"/>
    <s v="EU"/>
    <s v="12"/>
    <s v="16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57"/>
    <n v="2076564668"/>
    <s v=""/>
    <s v=""/>
    <s v="42"/>
    <x v="2"/>
    <s v="EU"/>
    <s v="12"/>
    <s v="18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66"/>
    <n v="2076564668"/>
    <s v="0"/>
    <s v=""/>
    <s v="42"/>
    <x v="2"/>
    <s v="EU"/>
    <s v="12"/>
    <s v="2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69"/>
    <n v="2076564668"/>
    <s v=""/>
    <s v=""/>
    <s v="31"/>
    <x v="7"/>
    <s v="EU"/>
    <s v="02"/>
    <s v="2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72"/>
    <n v="2076564668"/>
    <s v="0"/>
    <s v=""/>
    <s v="31"/>
    <x v="7"/>
    <s v="EU"/>
    <s v="02"/>
    <s v="2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87"/>
    <n v="2076564668"/>
    <s v=""/>
    <s v=""/>
    <s v="42"/>
    <x v="2"/>
    <s v="EU"/>
    <s v="12"/>
    <s v="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8674590"/>
    <n v="2076564668"/>
    <s v="0"/>
    <s v=""/>
    <s v="42"/>
    <x v="2"/>
    <s v="EU"/>
    <s v="12"/>
    <s v="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9868755"/>
    <n v="1585028383"/>
    <s v=""/>
    <s v=""/>
    <s v="42"/>
    <x v="2"/>
    <s v="EU"/>
    <s v="12"/>
    <s v="4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052"/>
    <n v="1585028383"/>
    <s v=""/>
    <s v=""/>
    <s v="52"/>
    <x v="0"/>
    <s v="EU"/>
    <s v="13"/>
    <s v="4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64"/>
    <n v="1585028383"/>
    <s v=""/>
    <s v=""/>
    <s v="41"/>
    <x v="1"/>
    <s v="EU"/>
    <s v="03"/>
    <s v="4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84"/>
    <n v="1457771195"/>
    <s v="0"/>
    <s v=""/>
    <s v="42"/>
    <x v="2"/>
    <s v="EU"/>
    <s v="12"/>
    <s v="8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3"/>
    <n v="1457771195"/>
    <s v="0"/>
    <s v=""/>
    <s v="52"/>
    <x v="0"/>
    <s v="EU"/>
    <s v="13"/>
    <s v="8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6"/>
    <n v="1457771195"/>
    <s v=""/>
    <s v=""/>
    <s v="42"/>
    <x v="2"/>
    <s v="EU"/>
    <s v="12"/>
    <s v="9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9"/>
    <n v="1457771195"/>
    <s v="0"/>
    <s v=""/>
    <s v="52"/>
    <x v="0"/>
    <s v="EU"/>
    <s v="13"/>
    <s v="9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2"/>
    <n v="1457771195"/>
    <s v=""/>
    <s v=""/>
    <s v="42"/>
    <x v="2"/>
    <s v="EU"/>
    <s v="12"/>
    <s v="9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5"/>
    <n v="1457771195"/>
    <s v="0"/>
    <s v=""/>
    <s v="42"/>
    <x v="2"/>
    <s v="EU"/>
    <s v="12"/>
    <s v="9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205"/>
    <n v="1585028383"/>
    <s v=""/>
    <s v=""/>
    <s v="42"/>
    <x v="2"/>
    <s v="EU"/>
    <s v="12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7"/>
    <n v="1585028383"/>
    <s v=""/>
    <s v=""/>
    <s v="32"/>
    <x v="11"/>
    <s v="EU"/>
    <s v="11"/>
    <s v="2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14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6"/>
    <n v="1585028383"/>
    <s v=""/>
    <s v=""/>
    <s v="42"/>
    <x v="2"/>
    <s v="EU"/>
    <s v="12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28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87"/>
    <n v="1937971277"/>
    <s v="2"/>
    <s v="RS"/>
    <s v="S2"/>
    <x v="15"/>
    <s v="FW"/>
    <s v="1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93"/>
    <n v="1937971277"/>
    <s v="2"/>
    <s v="RS"/>
    <s v="S2"/>
    <x v="15"/>
    <s v="FW"/>
    <s v="1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302"/>
    <n v="1937971277"/>
    <s v="2"/>
    <s v="RS"/>
    <s v="S3"/>
    <x v="17"/>
    <s v="FW"/>
    <s v="2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314"/>
    <n v="1937971277"/>
    <s v="2"/>
    <s v="RG"/>
    <s v=""/>
    <x v="6"/>
    <s v="EU"/>
    <s v="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138279"/>
    <n v="1457771195"/>
    <s v="*"/>
    <s v=""/>
    <s v="42"/>
    <x v="2"/>
    <s v="EU"/>
    <s v="12"/>
    <s v="1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270"/>
    <n v="1457771195"/>
    <s v="*"/>
    <s v=""/>
    <s v="42"/>
    <x v="2"/>
    <s v="EU"/>
    <s v="12"/>
    <s v="1"/>
    <s v="Scales"/>
    <n v="2126660001"/>
    <s v="5 SCALES DOWN PER FISH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20T00:00:00"/>
    <d v="2021-09-20T00:00:00"/>
    <s v="21NC12033"/>
  </r>
  <r>
    <n v="12138285"/>
    <n v="1457771195"/>
    <s v="0"/>
    <s v=""/>
    <s v="42"/>
    <x v="2"/>
    <s v="EU"/>
    <s v="12"/>
    <s v="1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0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51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4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32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3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3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4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6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6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7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80"/>
    <n v="1937971277"/>
    <s v="1"/>
    <s v=""/>
    <s v="41"/>
    <x v="1"/>
    <s v="EU"/>
    <s v="03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8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55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5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63"/>
    <n v="1937971277"/>
    <s v="2"/>
    <s v="RG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66"/>
    <n v="1937971277"/>
    <s v="2"/>
    <s v="RG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7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8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587"/>
    <n v="1937971277"/>
    <s v="2"/>
    <s v="RG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60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1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29"/>
    <n v="1937971277"/>
    <s v="2"/>
    <s v="RS"/>
    <s v="S2"/>
    <x v="15"/>
    <s v="FW"/>
    <s v="1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38"/>
    <n v="1937971277"/>
    <s v="2"/>
    <s v="RS"/>
    <s v="S2"/>
    <x v="15"/>
    <s v="FW"/>
    <s v="1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41"/>
    <n v="1937971277"/>
    <s v="2"/>
    <s v="RS"/>
    <s v="S2"/>
    <x v="15"/>
    <s v="FW"/>
    <s v="1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50"/>
    <n v="1937971277"/>
    <s v="0"/>
    <s v=""/>
    <s v="41"/>
    <x v="1"/>
    <s v="EU"/>
    <s v="03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5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138291"/>
    <n v="1457771195"/>
    <s v="0"/>
    <s v=""/>
    <s v="42"/>
    <x v="2"/>
    <s v="EU"/>
    <s v="12"/>
    <s v="1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0"/>
    <n v="1457771195"/>
    <s v=""/>
    <s v=""/>
    <s v="52"/>
    <x v="0"/>
    <s v="EU"/>
    <s v="13"/>
    <s v="2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6"/>
    <n v="1457771195"/>
    <s v=""/>
    <s v=""/>
    <s v="42"/>
    <x v="2"/>
    <s v="EU"/>
    <s v="12"/>
    <s v="2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15"/>
    <n v="1457771195"/>
    <s v="0"/>
    <s v=""/>
    <s v="52"/>
    <x v="0"/>
    <s v="EU"/>
    <s v="13"/>
    <s v="2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8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294"/>
    <n v="1457771195"/>
    <s v=""/>
    <s v=""/>
    <s v="42"/>
    <x v="2"/>
    <s v="EU"/>
    <s v="12"/>
    <s v="1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9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323"/>
    <n v="1937971277"/>
    <s v="2"/>
    <s v="RG"/>
    <s v=""/>
    <x v="6"/>
    <s v="EU"/>
    <s v="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46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307"/>
    <n v="272891368"/>
    <s v=""/>
    <s v=""/>
    <s v="42"/>
    <x v="2"/>
    <s v="EU"/>
    <s v="12"/>
    <s v="9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78"/>
    <n v="272891368"/>
    <s v=""/>
    <s v=""/>
    <s v="52"/>
    <x v="0"/>
    <s v="EU"/>
    <s v="13"/>
    <s v="4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68"/>
    <n v="272891368"/>
    <s v="0"/>
    <s v=""/>
    <s v="52"/>
    <x v="0"/>
    <s v="EU"/>
    <s v="13"/>
    <s v="7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81"/>
    <n v="1457771195"/>
    <s v="0"/>
    <s v=""/>
    <s v="52"/>
    <x v="0"/>
    <s v="EU"/>
    <s v="13"/>
    <s v="8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9"/>
    <n v="1457771195"/>
    <s v=""/>
    <s v=""/>
    <s v="42"/>
    <x v="2"/>
    <s v="EU"/>
    <s v="12"/>
    <s v="2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48"/>
    <n v="1457771195"/>
    <s v=""/>
    <s v=""/>
    <s v="52"/>
    <x v="0"/>
    <s v="EU"/>
    <s v="13"/>
    <s v="3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24"/>
    <n v="1457771195"/>
    <s v="0"/>
    <s v=""/>
    <s v="52"/>
    <x v="0"/>
    <s v="EU"/>
    <s v="13"/>
    <s v="2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51"/>
    <n v="1457771195"/>
    <s v=""/>
    <s v=""/>
    <s v="42"/>
    <x v="2"/>
    <s v="EU"/>
    <s v="12"/>
    <s v="3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57"/>
    <n v="1457771195"/>
    <s v="0"/>
    <s v=""/>
    <s v="52"/>
    <x v="0"/>
    <s v="EU"/>
    <s v="13"/>
    <s v="4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548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491"/>
    <n v="1585028383"/>
    <s v=""/>
    <s v=""/>
    <s v="52"/>
    <x v="0"/>
    <s v="EU"/>
    <s v="13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49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7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1359772"/>
    <n v="2133460159"/>
    <s v=""/>
    <s v="RS"/>
    <s v="42"/>
    <x v="2"/>
    <s v="EU"/>
    <s v="12"/>
    <s v="3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707"/>
    <n v="1585028383"/>
    <s v=""/>
    <s v=""/>
    <s v="52"/>
    <x v="0"/>
    <s v="EU"/>
    <s v="13"/>
    <s v="2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430"/>
    <n v="2133460159"/>
    <s v=""/>
    <s v=""/>
    <s v="42"/>
    <x v="2"/>
    <s v="EU"/>
    <s v="12"/>
    <s v="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27"/>
    <n v="2133460159"/>
    <s v=""/>
    <s v="RS"/>
    <s v="52"/>
    <x v="0"/>
    <s v="EU"/>
    <s v="13"/>
    <s v="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39"/>
    <n v="2133460159"/>
    <s v=""/>
    <s v="RS"/>
    <s v="42"/>
    <x v="2"/>
    <s v="EU"/>
    <s v="12"/>
    <s v="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1"/>
    <n v="2133460159"/>
    <s v=""/>
    <s v="RS"/>
    <s v="52"/>
    <x v="0"/>
    <s v="EU"/>
    <s v="13"/>
    <s v="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4"/>
    <n v="2133460159"/>
    <s v=""/>
    <s v=""/>
    <s v="42"/>
    <x v="2"/>
    <s v="EU"/>
    <s v="12"/>
    <s v="1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7"/>
    <n v="2133460159"/>
    <s v=""/>
    <s v=""/>
    <s v="42"/>
    <x v="2"/>
    <s v="EU"/>
    <s v="12"/>
    <s v="1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66"/>
    <n v="2133460159"/>
    <s v=""/>
    <s v="RS"/>
    <s v="42"/>
    <x v="2"/>
    <s v="EU"/>
    <s v="12"/>
    <s v="1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72"/>
    <n v="2133460159"/>
    <s v=""/>
    <s v="RS"/>
    <s v="42"/>
    <x v="2"/>
    <s v="EU"/>
    <s v="12"/>
    <s v="1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81"/>
    <n v="2133460159"/>
    <s v=""/>
    <s v="RS"/>
    <s v="52"/>
    <x v="0"/>
    <s v="EU"/>
    <s v="13"/>
    <s v="1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98"/>
    <n v="1937971277"/>
    <s v="0"/>
    <s v=""/>
    <s v="41"/>
    <x v="1"/>
    <s v="EU"/>
    <s v="03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0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1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4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4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4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64"/>
    <n v="1937971277"/>
    <s v="2"/>
    <s v="RS"/>
    <s v="S3"/>
    <x v="17"/>
    <s v="FW"/>
    <s v="2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27550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9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375"/>
    <n v="1457771195"/>
    <s v="0"/>
    <s v=""/>
    <s v="52"/>
    <x v="0"/>
    <s v="EU"/>
    <s v="13"/>
    <s v="4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78"/>
    <n v="1457771195"/>
    <s v=""/>
    <s v=""/>
    <s v="2M"/>
    <x v="3"/>
    <s v="MY"/>
    <s v="2"/>
    <s v="4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87"/>
    <n v="1457771195"/>
    <s v=""/>
    <s v="NA"/>
    <s v=""/>
    <x v="6"/>
    <s v="EU"/>
    <s v=""/>
    <s v="5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423"/>
    <n v="408628360"/>
    <s v=""/>
    <s v=""/>
    <s v="42"/>
    <x v="2"/>
    <s v="EU"/>
    <s v="12"/>
    <s v="4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8944"/>
    <n v="1585028383"/>
    <s v=""/>
    <s v=""/>
    <s v="42"/>
    <x v="2"/>
    <s v="EU"/>
    <s v="12"/>
    <s v="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63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599"/>
    <n v="1937971277"/>
    <s v="2"/>
    <s v="RG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139891"/>
    <n v="1457771195"/>
    <s v=""/>
    <s v=""/>
    <s v="31"/>
    <x v="7"/>
    <s v="EU"/>
    <s v="02"/>
    <s v="5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269"/>
    <n v="1937971277"/>
    <s v="2"/>
    <s v="RS"/>
    <s v="0M"/>
    <x v="12"/>
    <s v="MY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5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72"/>
    <n v="1937971277"/>
    <s v="2"/>
    <s v="RS"/>
    <s v="0M"/>
    <x v="12"/>
    <s v="MY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8441"/>
    <n v="1491865608"/>
    <s v="*"/>
    <s v=""/>
    <s v="32"/>
    <x v="11"/>
    <s v="EU"/>
    <s v="11"/>
    <s v="1"/>
    <s v="Otolith - Burnt Section"/>
    <n v="2126660003"/>
    <s v="1 OTOLITH ACROSS (TRAY)"/>
    <n v="11707552"/>
    <s v="ATNARKO ESCAPEMENT - 2021"/>
    <n v="23701"/>
    <s v="S ATNARKO ABOVE LONESOME"/>
    <x v="9"/>
    <s v="2021/0292"/>
    <n v="1"/>
    <s v="SOCKEYE SALMON"/>
    <n v="2086090012"/>
    <x v="1"/>
    <n v="83"/>
    <s v="Gaff (Deadpitch)"/>
    <s v="Adult"/>
    <d v="2021-09-23T00:00:00"/>
    <d v="2021-09-23T00:00:00"/>
    <s v="Oto Box 3"/>
  </r>
  <r>
    <n v="12139921"/>
    <n v="1457771195"/>
    <s v=""/>
    <s v=""/>
    <s v="42"/>
    <x v="2"/>
    <s v="EU"/>
    <s v="12"/>
    <s v="6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484"/>
    <n v="2133460159"/>
    <s v=""/>
    <s v=""/>
    <s v="42"/>
    <x v="2"/>
    <s v="EU"/>
    <s v="12"/>
    <s v="2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43"/>
    <n v="272891368"/>
    <s v=""/>
    <s v=""/>
    <s v="42"/>
    <x v="2"/>
    <s v="EU"/>
    <s v="12"/>
    <s v="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37"/>
    <n v="272891368"/>
    <s v="0"/>
    <s v=""/>
    <s v="42"/>
    <x v="2"/>
    <s v="EU"/>
    <s v="12"/>
    <s v="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46"/>
    <n v="272891368"/>
    <s v=""/>
    <s v=""/>
    <s v="52"/>
    <x v="0"/>
    <s v="EU"/>
    <s v="13"/>
    <s v="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52"/>
    <n v="272891368"/>
    <s v=""/>
    <s v=""/>
    <s v="52"/>
    <x v="0"/>
    <s v="EU"/>
    <s v="13"/>
    <s v="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64"/>
    <n v="272891368"/>
    <s v="0"/>
    <s v=""/>
    <s v="42"/>
    <x v="2"/>
    <s v="EU"/>
    <s v="12"/>
    <s v="1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70"/>
    <n v="272891368"/>
    <s v=""/>
    <s v=""/>
    <s v="42"/>
    <x v="2"/>
    <s v="EU"/>
    <s v="12"/>
    <s v="1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94"/>
    <n v="272891368"/>
    <s v="0"/>
    <s v=""/>
    <s v="42"/>
    <x v="2"/>
    <s v="EU"/>
    <s v="12"/>
    <s v="1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0"/>
    <n v="272891368"/>
    <s v=""/>
    <s v=""/>
    <s v="42"/>
    <x v="2"/>
    <s v="EU"/>
    <s v="12"/>
    <s v="2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3"/>
    <n v="272891368"/>
    <s v="0"/>
    <s v=""/>
    <s v="42"/>
    <x v="2"/>
    <s v="EU"/>
    <s v="12"/>
    <s v="2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73"/>
    <n v="2133460159"/>
    <s v=""/>
    <s v="RS"/>
    <s v="52"/>
    <x v="0"/>
    <s v="EU"/>
    <s v="13"/>
    <s v="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304"/>
    <n v="272891368"/>
    <s v=""/>
    <s v=""/>
    <s v="42"/>
    <x v="2"/>
    <s v="EU"/>
    <s v="12"/>
    <s v="8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21"/>
    <n v="272891368"/>
    <s v="0"/>
    <s v=""/>
    <s v="42"/>
    <x v="2"/>
    <s v="EU"/>
    <s v="12"/>
    <s v="2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25"/>
    <n v="272891368"/>
    <s v="*"/>
    <s v=""/>
    <s v="42"/>
    <x v="2"/>
    <s v="EU"/>
    <s v="12"/>
    <s v="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31"/>
    <n v="272891368"/>
    <s v="*"/>
    <s v=""/>
    <s v="42"/>
    <x v="2"/>
    <s v="EU"/>
    <s v="12"/>
    <s v="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52"/>
    <n v="272891368"/>
    <s v=""/>
    <s v=""/>
    <s v="42"/>
    <x v="2"/>
    <s v="EU"/>
    <s v="12"/>
    <s v="1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33"/>
    <n v="272891368"/>
    <s v=""/>
    <s v=""/>
    <s v="42"/>
    <x v="2"/>
    <s v="EU"/>
    <s v="12"/>
    <s v="3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39"/>
    <n v="272891368"/>
    <s v=""/>
    <s v=""/>
    <s v="42"/>
    <x v="2"/>
    <s v="EU"/>
    <s v="12"/>
    <s v="3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5"/>
    <n v="272891368"/>
    <s v=""/>
    <s v=""/>
    <s v="42"/>
    <x v="2"/>
    <s v="EU"/>
    <s v="12"/>
    <s v="3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8"/>
    <n v="272891368"/>
    <s v=""/>
    <s v=""/>
    <s v="42"/>
    <x v="2"/>
    <s v="EU"/>
    <s v="12"/>
    <s v="3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54"/>
    <n v="272891368"/>
    <s v="0"/>
    <s v=""/>
    <s v="42"/>
    <x v="2"/>
    <s v="EU"/>
    <s v="12"/>
    <s v="3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57"/>
    <n v="272891368"/>
    <s v=""/>
    <s v=""/>
    <s v="42"/>
    <x v="2"/>
    <s v="EU"/>
    <s v="12"/>
    <s v="4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60"/>
    <n v="272891368"/>
    <s v=""/>
    <s v=""/>
    <s v="42"/>
    <x v="2"/>
    <s v="EU"/>
    <s v="12"/>
    <s v="4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81"/>
    <n v="272891368"/>
    <s v="0"/>
    <s v=""/>
    <s v="42"/>
    <x v="2"/>
    <s v="EU"/>
    <s v="12"/>
    <s v="4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5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6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6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1359694"/>
    <n v="2133460159"/>
    <s v=""/>
    <s v="RS"/>
    <s v="42"/>
    <x v="2"/>
    <s v="EU"/>
    <s v="12"/>
    <s v="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91"/>
    <n v="2133460159"/>
    <s v=""/>
    <s v="RS"/>
    <s v="42"/>
    <x v="2"/>
    <s v="EU"/>
    <s v="12"/>
    <s v="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00"/>
    <n v="2133460159"/>
    <s v=""/>
    <s v="RS"/>
    <s v="42"/>
    <x v="2"/>
    <s v="EU"/>
    <s v="12"/>
    <s v="1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2"/>
    <n v="2133460159"/>
    <s v=""/>
    <s v="RS"/>
    <s v="52"/>
    <x v="0"/>
    <s v="EU"/>
    <s v="13"/>
    <s v="1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5"/>
    <n v="2133460159"/>
    <s v=""/>
    <s v="RS"/>
    <s v="42"/>
    <x v="2"/>
    <s v="EU"/>
    <s v="12"/>
    <s v="1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496"/>
    <n v="2133460159"/>
    <s v=""/>
    <s v="RS"/>
    <s v="52"/>
    <x v="0"/>
    <s v="EU"/>
    <s v="13"/>
    <s v="2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68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27567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27568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364"/>
    <n v="272891368"/>
    <s v="0"/>
    <s v=""/>
    <s v="42"/>
    <x v="2"/>
    <s v="EU"/>
    <s v="12"/>
    <s v="1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67"/>
    <n v="272891368"/>
    <s v="0"/>
    <s v=""/>
    <s v="42"/>
    <x v="2"/>
    <s v="EU"/>
    <s v="12"/>
    <s v="1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73"/>
    <n v="272891368"/>
    <s v=""/>
    <s v=""/>
    <s v="52"/>
    <x v="0"/>
    <s v="EU"/>
    <s v="13"/>
    <s v="1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82"/>
    <n v="272891368"/>
    <s v="*"/>
    <s v=""/>
    <s v="52"/>
    <x v="0"/>
    <s v="EU"/>
    <s v="13"/>
    <s v="2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91"/>
    <n v="272891368"/>
    <s v="*"/>
    <s v=""/>
    <s v="42"/>
    <x v="2"/>
    <s v="EU"/>
    <s v="12"/>
    <s v="2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421"/>
    <n v="272891368"/>
    <s v=""/>
    <s v=""/>
    <s v="42"/>
    <x v="2"/>
    <s v="EU"/>
    <s v="12"/>
    <s v="3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46"/>
    <n v="1457771195"/>
    <s v="0"/>
    <s v=""/>
    <s v="52"/>
    <x v="0"/>
    <s v="EU"/>
    <s v="13"/>
    <s v="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232"/>
    <n v="272891368"/>
    <s v=""/>
    <s v=""/>
    <s v="52"/>
    <x v="0"/>
    <s v="EU"/>
    <s v="13"/>
    <s v="6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35"/>
    <n v="272891368"/>
    <s v="0"/>
    <s v=""/>
    <s v="42"/>
    <x v="2"/>
    <s v="EU"/>
    <s v="12"/>
    <s v="6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38"/>
    <n v="272891368"/>
    <s v=""/>
    <s v=""/>
    <s v="42"/>
    <x v="2"/>
    <s v="EU"/>
    <s v="12"/>
    <s v="6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47"/>
    <n v="272891368"/>
    <s v="0"/>
    <s v=""/>
    <s v="52"/>
    <x v="0"/>
    <s v="EU"/>
    <s v="13"/>
    <s v="7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724"/>
    <n v="2133460159"/>
    <s v=""/>
    <s v="RS"/>
    <s v="42"/>
    <x v="2"/>
    <s v="EU"/>
    <s v="12"/>
    <s v="1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8"/>
    <n v="2133460159"/>
    <s v=""/>
    <s v="RS"/>
    <s v="42"/>
    <x v="2"/>
    <s v="EU"/>
    <s v="12"/>
    <s v="1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42"/>
    <n v="2133460159"/>
    <s v=""/>
    <s v="RS"/>
    <s v="42"/>
    <x v="2"/>
    <s v="EU"/>
    <s v="12"/>
    <s v="2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48"/>
    <n v="2133460159"/>
    <s v=""/>
    <s v=""/>
    <s v="41"/>
    <x v="1"/>
    <s v="EU"/>
    <s v="03"/>
    <s v="2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54"/>
    <n v="2133460159"/>
    <s v=""/>
    <s v="RS"/>
    <s v="42"/>
    <x v="2"/>
    <s v="EU"/>
    <s v="12"/>
    <s v="2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57"/>
    <n v="2133460159"/>
    <s v=""/>
    <s v="RS"/>
    <s v="42"/>
    <x v="2"/>
    <s v="EU"/>
    <s v="12"/>
    <s v="2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0"/>
    <n v="2133460159"/>
    <s v=""/>
    <s v="RS"/>
    <s v="52"/>
    <x v="0"/>
    <s v="EU"/>
    <s v="13"/>
    <s v="3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6"/>
    <n v="2133460159"/>
    <s v=""/>
    <s v="UM"/>
    <s v="S2"/>
    <x v="15"/>
    <s v="FW"/>
    <s v="1"/>
    <s v="3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9"/>
    <n v="2133460159"/>
    <s v=""/>
    <s v="RS"/>
    <s v="42"/>
    <x v="2"/>
    <s v="EU"/>
    <s v="12"/>
    <s v="3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78"/>
    <n v="2133460159"/>
    <s v=""/>
    <s v=""/>
    <s v="52"/>
    <x v="0"/>
    <s v="EU"/>
    <s v="13"/>
    <s v="3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87"/>
    <n v="2133460159"/>
    <s v=""/>
    <s v="RS"/>
    <s v="42"/>
    <x v="2"/>
    <s v="EU"/>
    <s v="12"/>
    <s v="3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02"/>
    <n v="2133460159"/>
    <s v=""/>
    <s v="RS"/>
    <s v="42"/>
    <x v="2"/>
    <s v="EU"/>
    <s v="12"/>
    <s v="4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11"/>
    <n v="2133460159"/>
    <s v=""/>
    <s v=""/>
    <s v="42"/>
    <x v="2"/>
    <s v="EU"/>
    <s v="12"/>
    <s v="4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20"/>
    <n v="2133460159"/>
    <s v=""/>
    <s v="RS"/>
    <s v="42"/>
    <x v="2"/>
    <s v="EU"/>
    <s v="12"/>
    <s v="5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26"/>
    <n v="2133460159"/>
    <s v=""/>
    <s v="RS"/>
    <s v="42"/>
    <x v="2"/>
    <s v="EU"/>
    <s v="12"/>
    <s v="5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32"/>
    <n v="2133460159"/>
    <s v=""/>
    <s v="RS"/>
    <s v="42"/>
    <x v="2"/>
    <s v="EU"/>
    <s v="12"/>
    <s v="5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38"/>
    <n v="2133460159"/>
    <s v=""/>
    <s v="RS"/>
    <s v="41"/>
    <x v="1"/>
    <s v="EU"/>
    <s v="03"/>
    <s v="5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11"/>
    <n v="2133460159"/>
    <s v=""/>
    <s v="RS"/>
    <s v="42"/>
    <x v="2"/>
    <s v="EU"/>
    <s v="12"/>
    <s v="2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17"/>
    <n v="2133460159"/>
    <s v=""/>
    <s v="RS"/>
    <s v="42"/>
    <x v="2"/>
    <s v="EU"/>
    <s v="12"/>
    <s v="3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23"/>
    <n v="2133460159"/>
    <s v=""/>
    <s v="RS"/>
    <s v="42"/>
    <x v="2"/>
    <s v="EU"/>
    <s v="12"/>
    <s v="3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32"/>
    <n v="2133460159"/>
    <s v=""/>
    <s v="RS"/>
    <s v="42"/>
    <x v="2"/>
    <s v="EU"/>
    <s v="12"/>
    <s v="3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35"/>
    <n v="2133460159"/>
    <s v=""/>
    <s v="RS"/>
    <s v="42"/>
    <x v="2"/>
    <s v="EU"/>
    <s v="12"/>
    <s v="3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44"/>
    <n v="2133460159"/>
    <s v=""/>
    <s v=""/>
    <s v="42"/>
    <x v="2"/>
    <s v="EU"/>
    <s v="12"/>
    <s v="4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56"/>
    <n v="2133460159"/>
    <s v=""/>
    <s v="RS"/>
    <s v="42"/>
    <x v="2"/>
    <s v="EU"/>
    <s v="12"/>
    <s v="4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59"/>
    <n v="2133460159"/>
    <s v=""/>
    <s v=""/>
    <s v="42"/>
    <x v="2"/>
    <s v="EU"/>
    <s v="12"/>
    <s v="4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5"/>
    <n v="2133460159"/>
    <s v=""/>
    <s v=""/>
    <s v="42"/>
    <x v="2"/>
    <s v="EU"/>
    <s v="12"/>
    <s v="4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8"/>
    <n v="2133460159"/>
    <s v=""/>
    <s v=""/>
    <s v="42"/>
    <x v="2"/>
    <s v="EU"/>
    <s v="12"/>
    <s v="4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71"/>
    <n v="2133460159"/>
    <s v=""/>
    <s v=""/>
    <s v="42"/>
    <x v="2"/>
    <s v="EU"/>
    <s v="12"/>
    <s v="4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80"/>
    <n v="2133460159"/>
    <s v=""/>
    <s v="RS"/>
    <s v="52"/>
    <x v="0"/>
    <s v="EU"/>
    <s v="13"/>
    <s v="5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89"/>
    <n v="2133460159"/>
    <s v=""/>
    <s v="RS"/>
    <s v="42"/>
    <x v="2"/>
    <s v="EU"/>
    <s v="12"/>
    <s v="5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01"/>
    <n v="2133460159"/>
    <s v=""/>
    <s v="RS"/>
    <s v="42"/>
    <x v="2"/>
    <s v="EU"/>
    <s v="12"/>
    <s v="5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3"/>
    <n v="2133460159"/>
    <s v=""/>
    <s v=""/>
    <s v="42"/>
    <x v="2"/>
    <s v="EU"/>
    <s v="12"/>
    <s v="6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6"/>
    <n v="2133460159"/>
    <s v=""/>
    <s v="UD"/>
    <s v=""/>
    <x v="6"/>
    <s v="EU"/>
    <s v=""/>
    <s v="64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9"/>
    <n v="2133460159"/>
    <s v=""/>
    <s v="UD"/>
    <s v=""/>
    <x v="6"/>
    <s v="EU"/>
    <s v=""/>
    <s v="65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37"/>
    <n v="2133460159"/>
    <s v=""/>
    <s v="RS"/>
    <s v="42"/>
    <x v="2"/>
    <s v="EU"/>
    <s v="12"/>
    <s v="7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53"/>
    <n v="272891368"/>
    <s v="0"/>
    <s v=""/>
    <s v="42"/>
    <x v="2"/>
    <s v="EU"/>
    <s v="12"/>
    <s v="7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59"/>
    <n v="272891368"/>
    <s v="0"/>
    <s v=""/>
    <s v="52"/>
    <x v="0"/>
    <s v="EU"/>
    <s v="13"/>
    <s v="7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65"/>
    <n v="272891368"/>
    <s v="0"/>
    <s v=""/>
    <s v="52"/>
    <x v="0"/>
    <s v="EU"/>
    <s v="13"/>
    <s v="7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77"/>
    <n v="272891368"/>
    <s v="0"/>
    <s v=""/>
    <s v="42"/>
    <x v="2"/>
    <s v="EU"/>
    <s v="12"/>
    <s v="8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83"/>
    <n v="272891368"/>
    <s v=""/>
    <s v=""/>
    <s v="52"/>
    <x v="0"/>
    <s v="EU"/>
    <s v="13"/>
    <s v="8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879"/>
    <n v="1457771195"/>
    <s v="*"/>
    <s v=""/>
    <s v="52"/>
    <x v="0"/>
    <s v="EU"/>
    <s v="13"/>
    <s v="5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888"/>
    <n v="1457771195"/>
    <s v=""/>
    <s v=""/>
    <s v="42"/>
    <x v="2"/>
    <s v="EU"/>
    <s v="12"/>
    <s v="5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00"/>
    <n v="1457771195"/>
    <s v=""/>
    <s v=""/>
    <s v="52"/>
    <x v="0"/>
    <s v="EU"/>
    <s v="13"/>
    <s v="5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06"/>
    <n v="1457771195"/>
    <s v=""/>
    <s v=""/>
    <s v="52"/>
    <x v="0"/>
    <s v="EU"/>
    <s v="13"/>
    <s v="6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12"/>
    <n v="1457771195"/>
    <s v=""/>
    <s v=""/>
    <s v="52"/>
    <x v="0"/>
    <s v="EU"/>
    <s v="13"/>
    <s v="6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15"/>
    <n v="1457771195"/>
    <s v="0"/>
    <s v=""/>
    <s v="52"/>
    <x v="0"/>
    <s v="EU"/>
    <s v="13"/>
    <s v="6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39"/>
    <n v="1457771195"/>
    <s v=""/>
    <s v=""/>
    <s v="42"/>
    <x v="2"/>
    <s v="EU"/>
    <s v="12"/>
    <s v="7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42"/>
    <n v="1457771195"/>
    <s v=""/>
    <s v=""/>
    <s v="42"/>
    <x v="2"/>
    <s v="EU"/>
    <s v="12"/>
    <s v="7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54"/>
    <n v="1457771195"/>
    <s v=""/>
    <s v=""/>
    <s v="42"/>
    <x v="2"/>
    <s v="EU"/>
    <s v="12"/>
    <s v="7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66"/>
    <n v="1457771195"/>
    <s v=""/>
    <s v=""/>
    <s v="42"/>
    <x v="2"/>
    <s v="EU"/>
    <s v="12"/>
    <s v="8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6651367"/>
    <n v="649384895"/>
    <s v=""/>
    <s v=""/>
    <s v="52"/>
    <x v="0"/>
    <s v="EU"/>
    <s v="13"/>
    <s v="2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64"/>
    <n v="649384895"/>
    <s v=""/>
    <s v=""/>
    <s v="52"/>
    <x v="0"/>
    <s v="EU"/>
    <s v="13"/>
    <s v="1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73"/>
    <n v="649384895"/>
    <s v=""/>
    <s v=""/>
    <s v="52"/>
    <x v="0"/>
    <s v="EU"/>
    <s v="13"/>
    <s v="4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79"/>
    <n v="649384895"/>
    <s v=""/>
    <s v="RG"/>
    <s v="3M"/>
    <x v="5"/>
    <s v="MY"/>
    <s v="3"/>
    <s v="6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-1005773319"/>
    <n v="-1000024921"/>
    <s v=""/>
    <s v=""/>
    <s v="42"/>
    <x v="2"/>
    <s v="EU"/>
    <s v="12"/>
    <s v="6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47"/>
    <n v="-1000024921"/>
    <s v=""/>
    <s v=""/>
    <s v="42"/>
    <x v="2"/>
    <s v="EU"/>
    <s v="12"/>
    <s v="2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227535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1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7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401"/>
    <n v="1937971277"/>
    <s v="2"/>
    <s v="W"/>
    <s v=""/>
    <x v="6"/>
    <s v="EU"/>
    <s v="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137349"/>
    <n v="272891368"/>
    <s v=""/>
    <s v=""/>
    <s v="42"/>
    <x v="2"/>
    <s v="EU"/>
    <s v="12"/>
    <s v="1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8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9936"/>
    <n v="1457771195"/>
    <s v=""/>
    <s v=""/>
    <s v="52"/>
    <x v="0"/>
    <s v="EU"/>
    <s v="13"/>
    <s v="7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72"/>
    <n v="1457771195"/>
    <s v="0"/>
    <s v=""/>
    <s v="52"/>
    <x v="0"/>
    <s v="EU"/>
    <s v="13"/>
    <s v="8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9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138384"/>
    <n v="1457771195"/>
    <s v=""/>
    <s v=""/>
    <s v="42"/>
    <x v="2"/>
    <s v="EU"/>
    <s v="12"/>
    <s v="4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706"/>
    <n v="2133460159"/>
    <s v=""/>
    <s v=""/>
    <s v="31"/>
    <x v="7"/>
    <s v="EU"/>
    <s v="02"/>
    <s v="1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88"/>
    <n v="2133460159"/>
    <s v=""/>
    <s v=""/>
    <s v="41"/>
    <x v="1"/>
    <s v="EU"/>
    <s v="03"/>
    <s v="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463"/>
    <n v="2133460159"/>
    <s v=""/>
    <s v="RS"/>
    <s v="42"/>
    <x v="2"/>
    <s v="EU"/>
    <s v="12"/>
    <s v="1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022"/>
    <n v="1585028383"/>
    <s v=""/>
    <s v=""/>
    <s v="42"/>
    <x v="2"/>
    <s v="EU"/>
    <s v="12"/>
    <s v="3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4"/>
    <n v="1585028383"/>
    <s v=""/>
    <s v=""/>
    <s v="42"/>
    <x v="2"/>
    <s v="EU"/>
    <s v="12"/>
    <s v="3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66"/>
    <n v="1937971277"/>
    <s v="2"/>
    <s v="RG"/>
    <s v=""/>
    <x v="6"/>
    <s v="EU"/>
    <s v="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9909"/>
    <n v="1457771195"/>
    <s v=""/>
    <s v=""/>
    <s v="41"/>
    <x v="1"/>
    <s v="EU"/>
    <s v="03"/>
    <s v="6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39"/>
    <n v="1457771195"/>
    <s v="0"/>
    <s v=""/>
    <s v="52"/>
    <x v="0"/>
    <s v="EU"/>
    <s v="13"/>
    <s v="3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46"/>
    <n v="1585028383"/>
    <s v=""/>
    <s v=""/>
    <s v="42"/>
    <x v="2"/>
    <s v="EU"/>
    <s v="12"/>
    <s v="4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124"/>
    <n v="1585028383"/>
    <s v=""/>
    <s v=""/>
    <s v="52"/>
    <x v="0"/>
    <s v="EU"/>
    <s v="13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515181"/>
    <n v="-1000023139"/>
    <s v=""/>
    <s v=""/>
    <s v="52"/>
    <x v="0"/>
    <s v="EU"/>
    <s v="13"/>
    <s v="1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2137166"/>
    <n v="272891368"/>
    <s v=""/>
    <s v=""/>
    <s v="42"/>
    <x v="2"/>
    <s v="EU"/>
    <s v="12"/>
    <s v="4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48"/>
    <n v="2076564668"/>
    <s v=""/>
    <s v=""/>
    <s v="42"/>
    <x v="2"/>
    <s v="EU"/>
    <s v="12"/>
    <s v="1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27551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7412"/>
    <n v="272891368"/>
    <s v=""/>
    <s v=""/>
    <s v="32"/>
    <x v="11"/>
    <s v="EU"/>
    <s v="11"/>
    <s v="3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8674560"/>
    <n v="2076564668"/>
    <s v="0"/>
    <s v=""/>
    <s v="42"/>
    <x v="2"/>
    <s v="EU"/>
    <s v="12"/>
    <s v="19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137250"/>
    <n v="272891368"/>
    <s v="0"/>
    <s v=""/>
    <s v="52"/>
    <x v="0"/>
    <s v="EU"/>
    <s v="13"/>
    <s v="7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487"/>
    <n v="2133460159"/>
    <s v=""/>
    <s v="RS"/>
    <s v="42"/>
    <x v="2"/>
    <s v="EU"/>
    <s v="12"/>
    <s v="2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2"/>
    <n v="2133460159"/>
    <s v=""/>
    <s v=""/>
    <s v="42"/>
    <x v="2"/>
    <s v="EU"/>
    <s v="12"/>
    <s v="4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30"/>
    <n v="2133460159"/>
    <s v=""/>
    <s v="RS"/>
    <s v="42"/>
    <x v="2"/>
    <s v="EU"/>
    <s v="12"/>
    <s v="2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27"/>
    <n v="-1000024921"/>
    <s v=""/>
    <s v=""/>
    <s v="31"/>
    <x v="7"/>
    <s v="EU"/>
    <s v="02"/>
    <s v="2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2137256"/>
    <n v="272891368"/>
    <s v="*"/>
    <s v=""/>
    <s v="42"/>
    <x v="2"/>
    <s v="EU"/>
    <s v="12"/>
    <s v="7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35"/>
    <n v="1937971277"/>
    <s v="2"/>
    <s v="RS"/>
    <s v="S2"/>
    <x v="15"/>
    <s v="FW"/>
    <s v="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57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8536"/>
    <n v="1585028383"/>
    <s v=""/>
    <s v=""/>
    <s v="52"/>
    <x v="0"/>
    <s v="EU"/>
    <s v="13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5"/>
    <n v="1585028383"/>
    <s v=""/>
    <s v=""/>
    <s v="52"/>
    <x v="0"/>
    <s v="EU"/>
    <s v="13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788"/>
    <n v="1585028383"/>
    <s v=""/>
    <s v=""/>
    <s v="42"/>
    <x v="2"/>
    <s v="EU"/>
    <s v="12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45"/>
    <n v="2076564668"/>
    <s v=""/>
    <s v=""/>
    <s v="42"/>
    <x v="2"/>
    <s v="EU"/>
    <s v="12"/>
    <s v="1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9070"/>
    <n v="1585028383"/>
    <s v=""/>
    <s v=""/>
    <s v="42"/>
    <x v="2"/>
    <s v="EU"/>
    <s v="12"/>
    <s v="5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28"/>
    <n v="1585028383"/>
    <s v=""/>
    <s v=""/>
    <s v="42"/>
    <x v="2"/>
    <s v="EU"/>
    <s v="12"/>
    <s v="3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8"/>
    <n v="1585028383"/>
    <s v=""/>
    <s v=""/>
    <s v="42"/>
    <x v="2"/>
    <s v="EU"/>
    <s v="12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78"/>
    <n v="1937971277"/>
    <s v="2"/>
    <s v="W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-1005515183"/>
    <n v="-1000023139"/>
    <s v=""/>
    <s v=""/>
    <s v="52"/>
    <x v="0"/>
    <s v="EU"/>
    <s v="13"/>
    <s v="1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5T00:00:00"/>
    <d v="1997-07-25T00:00:00"/>
    <s v="1997310141978774"/>
  </r>
  <r>
    <n v="6651385"/>
    <n v="649384895"/>
    <s v=""/>
    <s v="RG"/>
    <s v="3M"/>
    <x v="5"/>
    <s v="MY"/>
    <s v="3"/>
    <s v="8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-1005515169"/>
    <n v="-1000023139"/>
    <s v=""/>
    <s v=""/>
    <s v="42"/>
    <x v="2"/>
    <s v="EU"/>
    <s v="12"/>
    <s v="7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592"/>
    <n v="2133460159"/>
    <s v=""/>
    <s v=""/>
    <s v="42"/>
    <x v="2"/>
    <s v="EU"/>
    <s v="12"/>
    <s v="5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27"/>
    <n v="2133460159"/>
    <s v=""/>
    <s v="RS"/>
    <s v="42"/>
    <x v="2"/>
    <s v="EU"/>
    <s v="12"/>
    <s v="1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17"/>
    <n v="-1000024921"/>
    <s v=""/>
    <s v=""/>
    <s v="52"/>
    <x v="0"/>
    <s v="EU"/>
    <s v="13"/>
    <s v="7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796"/>
    <n v="2133460159"/>
    <s v=""/>
    <s v=""/>
    <s v="52"/>
    <x v="0"/>
    <s v="EU"/>
    <s v="13"/>
    <s v="4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19"/>
    <n v="1585028383"/>
    <s v=""/>
    <s v=""/>
    <s v="32"/>
    <x v="11"/>
    <s v="EU"/>
    <s v="11"/>
    <s v="3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86"/>
    <n v="1585028383"/>
    <s v=""/>
    <s v=""/>
    <s v="52"/>
    <x v="0"/>
    <s v="EU"/>
    <s v="13"/>
    <s v="2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23"/>
    <n v="1585028383"/>
    <s v=""/>
    <s v=""/>
    <s v="42"/>
    <x v="2"/>
    <s v="EU"/>
    <s v="12"/>
    <s v="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3"/>
    <n v="1585028383"/>
    <s v=""/>
    <s v=""/>
    <s v="32"/>
    <x v="11"/>
    <s v="EU"/>
    <s v="11"/>
    <s v="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5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19"/>
    <n v="272891368"/>
    <s v=""/>
    <s v=""/>
    <s v="42"/>
    <x v="2"/>
    <s v="EU"/>
    <s v="12"/>
    <s v="9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33"/>
    <n v="1585028383"/>
    <s v=""/>
    <s v=""/>
    <s v="52"/>
    <x v="0"/>
    <s v="EU"/>
    <s v="13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31"/>
    <n v="-1000024921"/>
    <s v=""/>
    <s v=""/>
    <s v="42"/>
    <x v="2"/>
    <s v="EU"/>
    <s v="12"/>
    <s v="10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6651388"/>
    <n v="649384895"/>
    <s v=""/>
    <s v="RG"/>
    <s v="3M"/>
    <x v="5"/>
    <s v="MY"/>
    <s v="3"/>
    <s v="9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137415"/>
    <n v="272891368"/>
    <s v="0"/>
    <s v=""/>
    <s v="42"/>
    <x v="2"/>
    <s v="EU"/>
    <s v="12"/>
    <s v="3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333"/>
    <n v="1457771195"/>
    <s v=""/>
    <s v=""/>
    <s v="42"/>
    <x v="2"/>
    <s v="EU"/>
    <s v="12"/>
    <s v="3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8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8674509"/>
    <n v="2076564668"/>
    <s v=""/>
    <s v="RG"/>
    <s v="3M"/>
    <x v="5"/>
    <s v="MY"/>
    <s v="3"/>
    <s v="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604"/>
    <n v="2133460159"/>
    <s v=""/>
    <s v="RS"/>
    <s v="42"/>
    <x v="2"/>
    <s v="EU"/>
    <s v="12"/>
    <s v="6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363"/>
    <n v="1457771195"/>
    <s v="0"/>
    <s v=""/>
    <s v="52"/>
    <x v="0"/>
    <s v="EU"/>
    <s v="13"/>
    <s v="4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2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359"/>
    <n v="1937971277"/>
    <s v="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47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9868647"/>
    <n v="1585028383"/>
    <s v=""/>
    <s v=""/>
    <s v="42"/>
    <x v="2"/>
    <s v="EU"/>
    <s v="12"/>
    <s v="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5773349"/>
    <n v="-1000024921"/>
    <s v=""/>
    <s v=""/>
    <s v="52"/>
    <x v="0"/>
    <s v="EU"/>
    <s v="13"/>
    <s v="1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1359490"/>
    <n v="2133460159"/>
    <s v=""/>
    <s v="RS"/>
    <s v="52"/>
    <x v="0"/>
    <s v="EU"/>
    <s v="13"/>
    <s v="2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7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1359679"/>
    <n v="2133460159"/>
    <s v=""/>
    <s v="RS"/>
    <s v="42"/>
    <x v="2"/>
    <s v="EU"/>
    <s v="12"/>
    <s v="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208"/>
    <n v="272891368"/>
    <s v=""/>
    <s v=""/>
    <s v="42"/>
    <x v="2"/>
    <s v="EU"/>
    <s v="12"/>
    <s v="5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51"/>
    <n v="1457771195"/>
    <s v=""/>
    <s v=""/>
    <s v="42"/>
    <x v="2"/>
    <s v="EU"/>
    <s v="12"/>
    <s v="7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538"/>
    <n v="2133460159"/>
    <s v=""/>
    <s v=""/>
    <s v="42"/>
    <x v="2"/>
    <s v="EU"/>
    <s v="12"/>
    <s v="3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97"/>
    <n v="1457771195"/>
    <s v=""/>
    <s v=""/>
    <s v="32"/>
    <x v="11"/>
    <s v="EU"/>
    <s v="11"/>
    <s v="2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8674584"/>
    <n v="2076564668"/>
    <s v="0"/>
    <s v=""/>
    <s v="31"/>
    <x v="7"/>
    <s v="EU"/>
    <s v="02"/>
    <s v="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-1005773323"/>
    <n v="-1000024921"/>
    <s v=""/>
    <s v=""/>
    <s v="52"/>
    <x v="0"/>
    <s v="EU"/>
    <s v="13"/>
    <s v="4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9868986"/>
    <n v="1585028383"/>
    <s v=""/>
    <s v=""/>
    <s v="53"/>
    <x v="4"/>
    <s v="EU"/>
    <s v="22"/>
    <s v="2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96"/>
    <n v="272891368"/>
    <s v="0"/>
    <s v=""/>
    <s v="41"/>
    <x v="1"/>
    <s v="EU"/>
    <s v="03"/>
    <s v="5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243"/>
    <n v="1457771195"/>
    <s v="*"/>
    <s v=""/>
    <s v="42"/>
    <x v="2"/>
    <s v="EU"/>
    <s v="12"/>
    <s v="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52"/>
    <n v="1585028383"/>
    <s v=""/>
    <s v=""/>
    <s v="42"/>
    <x v="2"/>
    <s v="EU"/>
    <s v="12"/>
    <s v="4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255"/>
    <n v="1457771195"/>
    <s v="0"/>
    <s v=""/>
    <s v="52"/>
    <x v="0"/>
    <s v="EU"/>
    <s v="13"/>
    <s v="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76"/>
    <n v="1585028383"/>
    <s v=""/>
    <s v=""/>
    <s v="42"/>
    <x v="2"/>
    <s v="EU"/>
    <s v="12"/>
    <s v="5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83"/>
    <n v="1585028383"/>
    <s v=""/>
    <s v=""/>
    <s v="42"/>
    <x v="2"/>
    <s v="EU"/>
    <s v="12"/>
    <s v="2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2"/>
    <n v="1585028383"/>
    <s v=""/>
    <s v=""/>
    <s v="42"/>
    <x v="2"/>
    <s v="EU"/>
    <s v="12"/>
    <s v="5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63"/>
    <n v="2076564668"/>
    <s v=""/>
    <s v=""/>
    <s v="42"/>
    <x v="2"/>
    <s v="EU"/>
    <s v="12"/>
    <s v="20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27559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9073"/>
    <n v="1585028383"/>
    <s v=""/>
    <s v=""/>
    <s v="52"/>
    <x v="0"/>
    <s v="EU"/>
    <s v="13"/>
    <s v="5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99"/>
    <n v="1585028383"/>
    <s v=""/>
    <s v=""/>
    <s v="52"/>
    <x v="0"/>
    <s v="EU"/>
    <s v="13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17"/>
    <n v="1585028383"/>
    <s v=""/>
    <s v=""/>
    <s v="53"/>
    <x v="4"/>
    <s v="EU"/>
    <s v="22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80"/>
    <n v="1585028383"/>
    <s v=""/>
    <s v=""/>
    <s v="42"/>
    <x v="2"/>
    <s v="EU"/>
    <s v="12"/>
    <s v="2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40"/>
    <n v="1585028383"/>
    <s v=""/>
    <s v=""/>
    <s v="42"/>
    <x v="2"/>
    <s v="EU"/>
    <s v="12"/>
    <s v="4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39"/>
    <n v="1585028383"/>
    <s v=""/>
    <s v=""/>
    <s v="42"/>
    <x v="2"/>
    <s v="EU"/>
    <s v="12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273"/>
    <n v="1457771195"/>
    <s v="*"/>
    <s v=""/>
    <s v="52"/>
    <x v="0"/>
    <s v="EU"/>
    <s v="13"/>
    <s v="1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6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1359823"/>
    <n v="2133460159"/>
    <s v=""/>
    <s v=""/>
    <s v="S2"/>
    <x v="15"/>
    <s v="FW"/>
    <s v="1"/>
    <s v="5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93"/>
    <n v="2133460159"/>
    <s v=""/>
    <s v="RS"/>
    <s v="42"/>
    <x v="2"/>
    <s v="EU"/>
    <s v="12"/>
    <s v="4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50"/>
    <n v="2133460159"/>
    <s v=""/>
    <s v="RS"/>
    <s v="42"/>
    <x v="2"/>
    <s v="EU"/>
    <s v="12"/>
    <s v="4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653"/>
    <n v="1585028383"/>
    <s v=""/>
    <s v=""/>
    <s v="42"/>
    <x v="2"/>
    <s v="EU"/>
    <s v="12"/>
    <s v="1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124"/>
    <n v="272891368"/>
    <s v=""/>
    <s v=""/>
    <s v="42"/>
    <x v="2"/>
    <s v="EU"/>
    <s v="12"/>
    <s v="2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275"/>
    <n v="1937971277"/>
    <s v="2"/>
    <s v="RS"/>
    <s v="0M"/>
    <x v="12"/>
    <s v="MY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9882"/>
    <n v="1457771195"/>
    <s v="0"/>
    <s v=""/>
    <s v="52"/>
    <x v="0"/>
    <s v="EU"/>
    <s v="13"/>
    <s v="5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551"/>
    <n v="1585028383"/>
    <s v=""/>
    <s v=""/>
    <s v="42"/>
    <x v="2"/>
    <s v="EU"/>
    <s v="12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87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42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169"/>
    <n v="272891368"/>
    <s v="0"/>
    <s v=""/>
    <s v="42"/>
    <x v="2"/>
    <s v="EU"/>
    <s v="12"/>
    <s v="4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81"/>
    <n v="1457771195"/>
    <s v=""/>
    <s v=""/>
    <s v="42"/>
    <x v="2"/>
    <s v="EU"/>
    <s v="12"/>
    <s v="4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72"/>
    <n v="1457771195"/>
    <s v=""/>
    <s v=""/>
    <s v="42"/>
    <x v="2"/>
    <s v="EU"/>
    <s v="12"/>
    <s v="4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709"/>
    <n v="2133460159"/>
    <s v=""/>
    <s v="RS"/>
    <s v="41"/>
    <x v="1"/>
    <s v="EU"/>
    <s v="03"/>
    <s v="1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199"/>
    <n v="1585028383"/>
    <s v=""/>
    <s v=""/>
    <s v="52"/>
    <x v="0"/>
    <s v="EU"/>
    <s v="13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817"/>
    <n v="2133460159"/>
    <s v=""/>
    <s v="RS"/>
    <s v="42"/>
    <x v="2"/>
    <s v="EU"/>
    <s v="12"/>
    <s v="4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49"/>
    <n v="1585028383"/>
    <s v=""/>
    <s v=""/>
    <s v="42"/>
    <x v="2"/>
    <s v="EU"/>
    <s v="12"/>
    <s v="4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595"/>
    <n v="2133460159"/>
    <s v=""/>
    <s v="RS"/>
    <s v="42"/>
    <x v="2"/>
    <s v="EU"/>
    <s v="12"/>
    <s v="5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187"/>
    <n v="272891368"/>
    <s v=""/>
    <s v=""/>
    <s v="42"/>
    <x v="2"/>
    <s v="EU"/>
    <s v="12"/>
    <s v="5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99"/>
    <n v="272891368"/>
    <s v=""/>
    <s v=""/>
    <s v="52"/>
    <x v="0"/>
    <s v="EU"/>
    <s v="13"/>
    <s v="5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76"/>
    <n v="272891368"/>
    <s v="*"/>
    <s v=""/>
    <s v="52"/>
    <x v="0"/>
    <s v="EU"/>
    <s v="13"/>
    <s v="2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64"/>
    <n v="1457771195"/>
    <s v="0"/>
    <s v=""/>
    <s v="42"/>
    <x v="2"/>
    <s v="EU"/>
    <s v="12"/>
    <s v="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24"/>
    <n v="1457771195"/>
    <s v="0"/>
    <s v=""/>
    <s v="42"/>
    <x v="2"/>
    <s v="EU"/>
    <s v="12"/>
    <s v="6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8"/>
    <n v="1457771195"/>
    <s v=""/>
    <s v=""/>
    <s v="32"/>
    <x v="11"/>
    <s v="EU"/>
    <s v="11"/>
    <s v="9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18"/>
    <n v="1585028383"/>
    <s v=""/>
    <s v=""/>
    <s v="42"/>
    <x v="2"/>
    <s v="EU"/>
    <s v="12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9"/>
    <n v="1585028383"/>
    <s v=""/>
    <s v=""/>
    <s v="42"/>
    <x v="2"/>
    <s v="EU"/>
    <s v="12"/>
    <s v="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805"/>
    <n v="2133460159"/>
    <s v=""/>
    <s v="RS"/>
    <s v="42"/>
    <x v="2"/>
    <s v="EU"/>
    <s v="12"/>
    <s v="4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530"/>
    <n v="1585028383"/>
    <s v=""/>
    <s v=""/>
    <s v="52"/>
    <x v="0"/>
    <s v="EU"/>
    <s v="13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025"/>
    <n v="1585028383"/>
    <s v=""/>
    <s v=""/>
    <s v="42"/>
    <x v="2"/>
    <s v="EU"/>
    <s v="12"/>
    <s v="3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45"/>
    <n v="-1000024921"/>
    <s v=""/>
    <s v=""/>
    <s v="42"/>
    <x v="2"/>
    <s v="EU"/>
    <s v="12"/>
    <s v="3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9869121"/>
    <n v="1585028383"/>
    <s v=""/>
    <s v=""/>
    <s v="42"/>
    <x v="2"/>
    <s v="EU"/>
    <s v="12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82"/>
    <n v="1585028383"/>
    <s v=""/>
    <s v=""/>
    <s v="42"/>
    <x v="2"/>
    <s v="EU"/>
    <s v="12"/>
    <s v="5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301"/>
    <n v="272891368"/>
    <s v=""/>
    <s v=""/>
    <s v="42"/>
    <x v="2"/>
    <s v="EU"/>
    <s v="12"/>
    <s v="8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75"/>
    <n v="272891368"/>
    <s v=""/>
    <s v=""/>
    <s v="42"/>
    <x v="2"/>
    <s v="EU"/>
    <s v="12"/>
    <s v="4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96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68"/>
    <n v="1585028383"/>
    <s v=""/>
    <s v=""/>
    <s v="42"/>
    <x v="2"/>
    <s v="EU"/>
    <s v="12"/>
    <s v="1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08"/>
    <n v="1585028383"/>
    <s v=""/>
    <s v=""/>
    <s v="42"/>
    <x v="2"/>
    <s v="EU"/>
    <s v="12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55"/>
    <n v="1585028383"/>
    <s v=""/>
    <s v=""/>
    <s v="42"/>
    <x v="2"/>
    <s v="EU"/>
    <s v="12"/>
    <s v="4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9897"/>
    <n v="1457771195"/>
    <s v=""/>
    <s v=""/>
    <s v="42"/>
    <x v="2"/>
    <s v="EU"/>
    <s v="12"/>
    <s v="5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403"/>
    <n v="272891368"/>
    <s v="*"/>
    <s v=""/>
    <s v="42"/>
    <x v="2"/>
    <s v="EU"/>
    <s v="12"/>
    <s v="3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9930"/>
    <n v="1457771195"/>
    <s v="0"/>
    <s v=""/>
    <s v="52"/>
    <x v="0"/>
    <s v="EU"/>
    <s v="13"/>
    <s v="6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656"/>
    <n v="1585028383"/>
    <s v=""/>
    <s v=""/>
    <s v="42"/>
    <x v="2"/>
    <s v="EU"/>
    <s v="12"/>
    <s v="1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49"/>
    <n v="1585028383"/>
    <s v=""/>
    <s v=""/>
    <s v="42"/>
    <x v="2"/>
    <s v="EU"/>
    <s v="12"/>
    <s v="4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460"/>
    <n v="2133460159"/>
    <s v=""/>
    <s v="RS"/>
    <s v="42"/>
    <x v="2"/>
    <s v="EU"/>
    <s v="12"/>
    <s v="1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41"/>
    <n v="1937971277"/>
    <s v=""/>
    <s v="RG"/>
    <s v=""/>
    <x v="6"/>
    <s v="EU"/>
    <s v="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091"/>
    <n v="272891368"/>
    <s v="*"/>
    <s v="UF"/>
    <s v="42"/>
    <x v="2"/>
    <s v="EU"/>
    <s v="12"/>
    <s v="8"/>
    <s v="Scales"/>
    <n v="2126660001"/>
    <s v="5 SCALES DOWN PER FISH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2T00:00:00"/>
    <s v="96926"/>
  </r>
  <r>
    <n v="12137202"/>
    <n v="272891368"/>
    <s v="0"/>
    <s v=""/>
    <s v="42"/>
    <x v="2"/>
    <s v="EU"/>
    <s v="12"/>
    <s v="5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9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60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9106"/>
    <n v="1585028383"/>
    <s v=""/>
    <s v=""/>
    <s v="42"/>
    <x v="2"/>
    <s v="EU"/>
    <s v="12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58"/>
    <n v="1585028383"/>
    <s v=""/>
    <s v=""/>
    <s v="42"/>
    <x v="2"/>
    <s v="EU"/>
    <s v="12"/>
    <s v="4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42"/>
    <n v="2076564668"/>
    <s v=""/>
    <s v=""/>
    <s v="31"/>
    <x v="7"/>
    <s v="EU"/>
    <s v="02"/>
    <s v="1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442"/>
    <n v="2133460159"/>
    <s v=""/>
    <s v=""/>
    <s v="52"/>
    <x v="0"/>
    <s v="EU"/>
    <s v="13"/>
    <s v="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45"/>
    <n v="1585028383"/>
    <s v=""/>
    <s v=""/>
    <s v="52"/>
    <x v="0"/>
    <s v="EU"/>
    <s v="13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25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7049"/>
    <n v="272891368"/>
    <s v=""/>
    <s v=""/>
    <s v="53"/>
    <x v="4"/>
    <s v="EU"/>
    <s v="22"/>
    <s v="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2"/>
    <n v="272891368"/>
    <s v=""/>
    <s v=""/>
    <s v="42"/>
    <x v="2"/>
    <s v="EU"/>
    <s v="12"/>
    <s v="3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814"/>
    <n v="2133460159"/>
    <s v=""/>
    <s v="RS"/>
    <s v="41"/>
    <x v="1"/>
    <s v="EU"/>
    <s v="03"/>
    <s v="4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25"/>
    <n v="2133460159"/>
    <s v=""/>
    <s v="RS"/>
    <s v="52"/>
    <x v="0"/>
    <s v="EU"/>
    <s v="13"/>
    <s v="6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524"/>
    <n v="1937971277"/>
    <s v="2"/>
    <s v="RG"/>
    <s v=""/>
    <x v="6"/>
    <s v="EU"/>
    <s v="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7340"/>
    <n v="272891368"/>
    <s v=""/>
    <s v=""/>
    <s v="52"/>
    <x v="0"/>
    <s v="EU"/>
    <s v="13"/>
    <s v="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1359577"/>
    <n v="2133460159"/>
    <s v=""/>
    <s v="RS"/>
    <s v="31"/>
    <x v="7"/>
    <s v="EU"/>
    <s v="02"/>
    <s v="5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52"/>
    <n v="1457771195"/>
    <s v=""/>
    <s v=""/>
    <s v="42"/>
    <x v="2"/>
    <s v="EU"/>
    <s v="12"/>
    <s v="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343"/>
    <n v="272891368"/>
    <s v=""/>
    <s v=""/>
    <s v="42"/>
    <x v="2"/>
    <s v="EU"/>
    <s v="12"/>
    <s v="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40"/>
    <n v="1457771195"/>
    <s v="*"/>
    <s v=""/>
    <s v="42"/>
    <x v="2"/>
    <s v="EU"/>
    <s v="12"/>
    <s v="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406"/>
    <n v="272891368"/>
    <s v="0"/>
    <s v=""/>
    <s v="52"/>
    <x v="0"/>
    <s v="EU"/>
    <s v="13"/>
    <s v="3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4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1359445"/>
    <n v="2133460159"/>
    <s v=""/>
    <s v=""/>
    <s v="42"/>
    <x v="2"/>
    <s v="EU"/>
    <s v="12"/>
    <s v="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67"/>
    <n v="272891368"/>
    <s v=""/>
    <s v=""/>
    <s v="42"/>
    <x v="2"/>
    <s v="EU"/>
    <s v="12"/>
    <s v="1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500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223"/>
    <n v="272891368"/>
    <s v=""/>
    <s v=""/>
    <s v="42"/>
    <x v="2"/>
    <s v="EU"/>
    <s v="12"/>
    <s v="6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40038"/>
    <n v="272891368"/>
    <s v="*"/>
    <s v=""/>
    <s v="52"/>
    <x v="0"/>
    <s v="EU"/>
    <s v="13"/>
    <s v="3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88"/>
    <n v="1457771195"/>
    <s v=""/>
    <s v=""/>
    <s v="52"/>
    <x v="0"/>
    <s v="EU"/>
    <s v="13"/>
    <s v="1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992"/>
    <n v="1585028383"/>
    <s v=""/>
    <s v=""/>
    <s v="42"/>
    <x v="2"/>
    <s v="EU"/>
    <s v="12"/>
    <s v="2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41"/>
    <n v="-1000024921"/>
    <s v=""/>
    <s v=""/>
    <s v="42"/>
    <x v="2"/>
    <s v="EU"/>
    <s v="12"/>
    <s v="5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9868731"/>
    <n v="1585028383"/>
    <s v=""/>
    <s v=""/>
    <s v="42"/>
    <x v="2"/>
    <s v="EU"/>
    <s v="12"/>
    <s v="3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54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7346"/>
    <n v="272891368"/>
    <s v=""/>
    <s v=""/>
    <s v="52"/>
    <x v="0"/>
    <s v="EU"/>
    <s v="13"/>
    <s v="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414"/>
    <n v="408628360"/>
    <s v="*"/>
    <s v=""/>
    <s v="42"/>
    <x v="2"/>
    <s v="EU"/>
    <s v="12"/>
    <s v="1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8953"/>
    <n v="1585028383"/>
    <s v=""/>
    <s v=""/>
    <s v="52"/>
    <x v="0"/>
    <s v="EU"/>
    <s v="13"/>
    <s v="1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721"/>
    <n v="2133460159"/>
    <s v=""/>
    <s v=""/>
    <s v="42"/>
    <x v="2"/>
    <s v="EU"/>
    <s v="12"/>
    <s v="1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85"/>
    <n v="2133460159"/>
    <s v=""/>
    <s v=""/>
    <s v="31"/>
    <x v="7"/>
    <s v="EU"/>
    <s v="02"/>
    <s v="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8674506"/>
    <n v="2076564668"/>
    <s v=""/>
    <s v=""/>
    <s v="42"/>
    <x v="2"/>
    <s v="EU"/>
    <s v="12"/>
    <s v="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9115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75"/>
    <n v="1585028383"/>
    <s v=""/>
    <s v=""/>
    <s v="52"/>
    <x v="0"/>
    <s v="EU"/>
    <s v="13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72"/>
    <n v="1585028383"/>
    <s v=""/>
    <s v=""/>
    <s v="52"/>
    <x v="0"/>
    <s v="EU"/>
    <s v="13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1359751"/>
    <n v="2133460159"/>
    <s v=""/>
    <s v="RS"/>
    <s v="42"/>
    <x v="2"/>
    <s v="EU"/>
    <s v="12"/>
    <s v="2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03"/>
    <n v="2133460159"/>
    <s v=""/>
    <s v="RS"/>
    <s v="42"/>
    <x v="2"/>
    <s v="EU"/>
    <s v="12"/>
    <s v="1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31"/>
    <n v="2133460159"/>
    <s v=""/>
    <s v="RS"/>
    <s v="42"/>
    <x v="2"/>
    <s v="EU"/>
    <s v="12"/>
    <s v="6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73"/>
    <n v="272891368"/>
    <s v="0"/>
    <s v=""/>
    <s v="42"/>
    <x v="2"/>
    <s v="EU"/>
    <s v="12"/>
    <s v="1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03"/>
    <n v="1457771195"/>
    <s v=""/>
    <s v=""/>
    <s v="42"/>
    <x v="2"/>
    <s v="EU"/>
    <s v="12"/>
    <s v="5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69"/>
    <n v="1457771195"/>
    <s v="0"/>
    <s v=""/>
    <s v="52"/>
    <x v="0"/>
    <s v="EU"/>
    <s v="13"/>
    <s v="8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829"/>
    <n v="2133460159"/>
    <s v=""/>
    <s v="RS"/>
    <s v="42"/>
    <x v="2"/>
    <s v="EU"/>
    <s v="12"/>
    <s v="5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989"/>
    <n v="1585028383"/>
    <s v=""/>
    <s v=""/>
    <s v="42"/>
    <x v="2"/>
    <s v="EU"/>
    <s v="12"/>
    <s v="2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10"/>
    <n v="2133460159"/>
    <s v=""/>
    <s v="RS"/>
    <s v="42"/>
    <x v="2"/>
    <s v="EU"/>
    <s v="12"/>
    <s v="6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55"/>
    <n v="2133460159"/>
    <s v=""/>
    <s v=""/>
    <s v="42"/>
    <x v="2"/>
    <s v="EU"/>
    <s v="12"/>
    <s v="7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5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040"/>
    <n v="272891368"/>
    <s v="0"/>
    <s v=""/>
    <s v="42"/>
    <x v="2"/>
    <s v="EU"/>
    <s v="12"/>
    <s v="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17"/>
    <n v="272891368"/>
    <s v=""/>
    <s v=""/>
    <s v="42"/>
    <x v="2"/>
    <s v="EU"/>
    <s v="12"/>
    <s v="6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54"/>
    <n v="2076564668"/>
    <s v=""/>
    <s v=""/>
    <s v="52"/>
    <x v="0"/>
    <s v="EU"/>
    <s v="13"/>
    <s v="17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710"/>
    <n v="1585028383"/>
    <s v=""/>
    <s v=""/>
    <s v="41"/>
    <x v="1"/>
    <s v="EU"/>
    <s v="03"/>
    <s v="3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73"/>
    <n v="1585028383"/>
    <s v=""/>
    <s v=""/>
    <s v="52"/>
    <x v="0"/>
    <s v="EU"/>
    <s v="13"/>
    <s v="5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211"/>
    <n v="1585028383"/>
    <s v=""/>
    <s v=""/>
    <s v="42"/>
    <x v="2"/>
    <s v="EU"/>
    <s v="12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26"/>
    <n v="1937971277"/>
    <s v="2"/>
    <s v="RS"/>
    <s v="S2"/>
    <x v="15"/>
    <s v="FW"/>
    <s v="1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436"/>
    <n v="2133460159"/>
    <s v=""/>
    <s v=""/>
    <s v="42"/>
    <x v="2"/>
    <s v="EU"/>
    <s v="12"/>
    <s v="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84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514"/>
    <n v="2133460159"/>
    <s v=""/>
    <s v=""/>
    <s v="52"/>
    <x v="0"/>
    <s v="EU"/>
    <s v="13"/>
    <s v="3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6"/>
    <n v="2133460159"/>
    <s v=""/>
    <s v="NS"/>
    <s v=""/>
    <x v="6"/>
    <s v="EU"/>
    <s v=""/>
    <s v="74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61"/>
    <n v="2133460159"/>
    <s v="2"/>
    <s v="RS"/>
    <s v="S2"/>
    <x v="15"/>
    <s v="FW"/>
    <s v="1"/>
    <s v="79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163"/>
    <n v="1585028383"/>
    <s v=""/>
    <s v=""/>
    <s v="52"/>
    <x v="0"/>
    <s v="EU"/>
    <s v="13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3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137397"/>
    <n v="272891368"/>
    <s v="*"/>
    <s v=""/>
    <s v="42"/>
    <x v="2"/>
    <s v="EU"/>
    <s v="12"/>
    <s v="2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1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137115"/>
    <n v="272891368"/>
    <s v="0"/>
    <s v=""/>
    <s v="42"/>
    <x v="2"/>
    <s v="EU"/>
    <s v="12"/>
    <s v="2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13"/>
    <n v="272891368"/>
    <s v=""/>
    <s v=""/>
    <s v="42"/>
    <x v="2"/>
    <s v="EU"/>
    <s v="12"/>
    <s v="9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69"/>
    <n v="1937971277"/>
    <s v="2"/>
    <s v="RG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9868683"/>
    <n v="1585028383"/>
    <s v=""/>
    <s v=""/>
    <s v="42"/>
    <x v="2"/>
    <s v="EU"/>
    <s v="12"/>
    <s v="2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02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258"/>
    <n v="1457771195"/>
    <s v=""/>
    <s v=""/>
    <s v="42"/>
    <x v="2"/>
    <s v="EU"/>
    <s v="12"/>
    <s v="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058"/>
    <n v="1585028383"/>
    <s v=""/>
    <s v=""/>
    <s v="41"/>
    <x v="1"/>
    <s v="EU"/>
    <s v="03"/>
    <s v="4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7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8674575"/>
    <n v="2076564668"/>
    <s v=""/>
    <s v=""/>
    <s v="32"/>
    <x v="11"/>
    <s v="EU"/>
    <s v="11"/>
    <s v="2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743"/>
    <n v="1585028383"/>
    <s v=""/>
    <s v=""/>
    <s v="52"/>
    <x v="0"/>
    <s v="EU"/>
    <s v="13"/>
    <s v="4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34"/>
    <n v="1585028383"/>
    <s v=""/>
    <s v=""/>
    <s v="42"/>
    <x v="2"/>
    <s v="EU"/>
    <s v="12"/>
    <s v="3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622"/>
    <n v="2133460159"/>
    <s v=""/>
    <s v="RS"/>
    <s v="52"/>
    <x v="0"/>
    <s v="EU"/>
    <s v="13"/>
    <s v="6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69"/>
    <n v="2133460159"/>
    <s v=""/>
    <s v=""/>
    <s v="42"/>
    <x v="2"/>
    <s v="EU"/>
    <s v="12"/>
    <s v="1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3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22"/>
    <n v="272891368"/>
    <s v="*"/>
    <s v=""/>
    <s v="42"/>
    <x v="2"/>
    <s v="EU"/>
    <s v="12"/>
    <s v="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76"/>
    <n v="1457771195"/>
    <s v="*"/>
    <s v=""/>
    <s v="42"/>
    <x v="2"/>
    <s v="EU"/>
    <s v="12"/>
    <s v="1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7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138336"/>
    <n v="1457771195"/>
    <s v="0"/>
    <s v=""/>
    <s v="52"/>
    <x v="0"/>
    <s v="EU"/>
    <s v="13"/>
    <s v="3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32"/>
    <n v="1937971277"/>
    <s v="2"/>
    <s v="RS"/>
    <s v="S2"/>
    <x v="15"/>
    <s v="FW"/>
    <s v="1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42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6651370"/>
    <n v="649384895"/>
    <s v=""/>
    <s v=""/>
    <s v="52"/>
    <x v="0"/>
    <s v="EU"/>
    <s v="13"/>
    <s v="3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137298"/>
    <n v="272891368"/>
    <s v="0"/>
    <s v=""/>
    <s v="42"/>
    <x v="2"/>
    <s v="EU"/>
    <s v="12"/>
    <s v="8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63"/>
    <n v="272891368"/>
    <s v="0"/>
    <s v=""/>
    <s v="42"/>
    <x v="2"/>
    <s v="EU"/>
    <s v="12"/>
    <s v="4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885"/>
    <n v="1457771195"/>
    <s v=""/>
    <s v=""/>
    <s v="42"/>
    <x v="2"/>
    <s v="EU"/>
    <s v="12"/>
    <s v="5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25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9869103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26"/>
    <n v="272891368"/>
    <s v=""/>
    <s v=""/>
    <s v="31"/>
    <x v="7"/>
    <s v="EU"/>
    <s v="02"/>
    <s v="6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835"/>
    <n v="2133460159"/>
    <s v=""/>
    <s v="RS"/>
    <s v="41"/>
    <x v="1"/>
    <s v="EU"/>
    <s v="03"/>
    <s v="5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509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085"/>
    <n v="272891368"/>
    <s v=""/>
    <s v=""/>
    <s v="42"/>
    <x v="2"/>
    <s v="EU"/>
    <s v="12"/>
    <s v="1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82"/>
    <n v="2133460159"/>
    <s v=""/>
    <s v="RS"/>
    <s v="42"/>
    <x v="2"/>
    <s v="EU"/>
    <s v="12"/>
    <s v="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379"/>
    <n v="272891368"/>
    <s v="*"/>
    <s v=""/>
    <s v="42"/>
    <x v="2"/>
    <s v="EU"/>
    <s v="12"/>
    <s v="2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85"/>
    <n v="272891368"/>
    <s v="*"/>
    <s v=""/>
    <s v="42"/>
    <x v="2"/>
    <s v="EU"/>
    <s v="12"/>
    <s v="2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229"/>
    <n v="272891368"/>
    <s v=""/>
    <s v=""/>
    <s v="63"/>
    <x v="8"/>
    <s v="EU"/>
    <s v="23"/>
    <s v="6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20"/>
    <n v="1937971277"/>
    <s v="2"/>
    <s v="RS"/>
    <s v="S2"/>
    <x v="15"/>
    <s v="FW"/>
    <s v="1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505"/>
    <n v="2133460159"/>
    <s v=""/>
    <s v="RS"/>
    <s v="42"/>
    <x v="2"/>
    <s v="EU"/>
    <s v="12"/>
    <s v="2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713"/>
    <n v="1585028383"/>
    <s v=""/>
    <s v=""/>
    <s v="52"/>
    <x v="0"/>
    <s v="EU"/>
    <s v="13"/>
    <s v="3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5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118"/>
    <n v="272891368"/>
    <s v=""/>
    <s v=""/>
    <s v="42"/>
    <x v="2"/>
    <s v="EU"/>
    <s v="12"/>
    <s v="2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12"/>
    <n v="1457771195"/>
    <s v=""/>
    <s v=""/>
    <s v="31"/>
    <x v="7"/>
    <s v="EU"/>
    <s v="02"/>
    <s v="2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27"/>
    <n v="1457771195"/>
    <s v=""/>
    <s v=""/>
    <s v="52"/>
    <x v="0"/>
    <s v="EU"/>
    <s v="13"/>
    <s v="3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0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8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9869016"/>
    <n v="1585028383"/>
    <s v=""/>
    <s v=""/>
    <s v="32"/>
    <x v="11"/>
    <s v="EU"/>
    <s v="11"/>
    <s v="3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10"/>
    <n v="1585028383"/>
    <s v=""/>
    <s v=""/>
    <s v="52"/>
    <x v="0"/>
    <s v="EU"/>
    <s v="13"/>
    <s v="3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77"/>
    <n v="1585028383"/>
    <s v=""/>
    <s v=""/>
    <s v="42"/>
    <x v="2"/>
    <s v="EU"/>
    <s v="12"/>
    <s v="1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45"/>
    <n v="1585028383"/>
    <s v=""/>
    <s v=""/>
    <s v="52"/>
    <x v="0"/>
    <s v="EU"/>
    <s v="13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4"/>
    <n v="1585028383"/>
    <s v=""/>
    <s v=""/>
    <s v="52"/>
    <x v="0"/>
    <s v="EU"/>
    <s v="13"/>
    <s v="2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8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16"/>
    <n v="1585028383"/>
    <s v=""/>
    <s v=""/>
    <s v="42"/>
    <x v="2"/>
    <s v="EU"/>
    <s v="12"/>
    <s v="3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763"/>
    <n v="2133460159"/>
    <s v=""/>
    <s v="RS"/>
    <s v="42"/>
    <x v="2"/>
    <s v="EU"/>
    <s v="12"/>
    <s v="3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20"/>
    <n v="2133460159"/>
    <s v=""/>
    <s v="RS"/>
    <s v="52"/>
    <x v="0"/>
    <s v="EU"/>
    <s v="13"/>
    <s v="3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93"/>
    <n v="2133460159"/>
    <s v=""/>
    <s v="RS"/>
    <s v="52"/>
    <x v="0"/>
    <s v="EU"/>
    <s v="13"/>
    <s v="2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9918"/>
    <n v="1457771195"/>
    <s v=""/>
    <s v=""/>
    <s v="52"/>
    <x v="0"/>
    <s v="EU"/>
    <s v="13"/>
    <s v="6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061"/>
    <n v="1585028383"/>
    <s v=""/>
    <s v=""/>
    <s v="42"/>
    <x v="2"/>
    <s v="EU"/>
    <s v="12"/>
    <s v="4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9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334"/>
    <n v="272891368"/>
    <s v="0"/>
    <s v=""/>
    <s v="42"/>
    <x v="2"/>
    <s v="EU"/>
    <s v="12"/>
    <s v="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12"/>
    <n v="272891368"/>
    <s v="0"/>
    <s v=""/>
    <s v="42"/>
    <x v="2"/>
    <s v="EU"/>
    <s v="12"/>
    <s v="2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92"/>
    <n v="272891368"/>
    <s v="0"/>
    <s v=""/>
    <s v="52"/>
    <x v="0"/>
    <s v="EU"/>
    <s v="13"/>
    <s v="8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75"/>
    <n v="1457771195"/>
    <s v="0"/>
    <s v=""/>
    <s v="42"/>
    <x v="2"/>
    <s v="EU"/>
    <s v="12"/>
    <s v="8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674"/>
    <n v="1585028383"/>
    <s v=""/>
    <s v=""/>
    <s v="42"/>
    <x v="2"/>
    <s v="EU"/>
    <s v="12"/>
    <s v="1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99"/>
    <n v="1585028383"/>
    <s v=""/>
    <s v=""/>
    <s v="52"/>
    <x v="0"/>
    <s v="EU"/>
    <s v="13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59"/>
    <n v="1585028383"/>
    <s v=""/>
    <s v=""/>
    <s v="52"/>
    <x v="0"/>
    <s v="EU"/>
    <s v="13"/>
    <s v="1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97"/>
    <n v="1585028383"/>
    <s v=""/>
    <s v=""/>
    <s v="42"/>
    <x v="2"/>
    <s v="EU"/>
    <s v="12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39"/>
    <n v="1585028383"/>
    <s v=""/>
    <s v=""/>
    <s v="52"/>
    <x v="0"/>
    <s v="EU"/>
    <s v="13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71"/>
    <n v="1585028383"/>
    <s v=""/>
    <s v=""/>
    <s v="42"/>
    <x v="2"/>
    <s v="EU"/>
    <s v="12"/>
    <s v="1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20"/>
    <n v="1585028383"/>
    <s v=""/>
    <s v=""/>
    <s v="42"/>
    <x v="2"/>
    <s v="EU"/>
    <s v="12"/>
    <s v="10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09"/>
    <n v="1585028383"/>
    <s v=""/>
    <s v=""/>
    <s v="42"/>
    <x v="2"/>
    <s v="EU"/>
    <s v="12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97"/>
    <n v="1585028383"/>
    <s v=""/>
    <s v=""/>
    <s v="42"/>
    <x v="2"/>
    <s v="EU"/>
    <s v="12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18"/>
    <n v="1585028383"/>
    <s v=""/>
    <s v=""/>
    <s v="42"/>
    <x v="2"/>
    <s v="EU"/>
    <s v="12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41"/>
    <n v="1585028383"/>
    <s v=""/>
    <s v=""/>
    <s v="42"/>
    <x v="2"/>
    <s v="EU"/>
    <s v="12"/>
    <s v="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70"/>
    <n v="1585028383"/>
    <s v=""/>
    <s v=""/>
    <s v="42"/>
    <x v="2"/>
    <s v="EU"/>
    <s v="12"/>
    <s v="5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61"/>
    <n v="1585028383"/>
    <s v=""/>
    <s v=""/>
    <s v="42"/>
    <x v="2"/>
    <s v="EU"/>
    <s v="12"/>
    <s v="4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90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148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64"/>
    <n v="2133460159"/>
    <s v="2"/>
    <s v="RS"/>
    <s v=""/>
    <x v="6"/>
    <s v="EU"/>
    <s v=""/>
    <s v="80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74"/>
    <n v="2133460159"/>
    <s v=""/>
    <s v="RS"/>
    <s v="52"/>
    <x v="0"/>
    <s v="EU"/>
    <s v="13"/>
    <s v="5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26"/>
    <n v="2133460159"/>
    <s v=""/>
    <s v="RS"/>
    <s v="42"/>
    <x v="2"/>
    <s v="EU"/>
    <s v="12"/>
    <s v="3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2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6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076"/>
    <n v="272891368"/>
    <s v="0"/>
    <s v=""/>
    <s v="42"/>
    <x v="2"/>
    <s v="EU"/>
    <s v="12"/>
    <s v="1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82"/>
    <n v="272891368"/>
    <s v=""/>
    <s v=""/>
    <s v="42"/>
    <x v="2"/>
    <s v="EU"/>
    <s v="12"/>
    <s v="1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95"/>
    <n v="272891368"/>
    <s v="0"/>
    <s v=""/>
    <s v="42"/>
    <x v="2"/>
    <s v="EU"/>
    <s v="12"/>
    <s v="8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44"/>
    <n v="272891368"/>
    <s v=""/>
    <s v=""/>
    <s v="42"/>
    <x v="2"/>
    <s v="EU"/>
    <s v="12"/>
    <s v="6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77"/>
    <n v="1585028383"/>
    <s v=""/>
    <s v=""/>
    <s v="42"/>
    <x v="2"/>
    <s v="EU"/>
    <s v="12"/>
    <s v="1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8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27560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-1005515179"/>
    <n v="-1000023139"/>
    <s v=""/>
    <s v=""/>
    <s v="52"/>
    <x v="0"/>
    <s v="EU"/>
    <s v="13"/>
    <s v="2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2140014"/>
    <n v="1457771195"/>
    <s v=""/>
    <s v=""/>
    <s v="42"/>
    <x v="2"/>
    <s v="EU"/>
    <s v="12"/>
    <s v="9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67"/>
    <n v="1585028383"/>
    <s v=""/>
    <s v=""/>
    <s v="42"/>
    <x v="2"/>
    <s v="EU"/>
    <s v="12"/>
    <s v="4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5773329"/>
    <n v="-1000024921"/>
    <s v=""/>
    <s v=""/>
    <s v="52"/>
    <x v="0"/>
    <s v="EU"/>
    <s v="13"/>
    <s v="1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478"/>
    <n v="2133460159"/>
    <s v=""/>
    <s v="RS"/>
    <s v="41"/>
    <x v="1"/>
    <s v="EU"/>
    <s v="03"/>
    <s v="1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0"/>
    <n v="2133460159"/>
    <s v=""/>
    <s v="RS"/>
    <s v="52"/>
    <x v="0"/>
    <s v="EU"/>
    <s v="13"/>
    <s v="7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69"/>
    <n v="1585028383"/>
    <s v=""/>
    <s v=""/>
    <s v="32"/>
    <x v="11"/>
    <s v="EU"/>
    <s v="11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2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896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86"/>
    <n v="272891368"/>
    <s v="0"/>
    <s v=""/>
    <s v="42"/>
    <x v="2"/>
    <s v="EU"/>
    <s v="12"/>
    <s v="8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29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-1004683147"/>
    <n v="-1000016973"/>
    <s v=""/>
    <s v=""/>
    <s v="42"/>
    <x v="2"/>
    <s v="EU"/>
    <s v="12"/>
    <s v="8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2138261"/>
    <n v="1457771195"/>
    <s v="0"/>
    <s v=""/>
    <s v="52"/>
    <x v="0"/>
    <s v="EU"/>
    <s v="13"/>
    <s v="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894"/>
    <n v="1457771195"/>
    <s v=""/>
    <s v=""/>
    <s v="52"/>
    <x v="0"/>
    <s v="EU"/>
    <s v="13"/>
    <s v="5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35"/>
    <n v="272891368"/>
    <s v="*"/>
    <s v=""/>
    <s v="42"/>
    <x v="2"/>
    <s v="EU"/>
    <s v="12"/>
    <s v="3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9193"/>
    <n v="1585028383"/>
    <s v=""/>
    <s v=""/>
    <s v="52"/>
    <x v="0"/>
    <s v="EU"/>
    <s v="13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51"/>
    <n v="272891368"/>
    <s v=""/>
    <s v=""/>
    <s v="42"/>
    <x v="2"/>
    <s v="EU"/>
    <s v="12"/>
    <s v="3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908"/>
    <n v="1585028383"/>
    <s v=""/>
    <s v=""/>
    <s v="52"/>
    <x v="0"/>
    <s v="EU"/>
    <s v="13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353"/>
    <n v="1937971277"/>
    <s v="2"/>
    <s v="RS"/>
    <s v="S2"/>
    <x v="15"/>
    <s v="FW"/>
    <s v="1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1359547"/>
    <n v="2133460159"/>
    <s v="2"/>
    <s v="RS"/>
    <s v="S2"/>
    <x v="15"/>
    <s v="FW"/>
    <s v="1"/>
    <s v="41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58"/>
    <n v="272891368"/>
    <s v="0"/>
    <s v=""/>
    <s v="42"/>
    <x v="2"/>
    <s v="EU"/>
    <s v="12"/>
    <s v="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6"/>
    <n v="272891368"/>
    <s v="0"/>
    <s v=""/>
    <s v="42"/>
    <x v="2"/>
    <s v="EU"/>
    <s v="12"/>
    <s v="2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553"/>
    <n v="2133460159"/>
    <s v=""/>
    <s v=""/>
    <s v="42"/>
    <x v="2"/>
    <s v="EU"/>
    <s v="12"/>
    <s v="4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20"/>
    <n v="272891368"/>
    <s v=""/>
    <s v=""/>
    <s v="52"/>
    <x v="0"/>
    <s v="EU"/>
    <s v="13"/>
    <s v="6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34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394"/>
    <n v="272891368"/>
    <s v="*"/>
    <s v=""/>
    <s v="42"/>
    <x v="2"/>
    <s v="EU"/>
    <s v="12"/>
    <s v="2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318"/>
    <n v="1457771195"/>
    <s v=""/>
    <s v=""/>
    <s v="52"/>
    <x v="0"/>
    <s v="EU"/>
    <s v="13"/>
    <s v="2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202"/>
    <n v="1585028383"/>
    <s v=""/>
    <s v=""/>
    <s v="42"/>
    <x v="2"/>
    <s v="EU"/>
    <s v="12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8321"/>
    <n v="1457771195"/>
    <s v=""/>
    <s v=""/>
    <s v="42"/>
    <x v="2"/>
    <s v="EU"/>
    <s v="12"/>
    <s v="2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65"/>
    <n v="1937971277"/>
    <s v="2"/>
    <s v="RS"/>
    <s v="S2"/>
    <x v="15"/>
    <s v="FW"/>
    <s v="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9868893"/>
    <n v="1585028383"/>
    <s v=""/>
    <s v=""/>
    <s v="42"/>
    <x v="2"/>
    <s v="EU"/>
    <s v="12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96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962"/>
    <n v="1585028383"/>
    <s v=""/>
    <s v=""/>
    <s v="52"/>
    <x v="0"/>
    <s v="EU"/>
    <s v="13"/>
    <s v="1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800"/>
    <n v="1585028383"/>
    <s v=""/>
    <s v=""/>
    <s v="42"/>
    <x v="2"/>
    <s v="EU"/>
    <s v="12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33"/>
    <n v="2076564668"/>
    <s v=""/>
    <s v="RG"/>
    <s v="2M"/>
    <x v="3"/>
    <s v="MY"/>
    <s v="2"/>
    <s v="10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12"/>
    <n v="2076564668"/>
    <s v=""/>
    <s v=""/>
    <s v="42"/>
    <x v="2"/>
    <s v="EU"/>
    <s v="12"/>
    <s v="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78"/>
    <n v="2076564668"/>
    <s v="0"/>
    <s v=""/>
    <s v="31"/>
    <x v="7"/>
    <s v="EU"/>
    <s v="02"/>
    <s v="2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18"/>
    <n v="2076564668"/>
    <s v=""/>
    <s v=""/>
    <s v="42"/>
    <x v="2"/>
    <s v="EU"/>
    <s v="12"/>
    <s v="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137184"/>
    <n v="272891368"/>
    <s v=""/>
    <s v=""/>
    <s v="52"/>
    <x v="0"/>
    <s v="EU"/>
    <s v="13"/>
    <s v="4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87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7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400"/>
    <n v="272891368"/>
    <s v="*"/>
    <s v=""/>
    <s v="42"/>
    <x v="2"/>
    <s v="EU"/>
    <s v="12"/>
    <s v="2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1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138420"/>
    <n v="408628360"/>
    <s v="0"/>
    <s v=""/>
    <s v="31"/>
    <x v="7"/>
    <s v="EU"/>
    <s v="02"/>
    <s v="3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9091"/>
    <n v="1585028383"/>
    <s v=""/>
    <s v=""/>
    <s v="42"/>
    <x v="2"/>
    <s v="EU"/>
    <s v="12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19"/>
    <n v="1585028383"/>
    <s v=""/>
    <s v=""/>
    <s v="42"/>
    <x v="2"/>
    <s v="EU"/>
    <s v="12"/>
    <s v="3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676"/>
    <n v="2133460159"/>
    <s v=""/>
    <s v=""/>
    <s v="31"/>
    <x v="7"/>
    <s v="EU"/>
    <s v="02"/>
    <s v="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8674521"/>
    <n v="2076564668"/>
    <s v=""/>
    <s v=""/>
    <s v="41"/>
    <x v="1"/>
    <s v="EU"/>
    <s v="03"/>
    <s v="6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508"/>
    <n v="2133460159"/>
    <s v=""/>
    <s v="RS"/>
    <s v="42"/>
    <x v="2"/>
    <s v="EU"/>
    <s v="12"/>
    <s v="2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49"/>
    <n v="1457771195"/>
    <s v=""/>
    <s v=""/>
    <s v="42"/>
    <x v="2"/>
    <s v="EU"/>
    <s v="12"/>
    <s v="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652"/>
    <n v="2133460159"/>
    <s v=""/>
    <s v=""/>
    <s v="42"/>
    <x v="2"/>
    <s v="EU"/>
    <s v="12"/>
    <s v="7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316"/>
    <n v="272891368"/>
    <s v=""/>
    <s v=""/>
    <s v="42"/>
    <x v="2"/>
    <s v="EU"/>
    <s v="12"/>
    <s v="9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2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9960"/>
    <n v="1457771195"/>
    <s v=""/>
    <s v=""/>
    <s v="32"/>
    <x v="11"/>
    <s v="EU"/>
    <s v="11"/>
    <s v="7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5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138345"/>
    <n v="1457771195"/>
    <s v=""/>
    <s v=""/>
    <s v="42"/>
    <x v="2"/>
    <s v="EU"/>
    <s v="12"/>
    <s v="3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69"/>
    <n v="1457771195"/>
    <s v=""/>
    <s v=""/>
    <s v="42"/>
    <x v="2"/>
    <s v="EU"/>
    <s v="12"/>
    <s v="4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166"/>
    <n v="1585028383"/>
    <s v=""/>
    <s v=""/>
    <s v="42"/>
    <x v="2"/>
    <s v="EU"/>
    <s v="12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39"/>
    <n v="2076564668"/>
    <s v=""/>
    <s v=""/>
    <s v="32"/>
    <x v="11"/>
    <s v="EU"/>
    <s v="11"/>
    <s v="1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638"/>
    <n v="1585028383"/>
    <s v=""/>
    <s v=""/>
    <s v="32"/>
    <x v="11"/>
    <s v="EU"/>
    <s v="11"/>
    <s v="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32"/>
    <n v="1585028383"/>
    <s v=""/>
    <s v=""/>
    <s v="42"/>
    <x v="2"/>
    <s v="EU"/>
    <s v="12"/>
    <s v="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89"/>
    <n v="272891368"/>
    <s v="0"/>
    <s v=""/>
    <s v="42"/>
    <x v="2"/>
    <s v="EU"/>
    <s v="12"/>
    <s v="8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598"/>
    <n v="2133460159"/>
    <s v=""/>
    <s v="RS"/>
    <s v="42"/>
    <x v="2"/>
    <s v="EU"/>
    <s v="12"/>
    <s v="5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965"/>
    <n v="1585028383"/>
    <s v=""/>
    <s v=""/>
    <s v="42"/>
    <x v="2"/>
    <s v="EU"/>
    <s v="12"/>
    <s v="1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30"/>
    <n v="272891368"/>
    <s v="0"/>
    <s v=""/>
    <s v="42"/>
    <x v="2"/>
    <s v="EU"/>
    <s v="12"/>
    <s v="3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-1004683143"/>
    <n v="-1000016973"/>
    <s v=""/>
    <s v=""/>
    <s v="41"/>
    <x v="1"/>
    <s v="EU"/>
    <s v="03"/>
    <s v="10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1359790"/>
    <n v="2133460159"/>
    <s v=""/>
    <s v="UM"/>
    <s v="S2"/>
    <x v="15"/>
    <s v="FW"/>
    <s v="1"/>
    <s v="4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33"/>
    <n v="2133460159"/>
    <s v=""/>
    <s v=""/>
    <s v="42"/>
    <x v="2"/>
    <s v="EU"/>
    <s v="12"/>
    <s v="2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83"/>
    <n v="2133460159"/>
    <s v=""/>
    <s v="RS"/>
    <s v="41"/>
    <x v="1"/>
    <s v="EU"/>
    <s v="03"/>
    <s v="5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013"/>
    <n v="1585028383"/>
    <s v=""/>
    <s v=""/>
    <s v="42"/>
    <x v="2"/>
    <s v="EU"/>
    <s v="12"/>
    <s v="3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5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8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137388"/>
    <n v="272891368"/>
    <s v="*"/>
    <s v=""/>
    <s v="42"/>
    <x v="2"/>
    <s v="EU"/>
    <s v="12"/>
    <s v="2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7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337"/>
    <n v="272891368"/>
    <s v=""/>
    <s v=""/>
    <s v="42"/>
    <x v="2"/>
    <s v="EU"/>
    <s v="12"/>
    <s v="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31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54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8432"/>
    <n v="18791496"/>
    <s v="*"/>
    <s v=""/>
    <s v="53"/>
    <x v="4"/>
    <s v="EU"/>
    <s v="22"/>
    <s v="1"/>
    <s v="Otolith - Burnt Section"/>
    <n v="2126660003"/>
    <s v="1 OTOLITH ACROSS (TRAY)"/>
    <n v="11707552"/>
    <s v="ATNARKO ESCAPEMENT - 2021"/>
    <n v="23702"/>
    <s v="S ATNARKO ABOVE RAINBOW"/>
    <x v="9"/>
    <s v="2021/0291"/>
    <n v="1"/>
    <s v="SOCKEYE SALMON"/>
    <n v="2086090012"/>
    <x v="1"/>
    <n v="81"/>
    <s v="Hand"/>
    <s v="Adult"/>
    <d v="2021-09-21T00:00:00"/>
    <d v="2021-09-21T00:00:00"/>
    <s v="Oto Box 5"/>
  </r>
  <r>
    <n v="9868497"/>
    <n v="1585028383"/>
    <s v=""/>
    <s v=""/>
    <s v="52"/>
    <x v="0"/>
    <s v="EU"/>
    <s v="13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354"/>
    <n v="1457771195"/>
    <s v="0"/>
    <s v=""/>
    <s v="42"/>
    <x v="2"/>
    <s v="EU"/>
    <s v="12"/>
    <s v="3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72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4683157"/>
    <n v="-1000016973"/>
    <s v=""/>
    <s v=""/>
    <s v="41"/>
    <x v="1"/>
    <s v="EU"/>
    <s v="03"/>
    <s v="3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9869151"/>
    <n v="1585028383"/>
    <s v=""/>
    <s v=""/>
    <s v="52"/>
    <x v="0"/>
    <s v="EU"/>
    <s v="13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47"/>
    <n v="1585028383"/>
    <s v=""/>
    <s v=""/>
    <s v="42"/>
    <x v="2"/>
    <s v="EU"/>
    <s v="12"/>
    <s v="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1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827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39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1359649"/>
    <n v="2133460159"/>
    <s v=""/>
    <s v="RS"/>
    <s v="42"/>
    <x v="2"/>
    <s v="EU"/>
    <s v="12"/>
    <s v="7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55"/>
    <n v="272891368"/>
    <s v=""/>
    <s v=""/>
    <s v="42"/>
    <x v="2"/>
    <s v="EU"/>
    <s v="12"/>
    <s v="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50"/>
    <n v="1585028383"/>
    <s v=""/>
    <s v=""/>
    <s v="42"/>
    <x v="2"/>
    <s v="EU"/>
    <s v="12"/>
    <s v="1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71"/>
    <n v="272891368"/>
    <s v=""/>
    <s v=""/>
    <s v="42"/>
    <x v="2"/>
    <s v="EU"/>
    <s v="12"/>
    <s v="7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27"/>
    <n v="272891368"/>
    <s v=""/>
    <s v=""/>
    <s v="42"/>
    <x v="2"/>
    <s v="EU"/>
    <s v="12"/>
    <s v="3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63"/>
    <n v="1457771195"/>
    <s v=""/>
    <s v=""/>
    <s v="42"/>
    <x v="2"/>
    <s v="EU"/>
    <s v="12"/>
    <s v="7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282"/>
    <n v="1457771195"/>
    <s v="*"/>
    <s v=""/>
    <s v="42"/>
    <x v="2"/>
    <s v="EU"/>
    <s v="12"/>
    <s v="1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4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9868974"/>
    <n v="1585028383"/>
    <s v=""/>
    <s v=""/>
    <s v="42"/>
    <x v="2"/>
    <s v="EU"/>
    <s v="12"/>
    <s v="1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66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32"/>
    <n v="1585028383"/>
    <s v=""/>
    <s v=""/>
    <s v="52"/>
    <x v="0"/>
    <s v="EU"/>
    <s v="13"/>
    <s v="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15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303"/>
    <n v="1457771195"/>
    <s v=""/>
    <s v=""/>
    <s v="52"/>
    <x v="0"/>
    <s v="EU"/>
    <s v="13"/>
    <s v="2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190"/>
    <n v="272891368"/>
    <s v=""/>
    <s v=""/>
    <s v="42"/>
    <x v="2"/>
    <s v="EU"/>
    <s v="12"/>
    <s v="5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70"/>
    <n v="2133460159"/>
    <s v="2"/>
    <s v="RS"/>
    <s v="S2"/>
    <x v="15"/>
    <s v="FW"/>
    <s v="1"/>
    <s v="82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62"/>
    <n v="272891368"/>
    <s v=""/>
    <s v=""/>
    <s v="52"/>
    <x v="0"/>
    <s v="EU"/>
    <s v="13"/>
    <s v="7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45"/>
    <n v="1457771195"/>
    <s v="0"/>
    <s v=""/>
    <s v="42"/>
    <x v="2"/>
    <s v="EU"/>
    <s v="12"/>
    <s v="7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24"/>
    <n v="1585028383"/>
    <s v=""/>
    <s v=""/>
    <s v="42"/>
    <x v="2"/>
    <s v="EU"/>
    <s v="12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33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26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1359745"/>
    <n v="2133460159"/>
    <s v=""/>
    <s v="RS"/>
    <s v="42"/>
    <x v="2"/>
    <s v="EU"/>
    <s v="12"/>
    <s v="2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41"/>
    <n v="2133460159"/>
    <s v=""/>
    <s v="RS"/>
    <s v="52"/>
    <x v="0"/>
    <s v="EU"/>
    <s v="13"/>
    <s v="3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48"/>
    <n v="2133460159"/>
    <s v=""/>
    <s v=""/>
    <s v="52"/>
    <x v="0"/>
    <s v="EU"/>
    <s v="13"/>
    <s v="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328"/>
    <n v="272891368"/>
    <s v="*"/>
    <s v=""/>
    <s v="42"/>
    <x v="2"/>
    <s v="EU"/>
    <s v="12"/>
    <s v="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214"/>
    <n v="272891368"/>
    <s v=""/>
    <s v=""/>
    <s v="42"/>
    <x v="2"/>
    <s v="EU"/>
    <s v="12"/>
    <s v="5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70"/>
    <n v="272891368"/>
    <s v=""/>
    <s v=""/>
    <s v="52"/>
    <x v="0"/>
    <s v="EU"/>
    <s v="13"/>
    <s v="1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8995"/>
    <n v="1585028383"/>
    <s v=""/>
    <s v=""/>
    <s v="42"/>
    <x v="2"/>
    <s v="EU"/>
    <s v="12"/>
    <s v="2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50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360"/>
    <n v="1457771195"/>
    <s v=""/>
    <s v=""/>
    <s v="42"/>
    <x v="2"/>
    <s v="EU"/>
    <s v="12"/>
    <s v="4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66"/>
    <n v="1457771195"/>
    <s v=""/>
    <s v=""/>
    <s v="42"/>
    <x v="2"/>
    <s v="EU"/>
    <s v="12"/>
    <s v="4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8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6651382"/>
    <n v="649384895"/>
    <s v=""/>
    <s v=""/>
    <s v="41"/>
    <x v="1"/>
    <s v="EU"/>
    <s v="03"/>
    <s v="7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9869079"/>
    <n v="1585028383"/>
    <s v=""/>
    <s v=""/>
    <s v="42"/>
    <x v="2"/>
    <s v="EU"/>
    <s v="12"/>
    <s v="5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494"/>
    <n v="1585028383"/>
    <s v=""/>
    <s v=""/>
    <s v="52"/>
    <x v="0"/>
    <s v="EU"/>
    <s v="13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08"/>
    <n v="1585028383"/>
    <s v=""/>
    <s v=""/>
    <s v="52"/>
    <x v="0"/>
    <s v="EU"/>
    <s v="13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2"/>
    <n v="1585028383"/>
    <s v=""/>
    <s v=""/>
    <s v="52"/>
    <x v="0"/>
    <s v="EU"/>
    <s v="13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54"/>
    <n v="1585028383"/>
    <s v=""/>
    <s v=""/>
    <s v="42"/>
    <x v="2"/>
    <s v="EU"/>
    <s v="12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69"/>
    <n v="1585028383"/>
    <s v=""/>
    <s v=""/>
    <s v="42"/>
    <x v="2"/>
    <s v="EU"/>
    <s v="12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142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84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418"/>
    <n v="272891368"/>
    <s v="0"/>
    <s v=""/>
    <s v="42"/>
    <x v="2"/>
    <s v="EU"/>
    <s v="12"/>
    <s v="3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8665"/>
    <n v="1585028383"/>
    <s v=""/>
    <s v=""/>
    <s v="42"/>
    <x v="2"/>
    <s v="EU"/>
    <s v="12"/>
    <s v="1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11"/>
    <n v="1585028383"/>
    <s v=""/>
    <s v=""/>
    <s v="52"/>
    <x v="0"/>
    <s v="EU"/>
    <s v="13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60"/>
    <n v="1585028383"/>
    <s v=""/>
    <s v=""/>
    <s v="52"/>
    <x v="0"/>
    <s v="EU"/>
    <s v="13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81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784"/>
    <n v="2133460159"/>
    <s v=""/>
    <s v=""/>
    <s v="42"/>
    <x v="2"/>
    <s v="EU"/>
    <s v="12"/>
    <s v="3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27530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1359607"/>
    <n v="2133460159"/>
    <s v=""/>
    <s v="RS"/>
    <s v="42"/>
    <x v="2"/>
    <s v="EU"/>
    <s v="12"/>
    <s v="6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8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407"/>
    <n v="1937971277"/>
    <s v="2"/>
    <s v="W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671"/>
    <n v="1585028383"/>
    <s v=""/>
    <s v=""/>
    <s v="42"/>
    <x v="2"/>
    <s v="EU"/>
    <s v="12"/>
    <s v="1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05"/>
    <n v="272891368"/>
    <s v=""/>
    <s v=""/>
    <s v="S2"/>
    <x v="15"/>
    <s v="FW"/>
    <s v="1"/>
    <s v="5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214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560"/>
    <n v="1937971277"/>
    <s v="2"/>
    <s v="W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-1005515173"/>
    <n v="-1000023139"/>
    <s v=""/>
    <s v=""/>
    <s v="42"/>
    <x v="2"/>
    <s v="EU"/>
    <s v="12"/>
    <s v="5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739"/>
    <n v="2133460159"/>
    <s v=""/>
    <s v=""/>
    <s v="42"/>
    <x v="2"/>
    <s v="EU"/>
    <s v="12"/>
    <s v="2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36"/>
    <n v="2133460159"/>
    <s v=""/>
    <s v="RS"/>
    <s v="42"/>
    <x v="2"/>
    <s v="EU"/>
    <s v="12"/>
    <s v="2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275419"/>
    <n v="1937971277"/>
    <s v="2"/>
    <s v="RG"/>
    <s v=""/>
    <x v="6"/>
    <s v="EU"/>
    <s v="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9046"/>
    <n v="1585028383"/>
    <s v=""/>
    <s v=""/>
    <s v="52"/>
    <x v="0"/>
    <s v="EU"/>
    <s v="13"/>
    <s v="4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00"/>
    <n v="1585028383"/>
    <s v=""/>
    <s v=""/>
    <s v="42"/>
    <x v="2"/>
    <s v="EU"/>
    <s v="12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475"/>
    <n v="2133460159"/>
    <s v="2"/>
    <s v="RS"/>
    <s v=""/>
    <x v="6"/>
    <s v="EU"/>
    <s v=""/>
    <s v="17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99"/>
    <n v="2133460159"/>
    <s v=""/>
    <s v=""/>
    <s v="42"/>
    <x v="2"/>
    <s v="EU"/>
    <s v="12"/>
    <s v="4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43"/>
    <n v="-1000024921"/>
    <s v=""/>
    <s v=""/>
    <s v="52"/>
    <x v="0"/>
    <s v="EU"/>
    <s v="13"/>
    <s v="4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2275296"/>
    <n v="1937971277"/>
    <s v="2"/>
    <s v=""/>
    <s v="21"/>
    <x v="9"/>
    <s v="EU"/>
    <s v="01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9869067"/>
    <n v="1585028383"/>
    <s v=""/>
    <s v=""/>
    <s v="42"/>
    <x v="2"/>
    <s v="EU"/>
    <s v="12"/>
    <s v="4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41"/>
    <n v="272891368"/>
    <s v="0"/>
    <s v=""/>
    <s v="42"/>
    <x v="2"/>
    <s v="EU"/>
    <s v="12"/>
    <s v="6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78"/>
    <n v="1457771195"/>
    <s v=""/>
    <s v=""/>
    <s v="52"/>
    <x v="0"/>
    <s v="EU"/>
    <s v="13"/>
    <s v="8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1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9868779"/>
    <n v="1585028383"/>
    <s v=""/>
    <s v=""/>
    <s v="52"/>
    <x v="0"/>
    <s v="EU"/>
    <s v="13"/>
    <s v="5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0"/>
    <n v="1585028383"/>
    <s v=""/>
    <s v=""/>
    <s v="42"/>
    <x v="2"/>
    <s v="EU"/>
    <s v="12"/>
    <s v="10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15"/>
    <n v="2076564668"/>
    <s v=""/>
    <s v=""/>
    <s v="52"/>
    <x v="0"/>
    <s v="EU"/>
    <s v="13"/>
    <s v="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935"/>
    <n v="1585028383"/>
    <s v=""/>
    <s v=""/>
    <s v="52"/>
    <x v="0"/>
    <s v="EU"/>
    <s v="13"/>
    <s v="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38"/>
    <n v="1585028383"/>
    <s v=""/>
    <s v=""/>
    <s v="43"/>
    <x v="10"/>
    <s v="EU"/>
    <s v="21"/>
    <s v="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836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87"/>
    <n v="1457771195"/>
    <s v="0"/>
    <s v=""/>
    <s v="42"/>
    <x v="2"/>
    <s v="EU"/>
    <s v="12"/>
    <s v="8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30"/>
    <n v="1937971277"/>
    <s v="2"/>
    <s v="RG"/>
    <s v=""/>
    <x v="6"/>
    <s v="EU"/>
    <s v="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-1005773311"/>
    <n v="-1000024921"/>
    <s v=""/>
    <s v=""/>
    <s v="52"/>
    <x v="0"/>
    <s v="EU"/>
    <s v="13"/>
    <s v="10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775"/>
    <n v="2133460159"/>
    <s v=""/>
    <s v="RS"/>
    <s v="42"/>
    <x v="2"/>
    <s v="EU"/>
    <s v="12"/>
    <s v="3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857"/>
    <n v="1585028383"/>
    <s v=""/>
    <s v=""/>
    <s v="32"/>
    <x v="11"/>
    <s v="EU"/>
    <s v="11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841"/>
    <n v="2133460159"/>
    <s v=""/>
    <s v="RS"/>
    <s v="42"/>
    <x v="2"/>
    <s v="EU"/>
    <s v="12"/>
    <s v="5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169"/>
    <n v="1585028383"/>
    <s v=""/>
    <s v=""/>
    <s v="42"/>
    <x v="2"/>
    <s v="EU"/>
    <s v="12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28"/>
    <n v="2133460159"/>
    <s v=""/>
    <s v="RS"/>
    <s v="42"/>
    <x v="2"/>
    <s v="EU"/>
    <s v="12"/>
    <s v="6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290"/>
    <n v="1937971277"/>
    <s v="2"/>
    <s v="RS"/>
    <s v="S2"/>
    <x v="15"/>
    <s v="FW"/>
    <s v="1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137109"/>
    <n v="272891368"/>
    <s v=""/>
    <s v=""/>
    <s v="42"/>
    <x v="2"/>
    <s v="EU"/>
    <s v="12"/>
    <s v="2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42"/>
    <n v="1457771195"/>
    <s v=""/>
    <s v=""/>
    <s v="52"/>
    <x v="0"/>
    <s v="EU"/>
    <s v="13"/>
    <s v="3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11"/>
    <n v="1457771195"/>
    <s v=""/>
    <s v=""/>
    <s v="42"/>
    <x v="2"/>
    <s v="EU"/>
    <s v="12"/>
    <s v="9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2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1359667"/>
    <n v="2133460159"/>
    <s v=""/>
    <s v="UD"/>
    <s v=""/>
    <x v="6"/>
    <s v="EU"/>
    <s v=""/>
    <s v="81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614"/>
    <n v="1585028383"/>
    <s v=""/>
    <s v=""/>
    <s v="42"/>
    <x v="2"/>
    <s v="EU"/>
    <s v="12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-1004683151"/>
    <n v="-1000016973"/>
    <s v=""/>
    <s v=""/>
    <s v="41"/>
    <x v="1"/>
    <s v="EU"/>
    <s v="03"/>
    <s v="6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2140017"/>
    <n v="1457771195"/>
    <s v="0"/>
    <s v=""/>
    <s v="52"/>
    <x v="0"/>
    <s v="EU"/>
    <s v="13"/>
    <s v="9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847"/>
    <n v="2133460159"/>
    <s v=""/>
    <s v="RS"/>
    <s v="42"/>
    <x v="2"/>
    <s v="EU"/>
    <s v="12"/>
    <s v="5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94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2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1359502"/>
    <n v="2133460159"/>
    <s v=""/>
    <s v="RS"/>
    <s v="42"/>
    <x v="2"/>
    <s v="EU"/>
    <s v="12"/>
    <s v="2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3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61"/>
    <n v="272891368"/>
    <s v=""/>
    <s v=""/>
    <s v="42"/>
    <x v="2"/>
    <s v="EU"/>
    <s v="12"/>
    <s v="1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72"/>
    <n v="272891368"/>
    <s v="0"/>
    <s v=""/>
    <s v="42"/>
    <x v="2"/>
    <s v="EU"/>
    <s v="12"/>
    <s v="4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27"/>
    <n v="1457771195"/>
    <s v=""/>
    <s v=""/>
    <s v="42"/>
    <x v="2"/>
    <s v="EU"/>
    <s v="12"/>
    <s v="6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48"/>
    <n v="1457771195"/>
    <s v=""/>
    <s v=""/>
    <s v="52"/>
    <x v="0"/>
    <s v="EU"/>
    <s v="13"/>
    <s v="7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23"/>
    <n v="1937971277"/>
    <s v="2"/>
    <s v="W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781"/>
    <n v="2133460159"/>
    <s v=""/>
    <s v="RS"/>
    <s v="52"/>
    <x v="0"/>
    <s v="EU"/>
    <s v="13"/>
    <s v="3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193"/>
    <n v="272891368"/>
    <s v=""/>
    <s v=""/>
    <s v="42"/>
    <x v="2"/>
    <s v="EU"/>
    <s v="12"/>
    <s v="5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98"/>
    <n v="1585028383"/>
    <s v=""/>
    <s v=""/>
    <s v="42"/>
    <x v="2"/>
    <s v="EU"/>
    <s v="12"/>
    <s v="2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95"/>
    <n v="1585028383"/>
    <s v=""/>
    <s v=""/>
    <s v="42"/>
    <x v="2"/>
    <s v="EU"/>
    <s v="12"/>
    <s v="2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57"/>
    <n v="1457771195"/>
    <s v="0"/>
    <s v=""/>
    <s v="42"/>
    <x v="2"/>
    <s v="EU"/>
    <s v="12"/>
    <s v="7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-1005515177"/>
    <n v="-1000023139"/>
    <s v=""/>
    <s v=""/>
    <s v="52"/>
    <x v="0"/>
    <s v="EU"/>
    <s v="13"/>
    <s v="3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586"/>
    <n v="2133460159"/>
    <s v=""/>
    <s v=""/>
    <s v="41"/>
    <x v="1"/>
    <s v="EU"/>
    <s v="03"/>
    <s v="5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99"/>
    <n v="2133460159"/>
    <s v=""/>
    <s v="RS"/>
    <s v="52"/>
    <x v="0"/>
    <s v="EU"/>
    <s v="13"/>
    <s v="2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9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137061"/>
    <n v="272891368"/>
    <s v=""/>
    <s v=""/>
    <s v="42"/>
    <x v="2"/>
    <s v="EU"/>
    <s v="12"/>
    <s v="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79"/>
    <n v="272891368"/>
    <s v="0"/>
    <s v=""/>
    <s v="52"/>
    <x v="0"/>
    <s v="EU"/>
    <s v="13"/>
    <s v="1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97"/>
    <n v="272891368"/>
    <s v=""/>
    <s v=""/>
    <s v="42"/>
    <x v="2"/>
    <s v="EU"/>
    <s v="12"/>
    <s v="2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10"/>
    <n v="272891368"/>
    <s v=""/>
    <s v=""/>
    <s v="52"/>
    <x v="0"/>
    <s v="EU"/>
    <s v="13"/>
    <s v="9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7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280"/>
    <n v="272891368"/>
    <s v=""/>
    <s v=""/>
    <s v="42"/>
    <x v="2"/>
    <s v="EU"/>
    <s v="12"/>
    <s v="8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33"/>
    <n v="1457771195"/>
    <s v=""/>
    <s v=""/>
    <s v="42"/>
    <x v="2"/>
    <s v="EU"/>
    <s v="12"/>
    <s v="6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0"/>
    <n v="1457771195"/>
    <s v=""/>
    <s v=""/>
    <s v="42"/>
    <x v="2"/>
    <s v="EU"/>
    <s v="12"/>
    <s v="8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01"/>
    <n v="1585028383"/>
    <s v=""/>
    <s v=""/>
    <s v="42"/>
    <x v="2"/>
    <s v="EU"/>
    <s v="12"/>
    <s v="2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330"/>
    <n v="1457771195"/>
    <s v="0"/>
    <s v=""/>
    <s v="52"/>
    <x v="0"/>
    <s v="EU"/>
    <s v="13"/>
    <s v="3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8674536"/>
    <n v="2076564668"/>
    <s v=""/>
    <s v=""/>
    <s v="42"/>
    <x v="2"/>
    <s v="EU"/>
    <s v="12"/>
    <s v="1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941"/>
    <n v="1585028383"/>
    <s v=""/>
    <s v=""/>
    <s v="42"/>
    <x v="2"/>
    <s v="EU"/>
    <s v="12"/>
    <s v="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9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50"/>
  </r>
  <r>
    <n v="11359844"/>
    <n v="2133460159"/>
    <s v=""/>
    <s v="RS"/>
    <s v="42"/>
    <x v="2"/>
    <s v="EU"/>
    <s v="12"/>
    <s v="5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4683149"/>
    <n v="-1000016973"/>
    <s v=""/>
    <s v=""/>
    <s v="52"/>
    <x v="0"/>
    <s v="EU"/>
    <s v="13"/>
    <s v="7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1359634"/>
    <n v="2133460159"/>
    <s v=""/>
    <s v="RS"/>
    <s v="42"/>
    <x v="2"/>
    <s v="EU"/>
    <s v="12"/>
    <s v="7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97"/>
    <n v="2133460159"/>
    <s v=""/>
    <s v=""/>
    <s v="42"/>
    <x v="2"/>
    <s v="EU"/>
    <s v="12"/>
    <s v="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29"/>
    <n v="2133460159"/>
    <s v=""/>
    <s v=""/>
    <s v="52"/>
    <x v="0"/>
    <s v="EU"/>
    <s v="13"/>
    <s v="3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-1005773321"/>
    <n v="-1000024921"/>
    <s v=""/>
    <s v=""/>
    <s v="31"/>
    <x v="7"/>
    <s v="EU"/>
    <s v="02"/>
    <s v="5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227543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55"/>
    <n v="272891368"/>
    <s v="0"/>
    <s v=""/>
    <s v="42"/>
    <x v="2"/>
    <s v="EU"/>
    <s v="12"/>
    <s v="1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1359433"/>
    <n v="2133460159"/>
    <s v=""/>
    <s v="RS"/>
    <s v="42"/>
    <x v="2"/>
    <s v="EU"/>
    <s v="12"/>
    <s v="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506"/>
    <n v="1585028383"/>
    <s v=""/>
    <s v=""/>
    <s v="52"/>
    <x v="0"/>
    <s v="EU"/>
    <s v="13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33"/>
    <n v="1585028383"/>
    <s v=""/>
    <s v=""/>
    <s v="42"/>
    <x v="2"/>
    <s v="EU"/>
    <s v="12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74"/>
    <n v="272891368"/>
    <s v="0"/>
    <s v=""/>
    <s v="42"/>
    <x v="2"/>
    <s v="EU"/>
    <s v="12"/>
    <s v="7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81"/>
    <n v="2076564668"/>
    <s v="0"/>
    <s v=""/>
    <s v="41"/>
    <x v="1"/>
    <s v="EU"/>
    <s v="03"/>
    <s v="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9868950"/>
    <n v="1585028383"/>
    <s v=""/>
    <s v=""/>
    <s v="42"/>
    <x v="2"/>
    <s v="EU"/>
    <s v="12"/>
    <s v="1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63"/>
    <n v="1937971277"/>
    <s v="2"/>
    <s v="RG"/>
    <s v=""/>
    <x v="6"/>
    <s v="EU"/>
    <s v="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8417"/>
    <n v="408628360"/>
    <s v="*"/>
    <s v=""/>
    <s v="52"/>
    <x v="0"/>
    <s v="EU"/>
    <s v="13"/>
    <s v="2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12137358"/>
    <n v="272891368"/>
    <s v="0"/>
    <s v=""/>
    <s v="52"/>
    <x v="0"/>
    <s v="EU"/>
    <s v="13"/>
    <s v="1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5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9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8267"/>
    <n v="1457771195"/>
    <s v="*"/>
    <s v=""/>
    <s v="52"/>
    <x v="0"/>
    <s v="EU"/>
    <s v="13"/>
    <s v="1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91"/>
    <n v="1585028383"/>
    <s v=""/>
    <s v=""/>
    <s v="42"/>
    <x v="2"/>
    <s v="EU"/>
    <s v="12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6651376"/>
    <n v="649384895"/>
    <s v=""/>
    <s v=""/>
    <s v="52"/>
    <x v="0"/>
    <s v="EU"/>
    <s v="13"/>
    <s v="5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27561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808"/>
    <n v="2133460159"/>
    <s v=""/>
    <s v=""/>
    <s v="42"/>
    <x v="2"/>
    <s v="EU"/>
    <s v="12"/>
    <s v="4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58"/>
    <n v="2133460159"/>
    <s v=""/>
    <s v="RS"/>
    <s v="42"/>
    <x v="2"/>
    <s v="EU"/>
    <s v="12"/>
    <s v="7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3"/>
    <n v="2133460159"/>
    <s v=""/>
    <s v=""/>
    <s v="42"/>
    <x v="2"/>
    <s v="EU"/>
    <s v="12"/>
    <s v="7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05"/>
    <n v="1937971277"/>
    <s v=""/>
    <s v=""/>
    <s v="21"/>
    <x v="9"/>
    <s v="EU"/>
    <s v="0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4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8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137136"/>
    <n v="272891368"/>
    <s v=""/>
    <s v=""/>
    <s v="42"/>
    <x v="2"/>
    <s v="EU"/>
    <s v="12"/>
    <s v="3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11"/>
    <n v="272891368"/>
    <s v="0"/>
    <s v=""/>
    <s v="52"/>
    <x v="0"/>
    <s v="EU"/>
    <s v="13"/>
    <s v="5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409"/>
    <n v="272891368"/>
    <s v=""/>
    <s v=""/>
    <s v="32"/>
    <x v="11"/>
    <s v="EU"/>
    <s v="11"/>
    <s v="3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44"/>
    <n v="1937971277"/>
    <s v="2"/>
    <s v="RS"/>
    <s v="S2"/>
    <x v="15"/>
    <s v="FW"/>
    <s v="1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-1005515167"/>
    <n v="-1000023139"/>
    <s v=""/>
    <s v=""/>
    <s v="41"/>
    <x v="1"/>
    <s v="EU"/>
    <s v="03"/>
    <s v="8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9868644"/>
    <n v="1585028383"/>
    <s v=""/>
    <s v=""/>
    <s v="42"/>
    <x v="2"/>
    <s v="EU"/>
    <s v="12"/>
    <s v="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m/>
    <m/>
    <m/>
    <m/>
    <m/>
    <x v="20"/>
    <m/>
    <m/>
    <m/>
    <m/>
    <m/>
    <m/>
    <m/>
    <m/>
    <m/>
    <m/>
    <x v="27"/>
    <m/>
    <m/>
    <m/>
    <m/>
    <x v="4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40">
  <r>
    <s v=""/>
    <s v="0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0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RG"/>
    <s v=""/>
    <x v="3"/>
    <s v="MY"/>
    <s v="Scales"/>
    <n v="2126660001"/>
    <s v="2 SCALES ACROSS PER FISH"/>
    <s v="2M"/>
    <x v="3"/>
    <s v="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s v=""/>
    <s v=""/>
    <x v="4"/>
    <s v="EU"/>
    <s v="Scales"/>
    <n v="2126660001"/>
    <s v="2 SCALES ACROSS PER FISH"/>
    <s v="53"/>
    <x v="4"/>
    <s v="9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0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0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4"/>
    <s v="EU"/>
    <s v="Scales"/>
    <n v="2126660001"/>
    <s v="2 SCALES ACROSS PER FISH"/>
    <s v="53"/>
    <x v="4"/>
    <s v="2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RG"/>
    <s v="0"/>
    <x v="3"/>
    <s v="MY"/>
    <s v="Scales"/>
    <n v="2126660001"/>
    <s v="2 SCALES ACROSS PER FISH"/>
    <s v="2M"/>
    <x v="3"/>
    <s v="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0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4"/>
    <s v="EU"/>
    <s v="Scales"/>
    <n v="2126660001"/>
    <s v="2 SCALES ACROSS PER FISH"/>
    <s v="53"/>
    <x v="4"/>
    <s v="9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RG"/>
    <s v=""/>
    <x v="3"/>
    <s v="MY"/>
    <s v="Scales"/>
    <n v="2126660001"/>
    <s v="2 SCALES ACROSS PER FISH"/>
    <s v="2M"/>
    <x v="3"/>
    <s v="17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4"/>
    <s v="EU"/>
    <s v="Scales"/>
    <n v="2126660001"/>
    <s v="2 SCALES ACROSS PER FISH"/>
    <s v="53"/>
    <x v="4"/>
    <s v="19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UF"/>
    <s v=""/>
    <x v="5"/>
    <s v="MY"/>
    <s v="Scales"/>
    <n v="2126660001"/>
    <s v="2 SCALES ACROSS PER FISH"/>
    <s v="3M"/>
    <x v="5"/>
    <s v="19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UD"/>
    <s v=""/>
    <x v="6"/>
    <s v="EU"/>
    <s v="Scales"/>
    <n v="2126660001"/>
    <s v="2 SCALES ACROSS PER FISH"/>
    <s v=""/>
    <x v="6"/>
    <s v="20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0"/>
    <x v="3"/>
    <s v="MY"/>
    <s v="Scales"/>
    <n v="2126660001"/>
    <s v="2 SCALES ACROSS PER FISH"/>
    <s v="2M"/>
    <x v="3"/>
    <s v="2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0"/>
    <x v="3"/>
    <s v="MY"/>
    <s v="Scales"/>
    <n v="2126660001"/>
    <s v="2 SCALES ACROSS PER FISH"/>
    <s v="2M"/>
    <x v="3"/>
    <s v="2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RG"/>
    <s v=""/>
    <x v="5"/>
    <s v="MY"/>
    <s v="Scales"/>
    <n v="2126660001"/>
    <s v="2 SCALES ACROSS PER FISH"/>
    <s v="3M"/>
    <x v="5"/>
    <s v="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0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NS"/>
    <s v=""/>
    <x v="6"/>
    <s v="EU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"/>
    <x v="8"/>
    <s v="EU"/>
    <s v="Scales"/>
    <n v="2126660001"/>
    <s v="2 SCALES ACROSS PER FISH"/>
    <s v="63"/>
    <x v="8"/>
    <s v="1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RG"/>
    <s v="0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"/>
    <s v="0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s v="RG"/>
    <s v="0"/>
    <x v="5"/>
    <s v="MY"/>
    <s v="Scales"/>
    <n v="2126660001"/>
    <s v="2 SCALES ACROSS PER FISH"/>
    <s v="3M"/>
    <x v="5"/>
    <s v="1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0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UD"/>
    <s v=""/>
    <x v="6"/>
    <s v="EU"/>
    <s v="Scales"/>
    <n v="2126660001"/>
    <s v="2 SCALES ACROSS PER FISH"/>
    <s v=""/>
    <x v="6"/>
    <s v="13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RG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3095062"/>
    <n v="51765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s v="RG"/>
    <s v=""/>
    <x v="6"/>
    <s v="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3"/>
    <s v="MY"/>
    <s v="Scales"/>
    <n v="2126660001"/>
    <s v="2 SCALES ACROSS PER FISH"/>
    <s v="2M"/>
    <x v="3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1"/>
    <s v="EU"/>
    <s v="Scales"/>
    <n v="2126660001"/>
    <s v="2 SCALES ACROSS PER FISH"/>
    <s v="41"/>
    <x v="1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5"/>
    <s v="MY"/>
    <s v="Scales"/>
    <n v="2126660001"/>
    <s v="2 SCALES ACROSS PER FISH"/>
    <s v="3M"/>
    <x v="5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7"/>
    <s v="EU"/>
    <s v="Scales"/>
    <n v="2126660001"/>
    <s v="2 SCALES ACROSS PER FISH"/>
    <s v="31"/>
    <x v="7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MF"/>
    <s v=""/>
    <x v="6"/>
    <s v=""/>
    <s v="Scales"/>
    <n v="2126660001"/>
    <s v="2 SCALES ACROSS PER FISH"/>
    <s v=""/>
    <x v="6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MF"/>
    <s v=""/>
    <x v="6"/>
    <s v="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5"/>
    <s v="MY"/>
    <s v="Scales"/>
    <n v="2126660001"/>
    <s v="2 SCALES ACROSS PER FISH"/>
    <s v="3M"/>
    <x v="5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RG"/>
    <s v=""/>
    <x v="6"/>
    <s v=""/>
    <s v="Scales"/>
    <n v="2126660001"/>
    <s v="2 SCALES ACROSS PER FISH"/>
    <s v=""/>
    <x v="6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5"/>
    <s v="MY"/>
    <s v="Scales"/>
    <n v="2126660001"/>
    <s v="2 SCALES ACROSS PER FISH"/>
    <s v="3M"/>
    <x v="5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5"/>
    <s v="MY"/>
    <s v="Scales"/>
    <n v="2126660001"/>
    <s v="2 SCALES ACROSS PER FISH"/>
    <s v="3M"/>
    <x v="5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RG"/>
    <s v=""/>
    <x v="6"/>
    <s v="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RG"/>
    <s v=""/>
    <x v="6"/>
    <s v="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1"/>
    <s v="EU"/>
    <s v="Scales"/>
    <n v="2126660001"/>
    <s v="2 SCALES ACROSS PER FISH"/>
    <s v="41"/>
    <x v="1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7"/>
    <s v="EU"/>
    <s v="Scales"/>
    <n v="2126660001"/>
    <s v="2 SCALES ACROSS PER FISH"/>
    <s v="31"/>
    <x v="7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NA"/>
    <s v=""/>
    <x v="6"/>
    <s v=""/>
    <s v="Scales"/>
    <n v="2126660001"/>
    <s v="2 SCALES ACROSS PER FISH"/>
    <s v=""/>
    <x v="6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4"/>
    <s v="EU"/>
    <s v="Scales"/>
    <n v="2126660001"/>
    <s v="2 SCALES ACROSS PER FISH"/>
    <s v="53"/>
    <x v="4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1"/>
    <s v="EU"/>
    <s v="Scales"/>
    <n v="2126660001"/>
    <s v="2 SCALES ACROSS PER FISH"/>
    <s v="41"/>
    <x v="1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RG"/>
    <s v=""/>
    <x v="6"/>
    <s v=""/>
    <s v="Scales"/>
    <n v="2126660001"/>
    <s v="2 SCALES ACROSS PER FISH"/>
    <s v=""/>
    <x v="6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7"/>
    <s v="EU"/>
    <s v="Scales"/>
    <n v="2126660001"/>
    <s v="2 SCALES ACROSS PER FISH"/>
    <s v="31"/>
    <x v="7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5"/>
    <s v="MY"/>
    <s v="Scales"/>
    <n v="2126660001"/>
    <s v="2 SCALES ACROSS PER FISH"/>
    <s v="3M"/>
    <x v="5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RG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5"/>
    <s v="MY"/>
    <s v="Scales"/>
    <n v="2126660001"/>
    <s v="2 SCALES ACROSS PER FISH"/>
    <s v="3M"/>
    <x v="5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RG"/>
    <s v=""/>
    <x v="6"/>
    <s v=""/>
    <s v="Scales"/>
    <n v="2126660001"/>
    <s v="2 SCALES ACROSS PER FISH"/>
    <s v=""/>
    <x v="6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RG"/>
    <s v=""/>
    <x v="6"/>
    <s v="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1"/>
    <s v="EU"/>
    <s v="Scales"/>
    <n v="2126660001"/>
    <s v="2 SCALES ACROSS PER FISH"/>
    <s v="41"/>
    <x v="1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7"/>
    <s v="EU"/>
    <s v="Scales"/>
    <n v="2126660001"/>
    <s v="2 SCALES ACROSS PER FISH"/>
    <s v="31"/>
    <x v="7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1"/>
    <s v="EU"/>
    <s v="Scales"/>
    <n v="2126660001"/>
    <s v="2 SCALES ACROSS PER FISH"/>
    <s v="41"/>
    <x v="1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7"/>
    <s v="EU"/>
    <s v="Scales"/>
    <n v="2126660001"/>
    <s v="2 SCALES ACROSS PER FISH"/>
    <s v="31"/>
    <x v="7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RG"/>
    <s v=""/>
    <x v="6"/>
    <s v="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1"/>
    <s v="EU"/>
    <s v="Scales"/>
    <n v="2126660001"/>
    <s v="2 SCALES ACROSS PER FISH"/>
    <s v="41"/>
    <x v="1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1"/>
    <s v="EU"/>
    <s v="Scales"/>
    <n v="2126660001"/>
    <s v="2 SCALES ACROSS PER FISH"/>
    <s v="41"/>
    <x v="1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RG"/>
    <s v=""/>
    <x v="6"/>
    <s v=""/>
    <s v="Scales"/>
    <n v="2126660001"/>
    <s v="2 SCALES ACROSS PER FISH"/>
    <s v=""/>
    <x v="6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RG"/>
    <s v=""/>
    <x v="6"/>
    <s v=""/>
    <s v="Scales"/>
    <n v="2126660001"/>
    <s v="2 SCALES ACROSS PER FISH"/>
    <s v=""/>
    <x v="6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RG"/>
    <s v=""/>
    <x v="6"/>
    <s v="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RG"/>
    <s v=""/>
    <x v="6"/>
    <s v=""/>
    <s v="Scales"/>
    <n v="2126660001"/>
    <s v="2 SCALES ACROSS PER FISH"/>
    <s v=""/>
    <x v="6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UD"/>
    <s v=""/>
    <x v="6"/>
    <s v=""/>
    <s v="Scales"/>
    <n v="2126660001"/>
    <s v="2 SCALES ACROSS PER FISH"/>
    <s v=""/>
    <x v="6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0"/>
    <s v="EU"/>
    <s v="Scales"/>
    <n v="2126660001"/>
    <s v="2 SCALES ACROSS PER FISH"/>
    <s v="52"/>
    <x v="0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RG"/>
    <s v=""/>
    <x v="6"/>
    <s v=""/>
    <s v="Scales"/>
    <n v="2126660001"/>
    <s v="2 SCALES ACROSS PER FISH"/>
    <s v=""/>
    <x v="6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RG"/>
    <s v=""/>
    <x v="6"/>
    <s v=""/>
    <s v="Scales"/>
    <n v="2126660001"/>
    <s v="2 SCALES ACROSS PER FISH"/>
    <s v=""/>
    <x v="6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7"/>
    <s v="EU"/>
    <s v="Scales"/>
    <n v="2126660001"/>
    <s v="2 SCALES ACROSS PER FISH"/>
    <s v="31"/>
    <x v="7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7"/>
    <s v="EU"/>
    <s v="Scales"/>
    <n v="2126660001"/>
    <s v="2 SCALES ACROSS PER FISH"/>
    <s v="31"/>
    <x v="7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5"/>
    <s v="MY"/>
    <s v="Scales"/>
    <n v="2126660001"/>
    <s v="2 SCALES ACROSS PER FISH"/>
    <s v="3M"/>
    <x v="5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3"/>
    <s v="MY"/>
    <s v="Scales"/>
    <n v="2126660001"/>
    <s v="2 SCALES ACROSS PER FISH"/>
    <s v="2M"/>
    <x v="3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3"/>
    <s v="MY"/>
    <s v="Scales"/>
    <n v="2126660001"/>
    <s v="2 SCALES ACROSS PER FISH"/>
    <s v="2M"/>
    <x v="3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RG"/>
    <s v=""/>
    <x v="6"/>
    <s v="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7"/>
    <s v="EU"/>
    <s v="Scales"/>
    <n v="2126660001"/>
    <s v="2 SCALES ACROSS PER FISH"/>
    <s v="31"/>
    <x v="7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3"/>
    <s v="MY"/>
    <s v="Scales"/>
    <n v="2126660001"/>
    <s v="2 SCALES ACROSS PER FISH"/>
    <s v="2M"/>
    <x v="3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5"/>
    <s v="MY"/>
    <s v="Scales"/>
    <n v="2126660001"/>
    <s v="2 SCALES ACROSS PER FISH"/>
    <s v="3M"/>
    <x v="5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7"/>
    <s v="EU"/>
    <s v="Scales"/>
    <n v="2126660001"/>
    <s v="2 SCALES ACROSS PER FISH"/>
    <s v="31"/>
    <x v="7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RG"/>
    <s v=""/>
    <x v="6"/>
    <s v="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5"/>
    <s v="MY"/>
    <s v="Scales"/>
    <n v="2126660001"/>
    <s v="2 SCALES ACROSS PER FISH"/>
    <s v="3M"/>
    <x v="5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7"/>
    <s v="EU"/>
    <s v="Scales"/>
    <n v="2126660001"/>
    <s v="2 SCALES ACROSS PER FISH"/>
    <s v="31"/>
    <x v="7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7"/>
    <s v="EU"/>
    <s v="Scales"/>
    <n v="2126660001"/>
    <s v="2 SCALES ACROSS PER FISH"/>
    <s v="31"/>
    <x v="7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4"/>
    <s v="EU"/>
    <s v="Scales"/>
    <n v="2126660001"/>
    <s v="2 SCALES ACROSS PER FISH"/>
    <s v="53"/>
    <x v="4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1"/>
    <s v="EU"/>
    <s v="Scales"/>
    <n v="2126660001"/>
    <s v="2 SCALES ACROSS PER FISH"/>
    <s v="41"/>
    <x v="1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0"/>
    <s v="EU"/>
    <s v="Scales"/>
    <n v="2126660001"/>
    <s v="2 SCALES ACROSS PER FISH"/>
    <s v="52"/>
    <x v="0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3"/>
    <s v="MY"/>
    <s v="Scales"/>
    <n v="2126660001"/>
    <s v="2 SCALES ACROSS PER FISH"/>
    <s v="2M"/>
    <x v="3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RG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3"/>
    <s v="MY"/>
    <s v="Scales"/>
    <n v="2126660001"/>
    <s v="2 SCALES ACROSS PER FISH"/>
    <s v="2M"/>
    <x v="3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1"/>
    <s v="EU"/>
    <s v="Scales"/>
    <n v="2126660001"/>
    <s v="2 SCALES ACROSS PER FISH"/>
    <s v="41"/>
    <x v="1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5"/>
    <s v="MY"/>
    <s v="Scales"/>
    <n v="2126660001"/>
    <s v="2 SCALES ACROSS PER FISH"/>
    <s v="3M"/>
    <x v="5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5"/>
    <s v="MY"/>
    <s v="Scales"/>
    <n v="2126660001"/>
    <s v="2 SCALES ACROSS PER FISH"/>
    <s v="3M"/>
    <x v="5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7"/>
    <s v="EU"/>
    <s v="Scales"/>
    <n v="2126660001"/>
    <s v="2 SCALES ACROSS PER FISH"/>
    <s v="31"/>
    <x v="7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5"/>
    <s v="MY"/>
    <s v="Scales"/>
    <n v="2126660001"/>
    <s v="2 SCALES ACROSS PER FISH"/>
    <s v="3M"/>
    <x v="5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RG"/>
    <s v=""/>
    <x v="6"/>
    <s v="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1"/>
    <s v="EU"/>
    <s v="Scales"/>
    <n v="2126660001"/>
    <s v="2 SCALES ACROSS PER FISH"/>
    <s v="41"/>
    <x v="1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7"/>
    <s v="EU"/>
    <s v="Scales"/>
    <n v="2126660001"/>
    <s v="2 SCALES ACROSS PER FISH"/>
    <s v="31"/>
    <x v="7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RG"/>
    <s v=""/>
    <x v="6"/>
    <s v=""/>
    <s v="Scales"/>
    <n v="2126660001"/>
    <s v="2 SCALES ACROSS PER FISH"/>
    <s v=""/>
    <x v="6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RG"/>
    <s v=""/>
    <x v="6"/>
    <s v=""/>
    <s v="Scales"/>
    <n v="2126660001"/>
    <s v="2 SCALES ACROSS PER FISH"/>
    <s v=""/>
    <x v="6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RG"/>
    <s v=""/>
    <x v="6"/>
    <s v=""/>
    <s v="Scales"/>
    <n v="2126660001"/>
    <s v="2 SCALES ACROSS PER FISH"/>
    <s v=""/>
    <x v="6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5"/>
    <s v="MY"/>
    <s v="Scales"/>
    <n v="2126660001"/>
    <s v="2 SCALES ACROSS PER FISH"/>
    <s v="3M"/>
    <x v="5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5"/>
    <s v="MY"/>
    <s v="Scales"/>
    <n v="2126660001"/>
    <s v="2 SCALES ACROSS PER FISH"/>
    <s v="3M"/>
    <x v="5"/>
    <s v="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0"/>
    <s v="EU"/>
    <s v="Scales"/>
    <n v="2126660001"/>
    <s v="2 SCALES ACROSS PER FISH"/>
    <s v="52"/>
    <x v="0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3"/>
    <s v="MY"/>
    <s v="Scales"/>
    <n v="2126660001"/>
    <s v="2 SCALES ACROSS PER FISH"/>
    <s v="2M"/>
    <x v="3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7"/>
    <s v="EU"/>
    <s v="Scales"/>
    <n v="2126660001"/>
    <s v="2 SCALES ACROSS PER FISH"/>
    <s v="31"/>
    <x v="7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RG"/>
    <s v=""/>
    <x v="6"/>
    <s v=""/>
    <s v="Scales"/>
    <n v="2126660001"/>
    <s v="2 SCALES ACROSS PER FISH"/>
    <s v=""/>
    <x v="6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3"/>
    <s v="MY"/>
    <s v="Scales"/>
    <n v="2126660001"/>
    <s v="2 SCALES ACROSS PER FISH"/>
    <s v="2M"/>
    <x v="3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s v="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s v=""/>
    <s v=""/>
    <x v="1"/>
    <s v="EU"/>
    <s v="Scales"/>
    <n v="2126660001"/>
    <s v="2 SCALES ACROSS PER FISH"/>
    <s v="41"/>
    <x v="1"/>
    <s v="19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s v=""/>
    <s v=""/>
    <x v="7"/>
    <s v="EU"/>
    <s v="Scales"/>
    <n v="2126660001"/>
    <s v="2 SCALES ACROSS PER FISH"/>
    <s v="31"/>
    <x v="7"/>
    <s v="11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s v=""/>
    <s v="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-1000005626"/>
    <n v="51765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RG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UD"/>
    <s v=""/>
    <x v="6"/>
    <s v="EU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RG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RG"/>
    <s v=""/>
    <x v="9"/>
    <s v="MY"/>
    <s v="Scales"/>
    <n v="2126660001"/>
    <s v="2 SCALES ACROSS PER FISH"/>
    <s v="0M"/>
    <x v="9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0"/>
    <x v="10"/>
    <s v="EU"/>
    <s v="Scales"/>
    <n v="2126660001"/>
    <s v="2 SCALES ACROSS PER FISH"/>
    <s v="62"/>
    <x v="10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UD"/>
    <s v=""/>
    <x v="6"/>
    <s v="EU"/>
    <s v="Scales"/>
    <n v="2126660001"/>
    <s v="2 SCALES ACROSS PER FISH"/>
    <s v=""/>
    <x v="6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1"/>
    <x v="4"/>
    <s v="EU"/>
    <s v="Scales"/>
    <n v="2126660001"/>
    <s v="2 SCALES ACROSS PER FISH"/>
    <s v="53"/>
    <x v="4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RG"/>
    <s v=""/>
    <x v="3"/>
    <s v="MY"/>
    <s v="Scales"/>
    <n v="2126660001"/>
    <s v="2 SCALES ACROSS PER FISH"/>
    <s v="2M"/>
    <x v="3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RG"/>
    <s v=""/>
    <x v="5"/>
    <s v="MY"/>
    <s v="Scales"/>
    <n v="2126660001"/>
    <s v="2 SCALES ACROSS PER FISH"/>
    <s v="3M"/>
    <x v="5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RG"/>
    <s v=""/>
    <x v="11"/>
    <s v="MY"/>
    <s v="Scales"/>
    <n v="2126660001"/>
    <s v="2 SCALES ACROSS PER FISH"/>
    <s v="1M"/>
    <x v="11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8"/>
    <s v="EU"/>
    <s v="Scales"/>
    <n v="2126660001"/>
    <s v="2 SCALES ACROSS PER FISH"/>
    <s v="63"/>
    <x v="8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0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7"/>
    <s v="EU"/>
    <s v="Scales"/>
    <n v="2126660001"/>
    <s v="2 SCALES ACROSS PER FISH"/>
    <s v="31"/>
    <x v="7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RG"/>
    <s v=""/>
    <x v="6"/>
    <s v="EU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0"/>
    <s v="EU"/>
    <s v="Scales"/>
    <n v="2126660001"/>
    <s v="2 SCALES ACROSS PER FISH"/>
    <s v="52"/>
    <x v="0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UD"/>
    <s v=""/>
    <x v="6"/>
    <s v="EU"/>
    <s v="Scales"/>
    <n v="2126660001"/>
    <s v="2 SCALES ACROSS PER FISH"/>
    <s v=""/>
    <x v="6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UD"/>
    <s v=""/>
    <x v="6"/>
    <s v="EU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RG"/>
    <s v=""/>
    <x v="6"/>
    <s v="EU"/>
    <s v="Scales"/>
    <n v="2126660001"/>
    <s v="2 SCALES ACROSS PER FISH"/>
    <s v=""/>
    <x v="6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UD"/>
    <s v=""/>
    <x v="6"/>
    <s v="EU"/>
    <s v="Scales"/>
    <n v="2126660001"/>
    <s v="2 SCALES ACROSS PER FISH"/>
    <s v=""/>
    <x v="6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6T00:00:00"/>
    <d v="2003-07-16T00:00:00"/>
    <s v="32827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0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RG"/>
    <s v="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0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RG"/>
    <s v=""/>
    <x v="3"/>
    <s v="MY"/>
    <s v="Scales"/>
    <n v="2126660001"/>
    <s v="2 SCALES ACROSS PER FISH"/>
    <s v="2M"/>
    <x v="3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UD"/>
    <s v=""/>
    <x v="6"/>
    <s v="EU"/>
    <s v="Scales"/>
    <n v="2126660001"/>
    <s v="2 SCALES ACROSS PER FISH"/>
    <s v=""/>
    <x v="6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RG"/>
    <s v=""/>
    <x v="11"/>
    <s v="MY"/>
    <s v="Scales"/>
    <n v="2126660001"/>
    <s v="2 SCALES ACROSS PER FISH"/>
    <s v="1M"/>
    <x v="11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RG"/>
    <s v=""/>
    <x v="6"/>
    <s v="EU"/>
    <s v="Scales"/>
    <n v="2126660001"/>
    <s v="2 SCALES ACROSS PER FISH"/>
    <s v=""/>
    <x v="6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4"/>
    <s v="EU"/>
    <s v="Scales"/>
    <n v="2126660001"/>
    <s v="2 SCALES ACROSS PER FISH"/>
    <s v="53"/>
    <x v="4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"/>
    <s v=""/>
    <x v="4"/>
    <s v="EU"/>
    <s v="Scales"/>
    <n v="2126660001"/>
    <s v="2 SCALES ACROSS PER FISH"/>
    <s v="53"/>
    <x v="4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s v="RG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4"/>
    <s v="EU"/>
    <s v="Scales"/>
    <n v="2126660001"/>
    <s v="2 SCALES ACROSS PER FISH"/>
    <s v="53"/>
    <x v="4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UD"/>
    <s v=""/>
    <x v="6"/>
    <s v="EU"/>
    <s v="Scales"/>
    <n v="2126660001"/>
    <s v="2 SCALES ACROSS PER FISH"/>
    <s v=""/>
    <x v="6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UD"/>
    <s v=""/>
    <x v="6"/>
    <s v="EU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RG"/>
    <s v=""/>
    <x v="5"/>
    <s v="MY"/>
    <s v="Scales"/>
    <n v="2126660001"/>
    <s v="2 SCALES ACROSS PER FISH"/>
    <s v="3M"/>
    <x v="5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0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7"/>
    <s v="EU"/>
    <s v="Scales"/>
    <n v="2126660001"/>
    <s v="2 SCALES ACROSS PER FISH"/>
    <s v="31"/>
    <x v="7"/>
    <s v="2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4"/>
    <s v="EU"/>
    <s v="Scales"/>
    <n v="2126660001"/>
    <s v="2 SCALES ACROSS PER FISH"/>
    <s v="53"/>
    <x v="4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0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0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0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0"/>
    <s v="EU"/>
    <s v="Scales"/>
    <n v="2126660001"/>
    <s v="2 SCALES ACROSS PER FISH"/>
    <s v="52"/>
    <x v="0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s v=""/>
    <s v=""/>
    <x v="4"/>
    <s v="EU"/>
    <s v="Scales"/>
    <n v="2126660001"/>
    <s v="2 SCALES ACROSS PER FISH"/>
    <s v="53"/>
    <x v="4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UD"/>
    <s v=""/>
    <x v="6"/>
    <s v="EU"/>
    <s v="Scales"/>
    <n v="2126660001"/>
    <s v="2 SCALES ACROSS PER FISH"/>
    <s v=""/>
    <x v="6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RG"/>
    <s v=""/>
    <x v="6"/>
    <s v="EU"/>
    <s v="Scales"/>
    <n v="2126660001"/>
    <s v="2 SCALES ACROSS PER FISH"/>
    <s v=""/>
    <x v="6"/>
    <s v="19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RG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7"/>
    <s v="EU"/>
    <s v="Scales"/>
    <n v="2126660001"/>
    <s v="2 SCALES ACROSS PER FISH"/>
    <s v="31"/>
    <x v="7"/>
    <s v="1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350248"/>
    <n v="51765"/>
    <s v="BELLA COOLA/ATNARKO INDIAN FOOD FISHERY(IFF)-2003"/>
    <n v="968"/>
    <s v="BELLA COOLA RIVER"/>
    <x v="2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s v=""/>
    <s v="*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RG"/>
    <s v="0"/>
    <x v="5"/>
    <s v="MY"/>
    <s v="Scales"/>
    <n v="2126660001"/>
    <s v="2 SCALES ACROSS PER FISH"/>
    <s v="3M"/>
    <x v="5"/>
    <s v="11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RG"/>
    <s v=""/>
    <x v="5"/>
    <s v="MY"/>
    <s v="Scales"/>
    <n v="2126660001"/>
    <s v="2 SCALES ACROSS PER FISH"/>
    <s v="3M"/>
    <x v="5"/>
    <s v="16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0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W"/>
    <s v="0"/>
    <x v="3"/>
    <s v="MY"/>
    <s v="Scales"/>
    <n v="2126660001"/>
    <s v="2 SCALES ACROSS PER FISH"/>
    <s v="2M"/>
    <x v="3"/>
    <s v="3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RG"/>
    <s v=""/>
    <x v="3"/>
    <s v="MY"/>
    <s v="Scales"/>
    <n v="2126660001"/>
    <s v="2 SCALES ACROSS PER FISH"/>
    <s v="2M"/>
    <x v="3"/>
    <s v="19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W"/>
    <s v=""/>
    <x v="6"/>
    <s v="EU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0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RG"/>
    <s v="*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*"/>
    <x v="4"/>
    <s v="EU"/>
    <s v="Scales"/>
    <n v="2126660001"/>
    <s v="2 SCALES ACROSS PER FISH"/>
    <s v="53"/>
    <x v="4"/>
    <s v="6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RG"/>
    <s v="0"/>
    <x v="5"/>
    <s v="MY"/>
    <s v="Scales"/>
    <n v="2126660001"/>
    <s v="2 SCALES ACROSS PER FISH"/>
    <s v="3M"/>
    <x v="5"/>
    <s v="7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RG"/>
    <s v=""/>
    <x v="3"/>
    <s v="MY"/>
    <s v="Scales"/>
    <n v="2126660001"/>
    <s v="2 SCALES ACROSS PER FISH"/>
    <s v="2M"/>
    <x v="3"/>
    <s v="22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s v=""/>
    <s v="0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4902326"/>
    <n v="51765"/>
    <s v="ATNARKO ESCAPEMENT - 2009"/>
    <n v="968"/>
    <s v="BELLA COOLA RIVER"/>
    <x v="3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s v="UD"/>
    <s v=""/>
    <x v="6"/>
    <s v="EU"/>
    <s v="Scales"/>
    <n v="2126660001"/>
    <s v="5 SCALES DOWN PER FISH"/>
    <s v=""/>
    <x v="6"/>
    <s v="8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"/>
    <x v="12"/>
    <s v="EU"/>
    <s v="Scales"/>
    <n v="2126660001"/>
    <s v="5 SCALES DOWN PER FISH"/>
    <s v="32"/>
    <x v="12"/>
    <s v="10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0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RG"/>
    <s v=""/>
    <x v="3"/>
    <s v="MY"/>
    <s v="Scales"/>
    <n v="2126660001"/>
    <s v="5 SCALES DOWN PER FISH"/>
    <s v="2M"/>
    <x v="3"/>
    <s v="3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0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0"/>
    <x v="0"/>
    <s v="EU"/>
    <s v="Scales"/>
    <n v="2126660001"/>
    <s v="5 SCALES DOWN PER FISH"/>
    <s v="52"/>
    <x v="0"/>
    <s v="1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0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11707560"/>
    <n v="51765"/>
    <s v="BELLA COOLA FN (IN RIVER NET) - 2021"/>
    <n v="968"/>
    <s v="BELLA COOLA RIVER"/>
    <x v="4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13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0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9269728"/>
    <n v="51765"/>
    <s v="BELLA COOLA FN (IN RIVER NET) - 2016"/>
    <n v="968"/>
    <s v="BELLA COOLA RIVER"/>
    <x v="5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s v="RG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W"/>
    <s v=""/>
    <x v="6"/>
    <s v="EU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RG"/>
    <s v=""/>
    <x v="3"/>
    <s v="MY"/>
    <s v="Scales"/>
    <n v="2126660001"/>
    <s v="2 SCALES ACROSS PER FISH"/>
    <s v="2M"/>
    <x v="3"/>
    <s v="16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UF"/>
    <s v="0"/>
    <x v="5"/>
    <s v="MY"/>
    <s v="Scales"/>
    <n v="2126660001"/>
    <s v="2 SCALES ACROSS PER FISH"/>
    <s v="3M"/>
    <x v="5"/>
    <s v="19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RG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RG"/>
    <s v=""/>
    <x v="3"/>
    <s v="MY"/>
    <s v="Scales"/>
    <n v="2126660001"/>
    <s v="2 SCALES ACROSS PER FISH"/>
    <s v="2M"/>
    <x v="3"/>
    <s v="12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RG"/>
    <s v=""/>
    <x v="3"/>
    <s v="MY"/>
    <s v="Scales"/>
    <n v="2126660001"/>
    <s v="2 SCALES ACROSS PER FISH"/>
    <s v="2M"/>
    <x v="3"/>
    <s v="9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MF"/>
    <s v=""/>
    <x v="6"/>
    <s v="EU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0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W"/>
    <s v="0"/>
    <x v="3"/>
    <s v="MY"/>
    <s v="Scales"/>
    <n v="2126660001"/>
    <s v="2 SCALES ACROSS PER FISH"/>
    <s v="2M"/>
    <x v="3"/>
    <s v="18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RG"/>
    <s v=""/>
    <x v="3"/>
    <s v="MY"/>
    <s v="Scales"/>
    <n v="2126660001"/>
    <s v="2 SCALES ACROSS PER FISH"/>
    <s v="2M"/>
    <x v="3"/>
    <s v="24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0"/>
    <x v="4"/>
    <s v="EU"/>
    <s v="Scales"/>
    <n v="2126660001"/>
    <s v="2 SCALES ACROSS PER FISH"/>
    <s v="53"/>
    <x v="4"/>
    <s v="13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RG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0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0"/>
    <x v="4"/>
    <s v="EU"/>
    <s v="Scales"/>
    <n v="2126660001"/>
    <s v="2 SCALES ACROSS PER FISH"/>
    <s v="53"/>
    <x v="4"/>
    <s v="5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0"/>
    <s v="EU"/>
    <s v="Scales"/>
    <n v="2126660001"/>
    <s v="2 SCALES ACROSS PER FISH"/>
    <s v="52"/>
    <x v="0"/>
    <s v="14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RG"/>
    <s v="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s v=""/>
    <s v="0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0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0391446"/>
    <n v="51765"/>
    <s v="BELLA COOLA FN (IN RIVER NET) - 2018"/>
    <n v="968"/>
    <s v="BELLA COOLA RIVER"/>
    <x v="6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RG"/>
    <s v=""/>
    <x v="5"/>
    <s v="MY"/>
    <s v="Scales"/>
    <n v="2126660001"/>
    <s v="2 SCALES ACROSS PER FISH"/>
    <s v="3M"/>
    <x v="5"/>
    <s v="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1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1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8"/>
    <s v="EU"/>
    <s v="Scales"/>
    <n v="2126660001"/>
    <s v="2 SCALES ACROSS PER FISH"/>
    <s v="63"/>
    <x v="8"/>
    <s v="1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3"/>
    <s v="MY"/>
    <s v="Scales"/>
    <n v="2126660001"/>
    <s v="2 SCALES ACROSS PER FISH"/>
    <s v="2M"/>
    <x v="3"/>
    <s v="1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6"/>
    <s v="EU"/>
    <s v="Scales"/>
    <n v="2126660001"/>
    <s v="2 SCALES ACROSS PER FISH"/>
    <s v=""/>
    <x v="6"/>
    <s v="1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5"/>
    <s v="MY"/>
    <s v="Scales"/>
    <n v="2126660001"/>
    <s v="2 SCALES ACROSS PER FISH"/>
    <s v="3M"/>
    <x v="5"/>
    <s v="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3"/>
    <s v="MY"/>
    <s v="Scales"/>
    <n v="2126660001"/>
    <s v="2 SCALES ACROSS PER FISH"/>
    <s v="2M"/>
    <x v="3"/>
    <s v="1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W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S"/>
    <s v="2"/>
    <x v="9"/>
    <s v="FW"/>
    <s v="Scales"/>
    <n v="2126660001"/>
    <s v="2 SCALES ACROSS PER FISH"/>
    <s v="S1"/>
    <x v="13"/>
    <s v="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6"/>
    <s v="EU"/>
    <s v="Scales"/>
    <n v="2126660001"/>
    <s v="2 SCALES ACROSS PER FISH"/>
    <s v=""/>
    <x v="6"/>
    <s v="1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6"/>
    <s v="EU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W"/>
    <s v="0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6"/>
    <s v="EU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W"/>
    <s v=""/>
    <x v="5"/>
    <s v="MY"/>
    <s v="Scales"/>
    <n v="2126660001"/>
    <s v="2 SCALES ACROSS PER FISH"/>
    <s v="3M"/>
    <x v="5"/>
    <s v="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UF"/>
    <s v=""/>
    <x v="3"/>
    <s v="MY"/>
    <s v="Scales"/>
    <n v="2126660001"/>
    <s v="2 SCALES ACROSS PER FISH"/>
    <s v="2M"/>
    <x v="3"/>
    <s v="2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RG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5"/>
    <s v="MY"/>
    <s v="Scales"/>
    <n v="2126660001"/>
    <s v="2 SCALES ACROSS PER FISH"/>
    <s v="3M"/>
    <x v="5"/>
    <s v="1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3"/>
    <s v="MY"/>
    <s v="Scales"/>
    <n v="2126660001"/>
    <s v="2 SCALES ACROSS PER FISH"/>
    <s v="2M"/>
    <x v="3"/>
    <s v="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W"/>
    <s v=""/>
    <x v="6"/>
    <s v="EU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0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RG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s v=""/>
    <s v="0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W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W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RG"/>
    <s v=""/>
    <x v="3"/>
    <s v="MY"/>
    <s v="Scales"/>
    <n v="2126660001"/>
    <s v="2 SCALES ACROSS PER FISH"/>
    <s v="2M"/>
    <x v="3"/>
    <s v="16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10946691"/>
    <n v="51765"/>
    <s v="BELLA COOLA FN (IN RIVER NET) - 2019"/>
    <n v="968"/>
    <s v="BELLA COOLA RIVER"/>
    <x v="7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s v=""/>
    <s v=""/>
    <x v="4"/>
    <s v="EU"/>
    <s v="Scales"/>
    <n v="2126660001"/>
    <s v="2 SCALES ACROSS PER FISH"/>
    <s v="53"/>
    <x v="4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RG"/>
    <s v=""/>
    <x v="3"/>
    <s v="MY"/>
    <s v="Scales"/>
    <n v="2126660001"/>
    <s v="2 SCALES ACROSS PER FISH"/>
    <s v="2M"/>
    <x v="3"/>
    <s v="1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RG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2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UD"/>
    <s v=""/>
    <x v="6"/>
    <s v="EU"/>
    <s v="Scales"/>
    <n v="2126660001"/>
    <s v="2 SCALES ACROSS PER FISH"/>
    <s v=""/>
    <x v="6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4"/>
    <s v="EU"/>
    <s v="Scales"/>
    <n v="2126660001"/>
    <s v="2 SCALES ACROSS PER FISH"/>
    <s v="53"/>
    <x v="4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4"/>
    <s v="EU"/>
    <s v="Scales"/>
    <n v="2126660001"/>
    <s v="2 SCALES ACROSS PER FISH"/>
    <s v="53"/>
    <x v="4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4"/>
    <s v="EU"/>
    <s v="Scales"/>
    <n v="2126660001"/>
    <s v="2 SCALES ACROSS PER FISH"/>
    <s v="53"/>
    <x v="4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0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4"/>
    <s v="EU"/>
    <s v="Scales"/>
    <n v="2126660001"/>
    <s v="2 SCALES ACROSS PER FISH"/>
    <s v="53"/>
    <x v="4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1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RG"/>
    <s v=""/>
    <x v="5"/>
    <s v="MY"/>
    <s v="Scales"/>
    <n v="2126660001"/>
    <s v="2 SCALES ACROSS PER FISH"/>
    <s v="3M"/>
    <x v="5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RG"/>
    <s v=""/>
    <x v="5"/>
    <s v="MY"/>
    <s v="Scales"/>
    <n v="2126660001"/>
    <s v="2 SCALES ACROSS PER FISH"/>
    <s v="3M"/>
    <x v="5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0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4"/>
    <s v="EU"/>
    <s v="Scales"/>
    <n v="2126660001"/>
    <s v="2 SCALES ACROSS PER FISH"/>
    <s v="53"/>
    <x v="4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1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0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RG"/>
    <s v=""/>
    <x v="6"/>
    <s v="EU"/>
    <s v="Scales"/>
    <n v="2126660001"/>
    <s v="2 SCALES ACROSS PER FISH"/>
    <s v=""/>
    <x v="6"/>
    <s v="2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8"/>
    <s v="EU"/>
    <s v="Scales"/>
    <n v="2126660001"/>
    <s v="2 SCALES ACROSS PER FISH"/>
    <s v="63"/>
    <x v="8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RG"/>
    <s v=""/>
    <x v="3"/>
    <s v="MY"/>
    <s v="Scales"/>
    <n v="2126660001"/>
    <s v="2 SCALES ACROSS PER FISH"/>
    <s v="2M"/>
    <x v="3"/>
    <s v="2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RG"/>
    <s v=""/>
    <x v="5"/>
    <s v="MY"/>
    <s v="Scales"/>
    <n v="2126660001"/>
    <s v="2 SCALES ACROSS PER FISH"/>
    <s v="3M"/>
    <x v="5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RG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8"/>
    <s v="EU"/>
    <s v="Scales"/>
    <n v="2126660001"/>
    <s v="2 SCALES ACROSS PER FISH"/>
    <s v="63"/>
    <x v="8"/>
    <s v="1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4"/>
    <s v="EU"/>
    <s v="Scales"/>
    <n v="2126660001"/>
    <s v="2 SCALES ACROSS PER FISH"/>
    <s v="53"/>
    <x v="4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13"/>
    <s v="EU"/>
    <s v="Scales"/>
    <n v="2126660001"/>
    <s v="2 SCALES ACROSS PER FISH"/>
    <s v="21"/>
    <x v="14"/>
    <s v="1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8"/>
    <s v="EU"/>
    <s v="Scales"/>
    <n v="2126660001"/>
    <s v="2 SCALES ACROSS PER FISH"/>
    <s v="63"/>
    <x v="8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UD"/>
    <s v=""/>
    <x v="6"/>
    <s v="EU"/>
    <s v="Scales"/>
    <n v="2126660001"/>
    <s v="2 SCALES ACROSS PER FISH"/>
    <s v=""/>
    <x v="6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NS"/>
    <s v=""/>
    <x v="6"/>
    <s v="EU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RG"/>
    <s v=""/>
    <x v="3"/>
    <s v="MY"/>
    <s v="Scales"/>
    <n v="2126660001"/>
    <s v="2 SCALES ACROSS PER FISH"/>
    <s v="2M"/>
    <x v="3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UF"/>
    <s v=""/>
    <x v="5"/>
    <s v="MY"/>
    <s v="Scales"/>
    <n v="2126660001"/>
    <s v="2 SCALES ACROSS PER FISH"/>
    <s v="3M"/>
    <x v="5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RG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4"/>
    <s v="EU"/>
    <s v="Scales"/>
    <n v="2126660001"/>
    <s v="2 SCALES ACROSS PER FISH"/>
    <s v="53"/>
    <x v="4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8"/>
    <s v="EU"/>
    <s v="Scales"/>
    <n v="2126660001"/>
    <s v="2 SCALES ACROSS PER FISH"/>
    <s v="63"/>
    <x v="8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RG"/>
    <s v=""/>
    <x v="6"/>
    <s v="EU"/>
    <s v="Scales"/>
    <n v="2126660001"/>
    <s v="2 SCALES ACROSS PER FISH"/>
    <s v=""/>
    <x v="6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0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4"/>
    <s v="EU"/>
    <s v="Scales"/>
    <n v="2126660001"/>
    <s v="2 SCALES ACROSS PER FISH"/>
    <s v="53"/>
    <x v="4"/>
    <s v="1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UF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1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RG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RG"/>
    <s v=""/>
    <x v="5"/>
    <s v="MY"/>
    <s v="Scales"/>
    <n v="2126660001"/>
    <s v="2 SCALES ACROSS PER FISH"/>
    <s v="3M"/>
    <x v="5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12"/>
    <s v="EU"/>
    <s v="Scales"/>
    <n v="2126660001"/>
    <s v="2 SCALES ACROSS PER FISH"/>
    <s v="32"/>
    <x v="12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8"/>
    <s v="EU"/>
    <s v="Scales"/>
    <n v="2126660001"/>
    <s v="2 SCALES ACROSS PER FISH"/>
    <s v="63"/>
    <x v="8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NS"/>
    <s v=""/>
    <x v="6"/>
    <s v="EU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7"/>
    <s v="EU"/>
    <s v="Scales"/>
    <n v="2126660001"/>
    <s v="2 SCALES ACROSS PER FISH"/>
    <s v="31"/>
    <x v="7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RG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RG"/>
    <s v="0"/>
    <x v="3"/>
    <s v="MY"/>
    <s v="Scales"/>
    <n v="2126660001"/>
    <s v="2 SCALES ACROSS PER FISH"/>
    <s v="2M"/>
    <x v="3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8"/>
    <s v="EU"/>
    <s v="Scales"/>
    <n v="2126660001"/>
    <s v="2 SCALES ACROSS PER FISH"/>
    <s v="63"/>
    <x v="8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8"/>
    <s v="EU"/>
    <s v="Scales"/>
    <n v="2126660001"/>
    <s v="2 SCALES ACROSS PER FISH"/>
    <s v="63"/>
    <x v="8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s v=""/>
    <s v=""/>
    <x v="4"/>
    <s v="EU"/>
    <s v="Scales"/>
    <n v="2126660001"/>
    <s v="2 SCALES ACROSS PER FISH"/>
    <s v="53"/>
    <x v="4"/>
    <s v="1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1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4"/>
    <s v="EU"/>
    <s v="Scales"/>
    <n v="2126660001"/>
    <s v="2 SCALES ACROSS PER FISH"/>
    <s v="53"/>
    <x v="4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RG"/>
    <s v=""/>
    <x v="6"/>
    <s v="EU"/>
    <s v="Scales"/>
    <n v="2126660001"/>
    <s v="2 SCALES ACROSS PER FISH"/>
    <s v=""/>
    <x v="6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RG"/>
    <s v=""/>
    <x v="3"/>
    <s v="MY"/>
    <s v="Scales"/>
    <n v="2126660001"/>
    <s v="2 SCALES ACROSS PER FISH"/>
    <s v="2M"/>
    <x v="3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0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1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RG"/>
    <s v=""/>
    <x v="6"/>
    <s v="EU"/>
    <s v="Scales"/>
    <n v="2126660001"/>
    <s v="2 SCALES ACROSS PER FISH"/>
    <s v=""/>
    <x v="6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4"/>
    <s v="EU"/>
    <s v="Scales"/>
    <n v="2126660001"/>
    <s v="2 SCALES ACROSS PER FISH"/>
    <s v="53"/>
    <x v="4"/>
    <s v="13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4"/>
    <s v="EU"/>
    <s v="Scales"/>
    <n v="2126660001"/>
    <s v="2 SCALES ACROSS PER FISH"/>
    <s v="53"/>
    <x v="4"/>
    <s v="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s v=""/>
    <s v=""/>
    <x v="4"/>
    <s v="EU"/>
    <s v="Scales"/>
    <n v="2126660001"/>
    <s v="2 SCALES ACROSS PER FISH"/>
    <s v="53"/>
    <x v="4"/>
    <s v="24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7"/>
    <s v="EU"/>
    <s v="Scales"/>
    <n v="2126660001"/>
    <s v="2 SCALES ACROSS PER FISH"/>
    <s v="31"/>
    <x v="7"/>
    <s v="10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NS"/>
    <s v=""/>
    <x v="6"/>
    <s v="EU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4"/>
    <s v="EU"/>
    <s v="Scales"/>
    <n v="2126660001"/>
    <s v="2 SCALES ACROSS PER FISH"/>
    <s v="53"/>
    <x v="4"/>
    <s v="18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RG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1746084"/>
    <n v="51765"/>
    <s v="ATNARKO ESCAPEMENT - 2005"/>
    <n v="968"/>
    <s v="BELLA COOLA RIVER"/>
    <x v="8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RG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1"/>
    <s v="EU"/>
    <s v="Scales"/>
    <n v="2126660001"/>
    <s v="5 SCALES DOWN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3"/>
    <s v="MY"/>
    <s v="Scales"/>
    <n v="2126660001"/>
    <s v="5 SCALES DOWN PER FISH"/>
    <s v="2M"/>
    <x v="3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1"/>
    <s v="EU"/>
    <s v="Scales"/>
    <n v="2126660001"/>
    <s v="5 SCALES DOWN PER FISH"/>
    <s v="41"/>
    <x v="1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7"/>
    <s v="EU"/>
    <s v="Scales"/>
    <n v="2126660001"/>
    <s v="5 SCALES DOWN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3"/>
    <s v="MY"/>
    <s v="Scales"/>
    <n v="2126660001"/>
    <s v="5 SCALES DOWN PER FISH"/>
    <s v="2M"/>
    <x v="3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3"/>
    <s v="MY"/>
    <s v="Scales"/>
    <n v="2126660001"/>
    <s v="5 SCALES DOWN PER FISH"/>
    <s v="2M"/>
    <x v="3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7"/>
    <s v="EU"/>
    <s v="Scales"/>
    <n v="2126660001"/>
    <s v="5 SCALES DOWN PER FISH"/>
    <s v="31"/>
    <x v="7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7"/>
    <s v="EU"/>
    <s v="Scales"/>
    <n v="2126660001"/>
    <s v="5 SCALES DOWN PER FISH"/>
    <s v="31"/>
    <x v="7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1"/>
    <s v="EU"/>
    <s v="Scales"/>
    <n v="2126660001"/>
    <s v="2 SCALES ACROSS PER FISH"/>
    <s v="41"/>
    <x v="1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7"/>
    <s v="EU"/>
    <s v="Scales"/>
    <n v="2126660001"/>
    <s v="2 SCALES ACROSS PER FISH"/>
    <s v="31"/>
    <x v="7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RG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3"/>
    <s v="MY"/>
    <s v="Scales"/>
    <n v="2126660001"/>
    <s v="2 SCALES ACROSS PER FISH"/>
    <s v="2M"/>
    <x v="3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12"/>
    <s v="EU"/>
    <s v="Scales"/>
    <n v="2126660001"/>
    <s v="2 SCALES ACROSS PER FISH"/>
    <s v="32"/>
    <x v="1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RG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0"/>
    <s v="EU"/>
    <s v="Scales"/>
    <n v="2126660001"/>
    <s v="2 SCALES ACROSS PER FISH"/>
    <s v="52"/>
    <x v="0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1"/>
    <s v="EU"/>
    <s v="Scales"/>
    <n v="2126660001"/>
    <s v="2 SCALES ACROSS PER FISH"/>
    <s v="41"/>
    <x v="1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3"/>
    <s v="MY"/>
    <s v="Scales"/>
    <n v="2126660001"/>
    <s v="2 SCALES ACROSS PER FISH"/>
    <s v="2M"/>
    <x v="3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7"/>
    <s v="EU"/>
    <s v="Scales"/>
    <n v="2126660001"/>
    <s v="2 SCALES ACROSS PER FISH"/>
    <s v="31"/>
    <x v="7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3"/>
    <s v="MY"/>
    <s v="Scales"/>
    <n v="2126660001"/>
    <s v="2 SCALES ACROSS PER FISH"/>
    <s v="2M"/>
    <x v="3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2"/>
    <s v="EU"/>
    <s v="Scales"/>
    <n v="2126660001"/>
    <s v="2 SCALES ACROSS PER FISH"/>
    <s v="32"/>
    <x v="1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3"/>
    <s v="MY"/>
    <s v="Scales"/>
    <n v="2126660001"/>
    <s v="2 SCALES ACROSS PER FISH"/>
    <s v="2M"/>
    <x v="3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UD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UD"/>
    <s v=""/>
    <x v="6"/>
    <s v=""/>
    <s v="Scales"/>
    <n v="2126660001"/>
    <s v="5 SCALES DOWN PER FISH"/>
    <s v=""/>
    <x v="6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1"/>
    <s v="EU"/>
    <s v="Scales"/>
    <n v="2126660001"/>
    <s v="5 SCALES DOWN PER FISH"/>
    <s v="41"/>
    <x v="1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3"/>
    <s v="MY"/>
    <s v="Scales"/>
    <n v="2126660001"/>
    <s v="5 SCALES DOWN PER FISH"/>
    <s v="2M"/>
    <x v="3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UD"/>
    <s v=""/>
    <x v="6"/>
    <s v=""/>
    <s v="Scales"/>
    <n v="2126660001"/>
    <s v="5 SCALES DOWN PER FISH"/>
    <s v=""/>
    <x v="6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UD"/>
    <s v=""/>
    <x v="6"/>
    <s v=""/>
    <s v="Scales"/>
    <n v="2126660001"/>
    <s v="5 SCALES DOWN PER FISH"/>
    <s v=""/>
    <x v="6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UD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3"/>
    <s v="MY"/>
    <s v="Scales"/>
    <n v="2126660001"/>
    <s v="5 SCALES DOWN PER FISH"/>
    <s v="2M"/>
    <x v="3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3"/>
    <s v="MY"/>
    <s v="Scales"/>
    <n v="2126660001"/>
    <s v="5 SCALES DOWN PER FISH"/>
    <s v="2M"/>
    <x v="3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RG"/>
    <s v=""/>
    <x v="6"/>
    <s v=""/>
    <s v="Scales"/>
    <n v="2126660001"/>
    <s v="5 SCALES DOWN PER FISH"/>
    <s v=""/>
    <x v="6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0"/>
    <s v="EU"/>
    <s v="Scales"/>
    <n v="2126660001"/>
    <s v="5 SCALES DOWN PER FISH"/>
    <s v="52"/>
    <x v="0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3"/>
    <s v="MY"/>
    <s v="Scales"/>
    <n v="2126660001"/>
    <s v="5 SCALES DOWN PER FISH"/>
    <s v="2M"/>
    <x v="3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5"/>
    <s v="MY"/>
    <s v="Scales"/>
    <n v="2126660001"/>
    <s v="5 SCALES DOWN PER FISH"/>
    <s v="3M"/>
    <x v="5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5"/>
    <s v="MY"/>
    <s v="Scales"/>
    <n v="2126660001"/>
    <s v="2 SCALES ACROSS PER FISH"/>
    <s v="3M"/>
    <x v="5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3"/>
    <s v="MY"/>
    <s v="Scales"/>
    <n v="2126660001"/>
    <s v="2 SCALES ACROSS PER FISH"/>
    <s v="2M"/>
    <x v="3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7"/>
    <s v="EU"/>
    <s v="Scales"/>
    <n v="2126660001"/>
    <s v="5 SCALES DOWN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7"/>
    <s v="EU"/>
    <s v="Scales"/>
    <n v="2126660001"/>
    <s v="5 SCALES DOWN PER FISH"/>
    <s v="31"/>
    <x v="7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0"/>
    <s v="EU"/>
    <s v="Scales"/>
    <n v="2126660001"/>
    <s v="5 SCALES DOWN PER FISH"/>
    <s v="52"/>
    <x v="0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7"/>
    <s v="EU"/>
    <s v="Scales"/>
    <n v="2126660001"/>
    <s v="5 SCALES DOWN PER FISH"/>
    <s v="31"/>
    <x v="7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7"/>
    <s v="EU"/>
    <s v="Scales"/>
    <n v="2126660001"/>
    <s v="2 SCALES ACROSS PER FISH"/>
    <s v="31"/>
    <x v="7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3"/>
    <s v="MY"/>
    <s v="Scales"/>
    <n v="2126660001"/>
    <s v="2 SCALES ACROSS PER FISH"/>
    <s v="2M"/>
    <x v="3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4"/>
    <s v="EU"/>
    <s v="Scales"/>
    <n v="2126660001"/>
    <s v="2 SCALES ACROSS PER FISH"/>
    <s v="51"/>
    <x v="15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"/>
    <s v="EU"/>
    <s v="Scales"/>
    <n v="2126660001"/>
    <s v="2 SCALES ACROSS PER FISH"/>
    <s v="41"/>
    <x v="1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5"/>
    <s v="MY"/>
    <s v="Scales"/>
    <n v="2126660001"/>
    <s v="2 SCALES ACROSS PER FISH"/>
    <s v="3M"/>
    <x v="5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3"/>
    <s v="MY"/>
    <s v="Scales"/>
    <n v="2126660001"/>
    <s v="2 SCALES ACROSS PER FISH"/>
    <s v="2M"/>
    <x v="3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5"/>
    <s v="MY"/>
    <s v="Scales"/>
    <n v="2126660001"/>
    <s v="2 SCALES ACROSS PER FISH"/>
    <s v="3M"/>
    <x v="5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2 SCALES ACROSS PER FISH"/>
    <s v="41"/>
    <x v="1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W"/>
    <s v=""/>
    <x v="6"/>
    <s v=""/>
    <s v="Scales"/>
    <n v="2126660001"/>
    <s v="2 SCALES ACROSS PER FISH"/>
    <s v=""/>
    <x v="6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5"/>
    <s v="MY"/>
    <s v="Scales"/>
    <n v="2126660001"/>
    <s v="2 SCALES ACROSS PER FISH"/>
    <s v="3M"/>
    <x v="5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4"/>
    <s v="EU"/>
    <s v="Scales"/>
    <n v="2126660001"/>
    <s v="2 SCALES ACROSS PER FISH"/>
    <s v="53"/>
    <x v="4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12"/>
    <s v="EU"/>
    <s v="Scales"/>
    <n v="2126660001"/>
    <s v="2 SCALES ACROSS PER FISH"/>
    <s v="32"/>
    <x v="1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7"/>
    <s v="EU"/>
    <s v="Scales"/>
    <n v="2126660001"/>
    <s v="2 SCALES ACROSS PER FISH"/>
    <s v="31"/>
    <x v="7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3"/>
    <s v="MY"/>
    <s v="Scales"/>
    <n v="2126660001"/>
    <s v="2 SCALES ACROSS PER FISH"/>
    <s v="2M"/>
    <x v="3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7"/>
    <s v="EU"/>
    <s v="Scales"/>
    <n v="2126660001"/>
    <s v="2 SCALES ACROSS PER FISH"/>
    <s v="31"/>
    <x v="7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5 SCALES DOWN PER FISH"/>
    <s v="41"/>
    <x v="1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0"/>
    <s v="EU"/>
    <s v="Scales"/>
    <n v="2126660001"/>
    <s v="2 SCALES ACROSS PER FISH"/>
    <s v="52"/>
    <x v="0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RG"/>
    <s v=""/>
    <x v="11"/>
    <s v="MY"/>
    <s v="Scales"/>
    <n v="2126660001"/>
    <s v="2 SCALES ACROSS PER FISH"/>
    <s v="1M"/>
    <x v="11"/>
    <s v="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RG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0"/>
    <s v="EU"/>
    <s v="Scales"/>
    <n v="2126660001"/>
    <s v="2 SCALES ACROSS PER FISH"/>
    <s v="52"/>
    <x v="0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1"/>
    <s v="EU"/>
    <s v="Scales"/>
    <n v="2126660001"/>
    <s v="2 SCALES ACROSS PER FISH"/>
    <s v="41"/>
    <x v="1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7"/>
    <s v="EU"/>
    <s v="Scales"/>
    <n v="2126660001"/>
    <s v="5 SCALES DOWN PER FISH"/>
    <s v="31"/>
    <x v="7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5"/>
    <s v="MY"/>
    <s v="Scales"/>
    <n v="2126660001"/>
    <s v="2 SCALES ACROSS PER FISH"/>
    <s v="3M"/>
    <x v="5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1"/>
    <s v="EU"/>
    <s v="Scales"/>
    <n v="2126660001"/>
    <s v="2 SCALES ACROSS PER FISH"/>
    <s v="41"/>
    <x v="1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0"/>
    <s v="EU"/>
    <s v="Scales"/>
    <n v="2126660001"/>
    <s v="2 SCALES ACROSS PER FISH"/>
    <s v="52"/>
    <x v="0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UD"/>
    <s v=""/>
    <x v="6"/>
    <s v=""/>
    <s v="Scales"/>
    <n v="2126660001"/>
    <s v="5 SCALES DOWN PER FISH"/>
    <s v=""/>
    <x v="6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1"/>
    <s v="EU"/>
    <s v="Scales"/>
    <n v="2126660001"/>
    <s v="5 SCALES DOWN PER FISH"/>
    <s v="41"/>
    <x v="1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5"/>
    <s v="MY"/>
    <s v="Scales"/>
    <n v="2126660001"/>
    <s v="2 SCALES ACROSS PER FISH"/>
    <s v="3M"/>
    <x v="5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0"/>
    <s v="EU"/>
    <s v="Scales"/>
    <n v="2126660001"/>
    <s v="2 SCALES ACROSS PER FISH"/>
    <s v="52"/>
    <x v="0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1"/>
    <s v="EU"/>
    <s v="Scales"/>
    <n v="2126660001"/>
    <s v="2 SCALES ACROSS PER FISH"/>
    <s v="41"/>
    <x v="1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3"/>
    <s v="MY"/>
    <s v="Scales"/>
    <n v="2126660001"/>
    <s v="2 SCALES ACROSS PER FISH"/>
    <s v="2M"/>
    <x v="3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UD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UD"/>
    <s v=""/>
    <x v="6"/>
    <s v=""/>
    <s v="Scales"/>
    <n v="2126660001"/>
    <s v="5 SCALES DOWN PER FISH"/>
    <s v=""/>
    <x v="6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0"/>
    <s v="EU"/>
    <s v="Scales"/>
    <n v="2126660001"/>
    <s v="5 SCALES DOWN PER FISH"/>
    <s v="52"/>
    <x v="0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0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1"/>
    <s v="EU"/>
    <s v="Scales"/>
    <n v="2126660001"/>
    <s v="2 SCALES ACROSS PER FISH"/>
    <s v="41"/>
    <x v="1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3"/>
    <s v="MY"/>
    <s v="Scales"/>
    <n v="2126660001"/>
    <s v="5 SCALES DOWN PER FISH"/>
    <s v="2M"/>
    <x v="3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7"/>
    <s v="EU"/>
    <s v="Scales"/>
    <n v="2126660001"/>
    <s v="2 SCALES ACROSS PER FISH"/>
    <s v="31"/>
    <x v="7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0"/>
    <s v="EU"/>
    <s v="Scales"/>
    <n v="2126660001"/>
    <s v="2 SCALES ACROSS PER FISH"/>
    <s v="52"/>
    <x v="0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1"/>
    <s v="EU"/>
    <s v="Scales"/>
    <n v="2126660001"/>
    <s v="2 SCALES ACROSS PER FISH"/>
    <s v="41"/>
    <x v="1"/>
    <s v="1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RG"/>
    <s v=""/>
    <x v="6"/>
    <s v="EU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0"/>
    <s v="EU"/>
    <s v="Scales"/>
    <n v="2126660001"/>
    <s v="2 SCALES ACROSS PER FISH"/>
    <s v="52"/>
    <x v="0"/>
    <s v="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RG"/>
    <s v=""/>
    <x v="6"/>
    <s v="EU"/>
    <s v="Scales"/>
    <n v="2126660001"/>
    <s v="2 SCALES ACROSS PER FISH"/>
    <s v=""/>
    <x v="6"/>
    <s v="1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UD"/>
    <s v=""/>
    <x v="6"/>
    <s v="EU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RG"/>
    <s v=""/>
    <x v="3"/>
    <s v="MY"/>
    <s v="Scales"/>
    <n v="2126660001"/>
    <s v="2 SCALES ACROSS PER FISH"/>
    <s v="2M"/>
    <x v="3"/>
    <s v="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RG"/>
    <s v="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RG"/>
    <s v=""/>
    <x v="3"/>
    <s v="MY"/>
    <s v="Scales"/>
    <n v="2126660001"/>
    <s v="2 SCALES ACROSS PER FISH"/>
    <s v="2M"/>
    <x v="3"/>
    <s v="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7"/>
    <s v="EU"/>
    <s v="Scales"/>
    <n v="2126660001"/>
    <s v="5 SCALES DOWN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5"/>
    <s v="MY"/>
    <s v="Scales"/>
    <n v="2126660001"/>
    <s v="2 SCALES ACROSS PER FISH"/>
    <s v="3M"/>
    <x v="5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1"/>
    <s v="EU"/>
    <s v="Scales"/>
    <n v="2126660001"/>
    <s v="2 SCALES ACROSS PER FISH"/>
    <s v="41"/>
    <x v="1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MF"/>
    <s v=""/>
    <x v="6"/>
    <s v="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3"/>
    <s v="MY"/>
    <s v="Scales"/>
    <n v="2126660001"/>
    <s v="2 SCALES ACROSS PER FISH"/>
    <s v="2M"/>
    <x v="3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3"/>
    <s v="MY"/>
    <s v="Scales"/>
    <n v="2126660001"/>
    <s v="5 SCALES DOWN PER FISH"/>
    <s v="2M"/>
    <x v="3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7"/>
    <s v="EU"/>
    <s v="Scales"/>
    <n v="2126660001"/>
    <s v="5 SCALES DOWN PER FISH"/>
    <s v="31"/>
    <x v="7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UD"/>
    <s v=""/>
    <x v="6"/>
    <s v=""/>
    <s v="Scales"/>
    <n v="2126660001"/>
    <s v="5 SCALES DOWN PER FISH"/>
    <s v=""/>
    <x v="6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8"/>
    <s v="EU"/>
    <s v="Scales"/>
    <n v="2126660001"/>
    <s v="5 SCALES DOWN PER FISH"/>
    <s v="63"/>
    <x v="8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0"/>
    <s v="EU"/>
    <s v="Scales"/>
    <n v="2126660001"/>
    <s v="2 SCALES ACROSS PER FISH"/>
    <s v="52"/>
    <x v="0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RG"/>
    <s v=""/>
    <x v="6"/>
    <s v=""/>
    <s v="Scales"/>
    <n v="2126660001"/>
    <s v="2 SCALES ACROSS PER FISH"/>
    <s v=""/>
    <x v="6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3"/>
    <s v="MY"/>
    <s v="Scales"/>
    <n v="2126660001"/>
    <s v="2 SCALES ACROSS PER FISH"/>
    <s v="2M"/>
    <x v="3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3"/>
    <s v="MY"/>
    <s v="Scales"/>
    <n v="2126660001"/>
    <s v="5 SCALES DOWN PER FISH"/>
    <s v="2M"/>
    <x v="3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UD"/>
    <s v=""/>
    <x v="6"/>
    <s v=""/>
    <s v="Scales"/>
    <n v="2126660001"/>
    <s v="2 SCALES ACROSS PER FISH"/>
    <s v=""/>
    <x v="6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0"/>
    <s v="EU"/>
    <s v="Scales"/>
    <n v="2126660001"/>
    <s v="5 SCALES DOWN PER FISH"/>
    <s v="52"/>
    <x v="0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UD"/>
    <s v=""/>
    <x v="6"/>
    <s v=""/>
    <s v="Scales"/>
    <n v="2126660001"/>
    <s v="5 SCALES DOWN PER FISH"/>
    <s v=""/>
    <x v="6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7"/>
    <s v="EU"/>
    <s v="Scales"/>
    <n v="2126660001"/>
    <s v="2 SCALES ACROSS PER FISH"/>
    <s v="31"/>
    <x v="7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RG"/>
    <s v=""/>
    <x v="6"/>
    <s v="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RG"/>
    <s v=""/>
    <x v="6"/>
    <s v="EU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RG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1"/>
    <s v="EU"/>
    <s v="Scales"/>
    <n v="2126660001"/>
    <s v="5 SCALES DOWN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3"/>
    <s v="MY"/>
    <s v="Scales"/>
    <n v="2126660001"/>
    <s v="2 SCALES ACROSS PER FISH"/>
    <s v="2M"/>
    <x v="3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5"/>
    <s v="MY"/>
    <s v="Scales"/>
    <n v="2126660001"/>
    <s v="5 SCALES DOWN PER FISH"/>
    <s v="3M"/>
    <x v="5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3"/>
    <s v="MY"/>
    <s v="Scales"/>
    <n v="2126660001"/>
    <s v="5 SCALES DOWN PER FISH"/>
    <s v="2M"/>
    <x v="3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0"/>
    <s v="EU"/>
    <s v="Scales"/>
    <n v="2126660001"/>
    <s v="5 SCALES DOWN PER FISH"/>
    <s v="52"/>
    <x v="0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8"/>
    <s v="EU"/>
    <s v="Scales"/>
    <n v="2126660001"/>
    <s v="2 SCALES ACROSS PER FISH"/>
    <s v="63"/>
    <x v="8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5"/>
    <s v="MY"/>
    <s v="Scales"/>
    <n v="2126660001"/>
    <s v="5 SCALES DOWN PER FISH"/>
    <s v="3M"/>
    <x v="5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1"/>
    <s v="EU"/>
    <s v="Scales"/>
    <n v="2126660001"/>
    <s v="5 SCALES DOWN PER FISH"/>
    <s v="41"/>
    <x v="1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7"/>
    <s v="EU"/>
    <s v="Scales"/>
    <n v="2126660001"/>
    <s v="2 SCALES ACROSS PER FISH"/>
    <s v="31"/>
    <x v="7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7"/>
    <s v="EU"/>
    <s v="Scales"/>
    <n v="2126660001"/>
    <s v="5 SCALES DOWN PER FISH"/>
    <s v="31"/>
    <x v="7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5"/>
    <s v="MY"/>
    <s v="Scales"/>
    <n v="2126660001"/>
    <s v="2 SCALES ACROSS PER FISH"/>
    <s v="3M"/>
    <x v="5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7"/>
    <s v="EU"/>
    <s v="Scales"/>
    <n v="2126660001"/>
    <s v="5 SCALES DOWN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MF"/>
    <s v=""/>
    <x v="6"/>
    <s v=""/>
    <s v="Scales"/>
    <n v="2126660001"/>
    <s v="2 SCALES ACROSS PER FISH"/>
    <s v=""/>
    <x v="6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5"/>
    <s v="MY"/>
    <s v="Scales"/>
    <n v="2126660001"/>
    <s v="2 SCALES ACROSS PER FISH"/>
    <s v="3M"/>
    <x v="5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7"/>
    <s v="EU"/>
    <s v="Scales"/>
    <n v="2126660001"/>
    <s v="5 SCALES DOWN PER FISH"/>
    <s v="31"/>
    <x v="7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1"/>
    <s v="EU"/>
    <s v="Scales"/>
    <n v="2126660001"/>
    <s v="2 SCALES ACROSS PER FISH"/>
    <s v="41"/>
    <x v="1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3"/>
    <s v="MY"/>
    <s v="Scales"/>
    <n v="2126660001"/>
    <s v="2 SCALES ACROSS PER FISH"/>
    <s v="2M"/>
    <x v="3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7"/>
    <s v="EU"/>
    <s v="Scales"/>
    <n v="2126660001"/>
    <s v="2 SCALES ACROSS PER FISH"/>
    <s v="31"/>
    <x v="7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7"/>
    <s v="EU"/>
    <s v="Scales"/>
    <n v="2126660001"/>
    <s v="2 SCALES ACROSS PER FISH"/>
    <s v="31"/>
    <x v="7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3"/>
    <s v="MY"/>
    <s v="Scales"/>
    <n v="2126660001"/>
    <s v="2 SCALES ACROSS PER FISH"/>
    <s v="2M"/>
    <x v="3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RG"/>
    <s v=""/>
    <x v="6"/>
    <s v="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5"/>
    <s v="MY"/>
    <s v="Scales"/>
    <n v="2126660001"/>
    <s v="2 SCALES ACROSS PER FISH"/>
    <s v="3M"/>
    <x v="5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3"/>
    <s v="MY"/>
    <s v="Scales"/>
    <n v="2126660001"/>
    <s v="2 SCALES ACROSS PER FISH"/>
    <s v="2M"/>
    <x v="3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1"/>
    <s v="EU"/>
    <s v="Scales"/>
    <n v="2126660001"/>
    <s v="5 SCALES DOWN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W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5"/>
    <s v="MY"/>
    <s v="Scales"/>
    <n v="2126660001"/>
    <s v="5 SCALES DOWN PER FISH"/>
    <s v="3M"/>
    <x v="5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7"/>
    <s v="EU"/>
    <s v="Scales"/>
    <n v="2126660001"/>
    <s v="2 SCALES ACROSS PER FISH"/>
    <s v="31"/>
    <x v="7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1"/>
    <s v="EU"/>
    <s v="Scales"/>
    <n v="2126660001"/>
    <s v="2 SCALES ACROSS PER FISH"/>
    <s v="41"/>
    <x v="1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RG"/>
    <s v=""/>
    <x v="6"/>
    <s v=""/>
    <s v="Scales"/>
    <n v="2126660001"/>
    <s v="2 SCALES ACROSS PER FISH"/>
    <s v=""/>
    <x v="6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MF"/>
    <s v=""/>
    <x v="6"/>
    <s v="EU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0"/>
    <s v="EU"/>
    <s v="Scales"/>
    <n v="2126660001"/>
    <s v="2 SCALES ACROSS PER FISH"/>
    <s v="52"/>
    <x v="0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1"/>
    <s v="EU"/>
    <s v="Scales"/>
    <n v="2126660001"/>
    <s v="2 SCALES ACROSS PER FISH"/>
    <s v="41"/>
    <x v="1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3"/>
    <s v="MY"/>
    <s v="Scales"/>
    <n v="2126660001"/>
    <s v="5 SCALES DOWN PER FISH"/>
    <s v="2M"/>
    <x v="3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7"/>
    <s v="EU"/>
    <s v="Scales"/>
    <n v="2126660001"/>
    <s v="2 SCALES ACROSS PER FISH"/>
    <s v="31"/>
    <x v="7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7"/>
    <s v="EU"/>
    <s v="Scales"/>
    <n v="2126660001"/>
    <s v="5 SCALES DOWN PER FISH"/>
    <s v="31"/>
    <x v="7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0"/>
    <s v="EU"/>
    <s v="Scales"/>
    <n v="2126660001"/>
    <s v="2 SCALES ACROSS PER FISH"/>
    <s v="52"/>
    <x v="0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RG"/>
    <s v=""/>
    <x v="3"/>
    <s v="MY"/>
    <s v="Scales"/>
    <n v="2126660001"/>
    <s v="2 SCALES ACROSS PER FISH"/>
    <s v="2M"/>
    <x v="3"/>
    <s v="2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5"/>
    <s v="MY"/>
    <s v="Scales"/>
    <n v="2126660001"/>
    <s v="2 SCALES ACROSS PER FISH"/>
    <s v="3M"/>
    <x v="5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7"/>
    <s v="EU"/>
    <s v="Scales"/>
    <n v="2126660001"/>
    <s v="2 SCALES ACROSS PER FISH"/>
    <s v="31"/>
    <x v="7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7"/>
    <s v="EU"/>
    <s v="Scales"/>
    <n v="2126660001"/>
    <s v="5 SCALES DOWN PER FISH"/>
    <s v="31"/>
    <x v="7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29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7"/>
    <s v="EU"/>
    <s v="Scales"/>
    <n v="2126660001"/>
    <s v="5 SCALES DOWN PER FISH"/>
    <s v="31"/>
    <x v="7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7"/>
    <s v="EU"/>
    <s v="Scales"/>
    <n v="2126660001"/>
    <s v="5 SCALES DOWN PER FISH"/>
    <s v="31"/>
    <x v="7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1"/>
    <s v="EU"/>
    <s v="Scales"/>
    <n v="2126660001"/>
    <s v="2 SCALES ACROSS PER FISH"/>
    <s v="41"/>
    <x v="1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W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UF"/>
    <s v=""/>
    <x v="5"/>
    <s v="MY"/>
    <s v="Scales"/>
    <n v="2126660001"/>
    <s v="2 SCALES ACROSS PER FISH"/>
    <s v="3M"/>
    <x v="5"/>
    <s v="1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UD"/>
    <s v=""/>
    <x v="6"/>
    <s v=""/>
    <s v="Scales"/>
    <n v="2126660001"/>
    <s v="5 SCALES DOWN PER FISH"/>
    <s v=""/>
    <x v="6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1"/>
    <s v="EU"/>
    <s v="Scales"/>
    <n v="2126660001"/>
    <s v="5 SCALES DOWN PER FISH"/>
    <s v="41"/>
    <x v="1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UD"/>
    <s v=""/>
    <x v="6"/>
    <s v="EU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1"/>
    <s v="EU"/>
    <s v="Scales"/>
    <n v="2126660001"/>
    <s v="2 SCALES ACROSS PER FISH"/>
    <s v="41"/>
    <x v="1"/>
    <s v="1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7"/>
    <s v="EU"/>
    <s v="Scales"/>
    <n v="2126660001"/>
    <s v="5 SCALES DOWN PER FISH"/>
    <s v="31"/>
    <x v="7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1"/>
    <s v="EU"/>
    <s v="Scales"/>
    <n v="2126660001"/>
    <s v="2 SCALES ACROSS PER FISH"/>
    <s v="41"/>
    <x v="1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"/>
    <s v=""/>
    <x v="1"/>
    <s v="EU"/>
    <s v="Scales"/>
    <n v="2126660001"/>
    <s v="2 SCALES ACROSS PER FISH"/>
    <s v="41"/>
    <x v="1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7"/>
    <s v="EU"/>
    <s v="Scales"/>
    <n v="2126660001"/>
    <s v="2 SCALES ACROSS PER FISH"/>
    <s v="31"/>
    <x v="7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UD"/>
    <s v=""/>
    <x v="6"/>
    <s v=""/>
    <s v="Scales"/>
    <n v="2126660001"/>
    <s v="5 SCALES DOWN PER FISH"/>
    <s v=""/>
    <x v="6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W"/>
    <s v=""/>
    <x v="6"/>
    <s v=""/>
    <s v="Scales"/>
    <n v="2126660001"/>
    <s v="2 SCALES ACROSS PER FISH"/>
    <s v=""/>
    <x v="6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NA"/>
    <s v=""/>
    <x v="6"/>
    <s v=""/>
    <s v="Scales"/>
    <n v="2126660001"/>
    <s v="2 SCALES ACROSS PER FISH"/>
    <s v=""/>
    <x v="6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7"/>
    <s v="EU"/>
    <s v="Scales"/>
    <n v="2126660001"/>
    <s v="5 SCALES DOWN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7"/>
    <s v="EU"/>
    <s v="Scales"/>
    <n v="2126660001"/>
    <s v="5 SCALES DOWN PER FISH"/>
    <s v="31"/>
    <x v="7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1"/>
    <s v="EU"/>
    <s v="Scales"/>
    <n v="2126660001"/>
    <s v="2 SCALES ACROSS PER FISH"/>
    <s v="41"/>
    <x v="1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RG"/>
    <s v=""/>
    <x v="6"/>
    <s v=""/>
    <s v="Scales"/>
    <n v="2126660001"/>
    <s v="2 SCALES ACROSS PER FISH"/>
    <s v=""/>
    <x v="6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RG"/>
    <s v=""/>
    <x v="6"/>
    <s v="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7"/>
    <s v="EU"/>
    <s v="Scales"/>
    <n v="2126660001"/>
    <s v="2 SCALES ACROSS PER FISH"/>
    <s v="31"/>
    <x v="7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RG"/>
    <s v=""/>
    <x v="6"/>
    <s v=""/>
    <s v="Scales"/>
    <n v="2126660001"/>
    <s v="2 SCALES ACROSS PER FISH"/>
    <s v=""/>
    <x v="6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W"/>
    <s v=""/>
    <x v="6"/>
    <s v="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NP"/>
    <s v=""/>
    <x v="6"/>
    <s v=""/>
    <s v="Scales"/>
    <n v="2126660001"/>
    <s v="2 SCALES ACROSS PER FISH"/>
    <s v=""/>
    <x v="6"/>
    <s v="2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MF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RG"/>
    <s v=""/>
    <x v="6"/>
    <s v=""/>
    <s v="Scales"/>
    <n v="2126660001"/>
    <s v="2 SCALES ACROSS PER FISH"/>
    <s v=""/>
    <x v="6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1"/>
    <s v="EU"/>
    <s v="Scales"/>
    <n v="2126660001"/>
    <s v="2 SCALES ACROSS PER FISH"/>
    <s v="41"/>
    <x v="1"/>
    <s v="2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0"/>
    <s v="EU"/>
    <s v="Scales"/>
    <n v="2126660001"/>
    <s v="2 SCALES ACROSS PER FISH"/>
    <s v="52"/>
    <x v="0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1"/>
    <s v="EU"/>
    <s v="Scales"/>
    <n v="2126660001"/>
    <s v="2 SCALES ACROSS PER FISH"/>
    <s v="41"/>
    <x v="1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1"/>
    <s v="EU"/>
    <s v="Scales"/>
    <n v="2126660001"/>
    <s v="2 SCALES ACROSS PER FISH"/>
    <s v="41"/>
    <x v="1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s v=""/>
    <s v=""/>
    <x v="12"/>
    <s v="EU"/>
    <s v="Scales"/>
    <n v="2126660001"/>
    <s v="2 SCALES ACROSS PER FISH"/>
    <s v="32"/>
    <x v="12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RG"/>
    <s v=""/>
    <x v="6"/>
    <s v=""/>
    <s v="Scales"/>
    <n v="2126660001"/>
    <s v="2 SCALES ACROSS PER FISH"/>
    <s v=""/>
    <x v="6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RG"/>
    <s v=""/>
    <x v="6"/>
    <s v=""/>
    <s v="Scales"/>
    <n v="2126660001"/>
    <s v="2 SCALES ACROSS PER FISH"/>
    <s v=""/>
    <x v="6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1"/>
    <s v="EU"/>
    <s v="Scales"/>
    <n v="2126660001"/>
    <s v="2 SCALES ACROSS PER FISH"/>
    <s v="41"/>
    <x v="1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W"/>
    <s v=""/>
    <x v="6"/>
    <s v="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5"/>
    <s v="MY"/>
    <s v="Scales"/>
    <n v="2126660001"/>
    <s v="2 SCALES ACROSS PER FISH"/>
    <s v="3M"/>
    <x v="5"/>
    <s v="1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s v=""/>
    <s v="0"/>
    <x v="1"/>
    <s v="EU"/>
    <s v="Scales"/>
    <n v="2126660001"/>
    <s v="2 SCALES ACROSS PER FISH"/>
    <s v="41"/>
    <x v="1"/>
    <s v="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4"/>
    <s v="EU"/>
    <s v="Scales"/>
    <n v="2126660001"/>
    <s v="2 SCALES ACROSS PER FISH"/>
    <s v="53"/>
    <x v="4"/>
    <s v="8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s v=""/>
    <s v=""/>
    <x v="3"/>
    <s v="MY"/>
    <s v="Scales"/>
    <n v="2126660001"/>
    <s v="2 SCALES ACROSS PER FISH"/>
    <s v="2M"/>
    <x v="3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5"/>
    <s v="MY"/>
    <s v="Scales"/>
    <n v="2126660001"/>
    <s v="2 SCALES ACROSS PER FISH"/>
    <s v="3M"/>
    <x v="5"/>
    <s v="2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12"/>
    <s v="EU"/>
    <s v="Scales"/>
    <n v="2126660001"/>
    <s v="5 SCALES DOWN PER FISH"/>
    <s v="32"/>
    <x v="1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s v=""/>
    <s v=""/>
    <x v="2"/>
    <s v="EU"/>
    <s v="Scales"/>
    <n v="2126660001"/>
    <s v="2 SCALES ACROSS PER FISH"/>
    <s v="42"/>
    <x v="2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s v="UF"/>
    <s v=""/>
    <x v="5"/>
    <s v="MY"/>
    <s v="Scales"/>
    <n v="2126660001"/>
    <s v="2 SCALES ACROSS PER FISH"/>
    <s v="3M"/>
    <x v="5"/>
    <s v="4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4"/>
    <s v="EU"/>
    <s v="Scales"/>
    <n v="2126660001"/>
    <s v="5 SCALES DOWN PER FISH"/>
    <s v="53"/>
    <x v="4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s v="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1"/>
    <s v="EU"/>
    <s v="Scales"/>
    <n v="2126660001"/>
    <s v="2 SCALES ACROSS PER FISH"/>
    <s v="41"/>
    <x v="1"/>
    <s v="2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s v=""/>
    <s v="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s v="W"/>
    <s v=""/>
    <x v="6"/>
    <s v=""/>
    <s v="Scales"/>
    <n v="2126660001"/>
    <s v="5 SCALES DOWN PER FISH"/>
    <s v=""/>
    <x v="6"/>
    <s v="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5"/>
    <s v="MY"/>
    <s v="Scales"/>
    <n v="2126660001"/>
    <s v="5 SCALES DOWN PER FISH"/>
    <s v="3M"/>
    <x v="5"/>
    <s v="9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1"/>
    <s v="EU"/>
    <s v="Scales"/>
    <n v="2126660001"/>
    <s v="5 SCALES DOWN PER FISH"/>
    <s v="41"/>
    <x v="1"/>
    <s v="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s v="RG"/>
    <s v=""/>
    <x v="3"/>
    <s v="MY"/>
    <s v="Scales"/>
    <n v="2126660001"/>
    <s v="2 SCALES ACROSS PER FISH"/>
    <s v="2M"/>
    <x v="3"/>
    <s v="11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3"/>
    <s v="MY"/>
    <s v="Scales"/>
    <n v="2126660001"/>
    <s v="2 SCALES ACROSS PER FISH"/>
    <s v="2M"/>
    <x v="3"/>
    <s v="22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s v="W"/>
    <s v=""/>
    <x v="6"/>
    <s v="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5546189"/>
    <n v="51765"/>
    <s v="BELLA COOLA FN (IN RIVER NET) - 2010"/>
    <n v="968"/>
    <s v="BELLA COOLA RIVER"/>
    <x v="10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3"/>
    <n v="51765"/>
    <s v="ATNARKO ESCAPEMENT-1990"/>
    <n v="968"/>
    <s v="BELLA COOLA RIVER"/>
    <x v="9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s v="RG"/>
    <s v=""/>
    <x v="6"/>
    <s v=""/>
    <s v="Scales"/>
    <n v="2126660001"/>
    <s v="2 SCALES ACROSS PER FISH"/>
    <s v=""/>
    <x v="6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W"/>
    <s v=""/>
    <x v="6"/>
    <s v=""/>
    <s v="Scales"/>
    <n v="2126660001"/>
    <s v="2 SCALES ACROSS PER FISH"/>
    <s v=""/>
    <x v="6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RG"/>
    <s v=""/>
    <x v="6"/>
    <s v=""/>
    <s v="Scales"/>
    <n v="2126660001"/>
    <s v="2 SCALES ACROSS PER FISH"/>
    <s v=""/>
    <x v="6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RG"/>
    <s v=""/>
    <x v="6"/>
    <s v="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RS"/>
    <s v=""/>
    <x v="6"/>
    <s v=""/>
    <s v="Scales"/>
    <n v="2126660001"/>
    <s v="2 SCALES ACROSS PER FISH"/>
    <s v=""/>
    <x v="6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0"/>
    <s v="EU"/>
    <s v="Scales"/>
    <n v="2126660001"/>
    <s v="2 SCALES ACROSS PER FISH"/>
    <s v="52"/>
    <x v="0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W"/>
    <s v=""/>
    <x v="6"/>
    <s v="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RG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7"/>
    <s v="EU"/>
    <s v="Scales"/>
    <n v="2126660001"/>
    <s v="2 SCALES ACROSS PER FISH"/>
    <s v="31"/>
    <x v="7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RG"/>
    <s v=""/>
    <x v="6"/>
    <s v=""/>
    <s v="Scales"/>
    <n v="2126660001"/>
    <s v="2 SCALES ACROSS PER FISH"/>
    <s v=""/>
    <x v="6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W"/>
    <s v=""/>
    <x v="6"/>
    <s v=""/>
    <s v="Scales"/>
    <n v="2126660001"/>
    <s v="2 SCALES ACROSS PER FISH"/>
    <s v=""/>
    <x v="6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NP"/>
    <s v=""/>
    <x v="6"/>
    <s v=""/>
    <s v="Scales"/>
    <n v="2126660001"/>
    <s v="2 SCALES ACROSS PER FISH"/>
    <s v=""/>
    <x v="6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NP"/>
    <s v=""/>
    <x v="6"/>
    <s v=""/>
    <s v="Scales"/>
    <n v="2126660001"/>
    <s v="2 SCALES ACROSS PER FISH"/>
    <s v=""/>
    <x v="6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1"/>
    <s v="EU"/>
    <s v="Scales"/>
    <n v="2126660001"/>
    <s v="2 SCALES ACROSS PER FISH"/>
    <s v="41"/>
    <x v="1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1"/>
    <s v="EU"/>
    <s v="Scales"/>
    <n v="2126660001"/>
    <s v="2 SCALES ACROSS PER FISH"/>
    <s v="41"/>
    <x v="1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RG"/>
    <s v=""/>
    <x v="6"/>
    <s v=""/>
    <s v="Scales"/>
    <n v="2126660001"/>
    <s v="2 SCALES ACROSS PER FISH"/>
    <s v=""/>
    <x v="6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W"/>
    <s v=""/>
    <x v="6"/>
    <s v=""/>
    <s v="Scales"/>
    <n v="2126660001"/>
    <s v="2 SCALES ACROSS PER FISH"/>
    <s v=""/>
    <x v="6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W"/>
    <s v=""/>
    <x v="6"/>
    <s v=""/>
    <s v="Scales"/>
    <n v="2126660001"/>
    <s v="2 SCALES ACROSS PER FISH"/>
    <s v=""/>
    <x v="6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RG"/>
    <s v=""/>
    <x v="6"/>
    <s v="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NP"/>
    <s v=""/>
    <x v="6"/>
    <s v=""/>
    <s v="Scales"/>
    <n v="2126660001"/>
    <s v="2 SCALES ACROSS PER FISH"/>
    <s v=""/>
    <x v="6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W"/>
    <s v=""/>
    <x v="6"/>
    <s v=""/>
    <s v="Scales"/>
    <n v="2126660001"/>
    <s v="2 SCALES ACROSS PER FISH"/>
    <s v=""/>
    <x v="6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1"/>
    <s v="EU"/>
    <s v="Scales"/>
    <n v="2126660001"/>
    <s v="2 SCALES ACROSS PER FISH"/>
    <s v="41"/>
    <x v="1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NP"/>
    <s v=""/>
    <x v="6"/>
    <s v=""/>
    <s v="Scales"/>
    <n v="2126660001"/>
    <s v="2 SCALES ACROSS PER FISH"/>
    <s v=""/>
    <x v="6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RG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7"/>
    <s v="EU"/>
    <s v="Scales"/>
    <n v="2126660001"/>
    <s v="2 SCALES ACROSS PER FISH"/>
    <s v="31"/>
    <x v="7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7"/>
    <s v="EU"/>
    <s v="Scales"/>
    <n v="2126660001"/>
    <s v="2 SCALES ACROSS PER FISH"/>
    <s v="31"/>
    <x v="7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NP"/>
    <s v=""/>
    <x v="6"/>
    <s v=""/>
    <s v="Scales"/>
    <n v="2126660001"/>
    <s v="2 SCALES ACROSS PER FISH"/>
    <s v=""/>
    <x v="6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0"/>
    <s v="EU"/>
    <s v="Scales"/>
    <n v="2126660001"/>
    <s v="2 SCALES ACROSS PER FISH"/>
    <s v="52"/>
    <x v="0"/>
    <s v="2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0"/>
    <s v="EU"/>
    <s v="Scales"/>
    <n v="2126660001"/>
    <s v="2 SCALES ACROSS PER FISH"/>
    <s v="52"/>
    <x v="0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W"/>
    <s v=""/>
    <x v="6"/>
    <s v=""/>
    <s v="Scales"/>
    <n v="2126660001"/>
    <s v="2 SCALES ACROSS PER FISH"/>
    <s v=""/>
    <x v="6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7"/>
    <s v="EU"/>
    <s v="Scales"/>
    <n v="2126660001"/>
    <s v="2 SCALES ACROSS PER FISH"/>
    <s v="31"/>
    <x v="7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NP"/>
    <s v=""/>
    <x v="6"/>
    <s v=""/>
    <s v="Scales"/>
    <n v="2126660001"/>
    <s v="2 SCALES ACROSS PER FISH"/>
    <s v=""/>
    <x v="6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1"/>
    <s v="EU"/>
    <s v="Scales"/>
    <n v="2126660001"/>
    <s v="2 SCALES ACROSS PER FISH"/>
    <s v="41"/>
    <x v="1"/>
    <s v="2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1"/>
    <s v="EU"/>
    <s v="Scales"/>
    <n v="2126660001"/>
    <s v="2 SCALES ACROSS PER FISH"/>
    <s v="41"/>
    <x v="1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RG"/>
    <s v=""/>
    <x v="6"/>
    <s v=""/>
    <s v="Scales"/>
    <n v="2126660001"/>
    <s v="2 SCALES ACROSS PER FISH"/>
    <s v=""/>
    <x v="6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1"/>
    <s v="EU"/>
    <s v="Scales"/>
    <n v="2126660001"/>
    <s v="2 SCALES ACROSS PER FISH"/>
    <s v="41"/>
    <x v="1"/>
    <s v="10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7"/>
    <s v="EU"/>
    <s v="Scales"/>
    <n v="2126660001"/>
    <s v="2 SCALES ACROSS PER FISH"/>
    <s v="31"/>
    <x v="7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W"/>
    <s v=""/>
    <x v="6"/>
    <s v=""/>
    <s v="Scales"/>
    <n v="2126660001"/>
    <s v="2 SCALES ACROSS PER FISH"/>
    <s v=""/>
    <x v="6"/>
    <s v="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0"/>
    <s v="EU"/>
    <s v="Scales"/>
    <n v="2126660001"/>
    <s v="2 SCALES ACROSS PER FISH"/>
    <s v="52"/>
    <x v="0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0"/>
    <s v="EU"/>
    <s v="Scales"/>
    <n v="2126660001"/>
    <s v="2 SCALES ACROSS PER FISH"/>
    <s v="52"/>
    <x v="0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NP"/>
    <s v=""/>
    <x v="6"/>
    <s v=""/>
    <s v="Scales"/>
    <n v="2126660001"/>
    <s v="2 SCALES ACROSS PER FISH"/>
    <s v=""/>
    <x v="6"/>
    <s v="2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RG"/>
    <s v=""/>
    <x v="6"/>
    <s v=""/>
    <s v="Scales"/>
    <n v="2126660001"/>
    <s v="2 SCALES ACROSS PER FISH"/>
    <s v=""/>
    <x v="6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12"/>
    <s v="EU"/>
    <s v="Scales"/>
    <n v="2126660001"/>
    <s v="2 SCALES ACROSS PER FISH"/>
    <s v="32"/>
    <x v="12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W"/>
    <s v=""/>
    <x v="6"/>
    <s v="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6"/>
    <s v=""/>
    <s v="Scales"/>
    <n v="2126660001"/>
    <s v="10 SCALES ACROSS PER FISH"/>
    <s v=""/>
    <x v="6"/>
    <s v="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107"/>
    <n v="1"/>
    <s v="SOCKEYE SALMON"/>
    <n v="2086090006"/>
    <x v="0"/>
    <n v="11"/>
    <s v="Other Gillnet/Set Net"/>
    <s v="Adult"/>
    <d v="1989-06-20T00:00:00"/>
    <d v="1989-06-20T00:00:00"/>
    <s v="1989310010747954"/>
  </r>
  <r>
    <s v=""/>
    <s v=""/>
    <x v="1"/>
    <s v="EU"/>
    <s v="Scales"/>
    <n v="2126660001"/>
    <s v="2 SCALES ACROSS PER FISH"/>
    <s v="41"/>
    <x v="1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RG"/>
    <s v=""/>
    <x v="6"/>
    <s v=""/>
    <s v="Scales"/>
    <n v="2126660001"/>
    <s v="2 SCALES ACROSS PER FISH"/>
    <s v=""/>
    <x v="6"/>
    <s v="7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6"/>
    <s v=""/>
    <s v="Scales"/>
    <n v="2126660001"/>
    <s v="2 SCALES ACROSS PER FISH"/>
    <s v=""/>
    <x v="6"/>
    <s v="2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W"/>
    <s v=""/>
    <x v="6"/>
    <s v=""/>
    <s v="Scales"/>
    <n v="2126660001"/>
    <s v="2 SCALES ACROSS PER FISH"/>
    <s v=""/>
    <x v="6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0"/>
    <s v="EU"/>
    <s v="Scales"/>
    <n v="2126660001"/>
    <s v="5 SCALES DOWN PER FISH"/>
    <s v="52"/>
    <x v="0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1"/>
    <s v="EU"/>
    <s v="Scales"/>
    <n v="2126660001"/>
    <s v="5 SCALES DOWN PER FISH"/>
    <s v="41"/>
    <x v="1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1"/>
    <s v="EU"/>
    <s v="Scales"/>
    <n v="2126660001"/>
    <s v="5 SCALES DOWN PER FISH"/>
    <s v="41"/>
    <x v="1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1"/>
    <s v="EU"/>
    <s v="Scales"/>
    <n v="2126660001"/>
    <s v="5 SCALES DOWN PER FISH"/>
    <s v="41"/>
    <x v="1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0"/>
    <s v="EU"/>
    <s v="Scales"/>
    <n v="2126660001"/>
    <s v="5 SCALES DOWN PER FISH"/>
    <s v="52"/>
    <x v="0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1"/>
    <s v="EU"/>
    <s v="Scales"/>
    <n v="2126660001"/>
    <s v="5 SCALES DOWN PER FISH"/>
    <s v="41"/>
    <x v="1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0"/>
    <s v="EU"/>
    <s v="Scales"/>
    <n v="2126660001"/>
    <s v="5 SCALES DOWN PER FISH"/>
    <s v="52"/>
    <x v="0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1"/>
    <s v="EU"/>
    <s v="Scales"/>
    <n v="2126660001"/>
    <s v="5 SCALES DOWN PER FISH"/>
    <s v="41"/>
    <x v="1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W"/>
    <s v=""/>
    <x v="6"/>
    <s v=""/>
    <s v="Scales"/>
    <n v="2126660001"/>
    <s v="2 SCALES ACROSS PER FISH"/>
    <s v=""/>
    <x v="6"/>
    <s v="1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9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7"/>
    <s v="EU"/>
    <s v="Scales"/>
    <n v="2126660001"/>
    <s v="2 SCALES ACROSS PER FISH"/>
    <s v="31"/>
    <x v="7"/>
    <s v="8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W"/>
    <s v=""/>
    <x v="6"/>
    <s v=""/>
    <s v="Scales"/>
    <n v="2126660001"/>
    <s v="2 SCALES ACROSS PER FISH"/>
    <s v=""/>
    <x v="6"/>
    <s v="13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s v=""/>
    <s v=""/>
    <x v="12"/>
    <s v="EU"/>
    <s v="Scales"/>
    <n v="2126660001"/>
    <s v="2 SCALES ACROSS PER FISH"/>
    <s v="32"/>
    <x v="12"/>
    <s v="25"/>
    <s v="NORTHERN COASTAL FJORDS"/>
    <s v="R-16"/>
    <s v="8"/>
    <x v="0"/>
    <s v="SER"/>
    <s v="Bella Coola River System (Bella Coola) Sockeye Run 1"/>
    <n v="-1000005620"/>
    <n v="51765"/>
    <s v="ATNARKO ESCAPEMENT-1989"/>
    <n v="968"/>
    <s v="BELLA COOLA RIVER"/>
    <x v="11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s v=""/>
    <s v=""/>
    <x v="0"/>
    <s v="EU"/>
    <s v="Scales"/>
    <n v="2126660001"/>
    <s v="5 SCALES DOWN PER FISH"/>
    <s v="52"/>
    <x v="0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RG"/>
    <s v=""/>
    <x v="3"/>
    <s v="MY"/>
    <s v="Scales"/>
    <n v="2126660001"/>
    <s v="2 SCALES ACROSS PER FISH"/>
    <s v="2M"/>
    <x v="3"/>
    <s v="17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0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RG"/>
    <s v=""/>
    <x v="6"/>
    <s v="EU"/>
    <s v="Scales"/>
    <n v="2126660001"/>
    <s v="2 SCALES ACROSS PER FISH"/>
    <s v=""/>
    <x v="6"/>
    <s v="15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UF"/>
    <s v=""/>
    <x v="5"/>
    <s v="MY"/>
    <s v="Scales"/>
    <n v="2126660001"/>
    <s v="2 SCALES ACROSS PER FISH"/>
    <s v="3M"/>
    <x v="5"/>
    <s v="5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0"/>
    <s v="EU"/>
    <s v="Scales"/>
    <n v="2126660001"/>
    <s v="2 SCALES ACROSS PER FISH"/>
    <s v="52"/>
    <x v="0"/>
    <s v="15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7"/>
    <s v="EU"/>
    <s v="Scales"/>
    <n v="2126660001"/>
    <s v="5 SCALES DOWN PER FISH"/>
    <s v="31"/>
    <x v="7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UF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0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0"/>
    <s v="EU"/>
    <s v="Scales"/>
    <n v="2126660001"/>
    <s v="5 SCALES DOWN PER FISH"/>
    <s v="52"/>
    <x v="0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1"/>
    <s v="EU"/>
    <s v="Scales"/>
    <n v="2126660001"/>
    <s v="5 SCALES DOWN PER FISH"/>
    <s v="41"/>
    <x v="1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0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0"/>
    <s v="EU"/>
    <s v="Scales"/>
    <n v="2126660001"/>
    <s v="5 SCALES DOWN PER FISH"/>
    <s v="52"/>
    <x v="0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0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RG"/>
    <s v=""/>
    <x v="6"/>
    <s v=""/>
    <s v="Scales"/>
    <n v="2126660001"/>
    <s v="5 SCALES DOWN PER FISH"/>
    <s v=""/>
    <x v="6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11"/>
    <s v="MY"/>
    <s v="Scales"/>
    <n v="2126660001"/>
    <s v="5 SCALES DOWN PER FISH"/>
    <s v="1M"/>
    <x v="11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0"/>
    <x v="7"/>
    <s v="EU"/>
    <s v="Scales"/>
    <n v="2126660001"/>
    <s v="2 SCALES ACROSS PER FISH"/>
    <s v="31"/>
    <x v="7"/>
    <s v="7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RG"/>
    <s v="0"/>
    <x v="3"/>
    <s v="MY"/>
    <s v="Scales"/>
    <n v="2126660001"/>
    <s v="2 SCALES ACROSS PER FISH"/>
    <s v="2M"/>
    <x v="3"/>
    <s v="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0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1"/>
    <s v="EU"/>
    <s v="Scales"/>
    <n v="2126660001"/>
    <s v="5 SCALES DOWN PER FISH"/>
    <s v="41"/>
    <x v="1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0"/>
    <s v="EU"/>
    <s v="Scales"/>
    <n v="2126660001"/>
    <s v="2 SCALES ACROSS PER FISH"/>
    <s v="52"/>
    <x v="0"/>
    <s v="18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1"/>
    <s v="EU"/>
    <s v="Scales"/>
    <n v="2126660001"/>
    <s v="5 SCALES DOWN PER FISH"/>
    <s v="41"/>
    <x v="1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5 SCALES DOWN PER FISH"/>
    <s v="42"/>
    <x v="2"/>
    <s v="10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RG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1"/>
    <s v="EU"/>
    <s v="Scales"/>
    <n v="2126660001"/>
    <s v="5 SCALES DOWN PER FISH"/>
    <s v="41"/>
    <x v="1"/>
    <s v="1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1"/>
    <s v="EU"/>
    <s v="Scales"/>
    <n v="2126660001"/>
    <s v="5 SCALES DOWN PER FISH"/>
    <s v="41"/>
    <x v="1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0"/>
    <x v="1"/>
    <s v="EU"/>
    <s v="Scales"/>
    <n v="2126660001"/>
    <s v="2 SCALES ACROSS PER FISH"/>
    <s v="41"/>
    <x v="1"/>
    <s v="16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UD"/>
    <s v=""/>
    <x v="6"/>
    <s v="EU"/>
    <s v="Scales"/>
    <n v="2126660001"/>
    <s v="2 SCALES ACROSS PER FISH"/>
    <s v=""/>
    <x v="6"/>
    <s v="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s v=""/>
    <s v=""/>
    <x v="1"/>
    <s v="EU"/>
    <s v="Scales"/>
    <n v="2126660001"/>
    <s v="5 SCALES DOWN PER FISH"/>
    <s v="41"/>
    <x v="1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3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W"/>
    <s v=""/>
    <x v="3"/>
    <s v="MY"/>
    <s v="Scales"/>
    <n v="2126660001"/>
    <s v="2 SCALES ACROSS PER FISH"/>
    <s v="2M"/>
    <x v="3"/>
    <s v="14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s v=""/>
    <s v="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s v="RG"/>
    <s v=""/>
    <x v="6"/>
    <s v=""/>
    <s v="Scales"/>
    <n v="2126660001"/>
    <s v="5 SCALES DOWN PER FISH"/>
    <s v=""/>
    <x v="6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"/>
    <x v="0"/>
    <s v="EU"/>
    <s v="Scales"/>
    <n v="2126660001"/>
    <s v="5 SCALES DOWN PER FISH"/>
    <s v="52"/>
    <x v="0"/>
    <s v="5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0"/>
    <s v="EU"/>
    <s v="Scales"/>
    <n v="2126660001"/>
    <s v="5 SCALES DOWN PER FISH"/>
    <s v="52"/>
    <x v="0"/>
    <s v="4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s v=""/>
    <s v=""/>
    <x v="0"/>
    <s v="EU"/>
    <s v="Scales"/>
    <n v="2126660001"/>
    <s v="5 SCALES DOWN PER FISH"/>
    <s v="52"/>
    <x v="0"/>
    <s v="9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UF"/>
    <s v="0"/>
    <x v="3"/>
    <s v="MY"/>
    <s v="Scales"/>
    <n v="2126660001"/>
    <s v="2 SCALES ACROSS PER FISH"/>
    <s v="2M"/>
    <x v="3"/>
    <s v="7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s v=""/>
    <s v="0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4268609"/>
    <n v="51765"/>
    <s v="ATNARKO ESCAPEMENT - 2008"/>
    <n v="968"/>
    <s v="BELLA COOLA RIVER"/>
    <x v="1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0"/>
    <s v="SER"/>
    <s v="Bella Coola River System (Bella Coola) Sockeye Run 1"/>
    <n v="-1000005629"/>
    <n v="51765"/>
    <s v="ATNARKO ESCAPEMENT-1992"/>
    <n v="968"/>
    <s v="BELLA COOLA RIVER"/>
    <x v="12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s v=""/>
    <s v=""/>
    <x v="4"/>
    <s v="EU"/>
    <s v="Scales"/>
    <n v="2126660001"/>
    <s v="2 SCALES ACROSS PER FISH"/>
    <s v="53"/>
    <x v="4"/>
    <s v="9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7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22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24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s v=""/>
    <s v=""/>
    <x v="7"/>
    <s v="EU"/>
    <s v="Scales"/>
    <n v="2126660001"/>
    <s v="2 SCALES ACROSS PER FISH"/>
    <s v="31"/>
    <x v="7"/>
    <s v="4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0"/>
    <x v="4"/>
    <s v="EU"/>
    <s v="Scales"/>
    <n v="2126660001"/>
    <s v="2 SCALES ACROSS PER FISH"/>
    <s v="53"/>
    <x v="4"/>
    <s v="7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W"/>
    <s v=""/>
    <x v="11"/>
    <s v="FW"/>
    <s v="Scales"/>
    <n v="2126660001"/>
    <s v="2 SCALES ACROSS PER FISH"/>
    <s v="S2"/>
    <x v="16"/>
    <s v="1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RG"/>
    <s v=""/>
    <x v="5"/>
    <s v="MY"/>
    <s v="Scales"/>
    <n v="2126660001"/>
    <s v="2 SCALES ACROSS PER FISH"/>
    <s v="3M"/>
    <x v="5"/>
    <s v="2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2"/>
    <s v="EU"/>
    <s v="Scales"/>
    <n v="2126660001"/>
    <s v="2 SCALES ACROSS PER FISH"/>
    <s v="42"/>
    <x v="2"/>
    <s v="6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0"/>
    <s v="EU"/>
    <s v="Scales"/>
    <n v="2126660001"/>
    <s v="2 SCALES ACROSS PER FISH"/>
    <s v="52"/>
    <x v="0"/>
    <s v="7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0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W"/>
    <s v=""/>
    <x v="3"/>
    <s v="MY"/>
    <s v="Scales"/>
    <n v="2126660001"/>
    <s v="2 SCALES ACROSS PER FISH"/>
    <s v="2M"/>
    <x v="3"/>
    <s v="12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4"/>
    <s v="EU"/>
    <s v="Scales"/>
    <n v="2126660001"/>
    <s v="2 SCALES ACROSS PER FISH"/>
    <s v="53"/>
    <x v="4"/>
    <s v="3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0"/>
    <x v="2"/>
    <s v="EU"/>
    <s v="Scales"/>
    <n v="2126660001"/>
    <s v="2 SCALES ACROSS PER FISH"/>
    <s v="42"/>
    <x v="2"/>
    <s v="23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RG"/>
    <s v=""/>
    <x v="3"/>
    <s v="MY"/>
    <s v="Scales"/>
    <n v="2126660001"/>
    <s v="2 SCALES ACROSS PER FISH"/>
    <s v="2M"/>
    <x v="3"/>
    <s v="13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"/>
    <s v=""/>
    <x v="2"/>
    <s v="EU"/>
    <s v="Scales"/>
    <n v="2126660001"/>
    <s v="2 SCALES ACROSS PER FISH"/>
    <s v="42"/>
    <x v="2"/>
    <s v="12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10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1"/>
    <s v="EU"/>
    <s v="Scales"/>
    <n v="2126660001"/>
    <s v="5 SCALES DOWN PER FISH"/>
    <s v="41"/>
    <x v="1"/>
    <s v="4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NS"/>
    <s v=""/>
    <x v="6"/>
    <s v=""/>
    <s v="Scales"/>
    <n v="2126660001"/>
    <s v="5 SCALES DOWN PER FISH"/>
    <s v=""/>
    <x v="6"/>
    <s v="2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NS"/>
    <s v=""/>
    <x v="6"/>
    <s v=""/>
    <s v="Scales"/>
    <n v="2126660001"/>
    <s v="5 SCALES DOWN PER FISH"/>
    <s v=""/>
    <x v="6"/>
    <s v="1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2"/>
    <s v="EU"/>
    <s v="Scales"/>
    <n v="2126660001"/>
    <s v="2 SCALES ACROSS PER FISH"/>
    <s v="42"/>
    <x v="2"/>
    <s v="25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s v=""/>
    <s v="0"/>
    <x v="2"/>
    <s v="EU"/>
    <s v="Scales"/>
    <n v="2126660001"/>
    <s v="2 SCALES ACROSS PER FISH"/>
    <s v="42"/>
    <x v="2"/>
    <s v="2"/>
    <s v="NORTHERN COASTAL FJORDS"/>
    <s v="R-16"/>
    <s v="8"/>
    <x v="0"/>
    <s v="SER"/>
    <s v="Bella Coola River System (Bella Coola) Sockeye Run 1"/>
    <n v="6968376"/>
    <n v="51765"/>
    <s v="BELLA COOLA FN (IN RIVER NET) - 2012"/>
    <n v="968"/>
    <s v="BELLA COOLA RIVER"/>
    <x v="14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s v=""/>
    <s v=""/>
    <x v="2"/>
    <s v="EU"/>
    <s v="Scales"/>
    <n v="2126660001"/>
    <s v="2 SCALES ACROSS PER FISH"/>
    <s v="42"/>
    <x v="2"/>
    <s v="9"/>
    <s v="NORTHERN COASTAL FJORDS"/>
    <s v="R-16"/>
    <s v="8"/>
    <x v="0"/>
    <s v="SER"/>
    <s v="Bella Coola River System (Bella Coola) Sockeye Run 1"/>
    <n v="11378940"/>
    <n v="51765"/>
    <s v="BELLA COOLA FN (IN RIVER NET) - 2020"/>
    <n v="968"/>
    <s v="BELLA COOLA RIVER"/>
    <x v="15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s v="RG"/>
    <s v=""/>
    <x v="5"/>
    <s v="MY"/>
    <s v="Scales"/>
    <n v="2126660001"/>
    <s v="2 SCALES ACROSS PER FISH"/>
    <s v="3M"/>
    <x v="5"/>
    <s v="7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8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RG"/>
    <s v=""/>
    <x v="3"/>
    <s v="MY"/>
    <s v="Scales"/>
    <n v="2126660001"/>
    <s v="2 SCALES ACROSS PER FISH"/>
    <s v="2M"/>
    <x v="3"/>
    <s v="9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16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18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0"/>
    <x v="2"/>
    <s v="EU"/>
    <s v="Scales"/>
    <n v="2126660001"/>
    <s v="2 SCALES ACROSS PER FISH"/>
    <s v="42"/>
    <x v="2"/>
    <s v="21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7"/>
    <s v="EU"/>
    <s v="Scales"/>
    <n v="2126660001"/>
    <s v="2 SCALES ACROSS PER FISH"/>
    <s v="31"/>
    <x v="7"/>
    <s v="22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0"/>
    <x v="7"/>
    <s v="EU"/>
    <s v="Scales"/>
    <n v="2126660001"/>
    <s v="2 SCALES ACROSS PER FISH"/>
    <s v="31"/>
    <x v="7"/>
    <s v="23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s v=""/>
    <s v=""/>
    <x v="0"/>
    <s v="EU"/>
    <s v="Scales"/>
    <n v="2126660001"/>
    <s v="2 SCALES ACROSS PER FISH"/>
    <s v="52"/>
    <x v="0"/>
    <s v="1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0"/>
    <s v="EU"/>
    <s v="Scales"/>
    <n v="2126660001"/>
    <s v="2 SCALES ACROSS PER FISH"/>
    <s v="52"/>
    <x v="0"/>
    <s v="2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RG"/>
    <s v=""/>
    <x v="5"/>
    <s v="MY"/>
    <s v="Scales"/>
    <n v="2126660001"/>
    <s v="2 SCALES ACROSS PER FISH"/>
    <s v="3M"/>
    <x v="5"/>
    <s v="6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2"/>
    <s v="EU"/>
    <s v="Scales"/>
    <n v="2126660001"/>
    <s v="2 SCALES ACROSS PER FISH"/>
    <s v="42"/>
    <x v="2"/>
    <s v="15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0"/>
    <x v="2"/>
    <s v="EU"/>
    <s v="Scales"/>
    <n v="2126660001"/>
    <s v="2 SCALES ACROSS PER FISH"/>
    <s v="42"/>
    <x v="2"/>
    <s v="19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14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RG"/>
    <s v=""/>
    <x v="5"/>
    <s v="MY"/>
    <s v="Scales"/>
    <n v="2126660001"/>
    <s v="2 SCALES ACROSS PER FISH"/>
    <s v="3M"/>
    <x v="5"/>
    <s v="8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RG"/>
    <s v=""/>
    <x v="5"/>
    <s v="MY"/>
    <s v="Scales"/>
    <n v="2126660001"/>
    <s v="2 SCALES ACROSS PER FISH"/>
    <s v="3M"/>
    <x v="5"/>
    <s v="9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RG"/>
    <s v=""/>
    <x v="5"/>
    <s v="MY"/>
    <s v="Scales"/>
    <n v="2126660001"/>
    <s v="2 SCALES ACROSS PER FISH"/>
    <s v="3M"/>
    <x v="5"/>
    <s v="2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0"/>
    <x v="7"/>
    <s v="EU"/>
    <s v="Scales"/>
    <n v="2126660001"/>
    <s v="2 SCALES ACROSS PER FISH"/>
    <s v="31"/>
    <x v="7"/>
    <s v="2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s v=""/>
    <s v=""/>
    <x v="2"/>
    <s v="EU"/>
    <s v="Scales"/>
    <n v="2126660001"/>
    <s v="2 SCALES ACROSS PER FISH"/>
    <s v="42"/>
    <x v="2"/>
    <s v="20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7"/>
    <s v="EU"/>
    <s v="Scales"/>
    <n v="2126660001"/>
    <s v="2 SCALES ACROSS PER FISH"/>
    <s v="31"/>
    <x v="7"/>
    <s v="13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0"/>
    <s v="EU"/>
    <s v="Scales"/>
    <n v="2126660001"/>
    <s v="2 SCALES ACROSS PER FISH"/>
    <s v="52"/>
    <x v="0"/>
    <s v="17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12"/>
    <s v="EU"/>
    <s v="Scales"/>
    <n v="2126660001"/>
    <s v="2 SCALES ACROSS PER FISH"/>
    <s v="32"/>
    <x v="12"/>
    <s v="24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0"/>
    <s v="EU"/>
    <s v="Scales"/>
    <n v="2126660001"/>
    <s v="2 SCALES ACROSS PER FISH"/>
    <s v="52"/>
    <x v="0"/>
    <s v="3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2"/>
    <s v="EU"/>
    <s v="Scales"/>
    <n v="2126660001"/>
    <s v="5 SCALES DOWN PER FISH"/>
    <s v="42"/>
    <x v="2"/>
    <s v="8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2"/>
    <s v="EU"/>
    <s v="Scales"/>
    <n v="2126660001"/>
    <s v="2 SCALES ACROSS PER FISH"/>
    <s v="42"/>
    <x v="2"/>
    <s v="3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RG"/>
    <s v=""/>
    <x v="3"/>
    <s v="MY"/>
    <s v="Scales"/>
    <n v="2126660001"/>
    <s v="2 SCALES ACROSS PER FISH"/>
    <s v="2M"/>
    <x v="3"/>
    <s v="10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0"/>
    <x v="7"/>
    <s v="EU"/>
    <s v="Scales"/>
    <n v="2126660001"/>
    <s v="2 SCALES ACROSS PER FISH"/>
    <s v="31"/>
    <x v="7"/>
    <s v="25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2"/>
    <s v="EU"/>
    <s v="Scales"/>
    <n v="2126660001"/>
    <s v="2 SCALES ACROSS PER FISH"/>
    <s v="42"/>
    <x v="2"/>
    <s v="5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1"/>
    <s v="EU"/>
    <s v="Scales"/>
    <n v="2126660001"/>
    <s v="2 SCALES ACROSS PER FISH"/>
    <s v="41"/>
    <x v="1"/>
    <s v="6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12"/>
    <s v="EU"/>
    <s v="Scales"/>
    <n v="2126660001"/>
    <s v="2 SCALES ACROSS PER FISH"/>
    <s v="32"/>
    <x v="12"/>
    <s v="12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1"/>
    <s v="EU"/>
    <s v="Scales"/>
    <n v="2126660001"/>
    <s v="5 SCALES DOWN PER FISH"/>
    <s v="41"/>
    <x v="1"/>
    <s v="10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1"/>
    <s v="EU"/>
    <s v="Scales"/>
    <n v="2126660001"/>
    <s v="5 SCALES DOWN PER FISH"/>
    <s v="41"/>
    <x v="1"/>
    <s v="3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1"/>
    <s v="EU"/>
    <s v="Scales"/>
    <n v="2126660001"/>
    <s v="2 SCALES ACROSS PER FISH"/>
    <s v="41"/>
    <x v="1"/>
    <s v="7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0"/>
    <s v="EU"/>
    <s v="Scales"/>
    <n v="2126660001"/>
    <s v="2 SCALES ACROSS PER FISH"/>
    <s v="52"/>
    <x v="0"/>
    <s v="4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1"/>
    <s v="EU"/>
    <s v="Scales"/>
    <n v="2126660001"/>
    <s v="5 SCALES DOWN PER FISH"/>
    <s v="41"/>
    <x v="1"/>
    <s v="6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"/>
    <x v="2"/>
    <s v="EU"/>
    <s v="Scales"/>
    <n v="2126660001"/>
    <s v="2 SCALES ACROSS PER FISH"/>
    <s v="42"/>
    <x v="2"/>
    <s v="11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s v=""/>
    <s v=""/>
    <x v="0"/>
    <s v="EU"/>
    <s v="Scales"/>
    <n v="2126660001"/>
    <s v="5 SCALES DOWN PER FISH"/>
    <s v="52"/>
    <x v="0"/>
    <s v="7"/>
    <s v="NORTHERN COASTAL FJORDS"/>
    <s v="R-16"/>
    <s v="8"/>
    <x v="0"/>
    <s v="SER"/>
    <s v="Bella Coola River System (Bella Coola) Sockeye Run 1"/>
    <n v="-1000005632"/>
    <n v="51765"/>
    <s v="ATNARKO ESCAPEMENT-1993"/>
    <n v="968"/>
    <s v="BELLA COOLA RIVER"/>
    <x v="1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s v=""/>
    <s v="0"/>
    <x v="1"/>
    <s v="EU"/>
    <s v="Scales"/>
    <n v="2126660001"/>
    <s v="2 SCALES ACROSS PER FISH"/>
    <s v="41"/>
    <x v="1"/>
    <s v="1"/>
    <s v="NORTHERN COASTAL FJORDS"/>
    <s v="R-16"/>
    <s v="8"/>
    <x v="0"/>
    <s v="SER"/>
    <s v="Bella Coola River System (Bella Coola) Sockeye Run 1"/>
    <n v="8134025"/>
    <n v="51765"/>
    <s v="BELLA COOLA FN (IN RIVER NET) - 2014"/>
    <n v="968"/>
    <s v="BELLA COOLA RIVER"/>
    <x v="17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s v=""/>
    <s v=""/>
    <x v="0"/>
    <s v="EU"/>
    <s v="Scales"/>
    <n v="2126660001"/>
    <s v="2 SCALES ACROSS PER FISH"/>
    <s v="52"/>
    <x v="0"/>
    <s v="5"/>
    <s v="NORTHERN COASTAL FJORDS"/>
    <s v="R-16"/>
    <s v="8"/>
    <x v="0"/>
    <s v="SER"/>
    <s v="Bella Coola River System (Bella Coola) Sockeye Run 1"/>
    <n v="6248726"/>
    <n v="51765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s v=""/>
    <s v=""/>
    <x v="2"/>
    <s v="EU"/>
    <s v="Scales"/>
    <n v="2126660001"/>
    <s v="1 SCALE ACROSS PER FISH"/>
    <s v="42"/>
    <x v="2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0"/>
    <s v="EU"/>
    <s v="Scales"/>
    <n v="2126660001"/>
    <s v="1 SCALE ACROSS PER FISH"/>
    <s v="52"/>
    <x v="0"/>
    <s v="2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0"/>
    <s v="EU"/>
    <s v="Scales"/>
    <n v="2126660001"/>
    <s v="1 SCALE ACROSS PER FISH"/>
    <s v="52"/>
    <x v="0"/>
    <s v="1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1"/>
    <s v="EU"/>
    <s v="Scales"/>
    <n v="2126660001"/>
    <s v="1 SCALE ACROSS PER FISH"/>
    <s v="41"/>
    <x v="1"/>
    <s v="1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1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1"/>
    <s v="EU"/>
    <s v="Scales"/>
    <n v="2126660001"/>
    <s v="1 SCALE ACROSS PER FISH"/>
    <s v="41"/>
    <x v="1"/>
    <s v="1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0"/>
    <s v="EU"/>
    <s v="Scales"/>
    <n v="2126660001"/>
    <s v="1 SCALE ACROSS PER FISH"/>
    <s v="52"/>
    <x v="0"/>
    <s v="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0"/>
    <s v="EU"/>
    <s v="Scales"/>
    <n v="2126660001"/>
    <s v="1 SCALE ACROSS PER FISH"/>
    <s v="52"/>
    <x v="0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1"/>
    <s v="EU"/>
    <s v="Scales"/>
    <n v="2126660001"/>
    <s v="1 SCALE ACROSS PER FISH"/>
    <s v="41"/>
    <x v="1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2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0"/>
    <s v="EU"/>
    <s v="Scales"/>
    <n v="2126660001"/>
    <s v="1 SCALE ACROSS PER FISH"/>
    <s v="52"/>
    <x v="0"/>
    <s v="1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1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2"/>
    <s v="EU"/>
    <s v="Scales"/>
    <n v="2126660001"/>
    <s v="1 SCALE ACROSS PER FISH"/>
    <s v="42"/>
    <x v="2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7"/>
    <s v="EU"/>
    <s v="Scales"/>
    <n v="2126660001"/>
    <s v="1 SCALE ACROSS PER FISH"/>
    <s v="31"/>
    <x v="7"/>
    <s v="2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NS"/>
    <s v=""/>
    <x v="6"/>
    <s v=""/>
    <s v="Scales"/>
    <n v="2126660001"/>
    <s v="1 SCALE ACROSS PER FISH"/>
    <s v=""/>
    <x v="6"/>
    <s v="1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NS"/>
    <s v=""/>
    <x v="6"/>
    <s v=""/>
    <s v="Scales"/>
    <n v="2126660001"/>
    <s v="1 SCALE ACROSS PER FISH"/>
    <s v=""/>
    <x v="6"/>
    <s v="1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7"/>
    <s v="EU"/>
    <s v="Scales"/>
    <n v="2126660001"/>
    <s v="1 SCALE ACROSS PER FISH"/>
    <s v="31"/>
    <x v="7"/>
    <s v="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1"/>
    <s v="EU"/>
    <s v="Scales"/>
    <n v="2126660001"/>
    <s v="1 SCALE ACROSS PER FISH"/>
    <s v="41"/>
    <x v="1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1"/>
    <s v="EU"/>
    <s v="Scales"/>
    <n v="2126660001"/>
    <s v="1 SCALE ACROSS PER FISH"/>
    <s v="41"/>
    <x v="1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0"/>
    <s v="EU"/>
    <s v="Scales"/>
    <n v="2126660001"/>
    <s v="1 SCALE ACROSS PER FISH"/>
    <s v="52"/>
    <x v="0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4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3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3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3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1"/>
    <s v="EU"/>
    <s v="Scales"/>
    <n v="2126660001"/>
    <s v="1 SCALE ACROSS PER FISH"/>
    <s v="41"/>
    <x v="1"/>
    <s v="3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1"/>
    <s v="EU"/>
    <s v="Scales"/>
    <n v="2126660001"/>
    <s v="1 SCALE ACROSS PER FISH"/>
    <s v="41"/>
    <x v="1"/>
    <s v="3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0"/>
    <s v="EU"/>
    <s v="Scales"/>
    <n v="2126660001"/>
    <s v="1 SCALE ACROSS PER FISH"/>
    <s v="52"/>
    <x v="0"/>
    <s v="2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1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13"/>
    <s v="EU"/>
    <s v="Scales"/>
    <n v="2126660001"/>
    <s v="1 SCALE ACROSS PER FISH"/>
    <s v="21"/>
    <x v="14"/>
    <s v="1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2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2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0"/>
    <s v="EU"/>
    <s v="Scales"/>
    <n v="2126660001"/>
    <s v="1 SCALE ACROSS PER FISH"/>
    <s v="52"/>
    <x v="0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s v=""/>
    <s v=""/>
    <s v="1997310041740967"/>
  </r>
  <r>
    <s v=""/>
    <s v=""/>
    <x v="7"/>
    <s v="EU"/>
    <s v="Scales"/>
    <n v="2126660001"/>
    <s v="1 SCALE ACROSS PER FISH"/>
    <s v="31"/>
    <x v="7"/>
    <s v="2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0"/>
    <s v="EU"/>
    <s v="Scales"/>
    <n v="2126660001"/>
    <s v="1 SCALE ACROSS PER FISH"/>
    <s v="52"/>
    <x v="0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7"/>
    <s v="EU"/>
    <s v="Scales"/>
    <n v="2126660001"/>
    <s v="1 SCALE ACROSS PER FISH"/>
    <s v="31"/>
    <x v="7"/>
    <s v="1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2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1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NS"/>
    <s v=""/>
    <x v="6"/>
    <s v=""/>
    <s v="Scales"/>
    <n v="2126660001"/>
    <s v="1 SCALE ACROSS PER FISH"/>
    <s v=""/>
    <x v="6"/>
    <s v="1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0"/>
    <s v="EU"/>
    <s v="Scales"/>
    <n v="2126660001"/>
    <s v="1 SCALE ACROSS PER FISH"/>
    <s v="52"/>
    <x v="0"/>
    <s v="4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7"/>
    <s v="EU"/>
    <s v="Scales"/>
    <n v="2126660001"/>
    <s v="1 SCALE ACROSS PER FISH"/>
    <s v="31"/>
    <x v="7"/>
    <s v="1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NS"/>
    <s v=""/>
    <x v="6"/>
    <s v=""/>
    <s v="Scales"/>
    <n v="2126660001"/>
    <s v="1 SCALE ACROSS PER FISH"/>
    <s v=""/>
    <x v="6"/>
    <s v="1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1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2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0"/>
    <s v="EU"/>
    <s v="Scales"/>
    <n v="2126660001"/>
    <s v="1 SCALE ACROSS PER FISH"/>
    <s v="52"/>
    <x v="0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1"/>
    <s v="EU"/>
    <s v="Scales"/>
    <n v="2126660001"/>
    <s v="1 SCALE ACROSS PER FISH"/>
    <s v="41"/>
    <x v="1"/>
    <s v="2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2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3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1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s v=""/>
    <s v=""/>
    <s v="1997310041740967"/>
  </r>
  <r>
    <s v=""/>
    <s v=""/>
    <x v="7"/>
    <s v="EU"/>
    <s v="Scales"/>
    <n v="2126660001"/>
    <s v="1 SCALE ACROSS PER FISH"/>
    <s v="31"/>
    <x v="7"/>
    <s v="1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0"/>
    <s v="EU"/>
    <s v="Scales"/>
    <n v="2126660001"/>
    <s v="1 SCALE ACROSS PER FISH"/>
    <s v="52"/>
    <x v="0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4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0"/>
    <s v="EU"/>
    <s v="Scales"/>
    <n v="2126660001"/>
    <s v="1 SCALE ACROSS PER FISH"/>
    <s v="52"/>
    <x v="0"/>
    <s v="1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NS"/>
    <s v=""/>
    <x v="6"/>
    <s v=""/>
    <s v="Scales"/>
    <n v="2126660001"/>
    <s v="1 SCALE ACROSS PER FISH"/>
    <s v=""/>
    <x v="6"/>
    <s v="1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2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2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13"/>
    <s v="EU"/>
    <s v="Scales"/>
    <n v="2126660001"/>
    <s v="1 SCALE ACROSS PER FISH"/>
    <s v="21"/>
    <x v="14"/>
    <s v="2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0"/>
    <s v="EU"/>
    <s v="Scales"/>
    <n v="2126660001"/>
    <s v="1 SCALE ACROSS PER FISH"/>
    <s v="52"/>
    <x v="0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s v=""/>
    <s v=""/>
    <s v="1997310041740967"/>
  </r>
  <r>
    <s v=""/>
    <s v=""/>
    <x v="2"/>
    <s v="EU"/>
    <s v="Scales"/>
    <n v="2126660001"/>
    <s v="1 SCALE ACROSS PER FISH"/>
    <s v="42"/>
    <x v="2"/>
    <s v="2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3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3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13"/>
    <s v="EU"/>
    <s v="Scales"/>
    <n v="2126660001"/>
    <s v="1 SCALE ACROSS PER FISH"/>
    <s v="21"/>
    <x v="14"/>
    <s v="2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7"/>
    <s v="EU"/>
    <s v="Scales"/>
    <n v="2126660001"/>
    <s v="1 SCALE ACROSS PER FISH"/>
    <s v="31"/>
    <x v="7"/>
    <s v="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1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0"/>
    <s v="EU"/>
    <s v="Scales"/>
    <n v="2126660001"/>
    <s v="1 SCALE ACROSS PER FISH"/>
    <s v="52"/>
    <x v="0"/>
    <s v="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2"/>
    <s v="EU"/>
    <s v="Scales"/>
    <n v="2126660001"/>
    <s v="1 SCALE ACROSS PER FISH"/>
    <s v="42"/>
    <x v="2"/>
    <s v="2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1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7"/>
    <s v="EU"/>
    <s v="Scales"/>
    <n v="2126660001"/>
    <s v="1 SCALE ACROSS PER FISH"/>
    <s v="31"/>
    <x v="7"/>
    <s v="1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7"/>
    <s v="EU"/>
    <s v="Scales"/>
    <n v="2126660001"/>
    <s v="1 SCALE ACROSS PER FISH"/>
    <s v="31"/>
    <x v="7"/>
    <s v="2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NS"/>
    <s v=""/>
    <x v="6"/>
    <s v=""/>
    <s v="Scales"/>
    <n v="2126660001"/>
    <s v="1 SCALE ACROSS PER FISH"/>
    <s v=""/>
    <x v="6"/>
    <s v="1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7"/>
    <s v="EU"/>
    <s v="Scales"/>
    <n v="2126660001"/>
    <s v="1 SCALE ACROSS PER FISH"/>
    <s v="31"/>
    <x v="7"/>
    <s v="1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4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1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0"/>
    <s v="EU"/>
    <s v="Scales"/>
    <n v="2126660001"/>
    <s v="1 SCALE ACROSS PER FISH"/>
    <s v="52"/>
    <x v="0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13"/>
    <s v="EU"/>
    <s v="Scales"/>
    <n v="2126660001"/>
    <s v="1 SCALE ACROSS PER FISH"/>
    <s v="21"/>
    <x v="14"/>
    <s v="1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1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0"/>
    <s v="EU"/>
    <s v="Scales"/>
    <n v="2126660001"/>
    <s v="1 SCALE ACROSS PER FISH"/>
    <s v="52"/>
    <x v="0"/>
    <s v="1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1"/>
    <s v="EU"/>
    <s v="Scales"/>
    <n v="2126660001"/>
    <s v="1 SCALE ACROSS PER FISH"/>
    <s v="41"/>
    <x v="1"/>
    <s v="2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1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1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7"/>
    <s v="EU"/>
    <s v="Scales"/>
    <n v="2126660001"/>
    <s v="1 SCALE ACROSS PER FISH"/>
    <s v="31"/>
    <x v="7"/>
    <s v="3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2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1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2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1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4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2"/>
    <s v="EU"/>
    <s v="Scales"/>
    <n v="2126660001"/>
    <s v="1 SCALE ACROSS PER FISH"/>
    <s v="42"/>
    <x v="2"/>
    <s v="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4T00:00:00"/>
    <d v="1997-09-24T00:00:00"/>
    <s v="1997310041514411"/>
  </r>
  <r>
    <s v=""/>
    <s v=""/>
    <x v="2"/>
    <s v="EU"/>
    <s v="Scales"/>
    <n v="2126660001"/>
    <s v="1 SCALE ACROSS PER FISH"/>
    <s v="42"/>
    <x v="2"/>
    <s v="1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0"/>
    <s v="EU"/>
    <s v="Scales"/>
    <n v="2126660001"/>
    <s v="1 SCALE ACROSS PER FISH"/>
    <s v="52"/>
    <x v="0"/>
    <s v="16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7"/>
    <s v="EU"/>
    <s v="Scales"/>
    <n v="2126660001"/>
    <s v="1 SCALE ACROSS PER FISH"/>
    <s v="31"/>
    <x v="7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Scales"/>
    <n v="2126660001"/>
    <s v="1 SCALE ACROSS PER FISH"/>
    <s v="42"/>
    <x v="2"/>
    <s v="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NS"/>
    <s v=""/>
    <x v="6"/>
    <s v=""/>
    <s v="Scales"/>
    <n v="2126660001"/>
    <s v="1 SCALE ACROSS PER FISH"/>
    <s v=""/>
    <x v="6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2"/>
    <s v="EU"/>
    <s v="Scales"/>
    <n v="2126660001"/>
    <s v="1 SCALE ACROSS PER FISH"/>
    <s v="42"/>
    <x v="2"/>
    <s v="2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2"/>
  </r>
  <r>
    <s v=""/>
    <s v=""/>
    <x v="7"/>
    <s v="EU"/>
    <s v="Scales"/>
    <n v="2126660001"/>
    <s v="1 SCALE ACROSS PER FISH"/>
    <s v="31"/>
    <x v="7"/>
    <s v="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2"/>
    <s v="EU"/>
    <s v="Scales"/>
    <n v="2126660001"/>
    <s v="1 SCALE ACROSS PER FISH"/>
    <s v="42"/>
    <x v="2"/>
    <s v="1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7"/>
    <n v="1"/>
    <s v="SOCKEYE SALMON"/>
    <n v="2086090012"/>
    <x v="1"/>
    <n v="70"/>
    <s v="Beach Seine"/>
    <s v="Adult"/>
    <d v="1997-09-23T00:00:00"/>
    <d v="1997-09-23T00:00:00"/>
    <s v="1997310041740961"/>
  </r>
  <r>
    <s v=""/>
    <s v=""/>
    <x v="1"/>
    <s v="EU"/>
    <s v="Scales"/>
    <n v="2126660001"/>
    <s v="1 SCALE ACROSS PER FISH"/>
    <s v="41"/>
    <x v="1"/>
    <s v="3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28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1"/>
    <s v="EU"/>
    <s v="Scales"/>
    <n v="2126660001"/>
    <s v="1 SCALE ACROSS PER FISH"/>
    <s v="41"/>
    <x v="1"/>
    <s v="7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19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2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7"/>
    <s v="EU"/>
    <s v="Scales"/>
    <n v="2126660001"/>
    <s v="1 SCALE ACROSS PER FISH"/>
    <s v="31"/>
    <x v="7"/>
    <s v="11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NS"/>
    <s v=""/>
    <x v="6"/>
    <s v=""/>
    <s v="Scales"/>
    <n v="2126660001"/>
    <s v="1 SCALE ACROSS PER FISH"/>
    <s v=""/>
    <x v="6"/>
    <s v="13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8"/>
  </r>
  <r>
    <s v=""/>
    <s v=""/>
    <x v="2"/>
    <s v="EU"/>
    <s v="Scales"/>
    <n v="2126660001"/>
    <s v="1 SCALE ACROSS PER FISH"/>
    <s v="42"/>
    <x v="2"/>
    <s v="40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6"/>
    <n v="1"/>
    <s v="SOCKEYE SALMON"/>
    <n v="2086090012"/>
    <x v="1"/>
    <n v="70"/>
    <s v="Beach Seine"/>
    <s v="Adult"/>
    <d v="1997-09-23T00:00:00"/>
    <d v="1997-09-23T00:00:00"/>
    <s v="1997310041680025"/>
  </r>
  <r>
    <s v=""/>
    <s v=""/>
    <x v="7"/>
    <s v="EU"/>
    <s v="Scales"/>
    <n v="2126660001"/>
    <s v="1 SCALE ACROSS PER FISH"/>
    <s v="31"/>
    <x v="7"/>
    <s v="25"/>
    <s v="NORTHERN COASTAL FJORDS"/>
    <s v="R-16"/>
    <s v="8"/>
    <x v="1"/>
    <s v="SER"/>
    <s v="Atnarko River (Bella Coola) Sockeye"/>
    <n v="-1000005644"/>
    <n v="51780"/>
    <s v="ATNARKO ESCAPEMENT-1997"/>
    <n v="970"/>
    <s v="ATNARKO RIVER"/>
    <x v="19"/>
    <s v="415"/>
    <n v="1"/>
    <s v="SOCKEYE SALMON"/>
    <n v="2086090012"/>
    <x v="1"/>
    <n v="70"/>
    <s v="Beach Seine"/>
    <s v="Adult"/>
    <d v="1997-09-23T00:00:00"/>
    <d v="1997-09-23T00:00:00"/>
    <s v="1997310041540963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1"/>
    <s v="EU"/>
    <s v="Otolith - Surface"/>
    <n v="2126660002"/>
    <s v="1 OTOLITH ACROSS (TRAY)"/>
    <s v="41"/>
    <x v="1"/>
    <s v="1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4"/>
    <s v="EU"/>
    <s v="Otolith - Surface"/>
    <n v="2126660002"/>
    <s v="1 OTOLITH ACROSS (TRAY)"/>
    <s v="53"/>
    <x v="4"/>
    <s v="3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45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46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8"/>
    <s v="EU"/>
    <s v="Otolith - Surface"/>
    <n v="2126660002"/>
    <s v="1 OTOLITH ACROSS (TRAY)"/>
    <s v="63"/>
    <x v="8"/>
    <s v="47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7"/>
    <s v="EU"/>
    <s v="Otolith - Surface"/>
    <n v="2126660002"/>
    <s v="1 OTOLITH ACROSS (TRAY)"/>
    <s v="31"/>
    <x v="7"/>
    <s v="29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17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4"/>
    <s v="EU"/>
    <s v="Otolith - Surface"/>
    <n v="2126660002"/>
    <s v="1 OTOLITH ACROSS (TRAY)"/>
    <s v="53"/>
    <x v="4"/>
    <s v="39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8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16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6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1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7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7"/>
    <s v="EU"/>
    <s v="Otolith - Surface"/>
    <n v="2126660002"/>
    <s v="1 OTOLITH ACROSS (TRAY)"/>
    <s v="31"/>
    <x v="7"/>
    <s v="20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1"/>
    <s v="EU"/>
    <s v="Otolith - Surface"/>
    <n v="2126660002"/>
    <s v="1 OTOLITH ACROSS (TRAY)"/>
    <s v="41"/>
    <x v="1"/>
    <s v="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10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4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21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2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1"/>
    <s v="EU"/>
    <s v="Otolith - Surface"/>
    <n v="2126660002"/>
    <s v="1 OTOLITH ACROSS (TRAY)"/>
    <s v="41"/>
    <x v="1"/>
    <s v="33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9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0"/>
    <s v="EU"/>
    <s v="Otolith - Surface"/>
    <n v="2126660002"/>
    <s v="1 OTOLITH ACROSS (TRAY)"/>
    <s v="52"/>
    <x v="0"/>
    <s v="37"/>
    <s v="NORTHERN COASTAL FJORDS"/>
    <s v="R-16"/>
    <s v="8"/>
    <x v="1"/>
    <s v="SER"/>
    <s v="Atnarko River (Bella Coola) Sockeye"/>
    <n v="5546088"/>
    <n v="51780"/>
    <s v="ATNARKO ESCAPEMENT - 2010"/>
    <n v="970"/>
    <s v="ATNARKO RIVER"/>
    <x v="10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s v=""/>
    <s v=""/>
    <x v="1"/>
    <s v="EU"/>
    <s v="Otolith - Surface"/>
    <n v="2126660002"/>
    <s v="1 OTOLITH ACROSS (TRAY)"/>
    <s v="41"/>
    <x v="1"/>
    <s v="5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3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2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2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8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2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2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8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9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9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7"/>
    <s v="EU"/>
    <s v="Otolith - Surface"/>
    <n v="2126660002"/>
    <s v="1 OTOLITH ACROSS (TRAY)"/>
    <s v="31"/>
    <x v="7"/>
    <s v="1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3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7"/>
    <s v="EU"/>
    <s v="Otolith - Surface"/>
    <n v="2126660002"/>
    <s v="1 OTOLITH ACROSS (TRAY)"/>
    <s v="31"/>
    <x v="7"/>
    <s v="4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0"/>
    <s v="EU"/>
    <s v="Otolith - Surface"/>
    <n v="2126660002"/>
    <s v="1 OTOLITH ACROSS (TRAY)"/>
    <s v="52"/>
    <x v="0"/>
    <s v="4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3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1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23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1"/>
    <s v="EU"/>
    <s v="Otolith - Surface"/>
    <n v="2126660002"/>
    <s v="1 OTOLITH ACROSS (TRAY)"/>
    <s v="41"/>
    <x v="1"/>
    <s v="9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8665297"/>
    <n v="51780"/>
    <s v="ATNARKO ESCAPEMENT - 2015"/>
    <n v="970"/>
    <s v="ATNARKO RIVER"/>
    <x v="20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4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15"/>
    <s v="EU"/>
    <s v="Otolith - Surface"/>
    <n v="2126660002"/>
    <s v="1 OTOLITH ACROSS (TRAY)"/>
    <s v="43"/>
    <x v="17"/>
    <s v="4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5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6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12"/>
    <s v="EU"/>
    <s v="Otolith - Surface"/>
    <n v="2126660002"/>
    <s v="1 OTOLITH ACROSS (TRAY)"/>
    <s v="32"/>
    <x v="12"/>
    <s v="3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6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2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5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7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6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6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6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7"/>
    <s v="EU"/>
    <s v="Otolith - Surface"/>
    <n v="2126660002"/>
    <s v="1 OTOLITH ACROSS (TRAY)"/>
    <s v="31"/>
    <x v="7"/>
    <s v="3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4"/>
    <s v="EU"/>
    <s v="Otolith - Surface"/>
    <n v="2126660002"/>
    <s v="1 OTOLITH ACROSS (TRAY)"/>
    <s v="53"/>
    <x v="4"/>
    <s v="7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7"/>
    <s v="EU"/>
    <s v="Otolith - Surface"/>
    <n v="2126660002"/>
    <s v="1 OTOLITH ACROSS (TRAY)"/>
    <s v="31"/>
    <x v="7"/>
    <s v="2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7"/>
    <s v="EU"/>
    <s v="Otolith - Surface"/>
    <n v="2126660002"/>
    <s v="1 OTOLITH ACROSS (TRAY)"/>
    <s v="31"/>
    <x v="7"/>
    <s v="3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1"/>
    <s v="EU"/>
    <s v="Otolith - Surface"/>
    <n v="2126660002"/>
    <s v="1 OTOLITH ACROSS (TRAY)"/>
    <s v="41"/>
    <x v="1"/>
    <s v="8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7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6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12"/>
    <s v="EU"/>
    <s v="Otolith - Surface"/>
    <n v="2126660002"/>
    <s v="1 OTOLITH ACROSS (TRAY)"/>
    <s v="32"/>
    <x v="12"/>
    <s v="5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7"/>
    <s v="EU"/>
    <s v="Otolith - Surface"/>
    <n v="2126660002"/>
    <s v="1 OTOLITH ACROSS (TRAY)"/>
    <s v="31"/>
    <x v="7"/>
    <s v="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7"/>
    <s v="EU"/>
    <s v="Otolith - Surface"/>
    <n v="2126660002"/>
    <s v="1 OTOLITH ACROSS (TRAY)"/>
    <s v="31"/>
    <x v="7"/>
    <s v="2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9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4"/>
    <s v="EU"/>
    <s v="Otolith - Surface"/>
    <n v="2126660002"/>
    <s v="1 OTOLITH ACROSS (TRAY)"/>
    <s v="53"/>
    <x v="4"/>
    <s v="4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4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1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5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1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8"/>
    <s v="EU"/>
    <s v="Otolith - Surface"/>
    <n v="2126660002"/>
    <s v="1 OTOLITH ACROSS (TRAY)"/>
    <s v="63"/>
    <x v="8"/>
    <s v="5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8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2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4"/>
    <s v="EU"/>
    <s v="Otolith - Surface"/>
    <n v="2126660002"/>
    <s v="1 OTOLITH ACROSS (TRAY)"/>
    <s v="53"/>
    <x v="4"/>
    <s v="4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5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7"/>
    <s v="EU"/>
    <s v="Otolith - Surface"/>
    <n v="2126660002"/>
    <s v="1 OTOLITH ACROSS (TRAY)"/>
    <s v="31"/>
    <x v="7"/>
    <s v="6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6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4"/>
    <s v="EU"/>
    <s v="Otolith - Surface"/>
    <n v="2126660002"/>
    <s v="1 OTOLITH ACROSS (TRAY)"/>
    <s v="53"/>
    <x v="4"/>
    <s v="7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8"/>
    <s v="EU"/>
    <s v="Otolith - Surface"/>
    <n v="2126660002"/>
    <s v="1 OTOLITH ACROSS (TRAY)"/>
    <s v="63"/>
    <x v="8"/>
    <s v="8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0"/>
    <s v="EU"/>
    <s v="Otolith - Surface"/>
    <n v="2126660002"/>
    <s v="1 OTOLITH ACROSS (TRAY)"/>
    <s v="52"/>
    <x v="0"/>
    <s v="8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s v=""/>
    <s v=""/>
    <x v="0"/>
    <s v="EU"/>
    <s v="Otolith - Surface"/>
    <n v="2126660002"/>
    <s v="1 OTOLITH ACROSS (TRAY)"/>
    <s v="52"/>
    <x v="0"/>
    <s v="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7"/>
    <s v="EU"/>
    <s v="Otolith - Surface"/>
    <n v="2126660002"/>
    <s v="1 OTOLITH ACROSS (TRAY)"/>
    <s v="31"/>
    <x v="7"/>
    <s v="14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"/>
    <x v="0"/>
    <s v="EU"/>
    <s v="Otolith - Surface"/>
    <n v="2126660002"/>
    <s v="1 OTOLITH ACROSS (TRAY)"/>
    <s v="52"/>
    <x v="0"/>
    <s v="36"/>
    <s v="NORTHERN COASTAL FJORDS"/>
    <s v="R-16"/>
    <s v="8"/>
    <x v="1"/>
    <s v="SER"/>
    <s v="Atnarko River (Bella Coola) Sockeye"/>
    <n v="6968367"/>
    <n v="51780"/>
    <s v="ATNARKO ESCAPEMENT - 2012"/>
    <n v="970"/>
    <s v="ATNARKO RIVER"/>
    <x v="14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*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RS"/>
    <s v="2"/>
    <x v="11"/>
    <s v="FW"/>
    <s v="Scales"/>
    <n v="2126660001"/>
    <s v="2 SCALES ACROSS PER FISH"/>
    <s v="S2"/>
    <x v="16"/>
    <s v="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0"/>
    <s v="EU"/>
    <s v="Otolith - Surface"/>
    <n v="2126660002"/>
    <s v="1 OTOLITH ACROSS (TRAY)"/>
    <s v="52"/>
    <x v="0"/>
    <s v="2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3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4"/>
    <s v="EU"/>
    <s v="Otolith - Surface"/>
    <n v="2126660002"/>
    <s v="1 OTOLITH ACROSS (TRAY)"/>
    <s v="53"/>
    <x v="4"/>
    <s v="5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1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Scales"/>
    <n v="2126660001"/>
    <s v="2 SCALES ACROSS PER FISH"/>
    <s v="42"/>
    <x v="2"/>
    <s v="2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6T00:00:00"/>
    <d v="2009-09-27T00:00:00"/>
    <s v="67855"/>
  </r>
  <r>
    <s v=""/>
    <s v="*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4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8"/>
    <s v="EU"/>
    <s v="Otolith - Surface"/>
    <n v="2126660002"/>
    <s v="1 OTOLITH ACROSS (TRAY)"/>
    <s v="63"/>
    <x v="8"/>
    <s v="8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4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4"/>
    <s v="EU"/>
    <s v="Otolith - Surface"/>
    <n v="2126660002"/>
    <s v="1 OTOLITH ACROSS (TRAY)"/>
    <s v="53"/>
    <x v="4"/>
    <s v="3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0"/>
    <s v="EU"/>
    <s v="Otolith - Surface"/>
    <n v="2126660002"/>
    <s v="1 OTOLITH ACROSS (TRAY)"/>
    <s v="52"/>
    <x v="0"/>
    <s v="1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Scales"/>
    <n v="2126660001"/>
    <s v="2 SCALES ACROSS PER FISH"/>
    <s v="42"/>
    <x v="2"/>
    <s v="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7T00:00:00"/>
    <d v="2009-09-27T00:00:00"/>
    <s v="67856"/>
  </r>
  <r>
    <s v=""/>
    <s v="*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3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0"/>
    <s v="EU"/>
    <s v="Otolith - Surface"/>
    <n v="2126660002"/>
    <s v="1 OTOLITH ACROSS (TRAY)"/>
    <s v="52"/>
    <x v="0"/>
    <s v="3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6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5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11"/>
    <s v="FW"/>
    <s v="Otolith - Surface"/>
    <n v="2126660002"/>
    <s v="1 OTOLITH ACROSS (TRAY)"/>
    <s v="S2"/>
    <x v="16"/>
    <s v="7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5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4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W"/>
    <s v="0"/>
    <x v="3"/>
    <s v="MY"/>
    <s v="Scales"/>
    <n v="2126660001"/>
    <s v="2 SCALES ACROSS PER FISH"/>
    <s v="2M"/>
    <x v="3"/>
    <s v="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*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4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4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3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1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2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2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1"/>
    <s v="EU"/>
    <s v="Otolith - Surface"/>
    <n v="2126660002"/>
    <s v="1 OTOLITH ACROSS (TRAY)"/>
    <s v="41"/>
    <x v="1"/>
    <s v="6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4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0"/>
    <s v="EU"/>
    <s v="Otolith - Surface"/>
    <n v="2126660002"/>
    <s v="1 OTOLITH ACROSS (TRAY)"/>
    <s v="52"/>
    <x v="0"/>
    <s v="9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1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0"/>
    <x v="0"/>
    <s v="EU"/>
    <s v="Scales"/>
    <n v="2126660001"/>
    <s v="2 SCALES ACROSS PER FISH"/>
    <s v="52"/>
    <x v="0"/>
    <s v="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"/>
    <x v="0"/>
    <s v="EU"/>
    <s v="Otolith - Surface"/>
    <n v="2126660002"/>
    <s v="1 OTOLITH ACROSS (TRAY)"/>
    <s v="52"/>
    <x v="0"/>
    <s v="6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0"/>
    <s v="EU"/>
    <s v="Otolith - Surface"/>
    <n v="2126660002"/>
    <s v="1 OTOLITH ACROSS (TRAY)"/>
    <s v="52"/>
    <x v="0"/>
    <s v="1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5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7"/>
    <s v="EU"/>
    <s v="Otolith - Surface"/>
    <n v="2126660002"/>
    <s v="1 OTOLITH ACROSS (TRAY)"/>
    <s v="31"/>
    <x v="7"/>
    <s v="3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7"/>
    <s v="EU"/>
    <s v="Scales"/>
    <n v="2126660001"/>
    <s v="2 SCALES ACROSS PER FISH"/>
    <s v="31"/>
    <x v="7"/>
    <s v="1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6T00:00:00"/>
    <d v="2009-09-27T00:00:00"/>
    <s v="67855"/>
  </r>
  <r>
    <s v=""/>
    <s v="*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9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6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4"/>
    <s v="EU"/>
    <s v="Otolith - Surface"/>
    <n v="2126660002"/>
    <s v="1 OTOLITH ACROSS (TRAY)"/>
    <s v="53"/>
    <x v="4"/>
    <s v="3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12"/>
    <s v="EU"/>
    <s v="Otolith - Surface"/>
    <n v="2126660002"/>
    <s v="1 OTOLITH ACROSS (TRAY)"/>
    <s v="32"/>
    <x v="12"/>
    <s v="1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1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4"/>
    <s v="EU"/>
    <s v="Otolith - Surface"/>
    <n v="2126660002"/>
    <s v="1 OTOLITH ACROSS (TRAY)"/>
    <s v="53"/>
    <x v="4"/>
    <s v="1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4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4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10-09T00:00:00"/>
    <d v="2009-10-09T00:00:00"/>
    <s v="67860"/>
  </r>
  <r>
    <s v=""/>
    <s v=""/>
    <x v="7"/>
    <s v="EU"/>
    <s v="Scales"/>
    <n v="2126660001"/>
    <s v="2 SCALES ACROSS PER FISH"/>
    <s v="31"/>
    <x v="7"/>
    <s v="1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10-09T00:00:00"/>
    <d v="2009-10-09T00:00:00"/>
    <s v="67860"/>
  </r>
  <r>
    <s v=""/>
    <s v=""/>
    <x v="4"/>
    <s v="EU"/>
    <s v="Scales"/>
    <n v="2126660001"/>
    <s v="2 SCALES ACROSS PER FISH"/>
    <s v="53"/>
    <x v="4"/>
    <s v="1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10-09T00:00:00"/>
    <d v="2009-10-09T00:00:00"/>
    <s v="67860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1"/>
    <x v="0"/>
    <s v="EU"/>
    <s v="Scales"/>
    <n v="2126660001"/>
    <s v="2 SCALES ACROSS PER FISH"/>
    <s v="52"/>
    <x v="0"/>
    <s v="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1"/>
    <x v="0"/>
    <s v="EU"/>
    <s v="Scales"/>
    <n v="2126660001"/>
    <s v="2 SCALES ACROSS PER FISH"/>
    <s v="52"/>
    <x v="0"/>
    <s v="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0"/>
    <x v="2"/>
    <s v="EU"/>
    <s v="Scales"/>
    <n v="2126660001"/>
    <s v="2 SCALES ACROSS PER FISH"/>
    <s v="42"/>
    <x v="2"/>
    <s v="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0"/>
    <x v="0"/>
    <s v="EU"/>
    <s v="Scales"/>
    <n v="2126660001"/>
    <s v="2 SCALES ACROSS PER FISH"/>
    <s v="52"/>
    <x v="0"/>
    <s v="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UD"/>
    <s v=""/>
    <x v="6"/>
    <s v="EU"/>
    <s v="Scales"/>
    <n v="2126660001"/>
    <s v="2 SCALES ACROSS PER FISH"/>
    <s v=""/>
    <x v="6"/>
    <s v="1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0"/>
    <x v="15"/>
    <s v="EU"/>
    <s v="Scales"/>
    <n v="2126660001"/>
    <s v="2 SCALES ACROSS PER FISH"/>
    <s v="43"/>
    <x v="17"/>
    <s v="1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0"/>
    <x v="0"/>
    <s v="EU"/>
    <s v="Scales"/>
    <n v="2126660001"/>
    <s v="2 SCALES ACROSS PER FISH"/>
    <s v="52"/>
    <x v="0"/>
    <s v="1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s v=""/>
    <s v="*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1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Scales"/>
    <n v="2126660001"/>
    <s v="2 SCALES ACROSS PER FISH"/>
    <s v="42"/>
    <x v="2"/>
    <s v="2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6T00:00:00"/>
    <d v="2009-09-27T00:00:00"/>
    <s v="67855"/>
  </r>
  <r>
    <s v=""/>
    <s v="*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6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4"/>
    <s v="EU"/>
    <s v="Otolith - Surface"/>
    <n v="2126660002"/>
    <s v="1 OTOLITH ACROSS (TRAY)"/>
    <s v="53"/>
    <x v="4"/>
    <s v="6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7"/>
    <s v="EU"/>
    <s v="Otolith - Surface"/>
    <n v="2126660002"/>
    <s v="1 OTOLITH ACROSS (TRAY)"/>
    <s v="31"/>
    <x v="7"/>
    <s v="8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0"/>
    <s v="EU"/>
    <s v="Otolith - Surface"/>
    <n v="2126660002"/>
    <s v="1 OTOLITH ACROSS (TRAY)"/>
    <s v="52"/>
    <x v="0"/>
    <s v="56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*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0"/>
    <s v="EU"/>
    <s v="Otolith - Surface"/>
    <n v="2126660002"/>
    <s v="1 OTOLITH ACROSS (TRAY)"/>
    <s v="52"/>
    <x v="0"/>
    <s v="69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*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2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4902326"/>
    <n v="51780"/>
    <s v="ATNARKO ESCAPEMENT - 2009"/>
    <n v="970"/>
    <s v="ATNARKO RIVER"/>
    <x v="3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3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3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6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7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UF"/>
    <s v=""/>
    <x v="5"/>
    <s v="MY"/>
    <s v="Otolith - Surface"/>
    <n v="2126660002"/>
    <s v="1 OTOLITH ACROSS (TRAY)"/>
    <s v="3M"/>
    <x v="5"/>
    <s v="5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4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0"/>
    <s v="EU"/>
    <s v="Otolith - Surface"/>
    <n v="2126660002"/>
    <s v="1 OTOLITH ACROSS (TRAY)"/>
    <s v="52"/>
    <x v="0"/>
    <s v="1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12"/>
    <s v="EU"/>
    <s v="Otolith - Surface"/>
    <n v="2126660002"/>
    <s v="1 OTOLITH ACROSS (TRAY)"/>
    <s v="32"/>
    <x v="12"/>
    <s v="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1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3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5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7"/>
    <s v="EU"/>
    <s v="Otolith - Surface"/>
    <n v="2126660002"/>
    <s v="1 OTOLITH ACROSS (TRAY)"/>
    <s v="31"/>
    <x v="7"/>
    <s v="4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5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1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4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3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8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4"/>
    <s v="EU"/>
    <s v="Otolith - Surface"/>
    <n v="2126660002"/>
    <s v="1 OTOLITH ACROSS (TRAY)"/>
    <s v="53"/>
    <x v="4"/>
    <s v="1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0"/>
    <s v="EU"/>
    <s v="Otolith - Surface"/>
    <n v="2126660002"/>
    <s v="1 OTOLITH ACROSS (TRAY)"/>
    <s v="52"/>
    <x v="0"/>
    <s v="6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4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1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0"/>
    <s v="EU"/>
    <s v="Otolith - Surface"/>
    <n v="2126660002"/>
    <s v="1 OTOLITH ACROSS (TRAY)"/>
    <s v="52"/>
    <x v="0"/>
    <s v="1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7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0"/>
    <s v="EU"/>
    <s v="Otolith - Surface"/>
    <n v="2126660002"/>
    <s v="1 OTOLITH ACROSS (TRAY)"/>
    <s v="52"/>
    <x v="0"/>
    <s v="3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8"/>
    <s v="EU"/>
    <s v="Otolith - Surface"/>
    <n v="2126660002"/>
    <s v="1 OTOLITH ACROSS (TRAY)"/>
    <s v="63"/>
    <x v="8"/>
    <s v="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4"/>
    <s v="EU"/>
    <s v="Otolith - Surface"/>
    <n v="2126660002"/>
    <s v="1 OTOLITH ACROSS (TRAY)"/>
    <s v="53"/>
    <x v="4"/>
    <s v="4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5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UM"/>
    <s v=""/>
    <x v="11"/>
    <s v="FW"/>
    <s v="Otolith - Surface"/>
    <n v="2126660002"/>
    <s v="1 OTOLITH ACROSS (TRAY)"/>
    <s v="S2"/>
    <x v="16"/>
    <s v="2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4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12"/>
    <s v="EU"/>
    <s v="Otolith - Surface"/>
    <n v="2126660002"/>
    <s v="1 OTOLITH ACROSS (TRAY)"/>
    <s v="32"/>
    <x v="12"/>
    <s v="1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3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9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54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2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5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9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0"/>
    <s v="EU"/>
    <s v="Otolith - Surface"/>
    <n v="2126660002"/>
    <s v="1 OTOLITH ACROSS (TRAY)"/>
    <s v="52"/>
    <x v="0"/>
    <s v="2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4"/>
    <s v="EU"/>
    <s v="Otolith - Surface"/>
    <n v="2126660002"/>
    <s v="1 OTOLITH ACROSS (TRAY)"/>
    <s v="53"/>
    <x v="4"/>
    <s v="4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10391438"/>
    <n v="51780"/>
    <s v="ATNARKO ESCAPEMENT - 2018"/>
    <n v="970"/>
    <s v="ATNARKO RIVER"/>
    <x v="6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s v="RG"/>
    <s v=""/>
    <x v="6"/>
    <s v=""/>
    <s v="Scales"/>
    <n v="2126660001"/>
    <s v="10 SCALES DOWN PER FISH"/>
    <s v=""/>
    <x v="6"/>
    <s v="3"/>
    <s v="NORTHERN COASTAL FJORDS"/>
    <s v="R-16"/>
    <s v="8"/>
    <x v="1"/>
    <s v="SER"/>
    <s v="Atnarko River (Bella Coola) Sockeye"/>
    <n v="-1000006987"/>
    <n v="51780"/>
    <s v="MISCELLANEOUS SAMPLES-1989"/>
    <n v="970"/>
    <s v="ATNARKO RIVER"/>
    <x v="11"/>
    <s v="1476"/>
    <n v="1"/>
    <s v="SOCKEYE SALMON"/>
    <n v="2086090007"/>
    <x v="2"/>
    <n v="7"/>
    <s v="Rod &amp; Reel"/>
    <s v="Adult"/>
    <d v="1989-08-15T00:00:00"/>
    <d v="1989-08-15T00:00:00"/>
    <s v="19898040147648735"/>
  </r>
  <r>
    <s v=""/>
    <s v=""/>
    <x v="0"/>
    <s v="EU"/>
    <s v="Scales"/>
    <n v="2126660001"/>
    <s v="10 SCALES DOWN PER FISH"/>
    <s v="52"/>
    <x v="0"/>
    <s v="4"/>
    <s v="NORTHERN COASTAL FJORDS"/>
    <s v="R-16"/>
    <s v="8"/>
    <x v="1"/>
    <s v="SER"/>
    <s v="Atnarko River (Bella Coola) Sockeye"/>
    <n v="-1000006987"/>
    <n v="51780"/>
    <s v="MISCELLANEOUS SAMPLES-1989"/>
    <n v="970"/>
    <s v="ATNARKO RIVER"/>
    <x v="11"/>
    <s v="1476"/>
    <n v="1"/>
    <s v="SOCKEYE SALMON"/>
    <n v="2086090007"/>
    <x v="2"/>
    <n v="7"/>
    <s v="Rod &amp; Reel"/>
    <s v="Adult"/>
    <d v="1989-08-15T00:00:00"/>
    <d v="1989-08-15T00:00:00"/>
    <s v="19898040147648735"/>
  </r>
  <r>
    <s v="NS"/>
    <s v=""/>
    <x v="6"/>
    <s v=""/>
    <s v="Scales"/>
    <n v="2126660001"/>
    <s v="10 SCALES DOWN PER FISH"/>
    <s v=""/>
    <x v="6"/>
    <s v="1"/>
    <s v="NORTHERN COASTAL FJORDS"/>
    <s v="R-16"/>
    <s v="8"/>
    <x v="1"/>
    <s v="SER"/>
    <s v="Atnarko River (Bella Coola) Sockeye"/>
    <n v="-1000006987"/>
    <n v="51780"/>
    <s v="MISCELLANEOUS SAMPLES-1989"/>
    <n v="970"/>
    <s v="ATNARKO RIVER"/>
    <x v="11"/>
    <s v="1476"/>
    <n v="1"/>
    <s v="SOCKEYE SALMON"/>
    <n v="2086090007"/>
    <x v="2"/>
    <n v="7"/>
    <s v="Rod &amp; Reel"/>
    <s v="Adult"/>
    <d v="1989-08-15T00:00:00"/>
    <d v="1989-08-15T00:00:00"/>
    <s v="19898040147648735"/>
  </r>
  <r>
    <s v="W"/>
    <s v=""/>
    <x v="6"/>
    <s v=""/>
    <s v="Scales"/>
    <n v="2126660001"/>
    <s v="10 SCALES DOWN PER FISH"/>
    <s v=""/>
    <x v="6"/>
    <s v="5"/>
    <s v="NORTHERN COASTAL FJORDS"/>
    <s v="R-16"/>
    <s v="8"/>
    <x v="1"/>
    <s v="SER"/>
    <s v="Atnarko River (Bella Coola) Sockeye"/>
    <n v="-1000006987"/>
    <n v="51780"/>
    <s v="MISCELLANEOUS SAMPLES-1989"/>
    <n v="970"/>
    <s v="ATNARKO RIVER"/>
    <x v="11"/>
    <s v="1476"/>
    <n v="1"/>
    <s v="SOCKEYE SALMON"/>
    <n v="2086090007"/>
    <x v="2"/>
    <n v="7"/>
    <s v="Rod &amp; Reel"/>
    <s v="Adult"/>
    <d v="1989-08-15T00:00:00"/>
    <d v="1989-08-15T00:00:00"/>
    <s v="19898040147648735"/>
  </r>
  <r>
    <s v=""/>
    <s v=""/>
    <x v="0"/>
    <s v="EU"/>
    <s v="Scales"/>
    <n v="2126660001"/>
    <s v="10 SCALES DOWN PER FISH"/>
    <s v="52"/>
    <x v="0"/>
    <s v="2"/>
    <s v="NORTHERN COASTAL FJORDS"/>
    <s v="R-16"/>
    <s v="8"/>
    <x v="1"/>
    <s v="SER"/>
    <s v="Atnarko River (Bella Coola) Sockeye"/>
    <n v="-1000006987"/>
    <n v="51780"/>
    <s v="MISCELLANEOUS SAMPLES-1989"/>
    <n v="970"/>
    <s v="ATNARKO RIVER"/>
    <x v="11"/>
    <s v="1476"/>
    <n v="1"/>
    <s v="SOCKEYE SALMON"/>
    <n v="2086090007"/>
    <x v="2"/>
    <n v="7"/>
    <s v="Rod &amp; Reel"/>
    <s v="Adult"/>
    <d v="1989-08-15T00:00:00"/>
    <d v="1989-08-15T00:00:00"/>
    <s v="19898040147648735"/>
  </r>
  <r>
    <s v="RS"/>
    <s v="2"/>
    <x v="6"/>
    <s v="EU"/>
    <s v="Scales"/>
    <n v="2126660001"/>
    <s v="2 SCALES ACROSS PER FISH"/>
    <s v=""/>
    <x v="6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11"/>
    <s v="FW"/>
    <s v="Scales"/>
    <n v="2126660001"/>
    <s v="2 SCALES ACROSS PER FISH"/>
    <s v="S2"/>
    <x v="16"/>
    <s v="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9"/>
    <s v="FW"/>
    <s v="Scales"/>
    <n v="2126660001"/>
    <s v="2 SCALES ACROSS PER FISH"/>
    <s v="S1"/>
    <x v="13"/>
    <s v="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G"/>
    <s v=""/>
    <x v="6"/>
    <s v="EU"/>
    <s v="Scales"/>
    <n v="2126660001"/>
    <s v="2 SCALES ACROSS PER FISH"/>
    <s v=""/>
    <x v="6"/>
    <s v="1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6"/>
    <s v="EU"/>
    <s v="Scales"/>
    <n v="2126660001"/>
    <s v="2 SCALES ACROSS PER FISH"/>
    <s v=""/>
    <x v="6"/>
    <s v="1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6"/>
    <s v="EU"/>
    <s v="Scales"/>
    <n v="2126660001"/>
    <s v="2 SCALES ACROSS PER FISH"/>
    <s v=""/>
    <x v="6"/>
    <s v="1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6"/>
    <s v="EU"/>
    <s v="Scales"/>
    <n v="2126660001"/>
    <s v="2 SCALES ACROSS PER FISH"/>
    <s v=""/>
    <x v="6"/>
    <s v="1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0"/>
    <s v="EU"/>
    <s v="Scales"/>
    <n v="2126660001"/>
    <s v="2 SCALES ACROSS PER FISH"/>
    <s v="52"/>
    <x v="0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"/>
    <x v="2"/>
    <s v="EU"/>
    <s v="Scales"/>
    <n v="2126660001"/>
    <s v="2 SCALES ACROSS PER FISH"/>
    <s v="42"/>
    <x v="2"/>
    <s v="1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2"/>
    <s v="EU"/>
    <s v="Scales"/>
    <n v="2126660001"/>
    <s v="2 SCALES ACROSS PER FISH"/>
    <s v="42"/>
    <x v="2"/>
    <s v="1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"/>
    <x v="1"/>
    <s v="EU"/>
    <s v="Scales"/>
    <n v="2126660001"/>
    <s v="2 SCALES ACROSS PER FISH"/>
    <s v="41"/>
    <x v="1"/>
    <s v="2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7"/>
    <s v="EU"/>
    <s v="Scales"/>
    <n v="2126660001"/>
    <s v="2 SCALES ACROSS PER FISH"/>
    <s v="31"/>
    <x v="7"/>
    <s v="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1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G"/>
    <s v="0"/>
    <x v="3"/>
    <s v="MY"/>
    <s v="Scales"/>
    <n v="2126660001"/>
    <s v="2 SCALES ACROSS PER FISH"/>
    <s v="2M"/>
    <x v="3"/>
    <s v="1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1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1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2"/>
    <s v="EU"/>
    <s v="Scales"/>
    <n v="2126660001"/>
    <s v="2 SCALES ACROSS PER FISH"/>
    <s v="42"/>
    <x v="2"/>
    <s v="2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"/>
    <x v="1"/>
    <s v="EU"/>
    <s v="Otolith - Surface"/>
    <n v="2126660002"/>
    <s v="1 OTOLITH ACROSS (TRAY)"/>
    <s v="41"/>
    <x v="1"/>
    <s v="A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1"/>
    <s v="EU"/>
    <s v="Otolith - Surface"/>
    <n v="2126660002"/>
    <s v="1 OTOLITH ACROSS (TRAY)"/>
    <s v="41"/>
    <x v="1"/>
    <s v="A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0"/>
    <s v="EU"/>
    <s v="Otolith - Surface"/>
    <n v="2126660002"/>
    <s v="1 OTOLITH ACROSS (TRAY)"/>
    <s v="52"/>
    <x v="0"/>
    <s v="B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0"/>
    <s v="EU"/>
    <s v="Otolith - Surface"/>
    <n v="2126660002"/>
    <s v="1 OTOLITH ACROSS (TRAY)"/>
    <s v="52"/>
    <x v="0"/>
    <s v="B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1"/>
    <s v="EU"/>
    <s v="Otolith - Surface"/>
    <n v="2126660002"/>
    <s v="1 OTOLITH ACROSS (TRAY)"/>
    <s v="41"/>
    <x v="1"/>
    <s v="B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RS"/>
    <s v="2"/>
    <x v="11"/>
    <s v="FW"/>
    <s v="Scales"/>
    <n v="2126660001"/>
    <s v="2 SCALES ACROSS PER FISH"/>
    <s v="S2"/>
    <x v="16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67331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0"/>
    <s v="EU"/>
    <s v="Scales"/>
    <n v="2126660001"/>
    <s v="2 SCALES ACROSS PER FISH"/>
    <s v="52"/>
    <x v="0"/>
    <s v="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0"/>
    <s v="EU"/>
    <s v="Scales"/>
    <n v="2126660001"/>
    <s v="2 SCALES ACROSS PER FISH"/>
    <s v="52"/>
    <x v="0"/>
    <s v="1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7"/>
    <s v="EU"/>
    <s v="Scales"/>
    <n v="2126660001"/>
    <s v="2 SCALES ACROSS PER FISH"/>
    <s v="31"/>
    <x v="7"/>
    <s v="1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8"/>
    <s v="EU"/>
    <s v="Scales"/>
    <n v="2126660001"/>
    <s v="2 SCALES ACROSS PER FISH"/>
    <s v="63"/>
    <x v="8"/>
    <s v="1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2"/>
    <s v="EU"/>
    <s v="Scales"/>
    <n v="2126660001"/>
    <s v="2 SCALES ACROSS PER FISH"/>
    <s v="42"/>
    <x v="2"/>
    <s v="1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UF"/>
    <s v="0"/>
    <x v="3"/>
    <s v="MY"/>
    <s v="Scales"/>
    <n v="2126660001"/>
    <s v="2 SCALES ACROSS PER FISH"/>
    <s v="2M"/>
    <x v="3"/>
    <s v="1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0"/>
    <s v="EU"/>
    <s v="Scales"/>
    <n v="2126660001"/>
    <s v="2 SCALES ACROSS PER FISH"/>
    <s v="52"/>
    <x v="0"/>
    <s v="2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0"/>
    <x v="3"/>
    <s v="MY"/>
    <s v="Scales"/>
    <n v="2126660001"/>
    <s v="2 SCALES ACROSS PER FISH"/>
    <s v="2M"/>
    <x v="3"/>
    <s v="2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0"/>
    <x v="5"/>
    <s v="MY"/>
    <s v="Scales"/>
    <n v="2126660001"/>
    <s v="2 SCALES ACROSS PER FISH"/>
    <s v="3M"/>
    <x v="5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2"/>
    <s v="EU"/>
    <s v="Scales"/>
    <n v="2126660001"/>
    <s v="2 SCALES ACROSS PER FISH"/>
    <s v="42"/>
    <x v="2"/>
    <s v="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1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1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W"/>
    <s v="0"/>
    <x v="3"/>
    <s v="MY"/>
    <s v="Scales"/>
    <n v="2126660001"/>
    <s v="2 SCALES ACROSS PER FISH"/>
    <s v="2M"/>
    <x v="3"/>
    <s v="1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2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RG"/>
    <s v=""/>
    <x v="6"/>
    <s v="EU"/>
    <s v="Scales"/>
    <n v="2126660001"/>
    <s v="2 SCALES ACROSS PER FISH"/>
    <s v=""/>
    <x v="6"/>
    <s v="2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2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7"/>
    <s v="EU"/>
    <s v="Scales"/>
    <n v="2126660001"/>
    <s v="2 SCALES ACROSS PER FISH"/>
    <s v="31"/>
    <x v="7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RS"/>
    <s v="2"/>
    <x v="11"/>
    <s v="FW"/>
    <s v="Scales"/>
    <n v="2126660001"/>
    <s v="2 SCALES ACROSS PER FISH"/>
    <s v="S2"/>
    <x v="16"/>
    <s v="1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UF"/>
    <s v=""/>
    <x v="5"/>
    <s v="MY"/>
    <s v="Scales"/>
    <n v="2126660001"/>
    <s v="2 SCALES ACROSS PER FISH"/>
    <s v="3M"/>
    <x v="5"/>
    <s v="1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2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W"/>
    <s v="0"/>
    <x v="5"/>
    <s v="MY"/>
    <s v="Scales"/>
    <n v="2126660001"/>
    <s v="2 SCALES ACROSS PER FISH"/>
    <s v="3M"/>
    <x v="5"/>
    <s v="1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"/>
    <x v="2"/>
    <s v="EU"/>
    <s v="Otolith - Surface"/>
    <n v="2126660002"/>
    <s v="1 OTOLITH ACROSS (TRAY)"/>
    <s v="42"/>
    <x v="2"/>
    <s v="A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2"/>
    <s v="EU"/>
    <s v="Scales"/>
    <n v="2126660001"/>
    <s v="2 SCALES ACROSS PER FISH"/>
    <s v="42"/>
    <x v="2"/>
    <s v="1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RS"/>
    <s v="2"/>
    <x v="11"/>
    <s v="FW"/>
    <s v="Scales"/>
    <n v="2126660001"/>
    <s v="2 SCALES ACROSS PER FISH"/>
    <s v="S2"/>
    <x v="16"/>
    <s v="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"/>
    <x v="13"/>
    <s v="EU"/>
    <s v="Otolith - Surface"/>
    <n v="2126660002"/>
    <s v="1 OTOLITH ACROSS (TRAY)"/>
    <s v="21"/>
    <x v="14"/>
    <s v="B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RS"/>
    <s v="2"/>
    <x v="6"/>
    <s v="EU"/>
    <s v="Scales"/>
    <n v="2126660001"/>
    <s v="2 SCALES ACROSS PER FISH"/>
    <s v=""/>
    <x v="6"/>
    <s v="2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"/>
    <x v="7"/>
    <s v="EU"/>
    <s v="Scales"/>
    <n v="2126660001"/>
    <s v="2 SCALES ACROSS PER FISH"/>
    <s v="31"/>
    <x v="7"/>
    <s v="1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1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8"/>
    <s v="EU"/>
    <s v="Scales"/>
    <n v="2126660001"/>
    <s v="2 SCALES ACROSS PER FISH"/>
    <s v="63"/>
    <x v="8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UD"/>
    <s v=""/>
    <x v="6"/>
    <s v="EU"/>
    <s v="Scales"/>
    <n v="2126660001"/>
    <s v="2 SCALES ACROSS PER FISH"/>
    <s v=""/>
    <x v="6"/>
    <s v="1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G"/>
    <s v="0"/>
    <x v="3"/>
    <s v="MY"/>
    <s v="Scales"/>
    <n v="2126660001"/>
    <s v="2 SCALES ACROSS PER FISH"/>
    <s v="2M"/>
    <x v="3"/>
    <s v="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G"/>
    <s v="0"/>
    <x v="5"/>
    <s v="MY"/>
    <s v="Scales"/>
    <n v="2126660001"/>
    <s v="2 SCALES ACROSS PER FISH"/>
    <s v="3M"/>
    <x v="5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2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"/>
    <x v="7"/>
    <s v="EU"/>
    <s v="Otolith - Surface"/>
    <n v="2126660002"/>
    <s v="1 OTOLITH ACROSS (TRAY)"/>
    <s v="31"/>
    <x v="7"/>
    <s v="A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1"/>
    <s v="EU"/>
    <s v="Otolith - Surface"/>
    <n v="2126660002"/>
    <s v="1 OTOLITH ACROSS (TRAY)"/>
    <s v="41"/>
    <x v="1"/>
    <s v="A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0"/>
    <s v="EU"/>
    <s v="Otolith - Surface"/>
    <n v="2126660002"/>
    <s v="1 OTOLITH ACROSS (TRAY)"/>
    <s v="52"/>
    <x v="0"/>
    <s v="B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8"/>
    <s v="EU"/>
    <s v="Scales"/>
    <n v="2126660001"/>
    <s v="2 SCALES ACROSS PER FISH"/>
    <s v="63"/>
    <x v="8"/>
    <s v="1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4"/>
    <s v="EU"/>
    <s v="Scales"/>
    <n v="2126660001"/>
    <s v="2 SCALES ACROSS PER FISH"/>
    <s v="53"/>
    <x v="4"/>
    <s v="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1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0"/>
    <s v="EU"/>
    <s v="Scales"/>
    <n v="2126660001"/>
    <s v="2 SCALES ACROSS PER FISH"/>
    <s v="52"/>
    <x v="0"/>
    <s v="1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"/>
    <x v="0"/>
    <s v="EU"/>
    <s v="Otolith - Surface"/>
    <n v="2126660002"/>
    <s v="1 OTOLITH ACROSS (TRAY)"/>
    <s v="52"/>
    <x v="0"/>
    <s v="B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2"/>
    <s v="EU"/>
    <s v="Scales"/>
    <n v="2126660001"/>
    <s v="2 SCALES ACROSS PER FISH"/>
    <s v="42"/>
    <x v="2"/>
    <s v="1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0"/>
    <x v="5"/>
    <s v="MY"/>
    <s v="Scales"/>
    <n v="2126660001"/>
    <s v="2 SCALES ACROSS PER FISH"/>
    <s v="3M"/>
    <x v="5"/>
    <s v="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S"/>
    <s v="2"/>
    <x v="11"/>
    <s v="FW"/>
    <s v="Scales"/>
    <n v="2126660001"/>
    <s v="2 SCALES ACROSS PER FISH"/>
    <s v="S2"/>
    <x v="16"/>
    <s v="2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S"/>
    <s v="2"/>
    <x v="6"/>
    <s v="EU"/>
    <s v="Scales"/>
    <n v="2126660001"/>
    <s v="2 SCALES ACROSS PER FISH"/>
    <s v=""/>
    <x v="6"/>
    <s v="2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0"/>
    <s v="EU"/>
    <s v="Scales"/>
    <n v="2126660001"/>
    <s v="2 SCALES ACROSS PER FISH"/>
    <s v="52"/>
    <x v="0"/>
    <s v="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0"/>
    <s v="EU"/>
    <s v="Scales"/>
    <n v="2126660001"/>
    <s v="2 SCALES ACROSS PER FISH"/>
    <s v="52"/>
    <x v="0"/>
    <s v="2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S"/>
    <s v="2"/>
    <x v="6"/>
    <s v="EU"/>
    <s v="Scales"/>
    <n v="2126660001"/>
    <s v="2 SCALES ACROSS PER FISH"/>
    <s v=""/>
    <x v="6"/>
    <s v="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W"/>
    <s v="0"/>
    <x v="5"/>
    <s v="MY"/>
    <s v="Scales"/>
    <n v="2126660001"/>
    <s v="2 SCALES ACROSS PER FISH"/>
    <s v="3M"/>
    <x v="5"/>
    <s v="1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2"/>
    <s v="EU"/>
    <s v="Scales"/>
    <n v="2126660001"/>
    <s v="2 SCALES ACROSS PER FISH"/>
    <s v="42"/>
    <x v="2"/>
    <s v="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0"/>
    <x v="3"/>
    <s v="MY"/>
    <s v="Scales"/>
    <n v="2126660001"/>
    <s v="2 SCALES ACROSS PER FISH"/>
    <s v="2M"/>
    <x v="3"/>
    <s v="1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RG"/>
    <s v="0"/>
    <x v="5"/>
    <s v="MY"/>
    <s v="Scales"/>
    <n v="2126660001"/>
    <s v="2 SCALES ACROSS PER FISH"/>
    <s v="3M"/>
    <x v="5"/>
    <s v="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RG"/>
    <s v=""/>
    <x v="6"/>
    <s v="EU"/>
    <s v="Scales"/>
    <n v="2126660001"/>
    <s v="2 SCALES ACROSS PER FISH"/>
    <s v=""/>
    <x v="6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67331"/>
  </r>
  <r>
    <s v=""/>
    <s v="0"/>
    <x v="2"/>
    <s v="EU"/>
    <s v="Scales"/>
    <n v="2126660001"/>
    <s v="2 SCALES ACROSS PER FISH"/>
    <s v="42"/>
    <x v="2"/>
    <s v="2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G"/>
    <s v=""/>
    <x v="6"/>
    <s v="EU"/>
    <s v="Scales"/>
    <n v="2126660001"/>
    <s v="2 SCALES ACROSS PER FISH"/>
    <s v=""/>
    <x v="6"/>
    <s v="1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8"/>
    <s v="EU"/>
    <s v="Scales"/>
    <n v="2126660001"/>
    <s v="2 SCALES ACROSS PER FISH"/>
    <s v="63"/>
    <x v="8"/>
    <s v="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"/>
    <x v="7"/>
    <s v="EU"/>
    <s v="Scales"/>
    <n v="2126660001"/>
    <s v="2 SCALES ACROSS PER FISH"/>
    <s v="31"/>
    <x v="7"/>
    <s v="1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"/>
    <x v="7"/>
    <s v="EU"/>
    <s v="Scales"/>
    <n v="2126660001"/>
    <s v="2 SCALES ACROSS PER FISH"/>
    <s v="31"/>
    <x v="7"/>
    <s v="2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7"/>
    <s v="EU"/>
    <s v="Scales"/>
    <n v="2126660001"/>
    <s v="2 SCALES ACROSS PER FISH"/>
    <s v="31"/>
    <x v="7"/>
    <s v="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S"/>
    <s v="2"/>
    <x v="6"/>
    <s v="EU"/>
    <s v="Scales"/>
    <n v="2126660001"/>
    <s v="2 SCALES ACROSS PER FISH"/>
    <s v=""/>
    <x v="6"/>
    <s v="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7"/>
    <s v="EU"/>
    <s v="Scales"/>
    <n v="2126660001"/>
    <s v="2 SCALES ACROSS PER FISH"/>
    <s v="31"/>
    <x v="7"/>
    <s v="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S"/>
    <s v="2"/>
    <x v="3"/>
    <s v="FW"/>
    <s v="Scales"/>
    <n v="2126660001"/>
    <s v="2 SCALES ACROSS PER FISH"/>
    <s v="S3"/>
    <x v="18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0"/>
    <s v="EU"/>
    <s v="Scales"/>
    <n v="2126660001"/>
    <s v="2 SCALES ACROSS PER FISH"/>
    <s v="52"/>
    <x v="0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S"/>
    <s v="2"/>
    <x v="6"/>
    <s v="EU"/>
    <s v="Scales"/>
    <n v="2126660001"/>
    <s v="2 SCALES ACROSS PER FISH"/>
    <s v=""/>
    <x v="6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"/>
    <x v="0"/>
    <s v="EU"/>
    <s v="Otolith - Surface"/>
    <n v="2126660002"/>
    <s v="1 OTOLITH ACROSS (TRAY)"/>
    <s v="52"/>
    <x v="0"/>
    <s v="A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RS"/>
    <s v="2"/>
    <x v="11"/>
    <s v="FW"/>
    <s v="Scales"/>
    <n v="2126660001"/>
    <s v="2 SCALES ACROSS PER FISH"/>
    <s v="S2"/>
    <x v="16"/>
    <s v="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G"/>
    <s v=""/>
    <x v="6"/>
    <s v="EU"/>
    <s v="Scales"/>
    <n v="2126660001"/>
    <s v="2 SCALES ACROSS PER FISH"/>
    <s v=""/>
    <x v="6"/>
    <s v="1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2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1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"/>
    <x v="1"/>
    <s v="EU"/>
    <s v="Otolith - Surface"/>
    <n v="2126660002"/>
    <s v="1 OTOLITH ACROSS (TRAY)"/>
    <s v="41"/>
    <x v="1"/>
    <s v="A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0"/>
    <s v="EU"/>
    <s v="Otolith - Surface"/>
    <n v="2126660002"/>
    <s v="1 OTOLITH ACROSS (TRAY)"/>
    <s v="52"/>
    <x v="0"/>
    <s v="B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2"/>
    <s v="EU"/>
    <s v="Scales"/>
    <n v="2126660001"/>
    <s v="2 SCALES ACROSS PER FISH"/>
    <s v="42"/>
    <x v="2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0"/>
    <x v="5"/>
    <s v="MY"/>
    <s v="Scales"/>
    <n v="2126660001"/>
    <s v="2 SCALES ACROSS PER FISH"/>
    <s v="3M"/>
    <x v="5"/>
    <s v="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"/>
    <x v="1"/>
    <s v="EU"/>
    <s v="Otolith - Surface"/>
    <n v="2126660002"/>
    <s v="1 OTOLITH ACROSS (TRAY)"/>
    <s v="41"/>
    <x v="1"/>
    <s v="B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0"/>
    <s v="EU"/>
    <s v="Scales"/>
    <n v="2126660001"/>
    <s v="2 SCALES ACROSS PER FISH"/>
    <s v="52"/>
    <x v="0"/>
    <s v="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RS"/>
    <s v="2"/>
    <x v="6"/>
    <s v="EU"/>
    <s v="Scales"/>
    <n v="2126660001"/>
    <s v="2 SCALES ACROSS PER FISH"/>
    <s v=""/>
    <x v="6"/>
    <s v="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RG"/>
    <s v="0"/>
    <x v="3"/>
    <s v="MY"/>
    <s v="Scales"/>
    <n v="2126660001"/>
    <s v="2 SCALES ACROSS PER FISH"/>
    <s v="2M"/>
    <x v="3"/>
    <s v="2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RS"/>
    <s v="2"/>
    <x v="11"/>
    <s v="FW"/>
    <s v="Scales"/>
    <n v="2126660001"/>
    <s v="2 SCALES ACROSS PER FISH"/>
    <s v="S2"/>
    <x v="16"/>
    <s v="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67331"/>
  </r>
  <r>
    <s v=""/>
    <s v="0"/>
    <x v="0"/>
    <s v="EU"/>
    <s v="Scales"/>
    <n v="2126660001"/>
    <s v="2 SCALES ACROSS PER FISH"/>
    <s v="52"/>
    <x v="0"/>
    <s v="8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0"/>
    <x v="2"/>
    <s v="EU"/>
    <s v="Scales"/>
    <n v="2126660001"/>
    <s v="2 SCALES ACROSS PER FISH"/>
    <s v="42"/>
    <x v="2"/>
    <s v="1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2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"/>
    <x v="1"/>
    <s v="EU"/>
    <s v="Otolith - Surface"/>
    <n v="2126660002"/>
    <s v="1 OTOLITH ACROSS (TRAY)"/>
    <s v="41"/>
    <x v="1"/>
    <s v="A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0"/>
    <s v="EU"/>
    <s v="Scales"/>
    <n v="2126660001"/>
    <s v="2 SCALES ACROSS PER FISH"/>
    <s v="52"/>
    <x v="0"/>
    <s v="1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"/>
    <x v="2"/>
    <s v="EU"/>
    <s v="Otolith - Surface"/>
    <n v="2126660002"/>
    <s v="1 OTOLITH ACROSS (TRAY)"/>
    <s v="42"/>
    <x v="2"/>
    <s v="A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NS"/>
    <s v=""/>
    <x v="6"/>
    <s v="EU"/>
    <s v="Scales"/>
    <n v="2126660001"/>
    <s v="2 SCALES ACROSS PER FISH"/>
    <s v=""/>
    <x v="6"/>
    <s v="1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8"/>
    <s v="EU"/>
    <s v="Scales"/>
    <n v="2126660001"/>
    <s v="2 SCALES ACROSS PER FISH"/>
    <s v="63"/>
    <x v="8"/>
    <s v="2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W"/>
    <s v="0"/>
    <x v="3"/>
    <s v="MY"/>
    <s v="Scales"/>
    <n v="2126660001"/>
    <s v="2 SCALES ACROSS PER FISH"/>
    <s v="2M"/>
    <x v="3"/>
    <s v="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0"/>
    <s v="EU"/>
    <s v="Scales"/>
    <n v="2126660001"/>
    <s v="2 SCALES ACROSS PER FISH"/>
    <s v="52"/>
    <x v="0"/>
    <s v="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RG"/>
    <s v="0"/>
    <x v="3"/>
    <s v="MY"/>
    <s v="Scales"/>
    <n v="2126660001"/>
    <s v="2 SCALES ACROSS PER FISH"/>
    <s v="2M"/>
    <x v="3"/>
    <s v="2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24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1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7"/>
    <s v="EU"/>
    <s v="Scales"/>
    <n v="2126660001"/>
    <s v="2 SCALES ACROSS PER FISH"/>
    <s v="31"/>
    <x v="7"/>
    <s v="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0"/>
    <s v="EU"/>
    <s v="Scales"/>
    <n v="2126660001"/>
    <s v="2 SCALES ACROSS PER FISH"/>
    <s v="52"/>
    <x v="0"/>
    <s v="1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2"/>
    <s v="EU"/>
    <s v="Scales"/>
    <n v="2126660001"/>
    <s v="2 SCALES ACROSS PER FISH"/>
    <s v="42"/>
    <x v="2"/>
    <s v="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1"/>
    <s v="EU"/>
    <s v="Scales"/>
    <n v="2126660001"/>
    <s v="2 SCALES ACROSS PER FISH"/>
    <s v="41"/>
    <x v="1"/>
    <s v="2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W"/>
    <s v="1"/>
    <x v="5"/>
    <s v="MY"/>
    <s v="Scales"/>
    <n v="2126660001"/>
    <s v="2 SCALES ACROSS PER FISH"/>
    <s v="3M"/>
    <x v="5"/>
    <s v="1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s v=""/>
    <s v="0"/>
    <x v="2"/>
    <s v="EU"/>
    <s v="Scales"/>
    <n v="2126660001"/>
    <s v="2 SCALES ACROSS PER FISH"/>
    <s v="42"/>
    <x v="2"/>
    <s v="3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s v=""/>
    <s v="0"/>
    <x v="7"/>
    <s v="EU"/>
    <s v="Scales"/>
    <n v="2126660001"/>
    <s v="2 SCALES ACROSS PER FISH"/>
    <s v="31"/>
    <x v="7"/>
    <s v="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RG"/>
    <s v=""/>
    <x v="6"/>
    <s v="EU"/>
    <s v="Scales"/>
    <n v="2126660001"/>
    <s v="2 SCALES ACROSS PER FISH"/>
    <s v=""/>
    <x v="6"/>
    <s v="19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"/>
    <x v="7"/>
    <s v="EU"/>
    <s v="Otolith - Surface"/>
    <n v="2126660002"/>
    <s v="1 OTOLITH ACROSS (TRAY)"/>
    <s v="31"/>
    <x v="7"/>
    <s v="A5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2"/>
    <s v="EU"/>
    <s v="Scales"/>
    <n v="2126660001"/>
    <s v="2 SCALES ACROSS PER FISH"/>
    <s v="42"/>
    <x v="2"/>
    <s v="1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"/>
    <x v="0"/>
    <s v="EU"/>
    <s v="Otolith - Surface"/>
    <n v="2126660002"/>
    <s v="1 OTOLITH ACROSS (TRAY)"/>
    <s v="52"/>
    <x v="0"/>
    <s v="B7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"/>
    <x v="0"/>
    <s v="EU"/>
    <s v="Otolith - Surface"/>
    <n v="2126660002"/>
    <s v="1 OTOLITH ACROSS (TRAY)"/>
    <s v="52"/>
    <x v="0"/>
    <s v="B10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249"/>
    <n v="1"/>
    <s v="SOCKEYE SALMON"/>
    <n v="2086090012"/>
    <x v="1"/>
    <n v="83"/>
    <s v="Gaff (Deadpitch)"/>
    <s v="Adult"/>
    <d v="2007-09-27T00:00:00"/>
    <d v="2007-09-27T00:00:00"/>
    <s v="stad 1"/>
  </r>
  <r>
    <s v=""/>
    <s v="0"/>
    <x v="8"/>
    <s v="EU"/>
    <s v="Scales"/>
    <n v="2126660001"/>
    <s v="2 SCALES ACROSS PER FISH"/>
    <s v="63"/>
    <x v="8"/>
    <s v="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7"/>
    <s v="EU"/>
    <s v="Scales"/>
    <n v="2126660001"/>
    <s v="2 SCALES ACROSS PER FISH"/>
    <s v="31"/>
    <x v="7"/>
    <s v="1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s v=""/>
    <s v="0"/>
    <x v="0"/>
    <s v="EU"/>
    <s v="Scales"/>
    <n v="2126660001"/>
    <s v="2 SCALES ACROSS PER FISH"/>
    <s v="52"/>
    <x v="0"/>
    <s v="22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1"/>
    <s v="SER"/>
    <s v="Atnarko River (Bella Coola) Sockeye"/>
    <n v="3733095"/>
    <n v="51780"/>
    <s v="ATNARKO ESCAPEMENT - 2007"/>
    <n v="970"/>
    <s v="ATNARKO RIVER"/>
    <x v="21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s v=""/>
    <s v="1"/>
    <x v="2"/>
    <s v="EU"/>
    <s v="Scales"/>
    <n v="2126660001"/>
    <s v="2 SCALES ACROSS PER FISH"/>
    <s v="42"/>
    <x v="2"/>
    <s v="15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RG"/>
    <s v="0"/>
    <x v="3"/>
    <s v="MY"/>
    <s v="Scales"/>
    <n v="2126660001"/>
    <s v="2 SCALES ACROSS PER FISH"/>
    <s v="2M"/>
    <x v="3"/>
    <s v="16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2"/>
    <s v="EU"/>
    <s v="Scales"/>
    <n v="2126660001"/>
    <s v="2 SCALES ACROSS PER FISH"/>
    <s v="42"/>
    <x v="2"/>
    <s v="18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19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RG"/>
    <s v="0"/>
    <x v="5"/>
    <s v="MY"/>
    <s v="Scales"/>
    <n v="2126660001"/>
    <s v="2 SCALES ACROSS PER FISH"/>
    <s v="3M"/>
    <x v="5"/>
    <s v="2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8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1"/>
    <x v="2"/>
    <s v="EU"/>
    <s v="Scales"/>
    <n v="2126660001"/>
    <s v="2 SCALES ACROSS PER FISH"/>
    <s v="42"/>
    <x v="2"/>
    <s v="13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16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RG"/>
    <s v="0"/>
    <x v="3"/>
    <s v="MY"/>
    <s v="Scales"/>
    <n v="2126660001"/>
    <s v="2 SCALES ACROSS PER FISH"/>
    <s v="2M"/>
    <x v="3"/>
    <s v="3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RS"/>
    <s v="2"/>
    <x v="11"/>
    <s v="FW"/>
    <s v="Scales"/>
    <n v="2126660001"/>
    <s v="2 SCALES ACROSS PER FISH"/>
    <s v="S2"/>
    <x v="16"/>
    <s v="20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16"/>
    <s v="EU"/>
    <s v="Scales"/>
    <n v="2126660001"/>
    <s v="2 SCALES ACROSS PER FISH"/>
    <s v="22"/>
    <x v="19"/>
    <s v="10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11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0"/>
    <s v="EU"/>
    <s v="Scales"/>
    <n v="2126660001"/>
    <s v="2 SCALES ACROSS PER FISH"/>
    <s v="52"/>
    <x v="0"/>
    <s v="3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14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2"/>
    <s v="EU"/>
    <s v="Scales"/>
    <n v="2126660001"/>
    <s v="2 SCALES ACROSS PER FISH"/>
    <s v="42"/>
    <x v="2"/>
    <s v="9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1"/>
    <x v="2"/>
    <s v="EU"/>
    <s v="Scales"/>
    <n v="2126660001"/>
    <s v="2 SCALES ACROSS PER FISH"/>
    <s v="42"/>
    <x v="2"/>
    <s v="10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UD"/>
    <s v=""/>
    <x v="6"/>
    <s v="EU"/>
    <s v="Scales"/>
    <n v="2126660001"/>
    <s v="2 SCALES ACROSS PER FISH"/>
    <s v=""/>
    <x v="6"/>
    <s v="17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1"/>
    <x v="2"/>
    <s v="EU"/>
    <s v="Scales"/>
    <n v="2126660001"/>
    <s v="2 SCALES ACROSS PER FISH"/>
    <s v="42"/>
    <x v="2"/>
    <s v="7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4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12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2"/>
    <s v="EU"/>
    <s v="Scales"/>
    <n v="2126660001"/>
    <s v="2 SCALES ACROSS PER FISH"/>
    <s v="42"/>
    <x v="2"/>
    <s v="17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W"/>
    <s v="0"/>
    <x v="3"/>
    <s v="MY"/>
    <s v="Scales"/>
    <n v="2126660001"/>
    <s v="2 SCALES ACROSS PER FISH"/>
    <s v="2M"/>
    <x v="3"/>
    <s v="1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2"/>
    <s v="EU"/>
    <s v="Scales"/>
    <n v="2126660001"/>
    <s v="2 SCALES ACROSS PER FISH"/>
    <s v="42"/>
    <x v="2"/>
    <s v="22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2"/>
    <s v="EU"/>
    <s v="Scales"/>
    <n v="2126660001"/>
    <s v="2 SCALES ACROSS PER FISH"/>
    <s v="42"/>
    <x v="2"/>
    <s v="6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12"/>
    <s v="EU"/>
    <s v="Scales"/>
    <n v="2126660001"/>
    <s v="2 SCALES ACROSS PER FISH"/>
    <s v="32"/>
    <x v="12"/>
    <s v="25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0"/>
    <s v="EU"/>
    <s v="Scales"/>
    <n v="2126660001"/>
    <s v="2 SCALES ACROSS PER FISH"/>
    <s v="52"/>
    <x v="0"/>
    <s v="9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13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UF"/>
    <s v="2"/>
    <x v="6"/>
    <s v="EU"/>
    <s v="Scales"/>
    <n v="2126660001"/>
    <s v="2 SCALES ACROSS PER FISH"/>
    <s v=""/>
    <x v="6"/>
    <s v="15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12"/>
    <s v="EU"/>
    <s v="Scales"/>
    <n v="2126660001"/>
    <s v="2 SCALES ACROSS PER FISH"/>
    <s v="32"/>
    <x v="12"/>
    <s v="12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1"/>
    <x v="2"/>
    <s v="EU"/>
    <s v="Scales"/>
    <n v="2126660001"/>
    <s v="2 SCALES ACROSS PER FISH"/>
    <s v="42"/>
    <x v="2"/>
    <s v="2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RS"/>
    <s v="2"/>
    <x v="11"/>
    <s v="FW"/>
    <s v="Scales"/>
    <n v="2126660001"/>
    <s v="2 SCALES ACROSS PER FISH"/>
    <s v="S2"/>
    <x v="16"/>
    <s v="5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12"/>
    <s v="EU"/>
    <s v="Scales"/>
    <n v="2126660001"/>
    <s v="2 SCALES ACROSS PER FISH"/>
    <s v="32"/>
    <x v="12"/>
    <s v="1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21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1"/>
    <x v="2"/>
    <s v="EU"/>
    <s v="Scales"/>
    <n v="2126660001"/>
    <s v="2 SCALES ACROSS PER FISH"/>
    <s v="42"/>
    <x v="2"/>
    <s v="7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RG"/>
    <s v="0"/>
    <x v="11"/>
    <s v="MY"/>
    <s v="Scales"/>
    <n v="2126660001"/>
    <s v="2 SCALES ACROSS PER FISH"/>
    <s v="1M"/>
    <x v="11"/>
    <s v="11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0"/>
    <s v="EU"/>
    <s v="Scales"/>
    <n v="2126660001"/>
    <s v="2 SCALES ACROSS PER FISH"/>
    <s v="52"/>
    <x v="0"/>
    <s v="8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0"/>
    <s v="EU"/>
    <s v="Scales"/>
    <n v="2126660001"/>
    <s v="2 SCALES ACROSS PER FISH"/>
    <s v="52"/>
    <x v="0"/>
    <s v="6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RG"/>
    <s v="0"/>
    <x v="11"/>
    <s v="MY"/>
    <s v="Scales"/>
    <n v="2126660001"/>
    <s v="2 SCALES ACROSS PER FISH"/>
    <s v="1M"/>
    <x v="11"/>
    <s v="23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12"/>
    <s v="EU"/>
    <s v="Scales"/>
    <n v="2126660001"/>
    <s v="2 SCALES ACROSS PER FISH"/>
    <s v="32"/>
    <x v="12"/>
    <s v="24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1"/>
  </r>
  <r>
    <s v=""/>
    <s v="0"/>
    <x v="0"/>
    <s v="EU"/>
    <s v="Scales"/>
    <n v="2126660001"/>
    <s v="2 SCALES ACROSS PER FISH"/>
    <s v="52"/>
    <x v="0"/>
    <s v="4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0"/>
    <x v="2"/>
    <s v="EU"/>
    <s v="Scales"/>
    <n v="2126660001"/>
    <s v="2 SCALES ACROSS PER FISH"/>
    <s v="42"/>
    <x v="2"/>
    <s v="14"/>
    <s v="NORTHERN COASTAL FJORDS"/>
    <s v="R-16"/>
    <s v="8"/>
    <x v="1"/>
    <s v="SER"/>
    <s v="Atnarko River (Bella Coola) Sockeye"/>
    <n v="1746084"/>
    <n v="51780"/>
    <s v="ATNARKO ESCAPEMENT - 2005"/>
    <n v="970"/>
    <s v="ATNARKO RIVER"/>
    <x v="8"/>
    <s v="2005/0425"/>
    <n v="1"/>
    <s v="SOCKEYE SALMON"/>
    <n v="2086090012"/>
    <x v="1"/>
    <n v="88"/>
    <s v="Unknown"/>
    <s v="Adult"/>
    <d v="2005-09-16T00:00:00"/>
    <d v="2005-09-16T00:00:00"/>
    <s v="38602"/>
  </r>
  <r>
    <s v=""/>
    <s v=""/>
    <x v="1"/>
    <s v="EU"/>
    <s v="Scales"/>
    <n v="2126660001"/>
    <s v="1 OTOLITH ACROSS (TRAY)"/>
    <s v="41"/>
    <x v="1"/>
    <s v="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1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1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1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2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2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2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28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29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3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3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3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7"/>
    <s v="EU"/>
    <s v="Scales"/>
    <n v="2126660001"/>
    <s v="1 OTOLITH ACROSS (TRAY)"/>
    <s v="31"/>
    <x v="7"/>
    <s v="4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50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4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19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4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4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18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38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5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39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20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4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30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3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4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5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5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1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2"/>
    <s v="EU"/>
    <s v="Scales"/>
    <n v="2126660001"/>
    <s v="1 OTOLITH ACROSS (TRAY)"/>
    <s v="32"/>
    <x v="12"/>
    <s v="3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7"/>
    <s v="EU"/>
    <s v="Scales"/>
    <n v="2126660001"/>
    <s v="1 OTOLITH ACROSS (TRAY)"/>
    <s v="31"/>
    <x v="7"/>
    <s v="5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21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9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7"/>
    <s v="EU"/>
    <s v="Scales"/>
    <n v="2126660001"/>
    <s v="1 OTOLITH ACROSS (TRAY)"/>
    <s v="31"/>
    <x v="7"/>
    <s v="4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40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5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3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48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2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5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5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16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14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49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5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1"/>
    <s v="EU"/>
    <s v="Scales"/>
    <n v="2126660001"/>
    <s v="1 OTOLITH ACROSS (TRAY)"/>
    <s v="41"/>
    <x v="1"/>
    <s v="8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7"/>
    <s v="EU"/>
    <s v="Scales"/>
    <n v="2126660001"/>
    <s v="1 OTOLITH ACROSS (TRAY)"/>
    <s v="31"/>
    <x v="7"/>
    <s v="3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2"/>
    <s v="EU"/>
    <s v="Scales"/>
    <n v="2126660001"/>
    <s v="1 OTOLITH ACROSS (TRAY)"/>
    <s v="42"/>
    <x v="2"/>
    <s v="27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13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MF"/>
    <s v=""/>
    <x v="6"/>
    <s v="EU"/>
    <s v="Scales"/>
    <n v="2126660001"/>
    <s v="1 OTOLITH ACROSS (TRAY)"/>
    <s v=""/>
    <x v="6"/>
    <s v="10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Scales"/>
    <n v="2126660001"/>
    <s v="1 OTOLITH ACROSS (TRAY)"/>
    <s v="52"/>
    <x v="0"/>
    <s v="22"/>
    <s v="NORTHERN COASTAL FJORDS"/>
    <s v="R-16"/>
    <s v="8"/>
    <x v="1"/>
    <s v="SER"/>
    <s v="Atnarko River (Bella Coola) Sockeye"/>
    <n v="6248627"/>
    <n v="51780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s v=""/>
    <s v=""/>
    <x v="0"/>
    <s v="EU"/>
    <s v="Otolith - Surface"/>
    <n v="2126660002"/>
    <s v="1 OTOLITH ACROSS (TRAY)"/>
    <s v="52"/>
    <x v="0"/>
    <s v="3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4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4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4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4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5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1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1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6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7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7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7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7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8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8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7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8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8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9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2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2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2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2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3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3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4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4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4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5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5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5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5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6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6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2"/>
    <s v="EU"/>
    <s v="Otolith - Surface"/>
    <n v="2126660002"/>
    <s v="1 OTOLITH ACROSS (TRAY)"/>
    <s v="32"/>
    <x v="12"/>
    <s v="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0"/>
    <s v="EU"/>
    <s v="Otolith - Surface"/>
    <n v="2126660002"/>
    <s v="1 OTOLITH ACROSS (TRAY)"/>
    <s v="62"/>
    <x v="10"/>
    <s v="2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2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2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4"/>
    <s v="EU"/>
    <s v="Otolith - Surface"/>
    <n v="2126660002"/>
    <s v="1 OTOLITH ACROSS (TRAY)"/>
    <s v="51"/>
    <x v="15"/>
    <s v="2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2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3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4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4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4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4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9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9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9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2"/>
    <s v="EU"/>
    <s v="Otolith - Surface"/>
    <n v="2126660002"/>
    <s v="1 OTOLITH ACROSS (TRAY)"/>
    <s v="32"/>
    <x v="12"/>
    <s v="10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2"/>
    <s v="EU"/>
    <s v="Otolith - Surface"/>
    <n v="2126660002"/>
    <s v="1 OTOLITH ACROSS (TRAY)"/>
    <s v="32"/>
    <x v="12"/>
    <s v="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"/>
    <s v=""/>
    <x v="0"/>
    <s v="EU"/>
    <s v="Otolith - Surface"/>
    <n v="2126660002"/>
    <s v="1 OTOLITH ACROSS (TRAY)"/>
    <s v="52"/>
    <x v="0"/>
    <s v="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NA"/>
    <s v=""/>
    <x v="6"/>
    <s v="EU"/>
    <s v="Otolith - Surface"/>
    <n v="2126660002"/>
    <s v="1 OTOLITH ACROSS (TRAY)"/>
    <s v=""/>
    <x v="6"/>
    <s v="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8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9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1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1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1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1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1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4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2"/>
    <s v="EU"/>
    <s v="Otolith - Surface"/>
    <n v="2126660002"/>
    <s v="1 OTOLITH ACROSS (TRAY)"/>
    <s v="32"/>
    <x v="12"/>
    <s v="5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6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6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7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8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4"/>
    <s v="EU"/>
    <s v="Otolith - Surface"/>
    <n v="2126660002"/>
    <s v="1 OTOLITH ACROSS (TRAY)"/>
    <s v="53"/>
    <x v="4"/>
    <s v="8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8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5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7"/>
    <s v="EU"/>
    <s v="Otolith - Surface"/>
    <n v="2126660002"/>
    <s v="1 OTOLITH ACROSS (TRAY)"/>
    <s v="31"/>
    <x v="7"/>
    <s v="22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RS"/>
    <s v="2"/>
    <x v="9"/>
    <s v="FW"/>
    <s v="Scales"/>
    <n v="2126660001"/>
    <s v="5 SCALES DOWN PER FISH"/>
    <s v="S1"/>
    <x v="13"/>
    <s v="5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236"/>
    <n v="1"/>
    <s v="SOCKEYE SALMON"/>
    <n v="2086090012"/>
    <x v="1"/>
    <n v="83"/>
    <s v="Gaff (Deadpitch)"/>
    <s v="Adult"/>
    <d v="2020-09-21T00:00:00"/>
    <d v="2020-09-21T00:00:00"/>
    <s v="1003943"/>
  </r>
  <r>
    <s v=""/>
    <s v=""/>
    <x v="2"/>
    <s v="EU"/>
    <s v="Otolith - Surface"/>
    <n v="2126660002"/>
    <s v="1 OTOLITH ACROSS (TRAY)"/>
    <s v="42"/>
    <x v="2"/>
    <s v="3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3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DM"/>
    <s v=""/>
    <x v="3"/>
    <s v="MY"/>
    <s v="Otolith - Surface"/>
    <n v="2126660002"/>
    <s v="1 OTOLITH ACROSS (TRAY)"/>
    <s v="2M"/>
    <x v="3"/>
    <s v="4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5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7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7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8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8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8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8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9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9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9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9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1"/>
    <x v="2"/>
    <s v="EU"/>
    <s v="Scales"/>
    <n v="2126660001"/>
    <s v="2 SCALES ACROSS PER FISH"/>
    <s v="42"/>
    <x v="2"/>
    <s v="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RG"/>
    <s v="1"/>
    <x v="3"/>
    <s v="MY"/>
    <s v="Scales"/>
    <n v="2126660001"/>
    <s v="2 SCALES ACROSS PER FISH"/>
    <s v="2M"/>
    <x v="3"/>
    <s v="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1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MF"/>
    <s v=""/>
    <x v="6"/>
    <s v="EU"/>
    <s v="Scales"/>
    <n v="2126660001"/>
    <s v="2 SCALES ACROSS PER FISH"/>
    <s v=""/>
    <x v="6"/>
    <s v="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RS"/>
    <s v="2"/>
    <x v="11"/>
    <s v="FW"/>
    <s v="Scales"/>
    <n v="2126660001"/>
    <s v="2 SCALES ACROSS PER FISH"/>
    <s v="S2"/>
    <x v="16"/>
    <s v="1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1"/>
    <x v="2"/>
    <s v="EU"/>
    <s v="Scales"/>
    <n v="2126660001"/>
    <s v="2 SCALES ACROSS PER FISH"/>
    <s v="42"/>
    <x v="2"/>
    <s v="1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RS"/>
    <s v="2"/>
    <x v="11"/>
    <s v="FW"/>
    <s v="Scales"/>
    <n v="2126660001"/>
    <s v="2 SCALES ACROSS PER FISH"/>
    <s v="S2"/>
    <x v="16"/>
    <s v="1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1"/>
    <x v="2"/>
    <s v="EU"/>
    <s v="Scales"/>
    <n v="2126660001"/>
    <s v="2 SCALES ACROSS PER FISH"/>
    <s v="42"/>
    <x v="2"/>
    <s v="1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1"/>
    <x v="2"/>
    <s v="EU"/>
    <s v="Scales"/>
    <n v="2126660001"/>
    <s v="2 SCALES ACROSS PER FISH"/>
    <s v="42"/>
    <x v="2"/>
    <s v="2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1"/>
    <x v="0"/>
    <s v="EU"/>
    <s v="Scales"/>
    <n v="2126660001"/>
    <s v="2 SCALES ACROSS PER FISH"/>
    <s v="52"/>
    <x v="0"/>
    <s v="2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0"/>
    <x v="0"/>
    <s v="EU"/>
    <s v="Scales"/>
    <n v="2126660001"/>
    <s v="2 SCALES ACROSS PER FISH"/>
    <s v="52"/>
    <x v="0"/>
    <s v="2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RS"/>
    <s v="2"/>
    <x v="11"/>
    <s v="FW"/>
    <s v="Scales"/>
    <n v="2126660001"/>
    <s v="2 SCALES ACROSS PER FISH"/>
    <s v="S2"/>
    <x v="16"/>
    <s v="2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1"/>
    <x v="2"/>
    <s v="EU"/>
    <s v="Scales"/>
    <n v="2126660001"/>
    <s v="2 SCALES ACROSS PER FISH"/>
    <s v="42"/>
    <x v="2"/>
    <s v="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W"/>
    <s v="1"/>
    <x v="3"/>
    <s v="MY"/>
    <s v="Scales"/>
    <n v="2126660001"/>
    <s v="2 SCALES ACROSS PER FISH"/>
    <s v="2M"/>
    <x v="3"/>
    <s v="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0"/>
    <x v="0"/>
    <s v="EU"/>
    <s v="Scales"/>
    <n v="2126660001"/>
    <s v="2 SCALES ACROSS PER FISH"/>
    <s v="52"/>
    <x v="0"/>
    <s v="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1"/>
    <x v="2"/>
    <s v="EU"/>
    <s v="Scales"/>
    <n v="2126660001"/>
    <s v="2 SCALES ACROSS PER FISH"/>
    <s v="42"/>
    <x v="2"/>
    <s v="1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0"/>
    <x v="2"/>
    <s v="EU"/>
    <s v="Scales"/>
    <n v="2126660001"/>
    <s v="2 SCALES ACROSS PER FISH"/>
    <s v="42"/>
    <x v="2"/>
    <s v="1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1"/>
    <x v="1"/>
    <s v="EU"/>
    <s v="Scales"/>
    <n v="2126660001"/>
    <s v="2 SCALES ACROSS PER FISH"/>
    <s v="41"/>
    <x v="1"/>
    <s v="1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1"/>
    <x v="0"/>
    <s v="EU"/>
    <s v="Scales"/>
    <n v="2126660001"/>
    <s v="2 SCALES ACROSS PER FISH"/>
    <s v="52"/>
    <x v="0"/>
    <s v="1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RS"/>
    <s v="2"/>
    <x v="11"/>
    <s v="FW"/>
    <s v="Scales"/>
    <n v="2126660001"/>
    <s v="5 SCALES DOWN PER FISH"/>
    <s v="S2"/>
    <x v="16"/>
    <s v="4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236"/>
    <n v="1"/>
    <s v="SOCKEYE SALMON"/>
    <n v="2086090012"/>
    <x v="1"/>
    <n v="83"/>
    <s v="Gaff (Deadpitch)"/>
    <s v="Adult"/>
    <d v="2020-09-21T00:00:00"/>
    <d v="2020-09-21T00:00:00"/>
    <s v="1003943"/>
  </r>
  <r>
    <s v="RS"/>
    <s v="2"/>
    <x v="11"/>
    <s v="FW"/>
    <s v="Scales"/>
    <n v="2126660001"/>
    <s v="2 SCALES ACROSS PER FISH"/>
    <s v="S2"/>
    <x v="16"/>
    <s v="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"/>
    <s v=""/>
    <x v="1"/>
    <s v="EU"/>
    <s v="Otolith - Surface"/>
    <n v="2126660002"/>
    <s v="1 OTOLITH ACROSS (TRAY)"/>
    <s v="41"/>
    <x v="1"/>
    <s v="5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7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1"/>
    <x v="0"/>
    <s v="EU"/>
    <s v="Scales"/>
    <n v="2126660001"/>
    <s v="2 SCALES ACROSS PER FISH"/>
    <s v="52"/>
    <x v="0"/>
    <s v="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0"/>
    <s v="EU"/>
    <s v="Otolith - Surface"/>
    <n v="2126660002"/>
    <s v="1 OTOLITH ACROSS (TRAY)"/>
    <s v="52"/>
    <x v="0"/>
    <s v="7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8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9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11"/>
    <s v="FW"/>
    <s v="Scales"/>
    <n v="2126660001"/>
    <s v="2 SCALES ACROSS PER FISH"/>
    <s v="S2"/>
    <x v="16"/>
    <s v="2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09-30T00:00:00"/>
    <s v="67931"/>
  </r>
  <r>
    <s v="RS"/>
    <s v="2"/>
    <x v="11"/>
    <s v="FW"/>
    <s v="Scales"/>
    <n v="2126660001"/>
    <s v="2 SCALES ACROSS PER FISH"/>
    <s v="S2"/>
    <x v="16"/>
    <s v="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11"/>
    <s v="FW"/>
    <s v="Scales"/>
    <n v="2126660001"/>
    <s v="2 SCALES ACROSS PER FISH"/>
    <s v="S2"/>
    <x v="16"/>
    <s v="1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W"/>
    <s v="1"/>
    <x v="3"/>
    <s v="MY"/>
    <s v="Scales"/>
    <n v="2126660001"/>
    <s v="2 SCALES ACROSS PER FISH"/>
    <s v="2M"/>
    <x v="3"/>
    <s v="2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1"/>
    <s v="EU"/>
    <s v="Otolith - Surface"/>
    <n v="2126660002"/>
    <s v="1 OTOLITH ACROSS (TRAY)"/>
    <s v="41"/>
    <x v="1"/>
    <s v="4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7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3"/>
    <s v="MY"/>
    <s v="Otolith - Surface"/>
    <n v="2126660002"/>
    <s v="1 OTOLITH ACROSS (TRAY)"/>
    <s v="2M"/>
    <x v="3"/>
    <s v="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2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10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1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4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3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6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1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9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3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236"/>
    <n v="1"/>
    <s v="SOCKEYE SALMON"/>
    <n v="2086090012"/>
    <x v="1"/>
    <n v="83"/>
    <s v="Gaff (Deadpitch)"/>
    <s v="Adult"/>
    <d v="2020-09-21T00:00:00"/>
    <d v="2020-09-21T00:00:00"/>
    <s v="Oto Box 5"/>
  </r>
  <r>
    <s v=""/>
    <s v=""/>
    <x v="13"/>
    <s v="EU"/>
    <s v="Otolith - Surface"/>
    <n v="2126660002"/>
    <s v="1 OTOLITH ACROSS (TRAY)"/>
    <s v="21"/>
    <x v="14"/>
    <s v="15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6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7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4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7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2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1"/>
    <x v="2"/>
    <s v="EU"/>
    <s v="Scales"/>
    <n v="2126660001"/>
    <s v="2 SCALES ACROSS PER FISH"/>
    <s v="42"/>
    <x v="2"/>
    <s v="1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0"/>
    <s v="EU"/>
    <s v="Otolith - Surface"/>
    <n v="2126660002"/>
    <s v="1 OTOLITH ACROSS (TRAY)"/>
    <s v="52"/>
    <x v="0"/>
    <s v="1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1"/>
    <x v="2"/>
    <s v="EU"/>
    <s v="Scales"/>
    <n v="2126660001"/>
    <s v="2 SCALES ACROSS PER FISH"/>
    <s v="42"/>
    <x v="2"/>
    <s v="1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0"/>
    <s v="EU"/>
    <s v="Otolith - Surface"/>
    <n v="2126660002"/>
    <s v="1 OTOLITH ACROSS (TRAY)"/>
    <s v="52"/>
    <x v="0"/>
    <s v="7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1"/>
    <x v="4"/>
    <s v="EU"/>
    <s v="Scales"/>
    <n v="2126660001"/>
    <s v="2 SCALES ACROSS PER FISH"/>
    <s v="53"/>
    <x v="4"/>
    <s v="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1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0"/>
    <x v="0"/>
    <s v="EU"/>
    <s v="Scales"/>
    <n v="2126660001"/>
    <s v="2 SCALES ACROSS PER FISH"/>
    <s v="52"/>
    <x v="0"/>
    <s v="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1"/>
    <s v="EU"/>
    <s v="Otolith - Surface"/>
    <n v="2126660002"/>
    <s v="1 OTOLITH ACROSS (TRAY)"/>
    <s v="41"/>
    <x v="1"/>
    <s v="9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0"/>
    <s v="EU"/>
    <s v="Otolith - Surface"/>
    <n v="2126660002"/>
    <s v="1 OTOLITH ACROSS (TRAY)"/>
    <s v="62"/>
    <x v="10"/>
    <s v="5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1"/>
    <s v="EU"/>
    <s v="Otolith - Surface"/>
    <n v="2126660002"/>
    <s v="1 OTOLITH ACROSS (TRAY)"/>
    <s v="41"/>
    <x v="1"/>
    <s v="6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5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9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9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3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3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1"/>
    <s v="EU"/>
    <s v="Otolith - Surface"/>
    <n v="2126660002"/>
    <s v="1 OTOLITH ACROSS (TRAY)"/>
    <s v="41"/>
    <x v="1"/>
    <s v="9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6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8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8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0"/>
    <s v="EU"/>
    <s v="Otolith - Surface"/>
    <n v="2126660002"/>
    <s v="1 OTOLITH ACROSS (TRAY)"/>
    <s v="52"/>
    <x v="0"/>
    <s v="4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9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7"/>
    <s v="EU"/>
    <s v="Otolith - Surface"/>
    <n v="2126660002"/>
    <s v="1 OTOLITH ACROSS (TRAY)"/>
    <s v="31"/>
    <x v="7"/>
    <s v="4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5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8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1"/>
    <x v="2"/>
    <s v="EU"/>
    <s v="Scales"/>
    <n v="2126660001"/>
    <s v="2 SCALES ACROSS PER FISH"/>
    <s v="42"/>
    <x v="2"/>
    <s v="1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2"/>
    <s v="EU"/>
    <s v="Otolith - Surface"/>
    <n v="2126660002"/>
    <s v="1 OTOLITH ACROSS (TRAY)"/>
    <s v="42"/>
    <x v="2"/>
    <s v="1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RG"/>
    <s v="1"/>
    <x v="5"/>
    <s v="MY"/>
    <s v="Scales"/>
    <n v="2126660001"/>
    <s v="2 SCALES ACROSS PER FISH"/>
    <s v="3M"/>
    <x v="5"/>
    <s v="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0"/>
    <s v="EU"/>
    <s v="Otolith - Surface"/>
    <n v="2126660002"/>
    <s v="1 OTOLITH ACROSS (TRAY)"/>
    <s v="52"/>
    <x v="0"/>
    <s v="5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2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2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2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9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11"/>
    <s v="FW"/>
    <s v="Scales"/>
    <n v="2126660001"/>
    <s v="2 SCALES ACROSS PER FISH"/>
    <s v="S2"/>
    <x v="16"/>
    <s v="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RS"/>
    <s v="2"/>
    <x v="11"/>
    <s v="FW"/>
    <s v="Scales"/>
    <n v="2126660001"/>
    <s v="2 SCALES ACROSS PER FISH"/>
    <s v="S2"/>
    <x v="16"/>
    <s v="2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1"/>
    <s v="EU"/>
    <s v="Otolith - Surface"/>
    <n v="2126660002"/>
    <s v="1 OTOLITH ACROSS (TRAY)"/>
    <s v="41"/>
    <x v="1"/>
    <s v="7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6"/>
    <s v="EU"/>
    <s v="Scales"/>
    <n v="2126660001"/>
    <s v="2 SCALES ACROSS PER FISH"/>
    <s v=""/>
    <x v="6"/>
    <s v="1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UD"/>
    <s v=""/>
    <x v="6"/>
    <s v="EU"/>
    <s v="Scales"/>
    <n v="2126660001"/>
    <s v="2 SCALES ACROSS PER FISH"/>
    <s v=""/>
    <x v="6"/>
    <s v="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2"/>
    <s v="EU"/>
    <s v="Otolith - Surface"/>
    <n v="2126660002"/>
    <s v="1 OTOLITH ACROSS (TRAY)"/>
    <s v="32"/>
    <x v="12"/>
    <s v="1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7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5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9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1"/>
    <x v="2"/>
    <s v="EU"/>
    <s v="Scales"/>
    <n v="2126660001"/>
    <s v="2 SCALES ACROSS PER FISH"/>
    <s v="42"/>
    <x v="2"/>
    <s v="2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5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5"/>
    <s v="MY"/>
    <s v="Otolith - Surface"/>
    <n v="2126660002"/>
    <s v="1 OTOLITH ACROSS (TRAY)"/>
    <s v="3M"/>
    <x v="5"/>
    <s v="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1"/>
    <x v="2"/>
    <s v="EU"/>
    <s v="Scales"/>
    <n v="2126660001"/>
    <s v="2 SCALES ACROSS PER FISH"/>
    <s v="42"/>
    <x v="2"/>
    <s v="1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1"/>
    <s v="EU"/>
    <s v="Otolith - Surface"/>
    <n v="2126660002"/>
    <s v="1 OTOLITH ACROSS (TRAY)"/>
    <s v="41"/>
    <x v="1"/>
    <s v="19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1"/>
    <s v="EU"/>
    <s v="Otolith - Surface"/>
    <n v="2126660002"/>
    <s v="1 OTOLITH ACROSS (TRAY)"/>
    <s v="41"/>
    <x v="1"/>
    <s v="17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3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5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2"/>
    <s v="EU"/>
    <s v="Otolith - Surface"/>
    <n v="2126660002"/>
    <s v="1 OTOLITH ACROSS (TRAY)"/>
    <s v="32"/>
    <x v="12"/>
    <s v="1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7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10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6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9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6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UF"/>
    <s v=""/>
    <x v="3"/>
    <s v="MY"/>
    <s v="Otolith - Surface"/>
    <n v="2126660002"/>
    <s v="1 OTOLITH ACROSS (TRAY)"/>
    <s v="2M"/>
    <x v="3"/>
    <s v="9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0"/>
    <s v="EU"/>
    <s v="Otolith - Surface"/>
    <n v="2126660002"/>
    <s v="1 OTOLITH ACROSS (TRAY)"/>
    <s v="62"/>
    <x v="10"/>
    <s v="5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4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3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8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3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0"/>
    <s v="EU"/>
    <s v="Otolith - Surface"/>
    <n v="2126660002"/>
    <s v="1 OTOLITH ACROSS (TRAY)"/>
    <s v="62"/>
    <x v="10"/>
    <s v="7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3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6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0"/>
    <s v="EU"/>
    <s v="Otolith - Surface"/>
    <n v="2126660002"/>
    <s v="1 OTOLITH ACROSS (TRAY)"/>
    <s v="52"/>
    <x v="0"/>
    <s v="3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7"/>
    <s v="EU"/>
    <s v="Otolith - Surface"/>
    <n v="2126660002"/>
    <s v="1 OTOLITH ACROSS (TRAY)"/>
    <s v="31"/>
    <x v="7"/>
    <s v="7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4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0"/>
    <s v="EU"/>
    <s v="Otolith - Surface"/>
    <n v="2126660002"/>
    <s v="1 OTOLITH ACROSS (TRAY)"/>
    <s v="52"/>
    <x v="0"/>
    <s v="33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0"/>
    <x v="2"/>
    <s v="EU"/>
    <s v="Scales"/>
    <n v="2126660001"/>
    <s v="2 SCALES ACROSS PER FISH"/>
    <s v="42"/>
    <x v="2"/>
    <s v="1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0"/>
    <s v="EU"/>
    <s v="Otolith - Surface"/>
    <n v="2126660002"/>
    <s v="1 OTOLITH ACROSS (TRAY)"/>
    <s v="52"/>
    <x v="0"/>
    <s v="8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6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9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1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3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1"/>
    <x v="2"/>
    <s v="EU"/>
    <s v="Scales"/>
    <n v="2126660001"/>
    <s v="2 SCALES ACROSS PER FISH"/>
    <s v="42"/>
    <x v="2"/>
    <s v="1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2"/>
    <s v="EU"/>
    <s v="Otolith - Surface"/>
    <n v="2126660002"/>
    <s v="1 OTOLITH ACROSS (TRAY)"/>
    <s v="32"/>
    <x v="12"/>
    <s v="2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9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6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5"/>
    <s v="MY"/>
    <s v="Otolith - Surface"/>
    <n v="2126660002"/>
    <s v="1 OTOLITH ACROSS (TRAY)"/>
    <s v="3M"/>
    <x v="5"/>
    <s v="8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5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RS"/>
    <s v="2"/>
    <x v="11"/>
    <s v="FW"/>
    <s v="Scales"/>
    <n v="2126660001"/>
    <s v="5 SCALES DOWN PER FISH"/>
    <s v="S2"/>
    <x v="16"/>
    <s v="1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236"/>
    <n v="1"/>
    <s v="SOCKEYE SALMON"/>
    <n v="2086090012"/>
    <x v="1"/>
    <n v="83"/>
    <s v="Gaff (Deadpitch)"/>
    <s v="Adult"/>
    <d v="2020-09-21T00:00:00"/>
    <d v="2020-09-21T00:00:00"/>
    <s v="1003943"/>
  </r>
  <r>
    <s v=""/>
    <s v=""/>
    <x v="1"/>
    <s v="EU"/>
    <s v="Otolith - Surface"/>
    <n v="2126660002"/>
    <s v="1 OTOLITH ACROSS (TRAY)"/>
    <s v="41"/>
    <x v="1"/>
    <s v="1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UF"/>
    <s v=""/>
    <x v="5"/>
    <s v="MY"/>
    <s v="Otolith - Surface"/>
    <n v="2126660002"/>
    <s v="1 OTOLITH ACROSS (TRAY)"/>
    <s v="3M"/>
    <x v="5"/>
    <s v="4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6"/>
    <s v="EU"/>
    <s v="Scales"/>
    <n v="2126660001"/>
    <s v="2 SCALES ACROSS PER FISH"/>
    <s v=""/>
    <x v="6"/>
    <s v="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0"/>
    <s v="EU"/>
    <s v="Otolith - Surface"/>
    <n v="2126660002"/>
    <s v="1 OTOLITH ACROSS (TRAY)"/>
    <s v="52"/>
    <x v="0"/>
    <s v="1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3"/>
    <s v="EU"/>
    <s v="Otolith - Surface"/>
    <n v="2126660002"/>
    <s v="1 OTOLITH ACROSS (TRAY)"/>
    <s v="21"/>
    <x v="14"/>
    <s v="20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8"/>
    <s v="EU"/>
    <s v="Otolith - Surface"/>
    <n v="2126660002"/>
    <s v="1 OTOLITH ACROSS (TRAY)"/>
    <s v="63"/>
    <x v="8"/>
    <s v="6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9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85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8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1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2"/>
    <s v="EU"/>
    <s v="Otolith - Surface"/>
    <n v="2126660002"/>
    <s v="1 OTOLITH ACROSS (TRAY)"/>
    <s v="32"/>
    <x v="12"/>
    <s v="8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7"/>
    <s v="EU"/>
    <s v="Otolith - Surface"/>
    <n v="2126660002"/>
    <s v="1 OTOLITH ACROSS (TRAY)"/>
    <s v="31"/>
    <x v="7"/>
    <s v="9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G"/>
    <s v="0"/>
    <x v="5"/>
    <s v="MY"/>
    <s v="Scales"/>
    <n v="2126660001"/>
    <s v="2 SCALES ACROSS PER FISH"/>
    <s v="3M"/>
    <x v="5"/>
    <s v="1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"/>
    <x v="1"/>
    <s v="EU"/>
    <s v="Otolith - Surface"/>
    <n v="2126660002"/>
    <s v="1 OTOLITH ACROSS (TRAY)"/>
    <s v="41"/>
    <x v="1"/>
    <s v="13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0"/>
    <s v="EU"/>
    <s v="Otolith - Surface"/>
    <n v="2126660002"/>
    <s v="1 OTOLITH ACROSS (TRAY)"/>
    <s v="52"/>
    <x v="0"/>
    <s v="5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1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8"/>
    <s v="EU"/>
    <s v="Otolith - Surface"/>
    <n v="2126660002"/>
    <s v="1 OTOLITH ACROSS (TRAY)"/>
    <s v="63"/>
    <x v="8"/>
    <s v="9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2"/>
    <s v="EU"/>
    <s v="Otolith - Surface"/>
    <n v="2126660002"/>
    <s v="1 OTOLITH ACROSS (TRAY)"/>
    <s v="32"/>
    <x v="12"/>
    <s v="4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7"/>
    <s v="EU"/>
    <s v="Otolith - Surface"/>
    <n v="2126660002"/>
    <s v="1 OTOLITH ACROSS (TRAY)"/>
    <s v="31"/>
    <x v="7"/>
    <s v="8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0"/>
    <x v="2"/>
    <s v="EU"/>
    <s v="Scales"/>
    <n v="2126660001"/>
    <s v="2 SCALES ACROSS PER FISH"/>
    <s v="42"/>
    <x v="2"/>
    <s v="1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5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7"/>
    <s v="EU"/>
    <s v="Otolith - Surface"/>
    <n v="2126660002"/>
    <s v="1 OTOLITH ACROSS (TRAY)"/>
    <s v="31"/>
    <x v="7"/>
    <s v="9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1"/>
    <x v="2"/>
    <s v="EU"/>
    <s v="Scales"/>
    <n v="2126660001"/>
    <s v="2 SCALES ACROSS PER FISH"/>
    <s v="42"/>
    <x v="2"/>
    <s v="2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s v=""/>
    <s v="0"/>
    <x v="0"/>
    <s v="EU"/>
    <s v="Scales"/>
    <n v="2126660001"/>
    <s v="2 SCALES ACROSS PER FISH"/>
    <s v="52"/>
    <x v="0"/>
    <s v="1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1"/>
    <s v="EU"/>
    <s v="Otolith - Surface"/>
    <n v="2126660002"/>
    <s v="1 OTOLITH ACROSS (TRAY)"/>
    <s v="41"/>
    <x v="1"/>
    <s v="2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32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3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9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5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0"/>
    <s v="EU"/>
    <s v="Otolith - Surface"/>
    <n v="2126660002"/>
    <s v="1 OTOLITH ACROSS (TRAY)"/>
    <s v="52"/>
    <x v="0"/>
    <s v="6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"/>
    <s v="EU"/>
    <s v="Otolith - Surface"/>
    <n v="2126660002"/>
    <s v="1 OTOLITH ACROSS (TRAY)"/>
    <s v="41"/>
    <x v="1"/>
    <s v="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7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0"/>
    <s v="EU"/>
    <s v="Otolith - Surface"/>
    <n v="2126660002"/>
    <s v="1 OTOLITH ACROSS (TRAY)"/>
    <s v="52"/>
    <x v="0"/>
    <s v="18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11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155"/>
    <n v="1"/>
    <s v="SOCKEYE SALMON"/>
    <n v="2086090012"/>
    <x v="1"/>
    <n v="8"/>
    <s v="Tangle Net"/>
    <s v="Adult"/>
    <d v="2020-09-21T00:00:00"/>
    <d v="2020-10-05T00:00:00"/>
    <s v="Oto Box 4"/>
  </r>
  <r>
    <s v=""/>
    <s v=""/>
    <x v="2"/>
    <s v="EU"/>
    <s v="Otolith - Surface"/>
    <n v="2126660002"/>
    <s v="1 OTOLITH ACROSS (TRAY)"/>
    <s v="42"/>
    <x v="2"/>
    <s v="2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3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12"/>
    <s v="EU"/>
    <s v="Otolith - Surface"/>
    <n v="2126660002"/>
    <s v="1 OTOLITH ACROSS (TRAY)"/>
    <s v="32"/>
    <x v="12"/>
    <s v="7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0"/>
    <s v="EU"/>
    <s v="Otolith - Surface"/>
    <n v="2126660002"/>
    <s v="1 OTOLITH ACROSS (TRAY)"/>
    <s v="52"/>
    <x v="0"/>
    <s v="6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"/>
    <s v=""/>
    <x v="1"/>
    <s v="EU"/>
    <s v="Otolith - Surface"/>
    <n v="2126660002"/>
    <s v="1 OTOLITH ACROSS (TRAY)"/>
    <s v="41"/>
    <x v="1"/>
    <s v="9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2"/>
    <s v="EU"/>
    <s v="Otolith - Surface"/>
    <n v="2126660002"/>
    <s v="1 OTOLITH ACROSS (TRAY)"/>
    <s v="32"/>
    <x v="12"/>
    <s v="9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RS"/>
    <s v="2"/>
    <x v="11"/>
    <s v="FW"/>
    <s v="Scales"/>
    <n v="2126660001"/>
    <s v="5 SCALES DOWN PER FISH"/>
    <s v="S2"/>
    <x v="16"/>
    <s v="3"/>
    <s v="NORTHERN COASTAL FJORDS"/>
    <s v="R-16"/>
    <s v="8"/>
    <x v="1"/>
    <s v="SER"/>
    <s v="Atnarko River (Bella Coola) Sockeye"/>
    <n v="11378932"/>
    <n v="51780"/>
    <s v="ATNARKO ESCAPEMENT - 2020"/>
    <n v="970"/>
    <s v="ATNARKO RIVER"/>
    <x v="15"/>
    <s v="2020/0236"/>
    <n v="1"/>
    <s v="SOCKEYE SALMON"/>
    <n v="2086090012"/>
    <x v="1"/>
    <n v="83"/>
    <s v="Gaff (Deadpitch)"/>
    <s v="Adult"/>
    <d v="2020-09-21T00:00:00"/>
    <d v="2020-09-21T00:00:00"/>
    <s v="1003943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s v=""/>
    <s v=""/>
    <x v="0"/>
    <s v="EU"/>
    <s v="Otolith - Surface"/>
    <n v="2126660002"/>
    <s v="1 OTOLITH ACROSS (TRAY)"/>
    <s v="52"/>
    <x v="0"/>
    <s v="1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7"/>
    <s v="EU"/>
    <s v="Otolith - Surface"/>
    <n v="2126660002"/>
    <s v="1 OTOLITH ACROSS (TRAY)"/>
    <s v="31"/>
    <x v="7"/>
    <s v="59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Otolith - Surface"/>
    <n v="2126660002"/>
    <s v="1 OTOLITH ACROSS (TRAY)"/>
    <s v="31"/>
    <x v="7"/>
    <s v="4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1"/>
    <s v="EU"/>
    <s v="Otolith - Surface"/>
    <n v="2126660002"/>
    <s v="1 OTOLITH ACROSS (TRAY)"/>
    <s v="41"/>
    <x v="1"/>
    <s v="1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RS"/>
    <s v="2"/>
    <x v="11"/>
    <s v="FW"/>
    <s v="Scales"/>
    <n v="2126660001"/>
    <s v="2 SCALES ACROSS PER FISH"/>
    <s v="S2"/>
    <x v="16"/>
    <s v="4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7"/>
    <s v="EU"/>
    <s v="Otolith - Surface"/>
    <n v="2126660002"/>
    <s v="1 OTOLITH ACROSS (TRAY)"/>
    <s v="31"/>
    <x v="7"/>
    <s v="9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0"/>
    <s v="EU"/>
    <s v="Otolith - Surface"/>
    <n v="2126660002"/>
    <s v="1 OTOLITH ACROSS (TRAY)"/>
    <s v="52"/>
    <x v="0"/>
    <s v="1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RS"/>
    <s v="2"/>
    <x v="6"/>
    <s v="EU"/>
    <s v="Scales"/>
    <n v="2126660001"/>
    <s v="2 SCALES ACROSS PER FISH"/>
    <s v=""/>
    <x v="6"/>
    <s v="8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7"/>
    <s v="EU"/>
    <s v="Otolith - Surface"/>
    <n v="2126660002"/>
    <s v="1 OTOLITH ACROSS (TRAY)"/>
    <s v="31"/>
    <x v="7"/>
    <s v="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W"/>
    <s v="1"/>
    <x v="3"/>
    <s v="MY"/>
    <s v="Scales"/>
    <n v="2126660001"/>
    <s v="2 SCALES ACROSS PER FISH"/>
    <s v="2M"/>
    <x v="3"/>
    <s v="1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s v=""/>
    <s v=""/>
    <x v="0"/>
    <s v="EU"/>
    <s v="Otolith - Surface"/>
    <n v="2126660002"/>
    <s v="1 OTOLITH ACROSS (TRAY)"/>
    <s v="52"/>
    <x v="0"/>
    <s v="17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7"/>
    <s v="EU"/>
    <s v="Otolith - Surface"/>
    <n v="2126660002"/>
    <s v="1 OTOLITH ACROSS (TRAY)"/>
    <s v="31"/>
    <x v="7"/>
    <s v="17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4268609"/>
    <n v="51780"/>
    <s v="ATNARKO ESCAPEMENT - 2008"/>
    <n v="970"/>
    <s v="ATNARKO RIVER"/>
    <x v="1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s v=""/>
    <s v=""/>
    <x v="1"/>
    <s v="EU"/>
    <s v="Otolith - Surface"/>
    <n v="2126660002"/>
    <s v="1 OTOLITH ACROSS (TRAY)"/>
    <s v="41"/>
    <x v="1"/>
    <s v="84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8"/>
    <s v="EU"/>
    <s v="Otolith - Surface"/>
    <n v="2126660002"/>
    <s v="1 OTOLITH ACROSS (TRAY)"/>
    <s v="63"/>
    <x v="8"/>
    <s v="83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7582771"/>
    <n v="51780"/>
    <s v="ATNARKO ESCAPEMENT - 2013"/>
    <n v="970"/>
    <s v="ATNARKO RIVER"/>
    <x v="22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s v=""/>
    <s v=""/>
    <x v="7"/>
    <s v="EU"/>
    <s v="Scales"/>
    <n v="2126660001"/>
    <s v="1 OTOLITH ACROSS (TRAY)"/>
    <s v="31"/>
    <x v="7"/>
    <s v="8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13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19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21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24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31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4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6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34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10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33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15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30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25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32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16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14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1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7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3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22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29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12"/>
    <s v="EU"/>
    <s v="Scales"/>
    <n v="2126660001"/>
    <s v="1 OTOLITH ACROSS (TRAY)"/>
    <s v="32"/>
    <x v="12"/>
    <s v="27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20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28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5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Scales"/>
    <n v="2126660001"/>
    <s v="1 OTOLITH ACROSS (TRAY)"/>
    <s v="52"/>
    <x v="0"/>
    <s v="11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17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12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18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5 SCALES DOWN PER FISH"/>
    <s v="31"/>
    <x v="7"/>
    <s v="10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Scales"/>
    <n v="2126660001"/>
    <s v="5 SCALES DOWN PER FISH"/>
    <s v="42"/>
    <x v="2"/>
    <s v="9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Scales"/>
    <n v="2126660001"/>
    <s v="5 SCALES DOWN PER FISH"/>
    <s v="42"/>
    <x v="2"/>
    <s v="6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Scales"/>
    <n v="2126660001"/>
    <s v="5 SCALES DOWN PER FISH"/>
    <s v="42"/>
    <x v="2"/>
    <s v="4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7"/>
    <s v="EU"/>
    <s v="Scales"/>
    <n v="2126660001"/>
    <s v="1 OTOLITH ACROSS (TRAY)"/>
    <s v="31"/>
    <x v="7"/>
    <s v="26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2"/>
    <s v="EU"/>
    <s v="Scales"/>
    <n v="2126660001"/>
    <s v="1 OTOLITH ACROSS (TRAY)"/>
    <s v="42"/>
    <x v="2"/>
    <s v="2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7"/>
    <s v="EU"/>
    <s v="Scales"/>
    <n v="2126660001"/>
    <s v="1 OTOLITH ACROSS (TRAY)"/>
    <s v="31"/>
    <x v="7"/>
    <s v="9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MF"/>
    <s v=""/>
    <x v="6"/>
    <s v="EU"/>
    <s v="Scales"/>
    <n v="2126660001"/>
    <s v="1 OTOLITH ACROSS (TRAY)"/>
    <s v=""/>
    <x v="6"/>
    <s v="23"/>
    <s v="NORTHERN COASTAL FJORDS"/>
    <s v="R-16"/>
    <s v="8"/>
    <x v="1"/>
    <s v="SER"/>
    <s v="Atnarko River (Bella Coola) Sockeye"/>
    <n v="8134017"/>
    <n v="51780"/>
    <s v="ATNARKO ESCAPEMENT - 2014"/>
    <n v="970"/>
    <s v="ATNARKO RIVER"/>
    <x v="17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s v=""/>
    <s v=""/>
    <x v="0"/>
    <s v="EU"/>
    <s v="Otolith - Surface"/>
    <n v="2126660002"/>
    <s v="1 OTOLITH ACROSS (TRAY)"/>
    <s v="52"/>
    <x v="0"/>
    <s v="5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6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1"/>
    <s v="EU"/>
    <s v="Otolith - Surface"/>
    <n v="2126660002"/>
    <s v="1 OTOLITH ACROSS (TRAY)"/>
    <s v="41"/>
    <x v="1"/>
    <s v="6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6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8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9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9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8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4"/>
    <s v="EU"/>
    <s v="Otolith - Surface"/>
    <n v="2126660002"/>
    <s v="1 OTOLITH ACROSS (TRAY)"/>
    <s v="53"/>
    <x v="4"/>
    <s v="5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Otolith - Surface"/>
    <n v="2126660002"/>
    <s v="1 OTOLITH ACROSS (TRAY)"/>
    <s v="41"/>
    <x v="1"/>
    <s v="7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7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1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Otolith - Surface"/>
    <n v="2126660002"/>
    <s v="1 OTOLITH ACROSS (TRAY)"/>
    <s v="41"/>
    <x v="1"/>
    <s v="1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1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2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2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2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3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3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2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4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Otolith - Surface"/>
    <n v="2126660002"/>
    <s v="1 OTOLITH ACROSS (TRAY)"/>
    <s v="41"/>
    <x v="1"/>
    <s v="4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12"/>
    <s v="EU"/>
    <s v="Otolith - Surface"/>
    <n v="2126660002"/>
    <s v="1 OTOLITH ACROSS (TRAY)"/>
    <s v="32"/>
    <x v="12"/>
    <s v="2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5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2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6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Scales"/>
    <n v="2126660001"/>
    <s v="5 SCALES DOWN PER FISH"/>
    <s v="52"/>
    <x v="0"/>
    <s v="1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0"/>
    <s v="EU"/>
    <s v="Otolith - Surface"/>
    <n v="2126660002"/>
    <s v="1 OTOLITH ACROSS (TRAY)"/>
    <s v="52"/>
    <x v="0"/>
    <s v="6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7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3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Scales"/>
    <n v="2126660001"/>
    <s v="5 SCALES DOWN PER FISH"/>
    <s v="52"/>
    <x v="0"/>
    <s v="1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5T00:00:00"/>
    <d v="1997-07-25T00:00:00"/>
    <s v="1997310141978774"/>
  </r>
  <r>
    <s v=""/>
    <s v=""/>
    <x v="2"/>
    <s v="EU"/>
    <s v="Scales"/>
    <n v="2126660001"/>
    <s v="5 SCALES DOWN PER FISH"/>
    <s v="42"/>
    <x v="2"/>
    <s v="7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12"/>
    <s v="EU"/>
    <s v="Otolith - Surface"/>
    <n v="2126660002"/>
    <s v="1 OTOLITH ACROSS (TRAY)"/>
    <s v="32"/>
    <x v="12"/>
    <s v="3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2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7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4"/>
    <s v="EU"/>
    <s v="Otolith - Surface"/>
    <n v="2126660002"/>
    <s v="1 OTOLITH ACROSS (TRAY)"/>
    <s v="53"/>
    <x v="4"/>
    <s v="2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5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9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4"/>
    <s v="EU"/>
    <s v="Otolith - Surface"/>
    <n v="2126660002"/>
    <s v="1 OTOLITH ACROSS (TRAY)"/>
    <s v="53"/>
    <x v="4"/>
    <s v="9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2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4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1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9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6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3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4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7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2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1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7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7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2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5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Otolith - Surface"/>
    <n v="2126660002"/>
    <s v="1 OTOLITH ACROSS (TRAY)"/>
    <s v="41"/>
    <x v="1"/>
    <s v="3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8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2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Otolith - Surface"/>
    <n v="2126660002"/>
    <s v="1 OTOLITH ACROSS (TRAY)"/>
    <s v="41"/>
    <x v="1"/>
    <s v="4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4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3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3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12"/>
    <s v="EU"/>
    <s v="Otolith - Surface"/>
    <n v="2126660002"/>
    <s v="1 OTOLITH ACROSS (TRAY)"/>
    <s v="32"/>
    <x v="12"/>
    <s v="3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7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2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9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1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7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4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1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Scales"/>
    <n v="2126660001"/>
    <s v="5 SCALES DOWN PER FISH"/>
    <s v="52"/>
    <x v="0"/>
    <s v="2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8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9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9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9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1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8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12"/>
    <s v="EU"/>
    <s v="Otolith - Surface"/>
    <n v="2126660002"/>
    <s v="1 OTOLITH ACROSS (TRAY)"/>
    <s v="32"/>
    <x v="12"/>
    <s v="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3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5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7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6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6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6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9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5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6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4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0"/>
    <s v="EU"/>
    <s v="Otolith - Surface"/>
    <n v="2126660002"/>
    <s v="1 OTOLITH ACROSS (TRAY)"/>
    <s v="52"/>
    <x v="0"/>
    <s v="9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1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8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8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9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Scales"/>
    <n v="2126660001"/>
    <s v="5 SCALES DOWN PER FISH"/>
    <s v="42"/>
    <x v="2"/>
    <s v="5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0"/>
    <s v="EU"/>
    <s v="Otolith - Surface"/>
    <n v="2126660002"/>
    <s v="1 OTOLITH ACROSS (TRAY)"/>
    <s v="52"/>
    <x v="0"/>
    <s v="4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6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4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5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0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Otolith - Surface"/>
    <n v="2126660002"/>
    <s v="1 OTOLITH ACROSS (TRAY)"/>
    <s v="52"/>
    <x v="0"/>
    <s v="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15"/>
    <s v="EU"/>
    <s v="Otolith - Surface"/>
    <n v="2126660002"/>
    <s v="1 OTOLITH ACROSS (TRAY)"/>
    <s v="43"/>
    <x v="17"/>
    <s v="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72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2"/>
    <s v="EU"/>
    <s v="Otolith - Surface"/>
    <n v="2126660002"/>
    <s v="1 OTOLITH ACROSS (TRAY)"/>
    <s v="32"/>
    <x v="12"/>
    <s v="79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83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9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5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25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26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0"/>
    <s v="EU"/>
    <s v="Scales"/>
    <n v="2126660001"/>
    <s v="5 SCALES DOWN PER FISH"/>
    <s v="52"/>
    <x v="0"/>
    <s v="3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Otolith - Surface"/>
    <n v="2126660002"/>
    <s v="1 OTOLITH ACROSS (TRAY)"/>
    <s v="42"/>
    <x v="2"/>
    <s v="2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0"/>
    <s v="EU"/>
    <s v="Otolith - Surface"/>
    <n v="2126660002"/>
    <s v="1 OTOLITH ACROSS (TRAY)"/>
    <s v="52"/>
    <x v="0"/>
    <s v="6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s v=""/>
    <s v=""/>
    <x v="2"/>
    <s v="EU"/>
    <s v="Otolith - Surface"/>
    <n v="2126660002"/>
    <s v="1 OTOLITH ACROSS (TRAY)"/>
    <s v="42"/>
    <x v="2"/>
    <s v="71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2"/>
    <s v="EU"/>
    <s v="Otolith - Surface"/>
    <n v="2126660002"/>
    <s v="1 OTOLITH ACROSS (TRAY)"/>
    <s v="42"/>
    <x v="2"/>
    <s v="10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s v=""/>
    <s v=""/>
    <x v="2"/>
    <s v="EU"/>
    <s v="Otolith - Surface"/>
    <n v="2126660002"/>
    <s v="1 OTOLITH ACROSS (TRAY)"/>
    <s v="42"/>
    <x v="2"/>
    <s v="57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s v=""/>
    <s v=""/>
    <x v="1"/>
    <s v="EU"/>
    <s v="Scales"/>
    <n v="2126660001"/>
    <s v="5 SCALES DOWN PER FISH"/>
    <s v="41"/>
    <x v="1"/>
    <s v="8"/>
    <s v="NORTHERN COASTAL FJORDS"/>
    <s v="R-16"/>
    <s v="8"/>
    <x v="1"/>
    <s v="SER"/>
    <s v="Atnarko River (Bella Coola) Sockeye"/>
    <n v="-1000004773"/>
    <n v="51780"/>
    <s v="BELLA COOLA/ATNARKO INDIAN FOOD FISHERY(IFF)-1997"/>
    <n v="970"/>
    <s v="ATNARKO RIVER"/>
    <x v="19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s v=""/>
    <s v=""/>
    <x v="2"/>
    <s v="EU"/>
    <s v="Otolith - Surface"/>
    <n v="2126660002"/>
    <s v="1 OTOLITH ACROSS (TRAY)"/>
    <s v="42"/>
    <x v="2"/>
    <s v="8"/>
    <s v="NORTHERN COASTAL FJORDS"/>
    <s v="R-16"/>
    <s v="8"/>
    <x v="1"/>
    <s v="SER"/>
    <s v="Atnarko River (Bella Coola) Sockeye"/>
    <n v="9269719"/>
    <n v="51780"/>
    <s v="ATNARKO ESCAPEMENT - 2016"/>
    <n v="970"/>
    <s v="ATNARKO RIVER"/>
    <x v="5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m/>
    <m/>
    <x v="17"/>
    <m/>
    <m/>
    <m/>
    <m/>
    <m/>
    <x v="20"/>
    <m/>
    <m/>
    <m/>
    <m/>
    <x v="2"/>
    <m/>
    <m/>
    <m/>
    <m/>
    <m/>
    <m/>
    <m/>
    <x v="23"/>
    <m/>
    <m/>
    <m/>
    <m/>
    <x v="4"/>
    <m/>
    <m/>
    <m/>
    <m/>
    <m/>
    <m/>
  </r>
  <r>
    <m/>
    <m/>
    <x v="17"/>
    <m/>
    <m/>
    <m/>
    <m/>
    <m/>
    <x v="20"/>
    <m/>
    <m/>
    <m/>
    <m/>
    <x v="2"/>
    <m/>
    <m/>
    <m/>
    <m/>
    <m/>
    <m/>
    <m/>
    <x v="23"/>
    <m/>
    <m/>
    <m/>
    <m/>
    <x v="4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4">
  <r>
    <n v="102061"/>
    <x v="0"/>
    <x v="0"/>
    <s v="8"/>
    <x v="0"/>
    <s v="1034101"/>
    <s v="2022-06-13"/>
    <s v="2022-07-20"/>
    <x v="0"/>
    <s v="Adult"/>
    <s v="First Nations - FSC"/>
    <s v="Gillnet"/>
    <s v="Scales"/>
    <n v="1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3"/>
    <x v="1"/>
    <x v="0"/>
    <s v="Regenerate Scale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4"/>
    <x v="1"/>
    <x v="1"/>
    <s v="Regenerate Scale"/>
    <m/>
    <x v="2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5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6"/>
    <x v="0"/>
    <x v="0"/>
    <m/>
    <m/>
    <x v="0"/>
  </r>
  <r>
    <n v="102061"/>
    <x v="0"/>
    <x v="0"/>
    <s v="8"/>
    <x v="0"/>
    <s v="1034101"/>
    <s v="2022-06-13"/>
    <s v="2022-07-20"/>
    <x v="1"/>
    <s v="Adult"/>
    <s v="First Nations - FSC"/>
    <s v="Gillnet"/>
    <s v="Scales"/>
    <n v="7"/>
    <x v="2"/>
    <x v="0"/>
    <m/>
    <m/>
    <x v="3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8"/>
    <x v="1"/>
    <x v="0"/>
    <s v="Mixed Fish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9"/>
    <x v="1"/>
    <x v="1"/>
    <s v="Regenerate Scale"/>
    <m/>
    <x v="2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0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1"/>
    <x v="1"/>
    <x v="1"/>
    <s v="Regenerate Scale"/>
    <m/>
    <x v="2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2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3"/>
    <x v="3"/>
    <x v="0"/>
    <m/>
    <m/>
    <x v="4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4"/>
    <x v="1"/>
    <x v="0"/>
    <s v="Regenerate Scale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5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6"/>
    <x v="4"/>
    <x v="0"/>
    <m/>
    <m/>
    <x v="5"/>
  </r>
  <r>
    <n v="102061"/>
    <x v="0"/>
    <x v="0"/>
    <s v="8"/>
    <x v="0"/>
    <s v="1034101"/>
    <s v="2022-06-13"/>
    <s v="2022-07-20"/>
    <x v="1"/>
    <s v="Adult"/>
    <s v="First Nations - FSC"/>
    <s v="Gillnet"/>
    <s v="Scales"/>
    <n v="17"/>
    <x v="2"/>
    <x v="0"/>
    <m/>
    <m/>
    <x v="3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8"/>
    <x v="1"/>
    <x v="2"/>
    <s v="Regenerate Scale"/>
    <m/>
    <x v="6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19"/>
    <x v="4"/>
    <x v="0"/>
    <m/>
    <m/>
    <x v="5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0"/>
    <x v="0"/>
    <x v="0"/>
    <m/>
    <m/>
    <x v="0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1"/>
    <x v="1"/>
    <x v="0"/>
    <s v="Regenerate Scale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2"/>
    <x v="1"/>
    <x v="0"/>
    <s v="Regenerate Scale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3"/>
    <x v="1"/>
    <x v="0"/>
    <s v="Upside Down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4"/>
    <x v="1"/>
    <x v="0"/>
    <s v="Upside Down"/>
    <m/>
    <x v="1"/>
  </r>
  <r>
    <n v="102061"/>
    <x v="0"/>
    <x v="0"/>
    <s v="8"/>
    <x v="0"/>
    <s v="1034101"/>
    <s v="2022-06-13"/>
    <s v="2022-07-20"/>
    <x v="0"/>
    <s v="Adult"/>
    <s v="First Nations - FSC"/>
    <s v="Gillnet"/>
    <s v="Scales"/>
    <n v="25"/>
    <x v="1"/>
    <x v="0"/>
    <s v="Upside Down"/>
    <m/>
    <x v="1"/>
  </r>
  <r>
    <n v="102061"/>
    <x v="0"/>
    <x v="0"/>
    <s v="8"/>
    <x v="0"/>
    <s v="1034102"/>
    <s v="2022-06-13"/>
    <s v="2022-07-20"/>
    <x v="0"/>
    <s v="Adult"/>
    <s v="First Nations - FSC"/>
    <s v="Gillnet"/>
    <s v="Scales"/>
    <n v="1"/>
    <x v="1"/>
    <x v="0"/>
    <s v="Upside Down"/>
    <m/>
    <x v="1"/>
  </r>
  <r>
    <n v="102061"/>
    <x v="0"/>
    <x v="0"/>
    <s v="8"/>
    <x v="0"/>
    <s v="1034102"/>
    <s v="2022-06-13"/>
    <s v="2022-07-20"/>
    <x v="0"/>
    <s v="Adult"/>
    <s v="First Nations - FSC"/>
    <s v="Gillnet"/>
    <s v="Scales"/>
    <n v="2"/>
    <x v="1"/>
    <x v="2"/>
    <s v="Regenerate Scale"/>
    <m/>
    <x v="6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1"/>
    <x v="1"/>
    <x v="1"/>
    <s v="Wet Scale"/>
    <m/>
    <x v="2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2"/>
    <x v="0"/>
    <x v="0"/>
    <m/>
    <m/>
    <x v="0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3"/>
    <x v="0"/>
    <x v="0"/>
    <m/>
    <m/>
    <x v="0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4"/>
    <x v="1"/>
    <x v="0"/>
    <s v="Upside Down"/>
    <m/>
    <x v="1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5"/>
    <x v="4"/>
    <x v="0"/>
    <m/>
    <s v="Resorption present but not enough to suspect an annuli is missing.  Age unaffected."/>
    <x v="5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6"/>
    <x v="0"/>
    <x v="0"/>
    <m/>
    <m/>
    <x v="0"/>
  </r>
  <r>
    <n v="114303"/>
    <x v="1"/>
    <x v="0"/>
    <s v="8"/>
    <x v="1"/>
    <s v="1010144"/>
    <s v="2023-07-04"/>
    <s v="2023-07-04"/>
    <x v="0"/>
    <s v="Adult"/>
    <s v="First Nations - FSC"/>
    <s v="Drift Net"/>
    <s v="Scales"/>
    <n v="7"/>
    <x v="1"/>
    <x v="1"/>
    <s v="Wet Scale"/>
    <m/>
    <x v="2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1"/>
    <x v="1"/>
    <x v="0"/>
    <s v="No Structure"/>
    <m/>
    <x v="1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2"/>
    <x v="1"/>
    <x v="0"/>
    <s v="No Structure"/>
    <m/>
    <x v="1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3"/>
    <x v="0"/>
    <x v="0"/>
    <m/>
    <m/>
    <x v="0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4"/>
    <x v="1"/>
    <x v="0"/>
    <s v="Upside Down"/>
    <m/>
    <x v="1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5"/>
    <x v="1"/>
    <x v="0"/>
    <s v="Upside Down"/>
    <m/>
    <x v="1"/>
  </r>
  <r>
    <n v="114303"/>
    <x v="1"/>
    <x v="0"/>
    <s v="8"/>
    <x v="1"/>
    <s v="1010145"/>
    <s v="2023-07-11"/>
    <s v="2023-07-12"/>
    <x v="0"/>
    <s v="Adult"/>
    <s v="First Nations - FSC"/>
    <s v="Drift Net"/>
    <s v="Scales"/>
    <n v="6"/>
    <x v="0"/>
    <x v="0"/>
    <m/>
    <m/>
    <x v="0"/>
  </r>
  <r>
    <n v="114303"/>
    <x v="1"/>
    <x v="0"/>
    <s v="8"/>
    <x v="1"/>
    <s v="1012012"/>
    <s v="2023-06-27"/>
    <s v="2023-06-29"/>
    <x v="0"/>
    <s v="Adult"/>
    <s v="First Nations - FSC"/>
    <s v="Drift Net"/>
    <s v="Scales"/>
    <n v="1"/>
    <x v="1"/>
    <x v="2"/>
    <s v="Regenerate Scale"/>
    <m/>
    <x v="6"/>
  </r>
  <r>
    <n v="114303"/>
    <x v="1"/>
    <x v="0"/>
    <s v="8"/>
    <x v="1"/>
    <s v="1012012"/>
    <s v="2023-06-27"/>
    <s v="2023-06-29"/>
    <x v="0"/>
    <s v="Adult"/>
    <s v="First Nations - FSC"/>
    <s v="Drift Net"/>
    <s v="Scales"/>
    <n v="2"/>
    <x v="1"/>
    <x v="0"/>
    <s v="Upside Down"/>
    <m/>
    <x v="1"/>
  </r>
  <r>
    <n v="114303"/>
    <x v="1"/>
    <x v="0"/>
    <s v="8"/>
    <x v="1"/>
    <s v="1012012"/>
    <s v="2023-06-27"/>
    <s v="2023-06-29"/>
    <x v="0"/>
    <s v="Adult"/>
    <s v="First Nations - FSC"/>
    <s v="Drift Net"/>
    <s v="Scales"/>
    <n v="3"/>
    <x v="1"/>
    <x v="2"/>
    <s v="Regenerate Scale"/>
    <m/>
    <x v="6"/>
  </r>
  <r>
    <n v="114303"/>
    <x v="1"/>
    <x v="0"/>
    <s v="8"/>
    <x v="1"/>
    <s v="1012012"/>
    <s v="2023-06-27"/>
    <s v="2023-06-29"/>
    <x v="0"/>
    <s v="Adult"/>
    <s v="First Nations - FSC"/>
    <s v="Drift Net"/>
    <s v="Scales"/>
    <n v="4"/>
    <x v="0"/>
    <x v="0"/>
    <m/>
    <m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1"/>
    <x v="1"/>
    <x v="2"/>
    <m/>
    <m/>
    <x v="6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2"/>
    <x v="4"/>
    <x v="0"/>
    <m/>
    <m/>
    <x v="5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3"/>
    <x v="0"/>
    <x v="0"/>
    <m/>
    <s v="Resorption present but not enough to suspect an annuli is missing.  Age unaffected."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4"/>
    <x v="1"/>
    <x v="0"/>
    <s v="Mixed Fish"/>
    <m/>
    <x v="1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5"/>
    <x v="0"/>
    <x v="0"/>
    <m/>
    <s v="Resorption present but not enough to suspect an annuli is missing.  Age unaffected."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6"/>
    <x v="5"/>
    <x v="0"/>
    <m/>
    <s v="Resorption present but not enough to suspect an annuli is missing.  Age unaffected."/>
    <x v="7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7"/>
    <x v="0"/>
    <x v="0"/>
    <m/>
    <s v="Resorption present but not enough to suspect an annuli is missing.  Age unaffected."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8"/>
    <x v="5"/>
    <x v="0"/>
    <m/>
    <s v="Resorption present but not enough to suspect an annuli is missing.  Age unaffected."/>
    <x v="7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9"/>
    <x v="0"/>
    <x v="0"/>
    <m/>
    <s v="Resorption present but not enough to suspect an annuli is missing.  Age unaffected."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10"/>
    <x v="0"/>
    <x v="0"/>
    <m/>
    <s v="Resorption present but not enough to suspect an annuli is missing.  Age unaffected."/>
    <x v="0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11"/>
    <x v="1"/>
    <x v="0"/>
    <s v="Regenerate Scale"/>
    <m/>
    <x v="1"/>
  </r>
  <r>
    <n v="128623"/>
    <x v="2"/>
    <x v="0"/>
    <s v="8"/>
    <x v="1"/>
    <s v="1048453"/>
    <s v="2024-06-18"/>
    <s v="2024-07-25"/>
    <x v="0"/>
    <s v="Adult"/>
    <s v="First Nations - FSC"/>
    <s v="Gillnet"/>
    <s v="Scales"/>
    <n v="12"/>
    <x v="0"/>
    <x v="0"/>
    <m/>
    <s v="Resorption present but not enough to suspect an annuli is missing.  Age unaffected."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"/>
    <x v="4"/>
    <x v="0"/>
    <m/>
    <m/>
    <x v="5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2"/>
    <x v="0"/>
    <x v="0"/>
    <m/>
    <s v="Resorption present but not enough to suspect an annuli is missing.  Age unaffected."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3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4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5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6"/>
    <x v="1"/>
    <x v="0"/>
    <s v="2 structures; ages do no agree/another abbrev. does not provide the reason"/>
    <m/>
    <x v="1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7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8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9"/>
    <x v="4"/>
    <x v="0"/>
    <m/>
    <m/>
    <x v="5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0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1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2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3"/>
    <x v="0"/>
    <x v="0"/>
    <m/>
    <m/>
    <x v="0"/>
  </r>
  <r>
    <n v="101623"/>
    <x v="0"/>
    <x v="1"/>
    <s v="8"/>
    <x v="2"/>
    <s v="1036218"/>
    <s v="2022-09-23"/>
    <s v="2022-09-23"/>
    <x v="0"/>
    <s v="Adult"/>
    <s v="Escapement"/>
    <s v="Gaff"/>
    <s v="Otoliths and Scales"/>
    <n v="14"/>
    <x v="0"/>
    <x v="0"/>
    <m/>
    <s v="Resorption present but not enough to suspect an annuli is missing.  Age unaffected."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"/>
    <x v="1"/>
    <x v="3"/>
    <m/>
    <m/>
    <x v="8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2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3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4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5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6"/>
    <x v="0"/>
    <x v="0"/>
    <m/>
    <s v="Resorption present but not enough to suspect an annuli is missing.  Age unaffected."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7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8"/>
    <x v="0"/>
    <x v="0"/>
    <m/>
    <s v="Resorption present but not enough to suspect an annuli is missing.  Age unaffected."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9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0"/>
    <x v="1"/>
    <x v="3"/>
    <m/>
    <m/>
    <x v="8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1"/>
    <x v="4"/>
    <x v="0"/>
    <m/>
    <m/>
    <x v="5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2"/>
    <x v="0"/>
    <x v="0"/>
    <m/>
    <m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3"/>
    <x v="4"/>
    <x v="0"/>
    <m/>
    <s v="Resorption present but not enough to suspect an annuli is missing.  Age unaffected."/>
    <x v="5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4"/>
    <x v="0"/>
    <x v="0"/>
    <m/>
    <s v="Resorption present but not enough to suspect an annuli is missing.  Age unaffected."/>
    <x v="0"/>
  </r>
  <r>
    <n v="101625"/>
    <x v="0"/>
    <x v="1"/>
    <s v="8"/>
    <x v="2"/>
    <s v="1036519"/>
    <s v="2022-09-12"/>
    <s v="2022-10-03"/>
    <x v="0"/>
    <s v="Adult"/>
    <s v="Escapement"/>
    <s v="Gaff"/>
    <s v="Otoliths and Scales"/>
    <n v="15"/>
    <x v="0"/>
    <x v="0"/>
    <m/>
    <m/>
    <x v="0"/>
  </r>
  <r>
    <n v="101625"/>
    <x v="0"/>
    <x v="1"/>
    <s v="8"/>
    <x v="2"/>
    <s v="1036520"/>
    <s v="2022-09-12"/>
    <s v="2022-10-03"/>
    <x v="0"/>
    <s v="Adult"/>
    <s v="Escapement"/>
    <s v="Gaff"/>
    <s v="Otoliths and Scales"/>
    <n v="1"/>
    <x v="0"/>
    <x v="0"/>
    <m/>
    <m/>
    <x v="0"/>
  </r>
  <r>
    <n v="101625"/>
    <x v="0"/>
    <x v="1"/>
    <s v="8"/>
    <x v="2"/>
    <s v="1036520"/>
    <s v="2022-09-12"/>
    <s v="2022-10-03"/>
    <x v="0"/>
    <s v="Adult"/>
    <s v="Escapement"/>
    <s v="Gaff"/>
    <s v="Otoliths and Scales"/>
    <n v="2"/>
    <x v="1"/>
    <x v="3"/>
    <m/>
    <m/>
    <x v="8"/>
  </r>
  <r>
    <n v="101625"/>
    <x v="0"/>
    <x v="1"/>
    <s v="8"/>
    <x v="2"/>
    <s v="1036520"/>
    <s v="2022-09-12"/>
    <s v="2022-10-03"/>
    <x v="0"/>
    <s v="Adult"/>
    <s v="Escapement"/>
    <s v="Gaff"/>
    <s v="Otoliths and Scales"/>
    <n v="3"/>
    <x v="1"/>
    <x v="3"/>
    <m/>
    <m/>
    <x v="8"/>
  </r>
  <r>
    <n v="101627"/>
    <x v="0"/>
    <x v="1"/>
    <s v="8"/>
    <x v="2"/>
    <s v="1036220"/>
    <s v="2022-09-28"/>
    <s v="2022-09-28"/>
    <x v="0"/>
    <s v="Adult"/>
    <s v="Escapement"/>
    <s v="Gaff"/>
    <s v="Otoliths and Scales"/>
    <n v="1"/>
    <x v="0"/>
    <x v="0"/>
    <m/>
    <m/>
    <x v="0"/>
  </r>
  <r>
    <n v="101627"/>
    <x v="0"/>
    <x v="1"/>
    <s v="8"/>
    <x v="2"/>
    <s v="1036220"/>
    <s v="2022-09-28"/>
    <s v="2022-09-28"/>
    <x v="0"/>
    <s v="Adult"/>
    <s v="Escapement"/>
    <s v="Gaff"/>
    <s v="Otoliths and Scales"/>
    <n v="2"/>
    <x v="4"/>
    <x v="0"/>
    <m/>
    <m/>
    <x v="5"/>
  </r>
  <r>
    <n v="101629"/>
    <x v="0"/>
    <x v="1"/>
    <s v="8"/>
    <x v="2"/>
    <s v="1036522"/>
    <s v="2022-09-21"/>
    <s v="2022-09-28"/>
    <x v="0"/>
    <s v="Adult"/>
    <s v="Escapement"/>
    <s v="Gillnet"/>
    <s v="Scales"/>
    <n v="1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2"/>
    <s v="2022-09-21"/>
    <s v="2022-09-28"/>
    <x v="0"/>
    <s v="Adult"/>
    <s v="Escapement"/>
    <s v="Gillnet"/>
    <s v="Scales"/>
    <n v="2"/>
    <x v="1"/>
    <x v="1"/>
    <s v="Regenerate Scale"/>
    <s v="Resorbed Age Interpretation. Resorption affecting age and missing 1 marine annulus"/>
    <x v="2"/>
  </r>
  <r>
    <n v="101629"/>
    <x v="0"/>
    <x v="1"/>
    <s v="8"/>
    <x v="2"/>
    <s v="1036522"/>
    <s v="2022-09-21"/>
    <s v="2022-09-28"/>
    <x v="0"/>
    <s v="Adult"/>
    <s v="Escapement"/>
    <s v="Gillnet"/>
    <s v="Scales"/>
    <n v="3"/>
    <x v="1"/>
    <x v="1"/>
    <s v="Regenerate Scale"/>
    <s v="Resorbed Age Interpretation. Resorption affecting age and missing 1 marine annulus"/>
    <x v="2"/>
  </r>
  <r>
    <n v="101629"/>
    <x v="0"/>
    <x v="1"/>
    <s v="8"/>
    <x v="2"/>
    <s v="1036522"/>
    <s v="2022-09-21"/>
    <s v="2022-09-28"/>
    <x v="0"/>
    <s v="Adult"/>
    <s v="Escapement"/>
    <s v="Gillnet"/>
    <s v="Scales"/>
    <n v="4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2"/>
    <s v="2022-09-21"/>
    <s v="2022-09-28"/>
    <x v="0"/>
    <s v="Adult"/>
    <s v="Escapement"/>
    <s v="Gillnet"/>
    <s v="Scales"/>
    <n v="5"/>
    <x v="0"/>
    <x v="0"/>
    <m/>
    <s v="Resorbed Age Interpretation. Resorption affecting age and missing 1 marine annulus"/>
    <x v="0"/>
  </r>
  <r>
    <n v="101629"/>
    <x v="0"/>
    <x v="1"/>
    <s v="8"/>
    <x v="2"/>
    <s v="1036522"/>
    <s v="2022-09-21"/>
    <s v="2022-09-28"/>
    <x v="0"/>
    <s v="Adult"/>
    <s v="Escapement"/>
    <s v="Gillnet"/>
    <s v="Scales"/>
    <n v="6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2"/>
    <s v="2022-09-21"/>
    <s v="2022-09-28"/>
    <x v="0"/>
    <s v="Adult"/>
    <s v="Escapement"/>
    <s v="Gillnet"/>
    <s v="Scales"/>
    <n v="7"/>
    <x v="0"/>
    <x v="0"/>
    <m/>
    <s v="Resorbed Age Interpretation. Resorption affecting age and missing 1 marine annulus"/>
    <x v="0"/>
  </r>
  <r>
    <n v="101629"/>
    <x v="0"/>
    <x v="1"/>
    <s v="8"/>
    <x v="2"/>
    <s v="1036522"/>
    <s v="2022-09-21"/>
    <s v="2022-09-28"/>
    <x v="0"/>
    <s v="Adult"/>
    <s v="Escapement"/>
    <s v="Gillnet"/>
    <s v="Scales"/>
    <n v="8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2"/>
    <s v="2022-09-21"/>
    <s v="2022-09-28"/>
    <x v="0"/>
    <s v="Adult"/>
    <s v="Escapement"/>
    <s v="Gillnet"/>
    <s v="Scales"/>
    <n v="9"/>
    <x v="0"/>
    <x v="0"/>
    <m/>
    <s v="Resorbed Age Interpretation. Resorption affecting age and missing 1 marine annulus"/>
    <x v="0"/>
  </r>
  <r>
    <n v="101629"/>
    <x v="0"/>
    <x v="1"/>
    <s v="8"/>
    <x v="2"/>
    <s v="1036522"/>
    <s v="2022-09-21"/>
    <s v="2022-09-28"/>
    <x v="0"/>
    <s v="Adult"/>
    <s v="Escapement"/>
    <s v="Gillnet"/>
    <s v="Scales"/>
    <n v="10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3"/>
    <s v="2022-09-14"/>
    <s v="2022-09-21"/>
    <x v="0"/>
    <s v="Adult"/>
    <s v="Escapement"/>
    <s v="Gillnet"/>
    <s v="Scales"/>
    <n v="1"/>
    <x v="4"/>
    <x v="0"/>
    <m/>
    <s v="Resorption present but not enough to suspect an annuli is missing.  Age unaffected."/>
    <x v="5"/>
  </r>
  <r>
    <n v="101629"/>
    <x v="0"/>
    <x v="1"/>
    <s v="8"/>
    <x v="2"/>
    <s v="1036523"/>
    <s v="2022-09-14"/>
    <s v="2022-09-21"/>
    <x v="0"/>
    <s v="Adult"/>
    <s v="Escapement"/>
    <s v="Gillnet"/>
    <s v="Scales"/>
    <n v="2"/>
    <x v="2"/>
    <x v="0"/>
    <m/>
    <s v="Resorbed Age Interpretation. Resorption affecting age and missing 1 marine annulus"/>
    <x v="3"/>
  </r>
  <r>
    <n v="101629"/>
    <x v="0"/>
    <x v="1"/>
    <s v="8"/>
    <x v="2"/>
    <s v="1036523"/>
    <s v="2022-09-14"/>
    <s v="2022-09-21"/>
    <x v="0"/>
    <s v="Adult"/>
    <s v="Escapement"/>
    <s v="Gillnet"/>
    <s v="Scales"/>
    <n v="3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3"/>
    <s v="2022-09-14"/>
    <s v="2022-09-21"/>
    <x v="0"/>
    <s v="Adult"/>
    <s v="Escapement"/>
    <s v="Gillnet"/>
    <s v="Scales"/>
    <n v="4"/>
    <x v="4"/>
    <x v="0"/>
    <m/>
    <s v="Resorption present but not enough to suspect an annuli is missing.  Age unaffected."/>
    <x v="5"/>
  </r>
  <r>
    <n v="101629"/>
    <x v="0"/>
    <x v="1"/>
    <s v="8"/>
    <x v="2"/>
    <s v="1036523"/>
    <s v="2022-09-14"/>
    <s v="2022-09-21"/>
    <x v="0"/>
    <s v="Adult"/>
    <s v="Escapement"/>
    <s v="Gillnet"/>
    <s v="Scales"/>
    <n v="5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3"/>
    <s v="2022-09-14"/>
    <s v="2022-09-21"/>
    <x v="0"/>
    <s v="Adult"/>
    <s v="Escapement"/>
    <s v="Gillnet"/>
    <s v="Scales"/>
    <n v="6"/>
    <x v="0"/>
    <x v="0"/>
    <m/>
    <s v="Resorbed Age Interpretation. Resorption affecting age and missing 1 marine annulus"/>
    <x v="0"/>
  </r>
  <r>
    <n v="101629"/>
    <x v="0"/>
    <x v="1"/>
    <s v="8"/>
    <x v="2"/>
    <s v="1036523"/>
    <s v="2022-09-14"/>
    <s v="2022-09-21"/>
    <x v="0"/>
    <s v="Adult"/>
    <s v="Escapement"/>
    <s v="Gillnet"/>
    <s v="Scales"/>
    <n v="7"/>
    <x v="0"/>
    <x v="0"/>
    <m/>
    <s v="Resorbed Age Interpretation. Resorption affecting age and missing 1 marine annulus"/>
    <x v="0"/>
  </r>
  <r>
    <n v="101629"/>
    <x v="0"/>
    <x v="1"/>
    <s v="8"/>
    <x v="2"/>
    <s v="1036523"/>
    <s v="2022-09-14"/>
    <s v="2022-09-21"/>
    <x v="0"/>
    <s v="Adult"/>
    <s v="Escapement"/>
    <s v="Gillnet"/>
    <s v="Scales"/>
    <n v="8"/>
    <x v="0"/>
    <x v="0"/>
    <m/>
    <s v="Resorbed Age Interpretation. Resorption affecting age and missing 1 marine annulus"/>
    <x v="0"/>
  </r>
  <r>
    <n v="101629"/>
    <x v="0"/>
    <x v="1"/>
    <s v="8"/>
    <x v="2"/>
    <s v="1036523"/>
    <s v="2022-09-14"/>
    <s v="2022-09-21"/>
    <x v="0"/>
    <s v="Adult"/>
    <s v="Escapement"/>
    <s v="Gillnet"/>
    <s v="Scales"/>
    <n v="9"/>
    <x v="1"/>
    <x v="0"/>
    <s v="Regenerate Scale"/>
    <s v="Unknown amount of resorption. Cannot assess the number of marine annuli missing. Only freshwater age given, no marine age given."/>
    <x v="1"/>
  </r>
  <r>
    <n v="101629"/>
    <x v="0"/>
    <x v="1"/>
    <s v="8"/>
    <x v="2"/>
    <s v="1036523"/>
    <s v="2022-09-14"/>
    <s v="2022-09-21"/>
    <x v="0"/>
    <s v="Adult"/>
    <s v="Escapement"/>
    <s v="Gillnet"/>
    <s v="Scales"/>
    <n v="10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4"/>
    <s v="2022-09-23"/>
    <s v="2022-09-28"/>
    <x v="0"/>
    <s v="Adult"/>
    <s v="Escapement"/>
    <s v="Gillnet"/>
    <s v="Scales"/>
    <n v="1"/>
    <x v="0"/>
    <x v="0"/>
    <m/>
    <s v="Resorbed Age Interpretation. Resorption affecting age and missing 1 marine annulus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2"/>
    <x v="0"/>
    <x v="0"/>
    <m/>
    <s v="Resorbed Age Interpretation. Resorption affecting age and missing 1 marine annulus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3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4"/>
    <s v="2022-09-23"/>
    <s v="2022-09-28"/>
    <x v="0"/>
    <s v="Adult"/>
    <s v="Escapement"/>
    <s v="Gillnet"/>
    <s v="Scales"/>
    <n v="4"/>
    <x v="0"/>
    <x v="0"/>
    <m/>
    <s v="Resorption present but not enough to suspect an annuli is missing.  Age unaffected.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5"/>
    <x v="1"/>
    <x v="3"/>
    <s v="Resorbed Scale"/>
    <s v="Unknown amount of resorption. Cannot assess the number of marine annuli missing. Only freshwater age given, no marine age given."/>
    <x v="8"/>
  </r>
  <r>
    <n v="101629"/>
    <x v="0"/>
    <x v="1"/>
    <s v="8"/>
    <x v="2"/>
    <s v="1036524"/>
    <s v="2022-09-23"/>
    <s v="2022-09-28"/>
    <x v="0"/>
    <s v="Adult"/>
    <s v="Escapement"/>
    <s v="Gillnet"/>
    <s v="Scales"/>
    <n v="6"/>
    <x v="0"/>
    <x v="0"/>
    <m/>
    <s v="Resorbed Age Interpretation. Resorption affecting age and missing 1 marine annulus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7"/>
    <x v="0"/>
    <x v="0"/>
    <m/>
    <s v="Resorbed Age Interpretation. Resorption affecting age and missing 1 marine annulus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8"/>
    <x v="0"/>
    <x v="0"/>
    <m/>
    <s v="Resorbed Age Interpretation. Resorption affecting age and missing 1 marine annulus"/>
    <x v="0"/>
  </r>
  <r>
    <n v="101629"/>
    <x v="0"/>
    <x v="1"/>
    <s v="8"/>
    <x v="2"/>
    <s v="1036524"/>
    <s v="2022-09-23"/>
    <s v="2022-09-28"/>
    <x v="0"/>
    <s v="Adult"/>
    <s v="Escapement"/>
    <s v="Gillnet"/>
    <s v="Scales"/>
    <n v="9"/>
    <x v="1"/>
    <x v="3"/>
    <s v="Resorbed Scale"/>
    <s v="Unknown amount of resorption. Cannot assess the number of marine annuli missing. Only freshwater age given, no marine age given."/>
    <x v="8"/>
  </r>
  <r>
    <n v="101631"/>
    <x v="0"/>
    <x v="1"/>
    <s v="8"/>
    <x v="2"/>
    <s v="1036221"/>
    <s v="2022-09-23"/>
    <s v="2022-09-28"/>
    <x v="0"/>
    <s v="Adult"/>
    <s v="Escapement"/>
    <s v="Gaff"/>
    <s v="Otoliths and Scales"/>
    <n v="1"/>
    <x v="4"/>
    <x v="0"/>
    <m/>
    <m/>
    <x v="5"/>
  </r>
  <r>
    <n v="101631"/>
    <x v="0"/>
    <x v="1"/>
    <s v="8"/>
    <x v="2"/>
    <s v="1036221"/>
    <s v="2022-09-23"/>
    <s v="2022-09-28"/>
    <x v="0"/>
    <s v="Adult"/>
    <s v="Escapement"/>
    <s v="Gaff"/>
    <s v="Otoliths and Scales"/>
    <n v="2"/>
    <x v="0"/>
    <x v="0"/>
    <m/>
    <m/>
    <x v="0"/>
  </r>
  <r>
    <n v="101631"/>
    <x v="0"/>
    <x v="1"/>
    <s v="8"/>
    <x v="2"/>
    <s v="1036221"/>
    <s v="2022-09-23"/>
    <s v="2022-09-28"/>
    <x v="0"/>
    <s v="Adult"/>
    <s v="Escapement"/>
    <s v="Gaff"/>
    <s v="Otoliths and Scales"/>
    <n v="3"/>
    <x v="0"/>
    <x v="0"/>
    <m/>
    <m/>
    <x v="0"/>
  </r>
  <r>
    <n v="101631"/>
    <x v="0"/>
    <x v="1"/>
    <s v="8"/>
    <x v="2"/>
    <s v="1036221"/>
    <s v="2022-09-23"/>
    <s v="2022-09-28"/>
    <x v="0"/>
    <s v="Adult"/>
    <s v="Escapement"/>
    <s v="Gaff"/>
    <s v="Otoliths and Scales"/>
    <n v="4"/>
    <x v="4"/>
    <x v="0"/>
    <m/>
    <m/>
    <x v="5"/>
  </r>
  <r>
    <n v="101631"/>
    <x v="0"/>
    <x v="1"/>
    <s v="8"/>
    <x v="2"/>
    <s v="1036221"/>
    <s v="2022-09-23"/>
    <s v="2022-09-28"/>
    <x v="0"/>
    <s v="Adult"/>
    <s v="Escapement"/>
    <s v="Gaff"/>
    <s v="Otoliths and Scales"/>
    <n v="5"/>
    <x v="5"/>
    <x v="0"/>
    <m/>
    <m/>
    <x v="7"/>
  </r>
  <r>
    <n v="101633"/>
    <x v="0"/>
    <x v="1"/>
    <s v="8"/>
    <x v="2"/>
    <s v="1036526"/>
    <s v="2022-09-21"/>
    <s v="2022-09-21"/>
    <x v="0"/>
    <s v="Adult"/>
    <s v="Escapement"/>
    <s v="Gillnet"/>
    <s v="Scales"/>
    <n v="1"/>
    <x v="0"/>
    <x v="0"/>
    <m/>
    <s v="Resorbed Age Interpretation. Resorption affecting age and missing 1 marine annulus"/>
    <x v="0"/>
  </r>
  <r>
    <n v="101633"/>
    <x v="0"/>
    <x v="1"/>
    <s v="8"/>
    <x v="2"/>
    <s v="1036526"/>
    <s v="2022-09-21"/>
    <s v="2022-09-21"/>
    <x v="0"/>
    <s v="Adult"/>
    <s v="Escapement"/>
    <s v="Gillnet"/>
    <s v="Scales"/>
    <n v="2"/>
    <x v="0"/>
    <x v="0"/>
    <m/>
    <s v="Resorbed Age Interpretation. Resorption affecting age and missing 1 marine annulus"/>
    <x v="0"/>
  </r>
  <r>
    <n v="101633"/>
    <x v="0"/>
    <x v="1"/>
    <s v="8"/>
    <x v="2"/>
    <s v="1036526"/>
    <s v="2022-09-21"/>
    <s v="2022-09-21"/>
    <x v="0"/>
    <s v="Adult"/>
    <s v="Escapement"/>
    <s v="Gillnet"/>
    <s v="Scales"/>
    <n v="3"/>
    <x v="1"/>
    <x v="3"/>
    <s v="Resorbed Scale"/>
    <s v="Unknown amount of resorption. Cannot assess the number of marine annuli missing. Only freshwater age given, no marine age given."/>
    <x v="8"/>
  </r>
  <r>
    <n v="101633"/>
    <x v="0"/>
    <x v="1"/>
    <s v="8"/>
    <x v="2"/>
    <s v="1036526"/>
    <s v="2022-09-21"/>
    <s v="2022-09-21"/>
    <x v="0"/>
    <s v="Adult"/>
    <s v="Escapement"/>
    <s v="Gillnet"/>
    <s v="Scales"/>
    <n v="4"/>
    <x v="4"/>
    <x v="0"/>
    <m/>
    <s v="Resorption present but not enough to suspect an annuli is missing.  Age unaffected."/>
    <x v="5"/>
  </r>
  <r>
    <n v="101633"/>
    <x v="0"/>
    <x v="1"/>
    <s v="8"/>
    <x v="2"/>
    <s v="1036526"/>
    <s v="2022-09-21"/>
    <s v="2022-09-21"/>
    <x v="0"/>
    <s v="Adult"/>
    <s v="Escapement"/>
    <s v="Gillnet"/>
    <s v="Scales"/>
    <n v="5"/>
    <x v="0"/>
    <x v="0"/>
    <m/>
    <s v="Resorbed Age Interpretation. Resorption affecting age and missing 1 marine annulus"/>
    <x v="0"/>
  </r>
  <r>
    <n v="101633"/>
    <x v="0"/>
    <x v="1"/>
    <s v="8"/>
    <x v="2"/>
    <s v="1036526"/>
    <s v="2022-09-21"/>
    <s v="2022-09-21"/>
    <x v="0"/>
    <s v="Adult"/>
    <s v="Escapement"/>
    <s v="Gillnet"/>
    <s v="Scales"/>
    <n v="6"/>
    <x v="4"/>
    <x v="0"/>
    <m/>
    <s v="Resorption present but not enough to suspect an annuli is missing.  Age unaffected."/>
    <x v="5"/>
  </r>
  <r>
    <n v="101633"/>
    <x v="0"/>
    <x v="1"/>
    <s v="8"/>
    <x v="2"/>
    <s v="1036526"/>
    <s v="2022-09-21"/>
    <s v="2022-09-21"/>
    <x v="0"/>
    <s v="Adult"/>
    <s v="Escapement"/>
    <s v="Gillnet"/>
    <s v="Scales"/>
    <n v="7"/>
    <x v="4"/>
    <x v="0"/>
    <m/>
    <s v="Resorbed Age Interpretation. Resorption affecting age and missing 1 marine annulus"/>
    <x v="5"/>
  </r>
  <r>
    <n v="101633"/>
    <x v="0"/>
    <x v="1"/>
    <s v="8"/>
    <x v="2"/>
    <s v="1036527"/>
    <s v="2022-09-21"/>
    <s v="2022-09-28"/>
    <x v="0"/>
    <s v="Adult"/>
    <s v="Escapement"/>
    <s v="Gillnet"/>
    <s v="Scales"/>
    <n v="1"/>
    <x v="1"/>
    <x v="3"/>
    <s v="Resorbed Scale"/>
    <s v="Unknown amount of resorption. Cannot assess the number of marine annuli missing. Only freshwater age given, no marine age given."/>
    <x v="8"/>
  </r>
  <r>
    <n v="101633"/>
    <x v="0"/>
    <x v="1"/>
    <s v="8"/>
    <x v="2"/>
    <s v="1036527"/>
    <s v="2022-09-21"/>
    <s v="2022-09-28"/>
    <x v="0"/>
    <s v="Adult"/>
    <s v="Escapement"/>
    <s v="Gillnet"/>
    <s v="Scales"/>
    <n v="2"/>
    <x v="1"/>
    <x v="3"/>
    <s v="Resorbed Scale"/>
    <s v="Unknown amount of resorption. Cannot assess the number of marine annuli missing. Only freshwater age given, no marine age given."/>
    <x v="8"/>
  </r>
  <r>
    <n v="101633"/>
    <x v="0"/>
    <x v="1"/>
    <s v="8"/>
    <x v="2"/>
    <s v="1036527"/>
    <s v="2022-09-21"/>
    <s v="2022-09-28"/>
    <x v="0"/>
    <s v="Adult"/>
    <s v="Escapement"/>
    <s v="Gillnet"/>
    <s v="Scales"/>
    <n v="3"/>
    <x v="0"/>
    <x v="0"/>
    <m/>
    <s v="Resorbed Age Interpretation. Resorption affecting age and missing 1 marine annulus"/>
    <x v="0"/>
  </r>
  <r>
    <n v="101633"/>
    <x v="0"/>
    <x v="1"/>
    <s v="8"/>
    <x v="2"/>
    <s v="1036527"/>
    <s v="2022-09-21"/>
    <s v="2022-09-28"/>
    <x v="0"/>
    <s v="Adult"/>
    <s v="Escapement"/>
    <s v="Gillnet"/>
    <s v="Scales"/>
    <n v="4"/>
    <x v="0"/>
    <x v="0"/>
    <m/>
    <s v="Resorbed Age Interpretation. Resorption affecting age and missing 1 marine annulus"/>
    <x v="0"/>
  </r>
  <r>
    <n v="101633"/>
    <x v="0"/>
    <x v="1"/>
    <s v="8"/>
    <x v="2"/>
    <s v="1036527"/>
    <s v="2022-09-21"/>
    <s v="2022-09-28"/>
    <x v="0"/>
    <s v="Adult"/>
    <s v="Escapement"/>
    <s v="Gillnet"/>
    <s v="Scales"/>
    <n v="5"/>
    <x v="1"/>
    <x v="3"/>
    <s v="Resorbed Scale"/>
    <s v="Unknown amount of resorption. Cannot assess the number of marine annuli missing. Only freshwater age given, no marine age given."/>
    <x v="8"/>
  </r>
  <r>
    <n v="101633"/>
    <x v="0"/>
    <x v="1"/>
    <s v="8"/>
    <x v="2"/>
    <s v="1036527"/>
    <s v="2022-09-21"/>
    <s v="2022-09-28"/>
    <x v="0"/>
    <s v="Adult"/>
    <s v="Escapement"/>
    <s v="Gillnet"/>
    <s v="Scales"/>
    <n v="6"/>
    <x v="0"/>
    <x v="0"/>
    <m/>
    <s v="Resorption present but not enough to suspect an annuli is missing.  Age unaffected."/>
    <x v="0"/>
  </r>
  <r>
    <n v="101633"/>
    <x v="0"/>
    <x v="1"/>
    <s v="8"/>
    <x v="2"/>
    <s v="1036527"/>
    <s v="2022-09-21"/>
    <s v="2022-09-28"/>
    <x v="0"/>
    <s v="Adult"/>
    <s v="Escapement"/>
    <s v="Gillnet"/>
    <s v="Scales"/>
    <n v="7"/>
    <x v="4"/>
    <x v="0"/>
    <m/>
    <s v="Resorption present but not enough to suspect an annuli is missing.  Age unaffected."/>
    <x v="5"/>
  </r>
  <r>
    <n v="101633"/>
    <x v="0"/>
    <x v="1"/>
    <s v="8"/>
    <x v="2"/>
    <s v="1036527"/>
    <s v="2022-09-21"/>
    <s v="2022-09-28"/>
    <x v="0"/>
    <s v="Adult"/>
    <s v="Escapement"/>
    <s v="Gillnet"/>
    <s v="Scales"/>
    <n v="8"/>
    <x v="1"/>
    <x v="3"/>
    <s v="Resorbed Scale"/>
    <s v="Unknown amount of resorption. Cannot assess the number of marine annuli missing. Only freshwater age given, no marine age given."/>
    <x v="8"/>
  </r>
  <r>
    <n v="101635"/>
    <x v="0"/>
    <x v="1"/>
    <s v="8"/>
    <x v="2"/>
    <s v="1036222"/>
    <s v="2022-09-23"/>
    <s v="2022-09-23"/>
    <x v="0"/>
    <s v="Adult"/>
    <s v="Escapement"/>
    <s v="Gaff"/>
    <s v="Otoliths and Scales"/>
    <n v="1"/>
    <x v="1"/>
    <x v="0"/>
    <s v="No Structure"/>
    <m/>
    <x v="1"/>
  </r>
  <r>
    <n v="101635"/>
    <x v="0"/>
    <x v="1"/>
    <s v="8"/>
    <x v="2"/>
    <s v="1036222"/>
    <s v="2022-09-23"/>
    <s v="2022-09-23"/>
    <x v="0"/>
    <s v="Adult"/>
    <s v="Escapement"/>
    <s v="Gaff"/>
    <s v="Otoliths and Scales"/>
    <n v="2"/>
    <x v="0"/>
    <x v="0"/>
    <m/>
    <m/>
    <x v="0"/>
  </r>
  <r>
    <n v="101635"/>
    <x v="0"/>
    <x v="1"/>
    <s v="8"/>
    <x v="2"/>
    <s v="1036222"/>
    <s v="2022-09-23"/>
    <s v="2022-09-23"/>
    <x v="0"/>
    <s v="Adult"/>
    <s v="Escapement"/>
    <s v="Gaff"/>
    <s v="Otoliths and Scales"/>
    <n v="3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"/>
    <x v="6"/>
    <x v="0"/>
    <m/>
    <m/>
    <x v="9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9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1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2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4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5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6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7"/>
    <x v="6"/>
    <x v="0"/>
    <m/>
    <m/>
    <x v="9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8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19"/>
    <x v="1"/>
    <x v="1"/>
    <s v="Unresolved Freshwater Age"/>
    <m/>
    <x v="2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1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4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5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6"/>
    <x v="6"/>
    <x v="0"/>
    <m/>
    <m/>
    <x v="9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7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8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29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4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5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6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7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8"/>
    <x v="0"/>
    <x v="0"/>
    <m/>
    <s v="Resorbed Age Interpretation. Resorption affecting age and missing 1 marine annulus"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39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0"/>
    <x v="7"/>
    <x v="0"/>
    <m/>
    <m/>
    <x v="1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4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5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6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7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8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49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0"/>
    <x v="1"/>
    <x v="0"/>
    <s v="No Structure"/>
    <m/>
    <x v="1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2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4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5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6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7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8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59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1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3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4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5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6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7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8"/>
    <x v="5"/>
    <x v="0"/>
    <m/>
    <m/>
    <x v="7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69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1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2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3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4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5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6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7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8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79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0"/>
    <x v="7"/>
    <x v="0"/>
    <m/>
    <m/>
    <x v="1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3"/>
    <x v="1"/>
    <x v="3"/>
    <s v="Resorbed Scale"/>
    <s v="Unknown amount of resorption. Cannot assess the number of marine annuli missing. Only freshwater age given, no marine age given."/>
    <x v="8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4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5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6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7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8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89"/>
    <x v="4"/>
    <x v="0"/>
    <m/>
    <m/>
    <x v="5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90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91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92"/>
    <x v="0"/>
    <x v="0"/>
    <m/>
    <m/>
    <x v="0"/>
  </r>
  <r>
    <n v="102641"/>
    <x v="0"/>
    <x v="1"/>
    <s v="8"/>
    <x v="3"/>
    <s v="1036784"/>
    <s v="2022-09-26"/>
    <s v="2022-09-27"/>
    <x v="0"/>
    <s v="Adult"/>
    <s v="Escapement"/>
    <s v="Gillnet"/>
    <s v="Otoliths and Scales"/>
    <n v="93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1"/>
    <x v="5"/>
    <x v="0"/>
    <m/>
    <s v="Resorption present but not enough to suspect an annuli is missing.  Age unaffected."/>
    <x v="7"/>
  </r>
  <r>
    <n v="102661"/>
    <x v="0"/>
    <x v="1"/>
    <s v="8"/>
    <x v="4"/>
    <s v="1036804"/>
    <s v="2022-09-21"/>
    <s v=""/>
    <x v="0"/>
    <s v="Adult"/>
    <s v="Escapement"/>
    <s v="Gillnet"/>
    <s v="Otoliths and Scales"/>
    <n v="2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4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9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0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1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2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3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14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5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16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17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18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19"/>
    <x v="5"/>
    <x v="0"/>
    <m/>
    <m/>
    <x v="7"/>
  </r>
  <r>
    <n v="102661"/>
    <x v="0"/>
    <x v="1"/>
    <s v="8"/>
    <x v="4"/>
    <s v="1036804"/>
    <s v="2022-09-21"/>
    <s v=""/>
    <x v="0"/>
    <s v="Adult"/>
    <s v="Escapement"/>
    <s v="Gillnet"/>
    <s v="Otoliths and Scales"/>
    <n v="20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1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2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4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5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6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27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28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29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0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1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2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4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5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6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7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38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39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40"/>
    <x v="5"/>
    <x v="0"/>
    <m/>
    <m/>
    <x v="7"/>
  </r>
  <r>
    <n v="102661"/>
    <x v="0"/>
    <x v="1"/>
    <s v="8"/>
    <x v="4"/>
    <s v="1036804"/>
    <s v="2022-09-21"/>
    <s v=""/>
    <x v="0"/>
    <s v="Adult"/>
    <s v="Escapement"/>
    <s v="Gillnet"/>
    <s v="Otoliths and Scales"/>
    <n v="41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42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43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4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5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6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7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8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49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50"/>
    <x v="1"/>
    <x v="0"/>
    <s v="No Structure"/>
    <m/>
    <x v="1"/>
  </r>
  <r>
    <n v="102661"/>
    <x v="0"/>
    <x v="1"/>
    <s v="8"/>
    <x v="4"/>
    <s v="1036804"/>
    <s v="2022-09-21"/>
    <s v=""/>
    <x v="0"/>
    <s v="Adult"/>
    <s v="Escapement"/>
    <s v="Gillnet"/>
    <s v="Otoliths and Scales"/>
    <n v="51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2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4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5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6"/>
    <x v="4"/>
    <x v="0"/>
    <m/>
    <m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57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8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59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0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1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2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3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4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65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6"/>
    <x v="2"/>
    <x v="0"/>
    <m/>
    <m/>
    <x v="3"/>
  </r>
  <r>
    <n v="102661"/>
    <x v="0"/>
    <x v="1"/>
    <s v="8"/>
    <x v="4"/>
    <s v="1036804"/>
    <s v="2022-09-21"/>
    <s v=""/>
    <x v="0"/>
    <s v="Adult"/>
    <s v="Escapement"/>
    <s v="Gillnet"/>
    <s v="Otoliths and Scales"/>
    <n v="67"/>
    <x v="5"/>
    <x v="0"/>
    <m/>
    <m/>
    <x v="7"/>
  </r>
  <r>
    <n v="102661"/>
    <x v="0"/>
    <x v="1"/>
    <s v="8"/>
    <x v="4"/>
    <s v="1036804"/>
    <s v="2022-09-21"/>
    <s v=""/>
    <x v="0"/>
    <s v="Adult"/>
    <s v="Escapement"/>
    <s v="Gillnet"/>
    <s v="Otoliths and Scales"/>
    <n v="68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69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70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71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2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3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4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5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6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7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8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79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0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1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2"/>
    <x v="4"/>
    <x v="0"/>
    <m/>
    <s v="Resorption present but not enough to suspect an annuli is missing.  Age unaffected."/>
    <x v="5"/>
  </r>
  <r>
    <n v="102661"/>
    <x v="0"/>
    <x v="1"/>
    <s v="8"/>
    <x v="4"/>
    <s v="1036804"/>
    <s v="2022-09-21"/>
    <s v=""/>
    <x v="0"/>
    <s v="Adult"/>
    <s v="Escapement"/>
    <s v="Gillnet"/>
    <s v="Otoliths and Scales"/>
    <n v="8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4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5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6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7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8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89"/>
    <x v="5"/>
    <x v="0"/>
    <m/>
    <s v="Resorption present but not enough to suspect an annuli is missing.  Age unaffected."/>
    <x v="7"/>
  </r>
  <r>
    <n v="102661"/>
    <x v="0"/>
    <x v="1"/>
    <s v="8"/>
    <x v="4"/>
    <s v="1036804"/>
    <s v="2022-09-21"/>
    <s v=""/>
    <x v="0"/>
    <s v="Adult"/>
    <s v="Escapement"/>
    <s v="Gillnet"/>
    <s v="Otoliths and Scales"/>
    <n v="90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91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92"/>
    <x v="0"/>
    <x v="0"/>
    <m/>
    <s v="Resorption present but not enough to suspect an annuli is missing.  Age unaffected."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93"/>
    <x v="0"/>
    <x v="0"/>
    <m/>
    <m/>
    <x v="0"/>
  </r>
  <r>
    <n v="102661"/>
    <x v="0"/>
    <x v="1"/>
    <s v="8"/>
    <x v="4"/>
    <s v="1036804"/>
    <s v="2022-09-21"/>
    <s v=""/>
    <x v="0"/>
    <s v="Adult"/>
    <s v="Escapement"/>
    <s v="Gillnet"/>
    <s v="Otoliths and Scales"/>
    <n v="94"/>
    <x v="5"/>
    <x v="0"/>
    <m/>
    <s v="Resorption present but not enough to suspect an annuli is missing.  Age unaffected."/>
    <x v="7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1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2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3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4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5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6"/>
    <x v="0"/>
    <x v="0"/>
    <m/>
    <s v="Resorption present but not enough to suspect an annuli is missing.  Age unaffected."/>
    <x v="0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7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8"/>
    <x v="0"/>
    <x v="0"/>
    <m/>
    <s v="Resorption present but not enough to suspect an annuli is missing.  Age unaffected."/>
    <x v="0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9"/>
    <x v="4"/>
    <x v="0"/>
    <m/>
    <s v="Resorption present but not enough to suspect an annuli is missing.  Age unaffected."/>
    <x v="5"/>
  </r>
  <r>
    <n v="113245"/>
    <x v="1"/>
    <x v="1"/>
    <s v="8"/>
    <x v="5"/>
    <s v="1049190"/>
    <s v="2023-09-25"/>
    <s v="2023-10-05"/>
    <x v="0"/>
    <s v="Adult"/>
    <s v="Escapement"/>
    <s v="Gaff"/>
    <s v="Otoliths and Scales"/>
    <n v="10"/>
    <x v="2"/>
    <x v="0"/>
    <s v="Scale Age - No otolith age expected"/>
    <s v="Resorption present but not enough to suspect an annuli is missing.  Age unaffected."/>
    <x v="3"/>
  </r>
  <r>
    <n v="113253"/>
    <x v="1"/>
    <x v="1"/>
    <s v="8"/>
    <x v="3"/>
    <s v="1049194"/>
    <s v="2023-09-25"/>
    <s v="2023-10-05"/>
    <x v="0"/>
    <s v="Adult"/>
    <s v="Escapement"/>
    <s v="Gaff"/>
    <s v="Otoliths and Scales"/>
    <n v="1"/>
    <x v="0"/>
    <x v="0"/>
    <m/>
    <m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1"/>
    <x v="0"/>
    <x v="0"/>
    <m/>
    <s v="Resorption present but not enough to suspect an annuli is missing.  Age unaffected.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2"/>
    <x v="0"/>
    <x v="0"/>
    <m/>
    <s v="Resorbed Age Interpretation. Resorption affecting age and missing 1 marine annulus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3"/>
    <x v="4"/>
    <x v="0"/>
    <m/>
    <s v="Resorbed Age Interpretation. Resorption affecting age and missing 1 marine annulus"/>
    <x v="5"/>
  </r>
  <r>
    <n v="113281"/>
    <x v="1"/>
    <x v="1"/>
    <s v="8"/>
    <x v="6"/>
    <s v="1010201"/>
    <s v="2023-09-22"/>
    <s v="2023-09-25"/>
    <x v="0"/>
    <s v="Adult"/>
    <s v="Escapement"/>
    <s v="Gillnet"/>
    <s v="Scales"/>
    <n v="4"/>
    <x v="1"/>
    <x v="3"/>
    <s v="Resorbed Scale"/>
    <s v="Unknown amount of resorption. Cannot assess the number of marine annuli missing. Only freshwater age given, no marine age given."/>
    <x v="8"/>
  </r>
  <r>
    <n v="113281"/>
    <x v="1"/>
    <x v="1"/>
    <s v="8"/>
    <x v="6"/>
    <s v="1010201"/>
    <s v="2023-09-22"/>
    <s v="2023-09-25"/>
    <x v="0"/>
    <s v="Adult"/>
    <s v="Escapement"/>
    <s v="Gillnet"/>
    <s v="Scales"/>
    <n v="5"/>
    <x v="4"/>
    <x v="0"/>
    <m/>
    <s v="Resorbed Age Interpretation. Resorption affecting age and missing 1 marine annulus"/>
    <x v="5"/>
  </r>
  <r>
    <n v="113281"/>
    <x v="1"/>
    <x v="1"/>
    <s v="8"/>
    <x v="6"/>
    <s v="1010201"/>
    <s v="2023-09-22"/>
    <s v="2023-09-25"/>
    <x v="0"/>
    <s v="Adult"/>
    <s v="Escapement"/>
    <s v="Gillnet"/>
    <s v="Scales"/>
    <n v="6"/>
    <x v="2"/>
    <x v="0"/>
    <m/>
    <s v="Resorption present but not enough to suspect an annuli is missing.  Age unaffected."/>
    <x v="3"/>
  </r>
  <r>
    <n v="113281"/>
    <x v="1"/>
    <x v="1"/>
    <s v="8"/>
    <x v="6"/>
    <s v="1010201"/>
    <s v="2023-09-22"/>
    <s v="2023-09-25"/>
    <x v="0"/>
    <s v="Adult"/>
    <s v="Escapement"/>
    <s v="Gillnet"/>
    <s v="Scales"/>
    <n v="7"/>
    <x v="0"/>
    <x v="0"/>
    <m/>
    <s v="Resorption present but not enough to suspect an annuli is missing.  Age unaffected.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8"/>
    <x v="4"/>
    <x v="0"/>
    <m/>
    <s v="Resorbed Age Interpretation. Resorption affecting age and missing 1 marine annulus"/>
    <x v="5"/>
  </r>
  <r>
    <n v="113281"/>
    <x v="1"/>
    <x v="1"/>
    <s v="8"/>
    <x v="6"/>
    <s v="1010201"/>
    <s v="2023-09-22"/>
    <s v="2023-09-25"/>
    <x v="0"/>
    <s v="Adult"/>
    <s v="Escapement"/>
    <s v="Gillnet"/>
    <s v="Scales"/>
    <n v="9"/>
    <x v="1"/>
    <x v="3"/>
    <s v="Resorbed Scale"/>
    <s v="Unknown amount of resorption. Cannot assess the number of marine annuli missing. Only freshwater age given, no marine age given."/>
    <x v="8"/>
  </r>
  <r>
    <n v="113281"/>
    <x v="1"/>
    <x v="1"/>
    <s v="8"/>
    <x v="6"/>
    <s v="1010201"/>
    <s v="2023-09-22"/>
    <s v="2023-09-25"/>
    <x v="0"/>
    <s v="Adult"/>
    <s v="Escapement"/>
    <s v="Gillnet"/>
    <s v="Scales"/>
    <n v="10"/>
    <x v="0"/>
    <x v="0"/>
    <m/>
    <s v="Resorbed Age Interpretation. Resorption affecting age and missing 1 marine annulus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11"/>
    <x v="0"/>
    <x v="0"/>
    <m/>
    <s v="Resorbed Age Interpretation. Resorption affecting age and missing 1 marine annulus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12"/>
    <x v="1"/>
    <x v="2"/>
    <s v="Regenerate Scale"/>
    <s v="Resorption present but not enough to suspect an annuli is missing.  Age unaffected."/>
    <x v="6"/>
  </r>
  <r>
    <n v="113281"/>
    <x v="1"/>
    <x v="1"/>
    <s v="8"/>
    <x v="6"/>
    <s v="1010201"/>
    <s v="2023-09-22"/>
    <s v="2023-09-25"/>
    <x v="0"/>
    <s v="Adult"/>
    <s v="Escapement"/>
    <s v="Gillnet"/>
    <s v="Scales"/>
    <n v="13"/>
    <x v="0"/>
    <x v="0"/>
    <m/>
    <s v="Resorption present but not enough to suspect an annuli is missing.  Age unaffected."/>
    <x v="0"/>
  </r>
  <r>
    <n v="113281"/>
    <x v="1"/>
    <x v="1"/>
    <s v="8"/>
    <x v="6"/>
    <s v="1010201"/>
    <s v="2023-09-22"/>
    <s v="2023-09-25"/>
    <x v="0"/>
    <s v="Adult"/>
    <s v="Escapement"/>
    <s v="Gillnet"/>
    <s v="Scales"/>
    <n v="14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"/>
    <x v="4"/>
    <x v="0"/>
    <m/>
    <s v="Resorption present but not enough to suspect an annuli is missing.  Age unaffected."/>
    <x v="5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3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4"/>
    <x v="0"/>
    <x v="0"/>
    <m/>
    <m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5"/>
    <x v="3"/>
    <x v="0"/>
    <m/>
    <s v="Resorption present but not enough to suspect an annuli is missing.  Age unaffected."/>
    <x v="4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6"/>
    <x v="3"/>
    <x v="0"/>
    <m/>
    <m/>
    <x v="4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7"/>
    <x v="3"/>
    <x v="0"/>
    <m/>
    <s v="Resorption present but not enough to suspect an annuli is missing.  Age unaffected."/>
    <x v="4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8"/>
    <x v="1"/>
    <x v="4"/>
    <s v="Resorbed Scale"/>
    <s v="Unknown amount of resorption. Cannot assess the number of marine annuli missing. Only freshwater age given, no marine age given."/>
    <x v="11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9"/>
    <x v="4"/>
    <x v="0"/>
    <m/>
    <s v="Resorption present but not enough to suspect an annuli is missing.  Age unaffected."/>
    <x v="5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0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1"/>
    <x v="0"/>
    <x v="0"/>
    <m/>
    <m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2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3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4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5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6"/>
    <x v="0"/>
    <x v="0"/>
    <m/>
    <m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7"/>
    <x v="0"/>
    <x v="0"/>
    <m/>
    <m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8"/>
    <x v="0"/>
    <x v="0"/>
    <m/>
    <m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19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0"/>
    <x v="3"/>
    <x v="0"/>
    <m/>
    <s v="Resorption present but not enough to suspect an annuli is missing.  Age unaffected."/>
    <x v="4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1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2"/>
    <x v="0"/>
    <x v="0"/>
    <m/>
    <s v="Resorption present but not enough to suspect an annuli is missing.  Age unaffected."/>
    <x v="0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3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4"/>
    <x v="1"/>
    <x v="4"/>
    <s v="Resorbed Scale"/>
    <m/>
    <x v="11"/>
  </r>
  <r>
    <n v="131261"/>
    <x v="2"/>
    <x v="1"/>
    <s v="8"/>
    <x v="4"/>
    <s v="1048455"/>
    <s v="2024-09-18"/>
    <s v="2024-10-07"/>
    <x v="0"/>
    <s v="Adult"/>
    <s v="Escapement"/>
    <s v="Gaff"/>
    <s v="Otoliths and Scales"/>
    <n v="25"/>
    <x v="1"/>
    <x v="3"/>
    <s v="Resorbed Scale"/>
    <m/>
    <x v="8"/>
  </r>
  <r>
    <n v="131261"/>
    <x v="2"/>
    <x v="1"/>
    <s v="8"/>
    <x v="4"/>
    <s v="1048456"/>
    <s v="2024-09-18"/>
    <s v="2024-10-07"/>
    <x v="0"/>
    <s v="Adult"/>
    <s v="Escapement"/>
    <s v="Gaff"/>
    <s v="Otoliths and Scales"/>
    <n v="1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6"/>
    <s v="2024-09-18"/>
    <s v="2024-10-07"/>
    <x v="0"/>
    <s v="Adult"/>
    <s v="Escapement"/>
    <s v="Gaff"/>
    <s v="Otoliths and Scales"/>
    <n v="2"/>
    <x v="1"/>
    <x v="3"/>
    <s v="Resorbed Scale"/>
    <s v="Unknown amount of resorption. Cannot assess the number of marine annuli missing. Only freshwater age given, no marine age given."/>
    <x v="8"/>
  </r>
  <r>
    <n v="131261"/>
    <x v="2"/>
    <x v="1"/>
    <s v="8"/>
    <x v="4"/>
    <s v="1048456"/>
    <s v="2024-09-18"/>
    <s v="2024-10-07"/>
    <x v="0"/>
    <s v="Adult"/>
    <s v="Escapement"/>
    <s v="Gaff"/>
    <s v="Otoliths and Scales"/>
    <n v="3"/>
    <x v="0"/>
    <x v="0"/>
    <m/>
    <s v="Resorption present but not enough to suspect an annuli is missing.  Age unaffected."/>
    <x v="0"/>
  </r>
  <r>
    <n v="131261"/>
    <x v="2"/>
    <x v="1"/>
    <s v="8"/>
    <x v="4"/>
    <s v="1048456"/>
    <s v="2024-09-18"/>
    <s v="2024-10-07"/>
    <x v="0"/>
    <s v="Adult"/>
    <s v="Escapement"/>
    <s v="Gaff"/>
    <s v="Otoliths and Scales"/>
    <n v="4"/>
    <x v="1"/>
    <x v="4"/>
    <s v="Unresolved Marine Age"/>
    <s v="Unknown amount of resorption. Cannot assess the number of marine annuli missing. Only freshwater age given, no marine age given."/>
    <x v="11"/>
  </r>
  <r>
    <n v="131261"/>
    <x v="2"/>
    <x v="1"/>
    <s v="8"/>
    <x v="4"/>
    <s v="1048456"/>
    <s v="2024-09-18"/>
    <s v="2024-10-07"/>
    <x v="0"/>
    <s v="Adult"/>
    <s v="Escapement"/>
    <s v="Gaff"/>
    <s v="Otoliths and Scales"/>
    <n v="5"/>
    <x v="1"/>
    <x v="0"/>
    <s v="Upside Down"/>
    <m/>
    <x v="1"/>
  </r>
  <r>
    <n v="131281"/>
    <x v="2"/>
    <x v="1"/>
    <s v="8"/>
    <x v="7"/>
    <s v="1013160"/>
    <s v="2024-09-25"/>
    <s v="2024-09-25"/>
    <x v="0"/>
    <s v="Adult"/>
    <s v="Escapement"/>
    <s v="Dip Net"/>
    <s v="Scales"/>
    <n v="1"/>
    <x v="0"/>
    <x v="0"/>
    <m/>
    <s v="Resorption present but not enough to suspect an annuli is missing.  Age unaffected."/>
    <x v="0"/>
  </r>
  <r>
    <n v="131281"/>
    <x v="2"/>
    <x v="1"/>
    <s v="8"/>
    <x v="7"/>
    <s v="1013160"/>
    <s v="2024-09-25"/>
    <s v="2024-09-25"/>
    <x v="0"/>
    <s v="Adult"/>
    <s v="Escapement"/>
    <s v="Dip Net"/>
    <s v="Scales"/>
    <n v="2"/>
    <x v="2"/>
    <x v="0"/>
    <m/>
    <s v="Resorption present but not enough to suspect an annuli is missing.  Age unaffected."/>
    <x v="3"/>
  </r>
  <r>
    <n v="131283"/>
    <x v="2"/>
    <x v="1"/>
    <s v="8"/>
    <x v="3"/>
    <s v="1048459"/>
    <s v="2024-09-25"/>
    <s v="2024-09-25"/>
    <x v="0"/>
    <s v="Adult"/>
    <s v="Escapement"/>
    <s v="Gaff"/>
    <s v="Scales"/>
    <n v="1"/>
    <x v="2"/>
    <x v="0"/>
    <m/>
    <s v="Resorption present but not enough to suspect an annuli is missing.  Age unaffected."/>
    <x v="3"/>
  </r>
  <r>
    <n v="131283"/>
    <x v="2"/>
    <x v="1"/>
    <s v="8"/>
    <x v="3"/>
    <s v="1048459"/>
    <s v="2024-09-25"/>
    <s v="2024-09-25"/>
    <x v="0"/>
    <s v="Adult"/>
    <s v="Escapement"/>
    <s v="Gaff"/>
    <s v="Scales"/>
    <n v="2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1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2"/>
    <x v="0"/>
    <x v="0"/>
    <m/>
    <s v="Resorption present but not enough to suspect an annuli is missing.  Age unaffected.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3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4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5"/>
    <x v="0"/>
    <x v="0"/>
    <m/>
    <s v="Resorption present but not enough to suspect an annuli is missing.  Age unaffected.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6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7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8"/>
    <x v="0"/>
    <x v="0"/>
    <m/>
    <s v="Resorbed Age Interpretation. Resorption affecting age and missing 1 marine annulus"/>
    <x v="0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9"/>
    <x v="3"/>
    <x v="0"/>
    <m/>
    <s v="Resorbed Age Interpretation. Resorption affecting age and missing 1 marine annulus"/>
    <x v="4"/>
  </r>
  <r>
    <n v="131285"/>
    <x v="2"/>
    <x v="1"/>
    <s v="8"/>
    <x v="6"/>
    <s v="1013161"/>
    <s v="2024-09-14"/>
    <s v="2024-09-25"/>
    <x v="0"/>
    <s v="Adult"/>
    <s v="Escapement"/>
    <s v="Dip Net"/>
    <s v="Otoliths and Scales"/>
    <n v="10"/>
    <x v="5"/>
    <x v="0"/>
    <m/>
    <s v="Resorption present but not enough to suspect an annuli is missing.  Age unaffected."/>
    <x v="7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1"/>
    <x v="0"/>
    <x v="0"/>
    <m/>
    <s v="Resorbed Age Interpretation. Resorption affecting age and missing 1 marine annulus"/>
    <x v="0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2"/>
    <x v="0"/>
    <x v="0"/>
    <m/>
    <s v="Resorbed Age Interpretation. Resorption affecting age and missing 1 marine annulus"/>
    <x v="0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3"/>
    <x v="0"/>
    <x v="0"/>
    <m/>
    <s v="Resorbed Age Interpretation. Resorption affecting age and missing 1 marine annulus"/>
    <x v="0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4"/>
    <x v="0"/>
    <x v="0"/>
    <m/>
    <s v="Resorbed Age Interpretation. Resorption affecting age and missing 1 marine annulus"/>
    <x v="0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5"/>
    <x v="1"/>
    <x v="0"/>
    <s v="Wet Scale"/>
    <m/>
    <x v="1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6"/>
    <x v="0"/>
    <x v="0"/>
    <m/>
    <s v="Resorbed Age Interpretation. Resorption affecting age and missing 1 marine annulus"/>
    <x v="0"/>
  </r>
  <r>
    <n v="131285"/>
    <x v="2"/>
    <x v="1"/>
    <s v="8"/>
    <x v="6"/>
    <s v="1013162"/>
    <s v="2024-09-14"/>
    <s v="2024-09-25"/>
    <x v="0"/>
    <s v="Adult"/>
    <s v="Escapement"/>
    <s v="Dip Net"/>
    <s v="Otoliths and Scales"/>
    <n v="7"/>
    <x v="0"/>
    <x v="0"/>
    <m/>
    <s v="Resorbed Age Interpretation. Resorption affecting age and missing 1 marine annulus"/>
    <x v="0"/>
  </r>
  <r>
    <n v="131285"/>
    <x v="2"/>
    <x v="1"/>
    <s v="8"/>
    <x v="6"/>
    <s v="1048458"/>
    <s v="2024-09-25"/>
    <s v="2024-09-25"/>
    <x v="0"/>
    <s v="Adult"/>
    <s v="Escapement"/>
    <s v="Dip Net"/>
    <s v="Otoliths and Scales"/>
    <n v="1"/>
    <x v="0"/>
    <x v="0"/>
    <m/>
    <s v="Resorption present but not enough to suspect an annuli is missing.  Age unaffected."/>
    <x v="0"/>
  </r>
  <r>
    <n v="131285"/>
    <x v="2"/>
    <x v="1"/>
    <s v="8"/>
    <x v="6"/>
    <s v="1048458"/>
    <s v="2024-09-25"/>
    <s v="2024-09-25"/>
    <x v="0"/>
    <s v="Adult"/>
    <s v="Escapement"/>
    <s v="Dip Net"/>
    <s v="Otoliths and Scales"/>
    <n v="2"/>
    <x v="0"/>
    <x v="0"/>
    <m/>
    <s v="Resorption present but not enough to suspect an annuli is missing.  Age unaffected."/>
    <x v="0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1"/>
    <x v="3"/>
    <x v="0"/>
    <m/>
    <s v="Resorption present but not enough to suspect an annuli is missing.  Age unaffected."/>
    <x v="4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2"/>
    <x v="5"/>
    <x v="0"/>
    <m/>
    <s v="Resorption present but not enough to suspect an annuli is missing.  Age unaffected."/>
    <x v="7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3"/>
    <x v="1"/>
    <x v="1"/>
    <s v="Regenerate Scale"/>
    <s v="Resorbed Age Interpretation. Resorption affecting age and missing 1 marine annulus"/>
    <x v="2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1"/>
    <x v="3"/>
    <x v="0"/>
    <m/>
    <s v="Resorption present but not enough to suspect an annuli is missing.  Age unaffected."/>
    <x v="4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2"/>
    <x v="5"/>
    <x v="0"/>
    <m/>
    <s v="Resorption present but not enough to suspect an annuli is missing.  Age unaffected."/>
    <x v="7"/>
  </r>
  <r>
    <n v="131287"/>
    <x v="2"/>
    <x v="1"/>
    <s v="8"/>
    <x v="8"/>
    <s v="1048457"/>
    <s v="2024-09-25"/>
    <s v="2024-09-25"/>
    <x v="0"/>
    <s v="Adult"/>
    <s v="Escapement"/>
    <s v="Gaff"/>
    <s v="Otoliths and Scales"/>
    <n v="3"/>
    <x v="1"/>
    <x v="1"/>
    <s v="Regenerate Scale"/>
    <s v="Resorbed Age Interpretation. Resorption affecting age and missing 1 marine annulus"/>
    <x v="2"/>
  </r>
  <r>
    <m/>
    <x v="3"/>
    <x v="2"/>
    <m/>
    <x v="9"/>
    <m/>
    <m/>
    <m/>
    <x v="2"/>
    <m/>
    <m/>
    <m/>
    <m/>
    <m/>
    <x v="1"/>
    <x v="0"/>
    <m/>
    <m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FEF70C-FB3C-482E-A043-9870EBD4D42E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W51" firstHeaderRow="1" firstDataRow="2" firstDataCol="1"/>
  <pivotFields count="33">
    <pivotField showAll="0"/>
    <pivotField showAll="0"/>
    <pivotField showAll="0">
      <items count="19">
        <item x="6"/>
        <item x="9"/>
        <item x="13"/>
        <item x="7"/>
        <item x="1"/>
        <item x="14"/>
        <item x="11"/>
        <item x="16"/>
        <item x="12"/>
        <item x="2"/>
        <item x="0"/>
        <item x="10"/>
        <item x="3"/>
        <item x="15"/>
        <item x="4"/>
        <item x="8"/>
        <item x="5"/>
        <item x="17"/>
        <item t="default"/>
      </items>
    </pivotField>
    <pivotField showAll="0"/>
    <pivotField showAll="0"/>
    <pivotField showAll="0"/>
    <pivotField showAll="0"/>
    <pivotField showAll="0"/>
    <pivotField axis="axisCol" dataField="1" showAll="0">
      <items count="22">
        <item x="6"/>
        <item x="14"/>
        <item x="7"/>
        <item x="1"/>
        <item x="15"/>
        <item x="13"/>
        <item x="19"/>
        <item x="12"/>
        <item x="2"/>
        <item x="0"/>
        <item x="10"/>
        <item x="16"/>
        <item x="17"/>
        <item x="4"/>
        <item x="8"/>
        <item x="18"/>
        <item x="9"/>
        <item x="11"/>
        <item x="3"/>
        <item x="5"/>
        <item x="20"/>
        <item t="default"/>
      </items>
    </pivotField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25">
        <item x="11"/>
        <item x="9"/>
        <item x="1"/>
        <item x="12"/>
        <item x="16"/>
        <item x="19"/>
        <item x="2"/>
        <item x="8"/>
        <item x="0"/>
        <item x="21"/>
        <item x="13"/>
        <item x="3"/>
        <item x="10"/>
        <item x="18"/>
        <item x="14"/>
        <item x="22"/>
        <item x="17"/>
        <item x="20"/>
        <item x="5"/>
        <item x="6"/>
        <item x="7"/>
        <item x="15"/>
        <item x="4"/>
        <item x="23"/>
        <item t="default"/>
      </items>
    </pivotField>
    <pivotField showAll="0"/>
    <pivotField showAll="0"/>
    <pivotField showAll="0"/>
    <pivotField showAll="0"/>
    <pivotField axis="axisRow" showAll="0">
      <items count="6">
        <item x="1"/>
        <item x="3"/>
        <item x="0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3">
    <field x="13"/>
    <field x="26"/>
    <field x="21"/>
  </rowFields>
  <rowItems count="47">
    <i>
      <x/>
    </i>
    <i r="1">
      <x/>
    </i>
    <i r="2">
      <x v="5"/>
    </i>
    <i r="2">
      <x v="7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1"/>
    </i>
    <i r="1">
      <x v="1"/>
    </i>
    <i r="2">
      <x v="9"/>
    </i>
    <i r="1">
      <x v="2"/>
    </i>
    <i r="2">
      <x v="5"/>
    </i>
    <i r="1">
      <x v="3"/>
    </i>
    <i r="2">
      <x/>
    </i>
    <i>
      <x v="1"/>
    </i>
    <i r="1">
      <x v="2"/>
    </i>
    <i r="2">
      <x/>
    </i>
    <i r="2">
      <x v="1"/>
    </i>
    <i r="2">
      <x v="2"/>
    </i>
    <i r="2">
      <x v="3"/>
    </i>
    <i r="2">
      <x v="4"/>
    </i>
    <i r="2">
      <x v="6"/>
    </i>
    <i r="2">
      <x v="7"/>
    </i>
    <i r="2">
      <x v="8"/>
    </i>
    <i r="2">
      <x v="10"/>
    </i>
    <i r="2">
      <x v="11"/>
    </i>
    <i r="2">
      <x v="12"/>
    </i>
    <i r="2">
      <x v="13"/>
    </i>
    <i r="2">
      <x v="14"/>
    </i>
    <i r="2">
      <x v="16"/>
    </i>
    <i r="2">
      <x v="18"/>
    </i>
    <i r="2">
      <x v="19"/>
    </i>
    <i r="2">
      <x v="20"/>
    </i>
    <i r="2">
      <x v="21"/>
    </i>
    <i r="2">
      <x v="22"/>
    </i>
    <i>
      <x v="2"/>
    </i>
    <i r="1">
      <x v="4"/>
    </i>
    <i r="2">
      <x v="23"/>
    </i>
    <i t="grand">
      <x/>
    </i>
  </rowItems>
  <colFields count="1">
    <field x="8"/>
  </colFields>
  <col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colItems>
  <dataFields count="1">
    <dataField name="Count of EU Age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95A6B5-C17B-40DD-AECD-4FEB06F27A1A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N52" firstHeaderRow="1" firstDataRow="2" firstDataCol="1"/>
  <pivotFields count="28">
    <pivotField showAll="0"/>
    <pivotField showAll="0"/>
    <pivotField showAll="0"/>
    <pivotField showAll="0"/>
    <pivotField showAll="0"/>
    <pivotField axis="axisCol" dataField="1" showAll="0">
      <items count="22">
        <item h="1" x="6"/>
        <item x="9"/>
        <item x="7"/>
        <item x="1"/>
        <item x="19"/>
        <item h="1" x="16"/>
        <item x="18"/>
        <item x="11"/>
        <item x="2"/>
        <item x="0"/>
        <item x="13"/>
        <item h="1" x="15"/>
        <item x="10"/>
        <item x="4"/>
        <item x="8"/>
        <item h="1" x="17"/>
        <item h="1" x="12"/>
        <item h="1" x="14"/>
        <item h="1" x="3"/>
        <item h="1" x="5"/>
        <item h="1" x="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9">
        <item x="17"/>
        <item x="16"/>
        <item x="1"/>
        <item x="20"/>
        <item x="26"/>
        <item x="2"/>
        <item x="24"/>
        <item x="3"/>
        <item x="10"/>
        <item x="7"/>
        <item x="15"/>
        <item x="0"/>
        <item x="14"/>
        <item x="23"/>
        <item x="8"/>
        <item x="4"/>
        <item x="18"/>
        <item x="6"/>
        <item x="21"/>
        <item x="25"/>
        <item x="5"/>
        <item x="11"/>
        <item x="19"/>
        <item x="12"/>
        <item x="13"/>
        <item x="22"/>
        <item x="9"/>
        <item x="27"/>
        <item t="default"/>
      </items>
    </pivotField>
    <pivotField showAll="0"/>
    <pivotField showAll="0"/>
    <pivotField showAll="0"/>
    <pivotField showAll="0"/>
    <pivotField axis="axisRow" showAll="0">
      <items count="6">
        <item x="2"/>
        <item x="1"/>
        <item x="3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21"/>
    <field x="16"/>
  </rowFields>
  <rowItems count="48">
    <i>
      <x/>
    </i>
    <i r="1">
      <x/>
    </i>
    <i r="1">
      <x v="2"/>
    </i>
    <i r="1">
      <x v="4"/>
    </i>
    <i r="1">
      <x v="6"/>
    </i>
    <i r="1">
      <x v="8"/>
    </i>
    <i>
      <x v="1"/>
    </i>
    <i r="1">
      <x v="5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9"/>
    </i>
    <i r="1">
      <x v="21"/>
    </i>
    <i r="1">
      <x v="23"/>
    </i>
    <i r="1">
      <x v="24"/>
    </i>
    <i r="1">
      <x v="25"/>
    </i>
    <i r="1">
      <x v="26"/>
    </i>
    <i t="grand">
      <x/>
    </i>
  </rowItems>
  <colFields count="1">
    <field x="5"/>
  </colFields>
  <colItems count="13"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 t="grand">
      <x/>
    </i>
  </colItems>
  <dataFields count="1">
    <dataField name="Count of EU Ag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FF6612-0C1C-4788-988C-F2EF1E01892C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N27" firstHeaderRow="1" firstDataRow="2" firstDataCol="1" rowPageCount="1" colPageCount="1"/>
  <pivotFields count="19">
    <pivotField showAll="0"/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axis="axisRow" showAll="0">
      <items count="11">
        <item x="7"/>
        <item x="2"/>
        <item x="5"/>
        <item x="1"/>
        <item x="0"/>
        <item x="3"/>
        <item x="6"/>
        <item x="8"/>
        <item x="4"/>
        <item x="9"/>
        <item t="default"/>
      </items>
    </pivotField>
    <pivotField showAll="0"/>
    <pivotField showAll="0"/>
    <pivotField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>
      <items count="9">
        <item x="3"/>
        <item x="5"/>
        <item x="2"/>
        <item x="0"/>
        <item x="4"/>
        <item x="6"/>
        <item x="7"/>
        <item x="1"/>
        <item t="default"/>
      </items>
    </pivotField>
    <pivotField showAll="0">
      <items count="6">
        <item x="4"/>
        <item x="3"/>
        <item x="1"/>
        <item x="2"/>
        <item x="0"/>
        <item t="default"/>
      </items>
    </pivotField>
    <pivotField showAll="0"/>
    <pivotField showAll="0"/>
    <pivotField axis="axisCol" dataField="1" showAll="0">
      <items count="13">
        <item x="11"/>
        <item x="8"/>
        <item x="2"/>
        <item x="4"/>
        <item x="3"/>
        <item x="6"/>
        <item x="7"/>
        <item x="0"/>
        <item x="5"/>
        <item x="9"/>
        <item x="10"/>
        <item x="1"/>
        <item t="default"/>
      </items>
    </pivotField>
  </pivotFields>
  <rowFields count="3">
    <field x="2"/>
    <field x="1"/>
    <field x="4"/>
  </rowFields>
  <rowItems count="23">
    <i>
      <x/>
    </i>
    <i r="1">
      <x/>
    </i>
    <i r="2">
      <x v="1"/>
    </i>
    <i r="2">
      <x v="5"/>
    </i>
    <i r="2">
      <x v="8"/>
    </i>
    <i r="1">
      <x v="1"/>
    </i>
    <i r="2">
      <x v="2"/>
    </i>
    <i r="2">
      <x v="5"/>
    </i>
    <i r="2">
      <x v="6"/>
    </i>
    <i r="1">
      <x v="2"/>
    </i>
    <i r="2">
      <x/>
    </i>
    <i r="2">
      <x v="5"/>
    </i>
    <i r="2">
      <x v="6"/>
    </i>
    <i r="2">
      <x v="7"/>
    </i>
    <i r="2">
      <x v="8"/>
    </i>
    <i>
      <x v="1"/>
    </i>
    <i r="1">
      <x/>
    </i>
    <i r="2">
      <x v="4"/>
    </i>
    <i r="1">
      <x v="1"/>
    </i>
    <i r="2">
      <x v="3"/>
    </i>
    <i r="1">
      <x v="2"/>
    </i>
    <i r="2">
      <x v="3"/>
    </i>
    <i t="grand">
      <x/>
    </i>
  </rowItems>
  <colFields count="1">
    <field x="18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8" item="1" hier="-1"/>
  </pageFields>
  <dataFields count="1">
    <dataField name="Count of GR AGE" fld="1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ac-salmon.dfo-mpo.gc.ca/CwtDataEntry/" TargetMode="External"/><Relationship Id="rId2" Type="http://schemas.openxmlformats.org/officeDocument/2006/relationships/hyperlink" Target="https://pac-salmon.dfo-mpo.gc.ca/Nuseds.Query/" TargetMode="External"/><Relationship Id="rId1" Type="http://schemas.openxmlformats.org/officeDocument/2006/relationships/hyperlink" Target="https://pac-salmon.dfo-mpo.gc.ca/Nuseds.Query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28AEE-4D26-42F0-9FF2-85BEC72E9EFF}">
  <dimension ref="A1:E57"/>
  <sheetViews>
    <sheetView topLeftCell="A37" workbookViewId="0">
      <selection activeCell="B57" sqref="B57"/>
    </sheetView>
  </sheetViews>
  <sheetFormatPr defaultRowHeight="15" x14ac:dyDescent="0.25"/>
  <cols>
    <col min="1" max="1" width="15.7109375" customWidth="1"/>
    <col min="2" max="2" width="32.85546875" customWidth="1"/>
    <col min="5" max="5" width="27.140625" customWidth="1"/>
    <col min="12" max="12" width="16.28515625" customWidth="1"/>
    <col min="14" max="14" width="14.85546875" customWidth="1"/>
    <col min="15" max="15" width="12.28515625" customWidth="1"/>
  </cols>
  <sheetData>
    <row r="1" spans="1:2" x14ac:dyDescent="0.25">
      <c r="A1" t="s">
        <v>14</v>
      </c>
    </row>
    <row r="3" spans="1:2" x14ac:dyDescent="0.25">
      <c r="A3" t="s">
        <v>122</v>
      </c>
    </row>
    <row r="6" spans="1:2" x14ac:dyDescent="0.25">
      <c r="A6" s="34" t="s">
        <v>1</v>
      </c>
      <c r="B6" s="35" t="s">
        <v>100</v>
      </c>
    </row>
    <row r="7" spans="1:2" x14ac:dyDescent="0.25">
      <c r="A7" s="3" t="s">
        <v>0</v>
      </c>
      <c r="B7" s="36"/>
    </row>
    <row r="8" spans="1:2" x14ac:dyDescent="0.25">
      <c r="A8" s="3" t="s">
        <v>123</v>
      </c>
      <c r="B8" s="36"/>
    </row>
    <row r="9" spans="1:2" x14ac:dyDescent="0.25">
      <c r="A9" s="3" t="s">
        <v>91</v>
      </c>
      <c r="B9" s="36" t="s">
        <v>66</v>
      </c>
    </row>
    <row r="10" spans="1:2" x14ac:dyDescent="0.25">
      <c r="A10" s="3" t="s">
        <v>92</v>
      </c>
      <c r="B10" s="36" t="s">
        <v>78</v>
      </c>
    </row>
    <row r="11" spans="1:2" x14ac:dyDescent="0.25">
      <c r="A11" s="3"/>
      <c r="B11" s="36" t="s">
        <v>87</v>
      </c>
    </row>
    <row r="12" spans="1:2" x14ac:dyDescent="0.25">
      <c r="A12" s="3"/>
      <c r="B12" s="36"/>
    </row>
    <row r="13" spans="1:2" x14ac:dyDescent="0.25">
      <c r="A13" s="3" t="s">
        <v>93</v>
      </c>
      <c r="B13" s="36" t="s">
        <v>94</v>
      </c>
    </row>
    <row r="14" spans="1:2" x14ac:dyDescent="0.25">
      <c r="A14" s="37" t="s">
        <v>118</v>
      </c>
      <c r="B14" s="38" t="s">
        <v>119</v>
      </c>
    </row>
    <row r="17" spans="1:2" x14ac:dyDescent="0.25">
      <c r="A17" s="34" t="s">
        <v>1</v>
      </c>
      <c r="B17" s="35" t="s">
        <v>100</v>
      </c>
    </row>
    <row r="18" spans="1:2" x14ac:dyDescent="0.25">
      <c r="A18" s="3" t="s">
        <v>95</v>
      </c>
      <c r="B18" s="36"/>
    </row>
    <row r="19" spans="1:2" x14ac:dyDescent="0.25">
      <c r="A19" s="3" t="s">
        <v>123</v>
      </c>
      <c r="B19" s="36"/>
    </row>
    <row r="20" spans="1:2" x14ac:dyDescent="0.25">
      <c r="A20" s="3" t="s">
        <v>91</v>
      </c>
      <c r="B20" s="36" t="s">
        <v>66</v>
      </c>
    </row>
    <row r="21" spans="1:2" x14ac:dyDescent="0.25">
      <c r="A21" s="3" t="s">
        <v>96</v>
      </c>
      <c r="B21" s="36" t="s">
        <v>97</v>
      </c>
    </row>
    <row r="22" spans="1:2" x14ac:dyDescent="0.25">
      <c r="A22" s="3"/>
      <c r="B22" s="36" t="s">
        <v>98</v>
      </c>
    </row>
    <row r="23" spans="1:2" x14ac:dyDescent="0.25">
      <c r="A23" s="3"/>
      <c r="B23" s="36"/>
    </row>
    <row r="24" spans="1:2" x14ac:dyDescent="0.25">
      <c r="A24" s="3" t="s">
        <v>99</v>
      </c>
      <c r="B24" s="36" t="s">
        <v>103</v>
      </c>
    </row>
    <row r="25" spans="1:2" x14ac:dyDescent="0.25">
      <c r="A25" s="37" t="s">
        <v>118</v>
      </c>
      <c r="B25" s="38" t="s">
        <v>119</v>
      </c>
    </row>
    <row r="28" spans="1:2" x14ac:dyDescent="0.25">
      <c r="A28" t="s">
        <v>101</v>
      </c>
    </row>
    <row r="30" spans="1:2" x14ac:dyDescent="0.25">
      <c r="A30" t="s">
        <v>102</v>
      </c>
    </row>
    <row r="31" spans="1:2" x14ac:dyDescent="0.25">
      <c r="A31" t="s">
        <v>124</v>
      </c>
    </row>
    <row r="32" spans="1:2" x14ac:dyDescent="0.25">
      <c r="A32" t="s">
        <v>125</v>
      </c>
    </row>
    <row r="34" spans="1:5" x14ac:dyDescent="0.25">
      <c r="A34" t="s">
        <v>104</v>
      </c>
    </row>
    <row r="36" spans="1:5" x14ac:dyDescent="0.25">
      <c r="A36" s="39" t="s">
        <v>4</v>
      </c>
      <c r="B36" s="40" t="s">
        <v>127</v>
      </c>
      <c r="C36" s="40"/>
      <c r="D36" s="40"/>
      <c r="E36" s="35"/>
    </row>
    <row r="37" spans="1:5" x14ac:dyDescent="0.25">
      <c r="A37" s="3"/>
      <c r="B37" s="41"/>
      <c r="C37" s="41"/>
      <c r="D37" s="41"/>
      <c r="E37" s="36"/>
    </row>
    <row r="38" spans="1:5" x14ac:dyDescent="0.25">
      <c r="A38" s="42" t="s">
        <v>109</v>
      </c>
      <c r="B38" s="41"/>
      <c r="C38" s="41"/>
      <c r="D38" s="41"/>
      <c r="E38" s="36"/>
    </row>
    <row r="39" spans="1:5" x14ac:dyDescent="0.25">
      <c r="A39" s="3" t="s">
        <v>107</v>
      </c>
      <c r="B39" s="41" t="s">
        <v>106</v>
      </c>
      <c r="C39" s="41"/>
      <c r="D39" s="41"/>
      <c r="E39" s="36"/>
    </row>
    <row r="40" spans="1:5" x14ac:dyDescent="0.25">
      <c r="A40" s="3" t="s">
        <v>105</v>
      </c>
      <c r="B40" s="41" t="s">
        <v>66</v>
      </c>
      <c r="C40" s="41"/>
      <c r="D40" s="41"/>
      <c r="E40" s="36"/>
    </row>
    <row r="41" spans="1:5" x14ac:dyDescent="0.25">
      <c r="A41" s="3" t="s">
        <v>111</v>
      </c>
      <c r="B41" s="41" t="s">
        <v>77</v>
      </c>
      <c r="C41" s="41"/>
      <c r="D41" s="41"/>
      <c r="E41" s="36"/>
    </row>
    <row r="42" spans="1:5" x14ac:dyDescent="0.25">
      <c r="A42" s="3" t="s">
        <v>117</v>
      </c>
      <c r="B42" s="41"/>
      <c r="C42" s="41"/>
      <c r="D42" s="41"/>
      <c r="E42" s="36"/>
    </row>
    <row r="43" spans="1:5" x14ac:dyDescent="0.25">
      <c r="A43" s="3"/>
      <c r="B43" s="41"/>
      <c r="C43" s="41"/>
      <c r="D43" s="41"/>
      <c r="E43" s="36"/>
    </row>
    <row r="44" spans="1:5" x14ac:dyDescent="0.25">
      <c r="A44" s="42" t="s">
        <v>110</v>
      </c>
      <c r="B44" s="41"/>
      <c r="C44" s="41"/>
      <c r="D44" s="41"/>
      <c r="E44" s="36"/>
    </row>
    <row r="45" spans="1:5" x14ac:dyDescent="0.25">
      <c r="A45" s="3" t="s">
        <v>107</v>
      </c>
      <c r="B45" s="41" t="s">
        <v>108</v>
      </c>
      <c r="C45" s="41"/>
      <c r="D45" s="41"/>
      <c r="E45" s="36"/>
    </row>
    <row r="46" spans="1:5" x14ac:dyDescent="0.25">
      <c r="A46" s="3" t="s">
        <v>105</v>
      </c>
      <c r="B46" s="41" t="s">
        <v>66</v>
      </c>
      <c r="C46" s="41"/>
      <c r="D46" s="41"/>
      <c r="E46" s="36"/>
    </row>
    <row r="47" spans="1:5" x14ac:dyDescent="0.25">
      <c r="A47" s="3" t="s">
        <v>111</v>
      </c>
      <c r="B47" s="41" t="s">
        <v>85</v>
      </c>
      <c r="C47" s="41"/>
      <c r="D47" s="41"/>
      <c r="E47" s="36"/>
    </row>
    <row r="48" spans="1:5" x14ac:dyDescent="0.25">
      <c r="A48" s="3" t="s">
        <v>117</v>
      </c>
      <c r="B48" s="41"/>
      <c r="C48" s="41"/>
      <c r="D48" s="41"/>
      <c r="E48" s="36"/>
    </row>
    <row r="49" spans="1:5" x14ac:dyDescent="0.25">
      <c r="A49" s="3"/>
      <c r="B49" s="41"/>
      <c r="C49" s="41"/>
      <c r="D49" s="41"/>
      <c r="E49" s="36"/>
    </row>
    <row r="50" spans="1:5" x14ac:dyDescent="0.25">
      <c r="A50" s="3" t="s">
        <v>112</v>
      </c>
      <c r="B50" s="41"/>
      <c r="C50" s="41"/>
      <c r="D50" s="41"/>
      <c r="E50" s="36"/>
    </row>
    <row r="51" spans="1:5" x14ac:dyDescent="0.25">
      <c r="A51" s="3" t="s">
        <v>113</v>
      </c>
      <c r="B51" s="41"/>
      <c r="C51" s="41"/>
      <c r="D51" s="41"/>
      <c r="E51" s="36"/>
    </row>
    <row r="52" spans="1:5" x14ac:dyDescent="0.25">
      <c r="A52" s="3" t="s">
        <v>114</v>
      </c>
      <c r="B52" s="41"/>
      <c r="C52" s="41"/>
      <c r="D52" s="41"/>
      <c r="E52" s="36"/>
    </row>
    <row r="53" spans="1:5" x14ac:dyDescent="0.25">
      <c r="A53" s="3"/>
      <c r="B53" s="41"/>
      <c r="C53" s="41"/>
      <c r="D53" s="41"/>
      <c r="E53" s="36"/>
    </row>
    <row r="54" spans="1:5" x14ac:dyDescent="0.25">
      <c r="A54" s="3" t="s">
        <v>128</v>
      </c>
      <c r="B54" s="41"/>
      <c r="C54" s="41"/>
      <c r="D54" s="41"/>
      <c r="E54" s="36"/>
    </row>
    <row r="55" spans="1:5" x14ac:dyDescent="0.25">
      <c r="A55" s="3"/>
      <c r="B55" s="41"/>
      <c r="C55" s="41"/>
      <c r="D55" s="41"/>
      <c r="E55" s="36"/>
    </row>
    <row r="56" spans="1:5" x14ac:dyDescent="0.25">
      <c r="A56" s="3" t="s">
        <v>99</v>
      </c>
      <c r="B56" s="41" t="s">
        <v>129</v>
      </c>
      <c r="C56" s="41"/>
      <c r="D56" s="41"/>
      <c r="E56" s="36"/>
    </row>
    <row r="57" spans="1:5" x14ac:dyDescent="0.25">
      <c r="A57" s="37" t="s">
        <v>120</v>
      </c>
      <c r="B57" s="43" t="s">
        <v>121</v>
      </c>
      <c r="C57" s="43"/>
      <c r="D57" s="43"/>
      <c r="E57" s="38"/>
    </row>
  </sheetData>
  <hyperlinks>
    <hyperlink ref="A6" r:id="rId1" location="/Query#r" display="https://pac-salmon.dfo-mpo.gc.ca/Nuseds.Query/ - /Query#r" xr:uid="{3F574BE1-7403-422A-BCDD-5C8D6BC14CF6}"/>
    <hyperlink ref="A17" r:id="rId2" location="/Query#r" display="https://pac-salmon.dfo-mpo.gc.ca/Nuseds.Query/ - /Query#r" xr:uid="{F1993F19-2DEC-4E2E-86CA-93E8E8F0EE21}"/>
    <hyperlink ref="A36" r:id="rId3" location="/AgeBatchList" display="https://pac-salmon.dfo-mpo.gc.ca/CwtDataEntry/ - /AgeBatchList" xr:uid="{A62BD9DF-2212-4C4F-933F-83495AD94A51}"/>
  </hyperlinks>
  <pageMargins left="0.7" right="0.7" top="0.75" bottom="0.75" header="0.3" footer="0.3"/>
  <headerFooter>
    <oddHeader>&amp;R&amp;"Calibri"&amp;12&amp;K000000 Unclassified - Non-Classifié&amp;1#_x000D_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1426A-4379-4CEB-BAE3-E170D4ABAC8D}">
  <dimension ref="A1:J50"/>
  <sheetViews>
    <sheetView tabSelected="1" workbookViewId="0">
      <pane xSplit="1" ySplit="2" topLeftCell="B21" activePane="bottomRight" state="frozen"/>
      <selection pane="topRight" activeCell="B1" sqref="B1"/>
      <selection pane="bottomLeft" activeCell="A3" sqref="A3"/>
      <selection pane="bottomRight" activeCell="A25" sqref="A25:XFD25"/>
    </sheetView>
  </sheetViews>
  <sheetFormatPr defaultColWidth="8.7109375" defaultRowHeight="15" x14ac:dyDescent="0.25"/>
  <cols>
    <col min="1" max="1" width="8.7109375" style="20"/>
    <col min="2" max="5" width="18.42578125" style="20" customWidth="1"/>
    <col min="6" max="6" width="18.42578125" style="22" customWidth="1"/>
    <col min="7" max="7" width="18.42578125" style="14" customWidth="1"/>
    <col min="8" max="9" width="18.42578125" style="20" customWidth="1"/>
    <col min="10" max="10" width="18.42578125" style="14" customWidth="1"/>
    <col min="11" max="16384" width="8.7109375" style="14"/>
  </cols>
  <sheetData>
    <row r="1" spans="1:10" customFormat="1" x14ac:dyDescent="0.25">
      <c r="A1" s="5"/>
      <c r="B1" s="6" t="s">
        <v>17</v>
      </c>
      <c r="C1" s="6" t="s">
        <v>17</v>
      </c>
      <c r="D1" s="6" t="s">
        <v>17</v>
      </c>
      <c r="E1" s="7" t="s">
        <v>18</v>
      </c>
      <c r="F1" s="7" t="s">
        <v>18</v>
      </c>
      <c r="G1" s="7" t="s">
        <v>18</v>
      </c>
      <c r="H1" s="8" t="s">
        <v>19</v>
      </c>
      <c r="I1" s="8" t="s">
        <v>19</v>
      </c>
      <c r="J1" s="8" t="s">
        <v>19</v>
      </c>
    </row>
    <row r="2" spans="1:10" s="5" customFormat="1" ht="42.95" customHeight="1" x14ac:dyDescent="0.25">
      <c r="A2" s="10" t="s">
        <v>10</v>
      </c>
      <c r="B2" s="11" t="s">
        <v>15</v>
      </c>
      <c r="C2" s="11" t="s">
        <v>16</v>
      </c>
      <c r="D2" s="11" t="s">
        <v>61</v>
      </c>
      <c r="E2" s="12" t="s">
        <v>51</v>
      </c>
      <c r="F2" s="12" t="s">
        <v>16</v>
      </c>
      <c r="G2" s="26" t="s">
        <v>60</v>
      </c>
      <c r="H2" s="13" t="s">
        <v>15</v>
      </c>
      <c r="I2" s="13" t="s">
        <v>16</v>
      </c>
      <c r="J2" s="13" t="s">
        <v>60</v>
      </c>
    </row>
    <row r="3" spans="1:10" customFormat="1" x14ac:dyDescent="0.25">
      <c r="A3" s="28">
        <v>2025</v>
      </c>
      <c r="B3" s="19" t="str" cm="1">
        <f t="array" ref="B3">IFERROR(VLOOKUP(A3,'"PADS" Summary'!$A$7:$W$20,{23},0)," ")</f>
        <v xml:space="preserve"> </v>
      </c>
      <c r="C3" s="19" t="str" cm="1">
        <f t="array" ref="C3">IFERROR(VLOOKUP(A3,'"Age Readings Data" Summary'!$A$12:$W$28,{23},0)," ")</f>
        <v xml:space="preserve"> </v>
      </c>
      <c r="D3" s="19"/>
      <c r="E3" s="23" t="str" cm="1">
        <f t="array" ref="E3">IFERROR(VLOOKUP(A3,'"PADS" Summary'!$A$29:$W$47,{23},0)," ")</f>
        <v xml:space="preserve"> </v>
      </c>
      <c r="F3" s="21" t="str" cm="1">
        <f t="array" ref="F3">IFERROR(VLOOKUP(A3,'"Age Readings Data" Summary'!$A$32:$W$53,{23},0)," ")</f>
        <v xml:space="preserve"> </v>
      </c>
      <c r="G3" s="2"/>
      <c r="H3" s="25"/>
      <c r="I3" s="25"/>
      <c r="J3" s="1"/>
    </row>
    <row r="4" spans="1:10" customFormat="1" x14ac:dyDescent="0.25">
      <c r="A4" s="28">
        <v>2024</v>
      </c>
      <c r="B4" s="19" t="str" cm="1">
        <f t="array" ref="B4">IFERROR(VLOOKUP(A4,'"PADS" Summary'!$A$7:$W$20,{23},0)," ")</f>
        <v xml:space="preserve"> </v>
      </c>
      <c r="C4" s="19" t="str" cm="1">
        <f t="array" ref="C4">IFERROR(VLOOKUP(A4,'"Age Readings Data" Summary'!$A$12:$W$28,{23},0)," ")</f>
        <v xml:space="preserve"> </v>
      </c>
      <c r="D4" s="19">
        <v>57</v>
      </c>
      <c r="E4" s="23" t="str" cm="1">
        <f t="array" ref="E4">IFERROR(VLOOKUP(A4,'"PADS" Summary'!$A$29:$W$47,{23},0)," ")</f>
        <v xml:space="preserve"> </v>
      </c>
      <c r="F4" s="21" t="str" cm="1">
        <f t="array" ref="F4">IFERROR(VLOOKUP(A4,'"Age Readings Data" Summary'!$A$32:$W$53,{23},0)," ")</f>
        <v xml:space="preserve"> </v>
      </c>
      <c r="G4" s="23">
        <v>10</v>
      </c>
      <c r="H4" s="25"/>
      <c r="I4" s="25"/>
      <c r="J4" s="1"/>
    </row>
    <row r="5" spans="1:10" customFormat="1" x14ac:dyDescent="0.25">
      <c r="A5" s="28">
        <v>2023</v>
      </c>
      <c r="B5" s="19" t="str" cm="1">
        <f t="array" ref="B5">IFERROR(VLOOKUP(A5,'"PADS" Summary'!$A$7:$W$20,{23},0)," ")</f>
        <v xml:space="preserve"> </v>
      </c>
      <c r="C5" s="19" t="str" cm="1">
        <f t="array" ref="C5">IFERROR(VLOOKUP(A5,'"Age Readings Data" Summary'!$A$12:$W$28,{23},0)," ")</f>
        <v xml:space="preserve"> </v>
      </c>
      <c r="D5" s="19">
        <v>25</v>
      </c>
      <c r="E5" s="23" t="str" cm="1">
        <f t="array" ref="E5">IFERROR(VLOOKUP(A5,'"PADS" Summary'!$A$29:$W$47,{23},0)," ")</f>
        <v xml:space="preserve"> </v>
      </c>
      <c r="F5" s="21" t="str" cm="1">
        <f t="array" ref="F5">IFERROR(VLOOKUP(A5,'"Age Readings Data" Summary'!$A$32:$W$53,{23},0)," ")</f>
        <v xml:space="preserve"> </v>
      </c>
      <c r="G5" s="23">
        <v>11</v>
      </c>
      <c r="H5" s="25"/>
      <c r="I5" s="25"/>
      <c r="J5" s="1"/>
    </row>
    <row r="6" spans="1:10" customFormat="1" x14ac:dyDescent="0.25">
      <c r="A6" s="28">
        <v>2022</v>
      </c>
      <c r="B6" s="19" t="str" cm="1">
        <f t="array" ref="B6">IFERROR(VLOOKUP(A6,'"PADS" Summary'!$A$7:$W$20,{23},0)," ")</f>
        <v xml:space="preserve"> </v>
      </c>
      <c r="C6" s="19" t="str" cm="1">
        <f t="array" ref="C6">IFERROR(VLOOKUP(A6,'"Age Readings Data" Summary'!$A$12:$W$28,{23},0)," ")</f>
        <v xml:space="preserve"> </v>
      </c>
      <c r="D6" s="19">
        <v>254</v>
      </c>
      <c r="E6" s="23" t="str" cm="1">
        <f t="array" ref="E6">IFERROR(VLOOKUP(A6,'"PADS" Summary'!$A$29:$W$47,{23},0)," ")</f>
        <v xml:space="preserve"> </v>
      </c>
      <c r="F6" s="21" t="str" cm="1">
        <f t="array" ref="F6">IFERROR(VLOOKUP(A6,'"Age Readings Data" Summary'!$A$32:$W$53,{23},0)," ")</f>
        <v xml:space="preserve"> </v>
      </c>
      <c r="G6" s="23">
        <v>16</v>
      </c>
      <c r="H6" s="25"/>
      <c r="I6" s="25"/>
      <c r="J6" s="1"/>
    </row>
    <row r="7" spans="1:10" customFormat="1" x14ac:dyDescent="0.25">
      <c r="A7" s="28">
        <v>2021</v>
      </c>
      <c r="B7" s="19" t="str" cm="1">
        <f t="array" ref="B7">IFERROR(VLOOKUP(A7,'"PADS" Summary'!$A$7:$W$20,{23},0)," ")</f>
        <v xml:space="preserve"> </v>
      </c>
      <c r="C7" s="19" cm="1">
        <f t="array" ref="C7">IFERROR(VLOOKUP(A7,'"Age Readings Data" Summary'!$A$12:$W$28,{23},0)," ")</f>
        <v>0</v>
      </c>
      <c r="D7" s="19"/>
      <c r="E7" s="23" cm="1">
        <f t="array" ref="E7">IFERROR(VLOOKUP(A7,'"PADS" Summary'!$A$29:$W$47,{23},0)," ")</f>
        <v>8</v>
      </c>
      <c r="F7" s="21" cm="1">
        <f t="array" ref="F7">IFERROR(VLOOKUP(A7,'"Age Readings Data" Summary'!$A$32:$W$53,{23},0)," ")</f>
        <v>0</v>
      </c>
      <c r="G7" s="2"/>
      <c r="H7" s="25"/>
      <c r="I7" s="25"/>
      <c r="J7" s="1"/>
    </row>
    <row r="8" spans="1:10" customFormat="1" x14ac:dyDescent="0.25">
      <c r="A8" s="28">
        <v>2020</v>
      </c>
      <c r="B8" s="19" cm="1">
        <f t="array" ref="B8">IFERROR(VLOOKUP(A8,'"PADS" Summary'!$A$7:$W$20,{23},0)," ")</f>
        <v>28</v>
      </c>
      <c r="C8" s="19" cm="1">
        <f t="array" ref="C8">IFERROR(VLOOKUP(A8,'"Age Readings Data" Summary'!$A$12:$W$28,{23},0)," ")</f>
        <v>0</v>
      </c>
      <c r="D8" s="19"/>
      <c r="E8" s="23" cm="1">
        <f t="array" ref="E8">IFERROR(VLOOKUP(A8,'"PADS" Summary'!$A$29:$W$47,{23},0)," ")</f>
        <v>12</v>
      </c>
      <c r="F8" s="21" cm="1">
        <f t="array" ref="F8">IFERROR(VLOOKUP(A8,'"Age Readings Data" Summary'!$A$32:$W$53,{23},0)," ")</f>
        <v>0</v>
      </c>
      <c r="G8" s="2"/>
      <c r="H8" s="25"/>
      <c r="I8" s="25"/>
      <c r="J8" s="1"/>
    </row>
    <row r="9" spans="1:10" customFormat="1" x14ac:dyDescent="0.25">
      <c r="A9" s="28">
        <v>2019</v>
      </c>
      <c r="B9" s="19" t="str" cm="1">
        <f t="array" ref="B9">IFERROR(VLOOKUP(A9,'"PADS" Summary'!$A$7:$W$20,{23},0)," ")</f>
        <v xml:space="preserve"> </v>
      </c>
      <c r="C9" s="19" cm="1">
        <f t="array" ref="C9">IFERROR(VLOOKUP(A9,'"Age Readings Data" Summary'!$A$12:$W$28,{23},0)," ")</f>
        <v>0</v>
      </c>
      <c r="D9" s="19"/>
      <c r="E9" s="23" cm="1">
        <f t="array" ref="E9">IFERROR(VLOOKUP(A9,'"PADS" Summary'!$A$29:$W$47,{23},0)," ")</f>
        <v>75</v>
      </c>
      <c r="F9" s="21" cm="1">
        <f t="array" ref="F9">IFERROR(VLOOKUP(A9,'"Age Readings Data" Summary'!$A$32:$W$53,{23},0)," ")</f>
        <v>0</v>
      </c>
      <c r="G9" s="2"/>
      <c r="H9" s="25"/>
      <c r="I9" s="25"/>
      <c r="J9" s="1"/>
    </row>
    <row r="10" spans="1:10" customFormat="1" x14ac:dyDescent="0.25">
      <c r="A10" s="28">
        <v>2018</v>
      </c>
      <c r="B10" s="19" cm="1">
        <f t="array" ref="B10">IFERROR(VLOOKUP(A10,'"PADS" Summary'!$A$7:$W$20,{23},0)," ")</f>
        <v>207</v>
      </c>
      <c r="C10" s="19" cm="1">
        <f t="array" ref="C10">IFERROR(VLOOKUP(A10,'"Age Readings Data" Summary'!$A$12:$W$28,{23},0)," ")</f>
        <v>0</v>
      </c>
      <c r="D10" s="19"/>
      <c r="E10" s="23" cm="1">
        <f t="array" ref="E10">IFERROR(VLOOKUP(A10,'"PADS" Summary'!$A$29:$W$47,{23},0)," ")</f>
        <v>44</v>
      </c>
      <c r="F10" s="21" cm="1">
        <f t="array" ref="F10">IFERROR(VLOOKUP(A10,'"Age Readings Data" Summary'!$A$32:$W$53,{23},0)," ")</f>
        <v>0</v>
      </c>
      <c r="G10" s="2"/>
      <c r="H10" s="25"/>
      <c r="I10" s="25"/>
      <c r="J10" s="1"/>
    </row>
    <row r="11" spans="1:10" customFormat="1" x14ac:dyDescent="0.25">
      <c r="A11" s="28">
        <v>2017</v>
      </c>
      <c r="B11" s="19" t="str" cm="1">
        <f t="array" ref="B11">IFERROR(VLOOKUP(A11,'"PADS" Summary'!$A$7:$W$20,{23},0)," ")</f>
        <v xml:space="preserve"> </v>
      </c>
      <c r="C11" s="19" cm="1">
        <f t="array" ref="C11">IFERROR(VLOOKUP(A11,'"Age Readings Data" Summary'!$A$12:$W$28,{23},0)," ")</f>
        <v>0</v>
      </c>
      <c r="D11" s="19"/>
      <c r="E11" s="23" t="str" cm="1">
        <f t="array" ref="E11">IFERROR(VLOOKUP(A11,'"PADS" Summary'!$A$29:$W$47,{23},0)," ")</f>
        <v xml:space="preserve"> </v>
      </c>
      <c r="F11" s="21" t="str" cm="1">
        <f t="array" ref="F11">IFERROR(VLOOKUP(A11,'"Age Readings Data" Summary'!$A$32:$W$53,{23},0)," ")</f>
        <v xml:space="preserve"> </v>
      </c>
      <c r="G11" s="2"/>
      <c r="H11" s="25"/>
      <c r="I11" s="25"/>
      <c r="J11" s="1"/>
    </row>
    <row r="12" spans="1:10" customFormat="1" x14ac:dyDescent="0.25">
      <c r="A12" s="28">
        <v>2016</v>
      </c>
      <c r="B12" s="19" cm="1">
        <f t="array" ref="B12">IFERROR(VLOOKUP(A12,'"PADS" Summary'!$A$7:$W$20,{23},0)," ")</f>
        <v>244</v>
      </c>
      <c r="C12" s="19" cm="1">
        <f t="array" ref="C12">IFERROR(VLOOKUP(A12,'"Age Readings Data" Summary'!$A$12:$W$28,{23},0)," ")</f>
        <v>0</v>
      </c>
      <c r="D12" s="19"/>
      <c r="E12" s="23" cm="1">
        <f t="array" ref="E12">IFERROR(VLOOKUP(A12,'"PADS" Summary'!$A$29:$W$47,{23},0)," ")</f>
        <v>23</v>
      </c>
      <c r="F12" s="21" cm="1">
        <f t="array" ref="F12">IFERROR(VLOOKUP(A12,'"Age Readings Data" Summary'!$A$32:$W$53,{23},0)," ")</f>
        <v>0</v>
      </c>
      <c r="G12" s="2"/>
      <c r="H12" s="25"/>
      <c r="I12" s="25"/>
      <c r="J12" s="1"/>
    </row>
    <row r="13" spans="1:10" customFormat="1" x14ac:dyDescent="0.25">
      <c r="A13" s="28">
        <v>2015</v>
      </c>
      <c r="B13" s="19" cm="1">
        <f t="array" ref="B13">IFERROR(VLOOKUP(A13,'"PADS" Summary'!$A$7:$W$20,{23},0)," ")</f>
        <v>100</v>
      </c>
      <c r="C13" s="19" cm="1">
        <f t="array" ref="C13">IFERROR(VLOOKUP(A13,'"Age Readings Data" Summary'!$A$12:$W$28,{23},0)," ")</f>
        <v>0</v>
      </c>
      <c r="D13" s="19"/>
      <c r="E13" s="23" t="str" cm="1">
        <f t="array" ref="E13">IFERROR(VLOOKUP(A13,'"PADS" Summary'!$A$29:$W$47,{23},0)," ")</f>
        <v xml:space="preserve"> </v>
      </c>
      <c r="F13" s="21" t="str" cm="1">
        <f t="array" ref="F13">IFERROR(VLOOKUP(A13,'"Age Readings Data" Summary'!$A$32:$W$53,{23},0)," ")</f>
        <v xml:space="preserve"> </v>
      </c>
      <c r="G13" s="2"/>
      <c r="H13" s="25"/>
      <c r="I13" s="25"/>
      <c r="J13" s="1"/>
    </row>
    <row r="14" spans="1:10" customFormat="1" x14ac:dyDescent="0.25">
      <c r="A14" s="28">
        <v>2014</v>
      </c>
      <c r="B14" s="19" cm="1">
        <f t="array" ref="B14">IFERROR(VLOOKUP(A14,'"PADS" Summary'!$A$7:$W$20,{23},0)," ")</f>
        <v>34</v>
      </c>
      <c r="C14" s="19" cm="1">
        <f t="array" ref="C14">IFERROR(VLOOKUP(A14,'"Age Readings Data" Summary'!$A$12:$W$28,{23},0)," ")</f>
        <v>0</v>
      </c>
      <c r="D14" s="19"/>
      <c r="E14" s="23" cm="1">
        <f t="array" ref="E14">IFERROR(VLOOKUP(A14,'"PADS" Summary'!$A$29:$W$47,{23},0)," ")</f>
        <v>29</v>
      </c>
      <c r="F14" s="21" cm="1">
        <f t="array" ref="F14">IFERROR(VLOOKUP(A14,'"Age Readings Data" Summary'!$A$32:$W$53,{23},0)," ")</f>
        <v>0</v>
      </c>
      <c r="G14" s="2"/>
      <c r="H14" s="25"/>
      <c r="I14" s="25"/>
      <c r="J14" s="1"/>
    </row>
    <row r="15" spans="1:10" customFormat="1" x14ac:dyDescent="0.25">
      <c r="A15" s="28">
        <v>2013</v>
      </c>
      <c r="B15" s="19" cm="1">
        <f t="array" ref="B15">IFERROR(VLOOKUP(A15,'"PADS" Summary'!$A$7:$W$20,{23},0)," ")</f>
        <v>306</v>
      </c>
      <c r="C15" s="19" cm="1">
        <f t="array" ref="C15">IFERROR(VLOOKUP(A15,'"Age Readings Data" Summary'!$A$12:$W$28,{23},0)," ")</f>
        <v>0</v>
      </c>
      <c r="D15" s="19"/>
      <c r="E15" s="23" t="str" cm="1">
        <f t="array" ref="E15">IFERROR(VLOOKUP(A15,'"PADS" Summary'!$A$29:$W$47,{23},0)," ")</f>
        <v xml:space="preserve"> </v>
      </c>
      <c r="F15" s="21" t="str" cm="1">
        <f t="array" ref="F15">IFERROR(VLOOKUP(A15,'"Age Readings Data" Summary'!$A$32:$W$53,{23},0)," ")</f>
        <v xml:space="preserve"> </v>
      </c>
      <c r="G15" s="2"/>
      <c r="H15" s="25"/>
      <c r="I15" s="25"/>
      <c r="J15" s="1"/>
    </row>
    <row r="16" spans="1:10" customFormat="1" x14ac:dyDescent="0.25">
      <c r="A16" s="28">
        <v>2012</v>
      </c>
      <c r="B16" s="19" cm="1">
        <f t="array" ref="B16">IFERROR(VLOOKUP(A16,'"PADS" Summary'!$A$7:$W$20,{23},0)," ")</f>
        <v>263</v>
      </c>
      <c r="C16" s="19" cm="1">
        <f t="array" ref="C16">IFERROR(VLOOKUP(A16,'"Age Readings Data" Summary'!$A$12:$W$28,{23},0)," ")</f>
        <v>0</v>
      </c>
      <c r="D16" s="19"/>
      <c r="E16" s="23" cm="1">
        <f t="array" ref="E16">IFERROR(VLOOKUP(A16,'"PADS" Summary'!$A$29:$W$47,{23},0)," ")</f>
        <v>29</v>
      </c>
      <c r="F16" s="21" cm="1">
        <f t="array" ref="F16">IFERROR(VLOOKUP(A16,'"Age Readings Data" Summary'!$A$32:$W$53,{23},0)," ")</f>
        <v>0</v>
      </c>
      <c r="G16" s="2"/>
      <c r="H16" s="25"/>
      <c r="I16" s="25"/>
      <c r="J16" s="1"/>
    </row>
    <row r="17" spans="1:10" customFormat="1" x14ac:dyDescent="0.25">
      <c r="A17" s="28">
        <v>2011</v>
      </c>
      <c r="B17" s="19" cm="1">
        <f t="array" ref="B17">IFERROR(VLOOKUP(A17,'"PADS" Summary'!$A$7:$W$20,{23},0)," ")</f>
        <v>57</v>
      </c>
      <c r="C17" s="19" cm="1">
        <f t="array" ref="C17">IFERROR(VLOOKUP(A17,'"Age Readings Data" Summary'!$A$12:$W$28,{23},0)," ")</f>
        <v>0</v>
      </c>
      <c r="D17" s="19"/>
      <c r="E17" s="23" cm="1">
        <f t="array" ref="E17">IFERROR(VLOOKUP(A17,'"PADS" Summary'!$A$29:$W$47,{23},0)," ")</f>
        <v>9</v>
      </c>
      <c r="F17" s="21" cm="1">
        <f t="array" ref="F17">IFERROR(VLOOKUP(A17,'"Age Readings Data" Summary'!$A$32:$W$53,{23},0)," ")</f>
        <v>0</v>
      </c>
      <c r="G17" s="2"/>
      <c r="H17" s="25"/>
      <c r="I17" s="25"/>
      <c r="J17" s="1"/>
    </row>
    <row r="18" spans="1:10" customFormat="1" x14ac:dyDescent="0.25">
      <c r="A18" s="28">
        <v>2010</v>
      </c>
      <c r="B18" s="19" cm="1">
        <f t="array" ref="B18">IFERROR(VLOOKUP(A18,'"PADS" Summary'!$A$7:$W$20,{23},0)," ")</f>
        <v>54</v>
      </c>
      <c r="C18" s="19" cm="1">
        <f t="array" ref="C18">IFERROR(VLOOKUP(A18,'"Age Readings Data" Summary'!$A$12:$W$28,{23},0)," ")</f>
        <v>0</v>
      </c>
      <c r="D18" s="19"/>
      <c r="E18" s="23" cm="1">
        <f t="array" ref="E18">IFERROR(VLOOKUP(A18,'"PADS" Summary'!$A$29:$W$47,{23},0)," ")</f>
        <v>72</v>
      </c>
      <c r="F18" s="21" cm="1">
        <f t="array" ref="F18">IFERROR(VLOOKUP(A18,'"Age Readings Data" Summary'!$A$32:$W$53,{23},0)," ")</f>
        <v>0</v>
      </c>
      <c r="G18" s="2"/>
      <c r="H18" s="25"/>
      <c r="I18" s="25"/>
      <c r="J18" s="1"/>
    </row>
    <row r="19" spans="1:10" customFormat="1" x14ac:dyDescent="0.25">
      <c r="A19" s="28">
        <v>2009</v>
      </c>
      <c r="B19" s="19" cm="1">
        <f t="array" ref="B19">IFERROR(VLOOKUP(A19,'"PADS" Summary'!$A$7:$W$20,{23},0)," ")</f>
        <v>181</v>
      </c>
      <c r="C19" s="19" cm="1">
        <f t="array" ref="C19">IFERROR(VLOOKUP(A19,'"Age Readings Data" Summary'!$A$12:$W$28,{23},0)," ")</f>
        <v>0</v>
      </c>
      <c r="D19" s="19"/>
      <c r="E19" s="23" cm="1">
        <f t="array" ref="E19">IFERROR(VLOOKUP(A19,'"PADS" Summary'!$A$29:$W$47,{23},0)," ")</f>
        <v>35</v>
      </c>
      <c r="F19" s="21" cm="1">
        <f t="array" ref="F19">IFERROR(VLOOKUP(A19,'"Age Readings Data" Summary'!$A$32:$W$53,{23},0)," ")</f>
        <v>0</v>
      </c>
      <c r="G19" s="2"/>
      <c r="H19" s="25"/>
      <c r="I19" s="25"/>
      <c r="J19" s="1"/>
    </row>
    <row r="20" spans="1:10" customFormat="1" x14ac:dyDescent="0.25">
      <c r="A20" s="28">
        <v>2008</v>
      </c>
      <c r="B20" s="19" cm="1">
        <f t="array" ref="B20">IFERROR(VLOOKUP(A20,'"PADS" Summary'!$A$7:$W$20,{23},0)," ")</f>
        <v>173</v>
      </c>
      <c r="C20" s="19" cm="1">
        <f t="array" ref="C20">IFERROR(VLOOKUP(A20,'"Age Readings Data" Summary'!$A$12:$W$28,{23},0)," ")</f>
        <v>0</v>
      </c>
      <c r="D20" s="19"/>
      <c r="E20" s="23" cm="1">
        <f t="array" ref="E20">IFERROR(VLOOKUP(A20,'"PADS" Summary'!$A$29:$W$47,{23},0)," ")</f>
        <v>41</v>
      </c>
      <c r="F20" s="21" cm="1">
        <f t="array" ref="F20">IFERROR(VLOOKUP(A20,'"Age Readings Data" Summary'!$A$32:$W$53,{23},0)," ")</f>
        <v>0</v>
      </c>
      <c r="G20" s="2"/>
      <c r="H20" s="25"/>
      <c r="I20" s="25"/>
      <c r="J20" s="1"/>
    </row>
    <row r="21" spans="1:10" customFormat="1" x14ac:dyDescent="0.25">
      <c r="A21" s="28">
        <v>2007</v>
      </c>
      <c r="B21" s="19" cm="1">
        <f t="array" ref="B21">IFERROR(VLOOKUP(A21,'"PADS" Summary'!$A$7:$W$20,{23},0)," ")</f>
        <v>118</v>
      </c>
      <c r="C21" s="19" cm="1">
        <f t="array" ref="C21">IFERROR(VLOOKUP(A21,'"Age Readings Data" Summary'!$A$12:$W$28,{23},0)," ")</f>
        <v>0</v>
      </c>
      <c r="D21" s="19"/>
      <c r="E21" s="23" t="str" cm="1">
        <f t="array" ref="E21">IFERROR(VLOOKUP(A21,'"PADS" Summary'!$A$29:$W$47,{23},0)," ")</f>
        <v xml:space="preserve"> </v>
      </c>
      <c r="F21" s="21" t="str" cm="1">
        <f t="array" ref="F21">IFERROR(VLOOKUP(A21,'"Age Readings Data" Summary'!$A$32:$W$53,{23},0)," ")</f>
        <v xml:space="preserve"> </v>
      </c>
      <c r="G21" s="2"/>
      <c r="H21" s="25" t="s">
        <v>53</v>
      </c>
      <c r="I21" s="25" t="s">
        <v>53</v>
      </c>
      <c r="J21" s="1"/>
    </row>
    <row r="22" spans="1:10" customFormat="1" x14ac:dyDescent="0.25">
      <c r="A22" s="28">
        <v>2006</v>
      </c>
      <c r="B22" s="19" t="str" cm="1">
        <f t="array" ref="B22">IFERROR(VLOOKUP(A22,'"PADS" Summary'!$A$7:$W$20,{23},0)," ")</f>
        <v xml:space="preserve"> </v>
      </c>
      <c r="C22" s="19" t="str" cm="1">
        <f t="array" ref="C22">IFERROR(VLOOKUP(A22,'"Age Readings Data" Summary'!$A$12:$W$28,{23},0)," ")</f>
        <v xml:space="preserve"> </v>
      </c>
      <c r="D22" s="19"/>
      <c r="E22" s="23" cm="1">
        <f t="array" ref="E22">IFERROR(VLOOKUP(A22,'"PADS" Summary'!$A$29:$W$47,{23},0)," ")</f>
        <v>74</v>
      </c>
      <c r="F22" s="21" cm="1">
        <f t="array" ref="F22">IFERROR(VLOOKUP(A22,'"Age Readings Data" Summary'!$A$32:$W$53,{23},0)," ")</f>
        <v>0</v>
      </c>
      <c r="G22" s="2"/>
      <c r="H22" s="25"/>
      <c r="I22" s="25"/>
      <c r="J22" s="1"/>
    </row>
    <row r="23" spans="1:10" customFormat="1" x14ac:dyDescent="0.25">
      <c r="A23" s="28">
        <v>2005</v>
      </c>
      <c r="B23" s="19" cm="1">
        <f t="array" ref="B23">IFERROR(VLOOKUP(A23,'"PADS" Summary'!$A$7:$W$20,{23},0)," ")</f>
        <v>42</v>
      </c>
      <c r="C23" s="19" cm="1">
        <f t="array" ref="C23">IFERROR(VLOOKUP(A23,'"Age Readings Data" Summary'!$A$12:$W$28,{23},0)," ")</f>
        <v>0</v>
      </c>
      <c r="D23" s="19"/>
      <c r="E23" s="23" cm="1">
        <f t="array" ref="E23">IFERROR(VLOOKUP(A23,'"PADS" Summary'!$A$29:$W$47,{23},0)," ")</f>
        <v>163</v>
      </c>
      <c r="F23" s="21" cm="1">
        <f t="array" ref="F23">IFERROR(VLOOKUP(A23,'"Age Readings Data" Summary'!$A$32:$W$53,{23},0)," ")</f>
        <v>0</v>
      </c>
      <c r="G23" s="2"/>
      <c r="H23" s="25"/>
      <c r="I23" s="25"/>
      <c r="J23" s="1"/>
    </row>
    <row r="24" spans="1:10" customFormat="1" x14ac:dyDescent="0.25">
      <c r="A24" s="28">
        <v>2004</v>
      </c>
      <c r="B24" s="19" t="str" cm="1">
        <f t="array" ref="B24">IFERROR(VLOOKUP(A24,'"PADS" Summary'!$A$7:$W$20,{23},0)," ")</f>
        <v xml:space="preserve"> </v>
      </c>
      <c r="C24" s="19" t="str" cm="1">
        <f t="array" ref="C24">IFERROR(VLOOKUP(A24,'"Age Readings Data" Summary'!$A$12:$W$28,{23},0)," ")</f>
        <v xml:space="preserve"> </v>
      </c>
      <c r="D24" s="19"/>
      <c r="E24" s="23" t="str" cm="1">
        <f t="array" ref="E24">IFERROR(VLOOKUP(A24,'"PADS" Summary'!$A$29:$W$47,{23},0)," ")</f>
        <v xml:space="preserve"> </v>
      </c>
      <c r="F24" s="21" t="str" cm="1">
        <f t="array" ref="F24">IFERROR(VLOOKUP(A24,'"Age Readings Data" Summary'!$A$32:$W$53,{23},0)," ")</f>
        <v xml:space="preserve"> </v>
      </c>
      <c r="G24" s="2"/>
      <c r="H24" s="25"/>
      <c r="I24" s="25"/>
      <c r="J24" s="1"/>
    </row>
    <row r="25" spans="1:10" customFormat="1" x14ac:dyDescent="0.25">
      <c r="A25" s="28">
        <v>2003</v>
      </c>
      <c r="B25" s="19" t="str" cm="1">
        <f t="array" ref="B25">IFERROR(VLOOKUP(A25,'"PADS" Summary'!$A$7:$W$20,{23},0)," ")</f>
        <v xml:space="preserve"> </v>
      </c>
      <c r="C25" s="19" t="str" cm="1">
        <f t="array" ref="C25">IFERROR(VLOOKUP(A25,'"Age Readings Data" Summary'!$A$12:$W$28,{23},0)," ")</f>
        <v xml:space="preserve"> </v>
      </c>
      <c r="D25" s="19"/>
      <c r="E25" s="23" cm="1">
        <f t="array" ref="E25">IFERROR(VLOOKUP(A25,'"PADS" Summary'!$A$29:$W$47,{23},0)," ")</f>
        <v>224</v>
      </c>
      <c r="F25" s="21" cm="1">
        <f t="array" ref="F25">IFERROR(VLOOKUP(A25,'"Age Readings Data" Summary'!$A$32:$W$53,{23},0)," ")</f>
        <v>0</v>
      </c>
      <c r="G25" s="2"/>
      <c r="H25" s="25"/>
      <c r="I25" s="25"/>
      <c r="J25" s="1"/>
    </row>
    <row r="26" spans="1:10" customFormat="1" x14ac:dyDescent="0.25">
      <c r="A26" s="28">
        <v>2002</v>
      </c>
      <c r="B26" s="19" t="str" cm="1">
        <f t="array" ref="B26">IFERROR(VLOOKUP(A26,'"PADS" Summary'!$A$7:$W$20,{23},0)," ")</f>
        <v xml:space="preserve"> </v>
      </c>
      <c r="C26" s="19" t="str" cm="1">
        <f t="array" ref="C26">IFERROR(VLOOKUP(A26,'"Age Readings Data" Summary'!$A$12:$W$28,{23},0)," ")</f>
        <v xml:space="preserve"> </v>
      </c>
      <c r="D26" s="19"/>
      <c r="E26" s="23" t="str" cm="1">
        <f t="array" ref="E26">IFERROR(VLOOKUP(A26,'"PADS" Summary'!$A$29:$W$47,{23},0)," ")</f>
        <v xml:space="preserve"> </v>
      </c>
      <c r="F26" s="21" t="str" cm="1">
        <f t="array" ref="F26">IFERROR(VLOOKUP(A26,'"Age Readings Data" Summary'!$A$32:$W$53,{23},0)," ")</f>
        <v xml:space="preserve"> </v>
      </c>
      <c r="G26" s="2"/>
      <c r="H26" s="25"/>
      <c r="I26" s="25"/>
      <c r="J26" s="1"/>
    </row>
    <row r="27" spans="1:10" customFormat="1" x14ac:dyDescent="0.25">
      <c r="A27" s="28">
        <v>2001</v>
      </c>
      <c r="B27" s="19" t="str" cm="1">
        <f t="array" ref="B27">IFERROR(VLOOKUP(A27,'"PADS" Summary'!$A$7:$W$20,{23},0)," ")</f>
        <v xml:space="preserve"> </v>
      </c>
      <c r="C27" s="19" t="str" cm="1">
        <f t="array" ref="C27">IFERROR(VLOOKUP(A27,'"Age Readings Data" Summary'!$A$12:$W$28,{23},0)," ")</f>
        <v xml:space="preserve"> </v>
      </c>
      <c r="D27" s="19"/>
      <c r="E27" s="23" t="str" cm="1">
        <f t="array" ref="E27">IFERROR(VLOOKUP(A27,'"PADS" Summary'!$A$29:$W$47,{23},0)," ")</f>
        <v xml:space="preserve"> </v>
      </c>
      <c r="F27" s="21" t="str" cm="1">
        <f t="array" ref="F27">IFERROR(VLOOKUP(A27,'"Age Readings Data" Summary'!$A$32:$W$53,{23},0)," ")</f>
        <v xml:space="preserve"> </v>
      </c>
      <c r="G27" s="2"/>
      <c r="H27" s="25"/>
      <c r="I27" s="25"/>
      <c r="J27" s="1"/>
    </row>
    <row r="28" spans="1:10" customFormat="1" x14ac:dyDescent="0.25">
      <c r="A28" s="28">
        <v>2000</v>
      </c>
      <c r="B28" s="19" t="str" cm="1">
        <f t="array" ref="B28">IFERROR(VLOOKUP(A28,'"PADS" Summary'!$A$7:$W$20,{23},0)," ")</f>
        <v xml:space="preserve"> </v>
      </c>
      <c r="C28" s="19" t="str" cm="1">
        <f t="array" ref="C28">IFERROR(VLOOKUP(A28,'"Age Readings Data" Summary'!$A$12:$W$28,{23},0)," ")</f>
        <v xml:space="preserve"> </v>
      </c>
      <c r="D28" s="19"/>
      <c r="E28" s="23" t="str" cm="1">
        <f t="array" ref="E28">IFERROR(VLOOKUP(A28,'"PADS" Summary'!$A$29:$W$47,{23},0)," ")</f>
        <v xml:space="preserve"> </v>
      </c>
      <c r="F28" s="21" t="str" cm="1">
        <f t="array" ref="F28">IFERROR(VLOOKUP(A28,'"Age Readings Data" Summary'!$A$32:$W$53,{23},0)," ")</f>
        <v xml:space="preserve"> </v>
      </c>
      <c r="G28" s="2"/>
      <c r="H28" s="25"/>
      <c r="I28" s="25" t="s">
        <v>59</v>
      </c>
      <c r="J28" s="1"/>
    </row>
    <row r="29" spans="1:10" customFormat="1" x14ac:dyDescent="0.25">
      <c r="A29" s="28">
        <v>1999</v>
      </c>
      <c r="B29" s="19" t="str" cm="1">
        <f t="array" ref="B29">IFERROR(VLOOKUP(A29,'"PADS" Summary'!$A$7:$W$20,{23},0)," ")</f>
        <v xml:space="preserve"> </v>
      </c>
      <c r="C29" s="19" t="str" cm="1">
        <f t="array" ref="C29">IFERROR(VLOOKUP(A29,'"Age Readings Data" Summary'!$A$12:$W$28,{23},0)," ")</f>
        <v xml:space="preserve"> </v>
      </c>
      <c r="D29" s="19"/>
      <c r="E29" s="23" t="str" cm="1">
        <f t="array" ref="E29">IFERROR(VLOOKUP(A29,'"PADS" Summary'!$A$29:$W$47,{23},0)," ")</f>
        <v xml:space="preserve"> </v>
      </c>
      <c r="F29" s="21" cm="1">
        <f t="array" ref="F29">IFERROR(VLOOKUP(A29,'"Age Readings Data" Summary'!$A$32:$W$53,{23},0)," ")</f>
        <v>0</v>
      </c>
      <c r="G29" s="2"/>
      <c r="H29" s="25"/>
      <c r="I29" s="25"/>
      <c r="J29" s="1"/>
    </row>
    <row r="30" spans="1:10" customFormat="1" x14ac:dyDescent="0.25">
      <c r="A30" s="28">
        <v>1998</v>
      </c>
      <c r="B30" s="19" t="str" cm="1">
        <f t="array" ref="B30">IFERROR(VLOOKUP(A30,'"PADS" Summary'!$A$7:$W$20,{23},0)," ")</f>
        <v xml:space="preserve"> </v>
      </c>
      <c r="C30" s="19" t="str" cm="1">
        <f t="array" ref="C30">IFERROR(VLOOKUP(A30,'"Age Readings Data" Summary'!$A$12:$W$28,{23},0)," ")</f>
        <v xml:space="preserve"> </v>
      </c>
      <c r="D30" s="19"/>
      <c r="E30" s="23" t="str" cm="1">
        <f t="array" ref="E30">IFERROR(VLOOKUP(A30,'"PADS" Summary'!$A$29:$W$47,{23},0)," ")</f>
        <v xml:space="preserve"> </v>
      </c>
      <c r="F30" s="21" cm="1">
        <f t="array" ref="F30">IFERROR(VLOOKUP(A30,'"Age Readings Data" Summary'!$A$32:$W$53,{23},0)," ")</f>
        <v>0</v>
      </c>
      <c r="G30" s="2"/>
      <c r="H30" s="25"/>
      <c r="I30" s="25" t="s">
        <v>58</v>
      </c>
      <c r="J30" s="1"/>
    </row>
    <row r="31" spans="1:10" customFormat="1" x14ac:dyDescent="0.25">
      <c r="A31" s="28">
        <v>1997</v>
      </c>
      <c r="B31" s="19" cm="1">
        <f t="array" ref="B31">IFERROR(VLOOKUP(A31,'"PADS" Summary'!$A$7:$W$20,{23},0)," ")</f>
        <v>148</v>
      </c>
      <c r="C31" s="19" cm="1">
        <f t="array" ref="C31">IFERROR(VLOOKUP(A31,'"Age Readings Data" Summary'!$A$12:$W$28,{23},0)," ")</f>
        <v>0</v>
      </c>
      <c r="D31" s="19"/>
      <c r="E31" s="23" t="str" cm="1">
        <f t="array" ref="E31">IFERROR(VLOOKUP(A31,'"PADS" Summary'!$A$29:$W$47,{23},0)," ")</f>
        <v xml:space="preserve"> </v>
      </c>
      <c r="F31" s="21" cm="1">
        <f t="array" ref="F31">IFERROR(VLOOKUP(A31,'"Age Readings Data" Summary'!$A$32:$W$53,{23},0)," ")</f>
        <v>0</v>
      </c>
      <c r="G31" s="2"/>
      <c r="H31" s="25"/>
      <c r="I31" s="25"/>
      <c r="J31" s="1"/>
    </row>
    <row r="32" spans="1:10" customFormat="1" x14ac:dyDescent="0.25">
      <c r="A32" s="28">
        <v>1996</v>
      </c>
      <c r="B32" s="19" t="str" cm="1">
        <f t="array" ref="B32">IFERROR(VLOOKUP(A32,'"PADS" Summary'!$A$7:$W$20,{23},0)," ")</f>
        <v xml:space="preserve"> </v>
      </c>
      <c r="C32" s="19" t="str" cm="1">
        <f t="array" ref="C32">IFERROR(VLOOKUP(A32,'"Age Readings Data" Summary'!$A$12:$W$28,{23},0)," ")</f>
        <v xml:space="preserve"> </v>
      </c>
      <c r="D32" s="19"/>
      <c r="E32" s="23" t="str" cm="1">
        <f t="array" ref="E32">IFERROR(VLOOKUP(A32,'"PADS" Summary'!$A$29:$W$47,{23},0)," ")</f>
        <v xml:space="preserve"> </v>
      </c>
      <c r="F32" s="21" t="str" cm="1">
        <f t="array" ref="F32">IFERROR(VLOOKUP(A32,'"Age Readings Data" Summary'!$A$32:$W$53,{23},0)," ")</f>
        <v xml:space="preserve"> </v>
      </c>
      <c r="G32" s="2"/>
      <c r="H32" s="25"/>
      <c r="I32" s="25"/>
      <c r="J32" s="1"/>
    </row>
    <row r="33" spans="1:10" customFormat="1" x14ac:dyDescent="0.25">
      <c r="A33" s="28">
        <v>1995</v>
      </c>
      <c r="B33" s="19" t="str" cm="1">
        <f t="array" ref="B33">IFERROR(VLOOKUP(A33,'"PADS" Summary'!$A$7:$W$20,{23},0)," ")</f>
        <v xml:space="preserve"> </v>
      </c>
      <c r="C33" s="19" t="str" cm="1">
        <f t="array" ref="C33">IFERROR(VLOOKUP(A33,'"Age Readings Data" Summary'!$A$12:$W$28,{23},0)," ")</f>
        <v xml:space="preserve"> </v>
      </c>
      <c r="D33" s="19"/>
      <c r="E33" s="23" t="str" cm="1">
        <f t="array" ref="E33">IFERROR(VLOOKUP(A33,'"PADS" Summary'!$A$29:$W$47,{23},0)," ")</f>
        <v xml:space="preserve"> </v>
      </c>
      <c r="F33" s="21" t="str" cm="1">
        <f t="array" ref="F33">IFERROR(VLOOKUP(A33,'"Age Readings Data" Summary'!$A$32:$W$53,{23},0)," ")</f>
        <v xml:space="preserve"> </v>
      </c>
      <c r="G33" s="2"/>
      <c r="H33" s="25"/>
      <c r="I33" s="25"/>
      <c r="J33" s="1"/>
    </row>
    <row r="34" spans="1:10" customFormat="1" x14ac:dyDescent="0.25">
      <c r="A34" s="28">
        <v>1994</v>
      </c>
      <c r="B34" s="19" t="str" cm="1">
        <f t="array" ref="B34">IFERROR(VLOOKUP(A34,'"PADS" Summary'!$A$7:$W$20,{23},0)," ")</f>
        <v xml:space="preserve"> </v>
      </c>
      <c r="C34" s="19" t="str" cm="1">
        <f t="array" ref="C34">IFERROR(VLOOKUP(A34,'"Age Readings Data" Summary'!$A$12:$W$28,{23},0)," ")</f>
        <v xml:space="preserve"> </v>
      </c>
      <c r="D34" s="19"/>
      <c r="E34" s="23" t="str" cm="1">
        <f t="array" ref="E34">IFERROR(VLOOKUP(A34,'"PADS" Summary'!$A$29:$W$47,{23},0)," ")</f>
        <v xml:space="preserve"> </v>
      </c>
      <c r="F34" s="21" t="str" cm="1">
        <f t="array" ref="F34">IFERROR(VLOOKUP(A34,'"Age Readings Data" Summary'!$A$32:$W$53,{23},0)," ")</f>
        <v xml:space="preserve"> </v>
      </c>
      <c r="G34" s="2"/>
      <c r="H34" s="25"/>
      <c r="I34" s="25"/>
      <c r="J34" s="1"/>
    </row>
    <row r="35" spans="1:10" customFormat="1" x14ac:dyDescent="0.25">
      <c r="A35" s="28">
        <v>1993</v>
      </c>
      <c r="B35" s="19" t="str" cm="1">
        <f t="array" ref="B35">IFERROR(VLOOKUP(A35,'"PADS" Summary'!$A$7:$W$20,{23},0)," ")</f>
        <v xml:space="preserve"> </v>
      </c>
      <c r="C35" s="19" t="str" cm="1">
        <f t="array" ref="C35">IFERROR(VLOOKUP(A35,'"Age Readings Data" Summary'!$A$12:$W$28,{23},0)," ")</f>
        <v xml:space="preserve"> </v>
      </c>
      <c r="D35" s="19"/>
      <c r="E35" s="23" cm="1">
        <f t="array" ref="E35">IFERROR(VLOOKUP(A35,'"PADS" Summary'!$A$29:$W$47,{23},0)," ")</f>
        <v>10</v>
      </c>
      <c r="F35" s="21" cm="1">
        <f t="array" ref="F35">IFERROR(VLOOKUP(A35,'"Age Readings Data" Summary'!$A$32:$W$53,{23},0)," ")</f>
        <v>0</v>
      </c>
      <c r="G35" s="2"/>
      <c r="H35" s="25"/>
      <c r="I35" s="25" t="s">
        <v>57</v>
      </c>
      <c r="J35" s="1"/>
    </row>
    <row r="36" spans="1:10" customFormat="1" x14ac:dyDescent="0.25">
      <c r="A36" s="28">
        <v>1992</v>
      </c>
      <c r="B36" s="19" t="str" cm="1">
        <f t="array" ref="B36">IFERROR(VLOOKUP(A36,'"PADS" Summary'!$A$7:$W$20,{23},0)," ")</f>
        <v xml:space="preserve"> </v>
      </c>
      <c r="C36" s="19" t="str" cm="1">
        <f t="array" ref="C36">IFERROR(VLOOKUP(A36,'"Age Readings Data" Summary'!$A$12:$W$28,{23},0)," ")</f>
        <v xml:space="preserve"> </v>
      </c>
      <c r="D36" s="19"/>
      <c r="E36" s="23" cm="1">
        <f t="array" ref="E36">IFERROR(VLOOKUP(A36,'"PADS" Summary'!$A$29:$W$47,{23},0)," ")</f>
        <v>80</v>
      </c>
      <c r="F36" s="21" cm="1">
        <f t="array" ref="F36">IFERROR(VLOOKUP(A36,'"Age Readings Data" Summary'!$A$32:$W$53,{23},0)," ")</f>
        <v>0</v>
      </c>
      <c r="G36" s="2"/>
      <c r="H36" s="25"/>
      <c r="I36" s="25"/>
      <c r="J36" s="1"/>
    </row>
    <row r="37" spans="1:10" customFormat="1" x14ac:dyDescent="0.25">
      <c r="A37" s="28">
        <v>1991</v>
      </c>
      <c r="B37" s="19" t="str" cm="1">
        <f t="array" ref="B37">IFERROR(VLOOKUP(A37,'"PADS" Summary'!$A$7:$W$20,{23},0)," ")</f>
        <v xml:space="preserve"> </v>
      </c>
      <c r="C37" s="19" t="str" cm="1">
        <f t="array" ref="C37">IFERROR(VLOOKUP(A37,'"Age Readings Data" Summary'!$A$12:$W$28,{23},0)," ")</f>
        <v xml:space="preserve"> </v>
      </c>
      <c r="D37" s="19"/>
      <c r="E37" s="23" cm="1">
        <f t="array" ref="E37">IFERROR(VLOOKUP(A37,'"PADS" Summary'!$A$29:$W$47,{23},0)," ")</f>
        <v>474</v>
      </c>
      <c r="F37" s="21" cm="1">
        <f t="array" ref="F37">IFERROR(VLOOKUP(A37,'"Age Readings Data" Summary'!$A$32:$W$53,{23},0)," ")</f>
        <v>0</v>
      </c>
      <c r="G37" s="2"/>
      <c r="H37" s="25"/>
      <c r="I37" s="25" t="s">
        <v>56</v>
      </c>
      <c r="J37" s="1"/>
    </row>
    <row r="38" spans="1:10" customFormat="1" x14ac:dyDescent="0.25">
      <c r="A38" s="28">
        <v>1990</v>
      </c>
      <c r="B38" s="19" t="str" cm="1">
        <f t="array" ref="B38">IFERROR(VLOOKUP(A38,'"PADS" Summary'!$A$7:$W$20,{23},0)," ")</f>
        <v xml:space="preserve"> </v>
      </c>
      <c r="C38" s="19" t="str" cm="1">
        <f t="array" ref="C38">IFERROR(VLOOKUP(A38,'"Age Readings Data" Summary'!$A$12:$W$28,{23},0)," ")</f>
        <v xml:space="preserve"> </v>
      </c>
      <c r="D38" s="19"/>
      <c r="E38" s="23" cm="1">
        <f t="array" ref="E38">IFERROR(VLOOKUP(A38,'"PADS" Summary'!$A$29:$W$47,{23},0)," ")</f>
        <v>495</v>
      </c>
      <c r="F38" s="21" t="str" cm="1">
        <f t="array" ref="F38">IFERROR(VLOOKUP(A38,'"Age Readings Data" Summary'!$A$32:$W$53,{23},0)," ")</f>
        <v xml:space="preserve"> </v>
      </c>
      <c r="G38" s="2"/>
      <c r="H38" s="25"/>
      <c r="I38" s="25"/>
      <c r="J38" s="1"/>
    </row>
    <row r="39" spans="1:10" customFormat="1" x14ac:dyDescent="0.25">
      <c r="A39" s="28">
        <v>1989</v>
      </c>
      <c r="B39" s="19" t="str" cm="1">
        <f t="array" ref="B39">IFERROR(VLOOKUP(A39,'"PADS" Summary'!$A$7:$W$20,{23},0)," ")</f>
        <v xml:space="preserve"> </v>
      </c>
      <c r="C39" s="19" t="str" cm="1">
        <f t="array" ref="C39">IFERROR(VLOOKUP(A39,'"Age Readings Data" Summary'!$A$12:$W$28,{23},0)," ")</f>
        <v xml:space="preserve"> </v>
      </c>
      <c r="D39" s="19"/>
      <c r="E39" s="23" cm="1">
        <f t="array" ref="E39">IFERROR(VLOOKUP(A39,'"PADS" Summary'!$A$29:$W$47,{23},0)," ")</f>
        <v>148</v>
      </c>
      <c r="F39" s="21" t="str" cm="1">
        <f t="array" ref="F39">IFERROR(VLOOKUP(A39,'"Age Readings Data" Summary'!$A$32:$W$53,{23},0)," ")</f>
        <v xml:space="preserve"> </v>
      </c>
      <c r="G39" s="2"/>
      <c r="H39" s="25" t="s">
        <v>54</v>
      </c>
      <c r="I39" s="25" t="s">
        <v>55</v>
      </c>
      <c r="J39" s="1"/>
    </row>
    <row r="42" spans="1:10" ht="14.45" customHeight="1" x14ac:dyDescent="0.3">
      <c r="A42" s="27" t="s">
        <v>52</v>
      </c>
      <c r="D42" s="47" t="s">
        <v>62</v>
      </c>
      <c r="E42" s="48" t="s">
        <v>126</v>
      </c>
      <c r="H42" s="24" t="s">
        <v>63</v>
      </c>
    </row>
    <row r="43" spans="1:10" ht="17.25" x14ac:dyDescent="0.3">
      <c r="A43" s="27" t="s">
        <v>64</v>
      </c>
      <c r="D43" s="47"/>
      <c r="E43" s="48"/>
    </row>
    <row r="44" spans="1:10" x14ac:dyDescent="0.25">
      <c r="D44" s="47"/>
      <c r="E44" s="48"/>
    </row>
    <row r="45" spans="1:10" x14ac:dyDescent="0.25">
      <c r="E45" s="48"/>
    </row>
    <row r="46" spans="1:10" x14ac:dyDescent="0.25">
      <c r="E46" s="48"/>
    </row>
    <row r="47" spans="1:10" x14ac:dyDescent="0.25">
      <c r="E47" s="48"/>
    </row>
    <row r="48" spans="1:10" x14ac:dyDescent="0.25">
      <c r="E48" s="48"/>
    </row>
    <row r="49" spans="5:5" x14ac:dyDescent="0.25">
      <c r="E49" s="48"/>
    </row>
    <row r="50" spans="5:5" x14ac:dyDescent="0.25">
      <c r="E50" s="48"/>
    </row>
  </sheetData>
  <mergeCells count="2">
    <mergeCell ref="D42:D44"/>
    <mergeCell ref="E42:E5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26556-A01F-4A4C-9206-D05CD38F4A6C}">
  <dimension ref="A3:W51"/>
  <sheetViews>
    <sheetView workbookViewId="0">
      <selection activeCell="AC11" sqref="AC11"/>
    </sheetView>
  </sheetViews>
  <sheetFormatPr defaultColWidth="8.7109375" defaultRowHeight="15" x14ac:dyDescent="0.25"/>
  <cols>
    <col min="1" max="1" width="24.42578125" style="15" bestFit="1" customWidth="1"/>
    <col min="2" max="2" width="15.5703125" style="15" bestFit="1" customWidth="1"/>
    <col min="3" max="3" width="2.85546875" style="15" bestFit="1" customWidth="1"/>
    <col min="4" max="5" width="3.85546875" style="15" bestFit="1" customWidth="1"/>
    <col min="6" max="9" width="2.85546875" style="15" bestFit="1" customWidth="1"/>
    <col min="10" max="10" width="4.85546875" style="15" bestFit="1" customWidth="1"/>
    <col min="11" max="11" width="3.85546875" style="15" bestFit="1" customWidth="1"/>
    <col min="12" max="17" width="2.85546875" style="15" bestFit="1" customWidth="1"/>
    <col min="18" max="19" width="3.5703125" style="15" bestFit="1" customWidth="1"/>
    <col min="20" max="20" width="3.85546875" style="15" bestFit="1" customWidth="1"/>
    <col min="21" max="21" width="3.5703125" style="15" bestFit="1" customWidth="1"/>
    <col min="22" max="22" width="6.85546875" style="15" bestFit="1" customWidth="1"/>
    <col min="23" max="23" width="10.7109375" style="15" bestFit="1" customWidth="1"/>
    <col min="24" max="24" width="3.85546875" style="15" bestFit="1" customWidth="1"/>
    <col min="25" max="26" width="2.85546875" style="15" bestFit="1" customWidth="1"/>
    <col min="27" max="28" width="3.5703125" style="15" bestFit="1" customWidth="1"/>
    <col min="29" max="29" width="9.5703125" style="15" bestFit="1" customWidth="1"/>
    <col min="30" max="30" width="6.5703125" style="15" bestFit="1" customWidth="1"/>
    <col min="31" max="34" width="2.85546875" style="15" bestFit="1" customWidth="1"/>
    <col min="35" max="35" width="3.5703125" style="15" bestFit="1" customWidth="1"/>
    <col min="36" max="36" width="9.5703125" style="15" bestFit="1" customWidth="1"/>
    <col min="37" max="37" width="6.5703125" style="15" bestFit="1" customWidth="1"/>
    <col min="38" max="40" width="2.85546875" style="15" bestFit="1" customWidth="1"/>
    <col min="41" max="41" width="9.5703125" style="15" bestFit="1" customWidth="1"/>
    <col min="42" max="42" width="6.5703125" style="15" bestFit="1" customWidth="1"/>
    <col min="43" max="47" width="2.85546875" style="15" bestFit="1" customWidth="1"/>
    <col min="48" max="48" width="9.5703125" style="15" bestFit="1" customWidth="1"/>
    <col min="49" max="49" width="6.5703125" style="15" bestFit="1" customWidth="1"/>
    <col min="50" max="51" width="2.85546875" style="15" bestFit="1" customWidth="1"/>
    <col min="52" max="52" width="3.85546875" style="15" bestFit="1" customWidth="1"/>
    <col min="53" max="56" width="2.85546875" style="15" bestFit="1" customWidth="1"/>
    <col min="57" max="60" width="3.5703125" style="15" bestFit="1" customWidth="1"/>
    <col min="61" max="61" width="9.5703125" style="15" bestFit="1" customWidth="1"/>
    <col min="62" max="62" width="6.5703125" style="15" bestFit="1" customWidth="1"/>
    <col min="63" max="72" width="2.85546875" style="15" bestFit="1" customWidth="1"/>
    <col min="73" max="75" width="3.5703125" style="15" bestFit="1" customWidth="1"/>
    <col min="76" max="76" width="9.5703125" style="15" bestFit="1" customWidth="1"/>
    <col min="77" max="77" width="6.5703125" style="15" bestFit="1" customWidth="1"/>
    <col min="78" max="83" width="2.85546875" style="15" bestFit="1" customWidth="1"/>
    <col min="84" max="85" width="3.5703125" style="15" bestFit="1" customWidth="1"/>
    <col min="86" max="86" width="9.5703125" style="15" bestFit="1" customWidth="1"/>
    <col min="87" max="87" width="6.5703125" style="15" bestFit="1" customWidth="1"/>
    <col min="88" max="97" width="2.85546875" style="15" bestFit="1" customWidth="1"/>
    <col min="98" max="99" width="3.5703125" style="15" bestFit="1" customWidth="1"/>
    <col min="100" max="100" width="9.5703125" style="15" bestFit="1" customWidth="1"/>
    <col min="101" max="101" width="6.5703125" style="15" bestFit="1" customWidth="1"/>
    <col min="102" max="104" width="2.85546875" style="15" bestFit="1" customWidth="1"/>
    <col min="105" max="105" width="3.85546875" style="15" bestFit="1" customWidth="1"/>
    <col min="106" max="108" width="2.85546875" style="15" bestFit="1" customWidth="1"/>
    <col min="109" max="110" width="3.5703125" style="15" bestFit="1" customWidth="1"/>
    <col min="111" max="111" width="9.5703125" style="15" bestFit="1" customWidth="1"/>
    <col min="112" max="112" width="6.5703125" style="15" bestFit="1" customWidth="1"/>
    <col min="113" max="115" width="2.85546875" style="15" bestFit="1" customWidth="1"/>
    <col min="116" max="116" width="3.85546875" style="15" bestFit="1" customWidth="1"/>
    <col min="117" max="121" width="2.85546875" style="15" bestFit="1" customWidth="1"/>
    <col min="122" max="123" width="3.5703125" style="15" bestFit="1" customWidth="1"/>
    <col min="124" max="124" width="9.5703125" style="15" bestFit="1" customWidth="1"/>
    <col min="125" max="125" width="6.5703125" style="15" bestFit="1" customWidth="1"/>
    <col min="126" max="131" width="2.85546875" style="15" bestFit="1" customWidth="1"/>
    <col min="132" max="134" width="3.5703125" style="15" bestFit="1" customWidth="1"/>
    <col min="135" max="135" width="9.5703125" style="15" bestFit="1" customWidth="1"/>
    <col min="136" max="136" width="6.5703125" style="15" bestFit="1" customWidth="1"/>
    <col min="137" max="141" width="2.85546875" style="15" bestFit="1" customWidth="1"/>
    <col min="142" max="142" width="3.5703125" style="15" bestFit="1" customWidth="1"/>
    <col min="143" max="143" width="9.5703125" style="15" bestFit="1" customWidth="1"/>
    <col min="144" max="144" width="6.5703125" style="15" bestFit="1" customWidth="1"/>
    <col min="145" max="146" width="2.85546875" style="15" bestFit="1" customWidth="1"/>
    <col min="147" max="147" width="3.85546875" style="15" bestFit="1" customWidth="1"/>
    <col min="148" max="151" width="2.85546875" style="15" bestFit="1" customWidth="1"/>
    <col min="152" max="152" width="3.5703125" style="15" bestFit="1" customWidth="1"/>
    <col min="153" max="153" width="9.5703125" style="15" bestFit="1" customWidth="1"/>
    <col min="154" max="154" width="6.5703125" style="15" bestFit="1" customWidth="1"/>
    <col min="155" max="159" width="2.85546875" style="15" bestFit="1" customWidth="1"/>
    <col min="160" max="160" width="3.85546875" style="15" bestFit="1" customWidth="1"/>
    <col min="161" max="163" width="2.85546875" style="15" bestFit="1" customWidth="1"/>
    <col min="164" max="164" width="3.5703125" style="15" bestFit="1" customWidth="1"/>
    <col min="165" max="165" width="9.5703125" style="15" bestFit="1" customWidth="1"/>
    <col min="166" max="166" width="6.5703125" style="15" bestFit="1" customWidth="1"/>
    <col min="167" max="171" width="2.85546875" style="15" bestFit="1" customWidth="1"/>
    <col min="172" max="173" width="3.5703125" style="15" bestFit="1" customWidth="1"/>
    <col min="174" max="174" width="9.5703125" style="15" bestFit="1" customWidth="1"/>
    <col min="175" max="175" width="6.5703125" style="15" bestFit="1" customWidth="1"/>
    <col min="176" max="178" width="2.85546875" style="15" bestFit="1" customWidth="1"/>
    <col min="179" max="179" width="9.5703125" style="15" bestFit="1" customWidth="1"/>
    <col min="180" max="180" width="6.5703125" style="15" bestFit="1" customWidth="1"/>
    <col min="181" max="182" width="2.85546875" style="15" bestFit="1" customWidth="1"/>
    <col min="183" max="183" width="3.85546875" style="15" bestFit="1" customWidth="1"/>
    <col min="184" max="186" width="2.85546875" style="15" bestFit="1" customWidth="1"/>
    <col min="187" max="187" width="9.5703125" style="15" bestFit="1" customWidth="1"/>
    <col min="188" max="188" width="6.5703125" style="15" bestFit="1" customWidth="1"/>
    <col min="189" max="191" width="2.85546875" style="15" bestFit="1" customWidth="1"/>
    <col min="192" max="192" width="3.85546875" style="15" bestFit="1" customWidth="1"/>
    <col min="193" max="196" width="2.85546875" style="15" bestFit="1" customWidth="1"/>
    <col min="197" max="198" width="3.5703125" style="15" bestFit="1" customWidth="1"/>
    <col min="199" max="199" width="9.5703125" style="15" bestFit="1" customWidth="1"/>
    <col min="200" max="200" width="6.5703125" style="15" bestFit="1" customWidth="1"/>
    <col min="201" max="205" width="2.85546875" style="15" bestFit="1" customWidth="1"/>
    <col min="206" max="207" width="3.5703125" style="15" bestFit="1" customWidth="1"/>
    <col min="208" max="208" width="9.5703125" style="15" bestFit="1" customWidth="1"/>
    <col min="209" max="209" width="6.5703125" style="15" bestFit="1" customWidth="1"/>
    <col min="210" max="215" width="2.85546875" style="15" bestFit="1" customWidth="1"/>
    <col min="216" max="217" width="3.5703125" style="15" bestFit="1" customWidth="1"/>
    <col min="218" max="218" width="9.5703125" style="15" bestFit="1" customWidth="1"/>
    <col min="219" max="219" width="6.5703125" style="15" bestFit="1" customWidth="1"/>
    <col min="220" max="222" width="2.85546875" style="15" bestFit="1" customWidth="1"/>
    <col min="223" max="223" width="3.5703125" style="15" bestFit="1" customWidth="1"/>
    <col min="224" max="224" width="9.5703125" style="15" bestFit="1" customWidth="1"/>
    <col min="225" max="225" width="8.5703125" style="15" bestFit="1" customWidth="1"/>
    <col min="226" max="226" width="11.5703125" style="15" bestFit="1" customWidth="1"/>
    <col min="227" max="227" width="10.7109375" style="15" bestFit="1" customWidth="1"/>
    <col min="228" max="228" width="7.5703125" style="15" bestFit="1" customWidth="1"/>
    <col min="229" max="229" width="4.5703125" style="15" bestFit="1" customWidth="1"/>
    <col min="230" max="230" width="7.5703125" style="15" bestFit="1" customWidth="1"/>
    <col min="231" max="231" width="3.5703125" style="15" bestFit="1" customWidth="1"/>
    <col min="232" max="232" width="6.5703125" style="15" bestFit="1" customWidth="1"/>
    <col min="233" max="233" width="9.5703125" style="15" bestFit="1" customWidth="1"/>
    <col min="234" max="234" width="6.5703125" style="15" bestFit="1" customWidth="1"/>
    <col min="235" max="235" width="5.5703125" style="15" bestFit="1" customWidth="1"/>
    <col min="236" max="236" width="4.5703125" style="15" bestFit="1" customWidth="1"/>
    <col min="237" max="237" width="7.5703125" style="15" bestFit="1" customWidth="1"/>
    <col min="238" max="238" width="4.5703125" style="15" bestFit="1" customWidth="1"/>
    <col min="239" max="239" width="7.5703125" style="15" bestFit="1" customWidth="1"/>
    <col min="240" max="240" width="3.5703125" style="15" bestFit="1" customWidth="1"/>
    <col min="241" max="241" width="6.5703125" style="15" bestFit="1" customWidth="1"/>
    <col min="242" max="242" width="4.5703125" style="15" bestFit="1" customWidth="1"/>
    <col min="243" max="243" width="7.5703125" style="15" bestFit="1" customWidth="1"/>
    <col min="244" max="244" width="4.5703125" style="15" bestFit="1" customWidth="1"/>
    <col min="245" max="245" width="7.5703125" style="15" bestFit="1" customWidth="1"/>
    <col min="246" max="246" width="3.5703125" style="15" bestFit="1" customWidth="1"/>
    <col min="247" max="247" width="6.5703125" style="15" bestFit="1" customWidth="1"/>
    <col min="248" max="248" width="4.5703125" style="15" bestFit="1" customWidth="1"/>
    <col min="249" max="249" width="7.5703125" style="15" bestFit="1" customWidth="1"/>
    <col min="250" max="250" width="4.5703125" style="15" bestFit="1" customWidth="1"/>
    <col min="251" max="251" width="7.5703125" style="15" bestFit="1" customWidth="1"/>
    <col min="252" max="252" width="3.5703125" style="15" bestFit="1" customWidth="1"/>
    <col min="253" max="253" width="6.5703125" style="15" bestFit="1" customWidth="1"/>
    <col min="254" max="254" width="9.5703125" style="15" bestFit="1" customWidth="1"/>
    <col min="255" max="255" width="6.5703125" style="15" bestFit="1" customWidth="1"/>
    <col min="256" max="256" width="5.5703125" style="15" bestFit="1" customWidth="1"/>
    <col min="257" max="257" width="4.5703125" style="15" bestFit="1" customWidth="1"/>
    <col min="258" max="258" width="7.5703125" style="15" bestFit="1" customWidth="1"/>
    <col min="259" max="259" width="4.5703125" style="15" bestFit="1" customWidth="1"/>
    <col min="260" max="260" width="7.5703125" style="15" bestFit="1" customWidth="1"/>
    <col min="261" max="261" width="4.5703125" style="15" bestFit="1" customWidth="1"/>
    <col min="262" max="262" width="7.5703125" style="15" bestFit="1" customWidth="1"/>
    <col min="263" max="263" width="4.5703125" style="15" bestFit="1" customWidth="1"/>
    <col min="264" max="264" width="7.5703125" style="15" bestFit="1" customWidth="1"/>
    <col min="265" max="265" width="4.5703125" style="15" bestFit="1" customWidth="1"/>
    <col min="266" max="266" width="7.5703125" style="15" bestFit="1" customWidth="1"/>
    <col min="267" max="267" width="3.5703125" style="15" bestFit="1" customWidth="1"/>
    <col min="268" max="268" width="6.5703125" style="15" bestFit="1" customWidth="1"/>
    <col min="269" max="269" width="9.5703125" style="15" bestFit="1" customWidth="1"/>
    <col min="270" max="270" width="6.5703125" style="15" bestFit="1" customWidth="1"/>
    <col min="271" max="271" width="7.5703125" style="15" bestFit="1" customWidth="1"/>
    <col min="272" max="272" width="4.5703125" style="15" bestFit="1" customWidth="1"/>
    <col min="273" max="273" width="7.5703125" style="15" bestFit="1" customWidth="1"/>
    <col min="274" max="274" width="4.5703125" style="15" bestFit="1" customWidth="1"/>
    <col min="275" max="275" width="7.5703125" style="15" bestFit="1" customWidth="1"/>
    <col min="276" max="276" width="4.5703125" style="15" bestFit="1" customWidth="1"/>
    <col min="277" max="277" width="7.5703125" style="15" bestFit="1" customWidth="1"/>
    <col min="278" max="278" width="4.5703125" style="15" bestFit="1" customWidth="1"/>
    <col min="279" max="279" width="7.5703125" style="15" bestFit="1" customWidth="1"/>
    <col min="280" max="280" width="3.5703125" style="15" bestFit="1" customWidth="1"/>
    <col min="281" max="281" width="6.5703125" style="15" bestFit="1" customWidth="1"/>
    <col min="282" max="282" width="4.5703125" style="15" bestFit="1" customWidth="1"/>
    <col min="283" max="283" width="7.5703125" style="15" bestFit="1" customWidth="1"/>
    <col min="284" max="284" width="4.5703125" style="15" bestFit="1" customWidth="1"/>
    <col min="285" max="285" width="7.5703125" style="15" bestFit="1" customWidth="1"/>
    <col min="286" max="286" width="4.5703125" style="15" bestFit="1" customWidth="1"/>
    <col min="287" max="287" width="7.5703125" style="15" bestFit="1" customWidth="1"/>
    <col min="288" max="288" width="9.5703125" style="15" bestFit="1" customWidth="1"/>
    <col min="289" max="289" width="6.5703125" style="15" bestFit="1" customWidth="1"/>
    <col min="290" max="290" width="5.5703125" style="15" bestFit="1" customWidth="1"/>
    <col min="291" max="291" width="4.5703125" style="15" bestFit="1" customWidth="1"/>
    <col min="292" max="292" width="7.5703125" style="15" bestFit="1" customWidth="1"/>
    <col min="293" max="293" width="4.5703125" style="15" bestFit="1" customWidth="1"/>
    <col min="294" max="294" width="7.5703125" style="15" bestFit="1" customWidth="1"/>
    <col min="295" max="295" width="4.5703125" style="15" bestFit="1" customWidth="1"/>
    <col min="296" max="296" width="7.5703125" style="15" bestFit="1" customWidth="1"/>
    <col min="297" max="297" width="4.5703125" style="15" bestFit="1" customWidth="1"/>
    <col min="298" max="298" width="7.5703125" style="15" bestFit="1" customWidth="1"/>
    <col min="299" max="299" width="4.5703125" style="15" bestFit="1" customWidth="1"/>
    <col min="300" max="300" width="7.5703125" style="15" bestFit="1" customWidth="1"/>
    <col min="301" max="301" width="4.5703125" style="15" bestFit="1" customWidth="1"/>
    <col min="302" max="302" width="7.5703125" style="15" bestFit="1" customWidth="1"/>
    <col min="303" max="303" width="4.5703125" style="15" bestFit="1" customWidth="1"/>
    <col min="304" max="304" width="7.5703125" style="15" bestFit="1" customWidth="1"/>
    <col min="305" max="305" width="4.5703125" style="15" bestFit="1" customWidth="1"/>
    <col min="306" max="306" width="7.5703125" style="15" bestFit="1" customWidth="1"/>
    <col min="307" max="307" width="4.5703125" style="15" bestFit="1" customWidth="1"/>
    <col min="308" max="308" width="7.5703125" style="15" bestFit="1" customWidth="1"/>
    <col min="309" max="309" width="3.5703125" style="15" bestFit="1" customWidth="1"/>
    <col min="310" max="310" width="6.5703125" style="15" bestFit="1" customWidth="1"/>
    <col min="311" max="311" width="9.5703125" style="15" bestFit="1" customWidth="1"/>
    <col min="312" max="312" width="6.5703125" style="15" bestFit="1" customWidth="1"/>
    <col min="313" max="313" width="5.5703125" style="15" bestFit="1" customWidth="1"/>
    <col min="314" max="314" width="4.5703125" style="15" bestFit="1" customWidth="1"/>
    <col min="315" max="315" width="7.5703125" style="15" bestFit="1" customWidth="1"/>
    <col min="316" max="316" width="4.5703125" style="15" bestFit="1" customWidth="1"/>
    <col min="317" max="317" width="7.5703125" style="15" bestFit="1" customWidth="1"/>
    <col min="318" max="318" width="4.5703125" style="15" bestFit="1" customWidth="1"/>
    <col min="319" max="319" width="7.5703125" style="15" bestFit="1" customWidth="1"/>
    <col min="320" max="320" width="4.5703125" style="15" bestFit="1" customWidth="1"/>
    <col min="321" max="321" width="7.5703125" style="15" bestFit="1" customWidth="1"/>
    <col min="322" max="322" width="4.5703125" style="15" bestFit="1" customWidth="1"/>
    <col min="323" max="323" width="7.5703125" style="15" bestFit="1" customWidth="1"/>
    <col min="324" max="324" width="3.5703125" style="15" bestFit="1" customWidth="1"/>
    <col min="325" max="325" width="6.5703125" style="15" bestFit="1" customWidth="1"/>
    <col min="326" max="326" width="3.5703125" style="15" bestFit="1" customWidth="1"/>
    <col min="327" max="327" width="6.5703125" style="15" bestFit="1" customWidth="1"/>
    <col min="328" max="328" width="9.5703125" style="15" bestFit="1" customWidth="1"/>
    <col min="329" max="329" width="6.5703125" style="15" bestFit="1" customWidth="1"/>
    <col min="330" max="330" width="7.5703125" style="15" bestFit="1" customWidth="1"/>
    <col min="331" max="331" width="4.5703125" style="15" bestFit="1" customWidth="1"/>
    <col min="332" max="332" width="7.5703125" style="15" bestFit="1" customWidth="1"/>
    <col min="333" max="333" width="4.5703125" style="15" bestFit="1" customWidth="1"/>
    <col min="334" max="334" width="7.5703125" style="15" bestFit="1" customWidth="1"/>
    <col min="335" max="335" width="4.5703125" style="15" bestFit="1" customWidth="1"/>
    <col min="336" max="336" width="7.5703125" style="15" bestFit="1" customWidth="1"/>
    <col min="337" max="337" width="9.5703125" style="15" bestFit="1" customWidth="1"/>
    <col min="338" max="338" width="6.5703125" style="15" bestFit="1" customWidth="1"/>
    <col min="339" max="339" width="7.5703125" style="15" bestFit="1" customWidth="1"/>
    <col min="340" max="340" width="4.5703125" style="15" bestFit="1" customWidth="1"/>
    <col min="341" max="341" width="7.5703125" style="15" bestFit="1" customWidth="1"/>
    <col min="342" max="342" width="4.5703125" style="15" bestFit="1" customWidth="1"/>
    <col min="343" max="343" width="7.5703125" style="15" bestFit="1" customWidth="1"/>
    <col min="344" max="344" width="4.5703125" style="15" bestFit="1" customWidth="1"/>
    <col min="345" max="345" width="7.5703125" style="15" bestFit="1" customWidth="1"/>
    <col min="346" max="346" width="4.5703125" style="15" bestFit="1" customWidth="1"/>
    <col min="347" max="347" width="7.5703125" style="15" bestFit="1" customWidth="1"/>
    <col min="348" max="348" width="4.5703125" style="15" bestFit="1" customWidth="1"/>
    <col min="349" max="349" width="7.5703125" style="15" bestFit="1" customWidth="1"/>
    <col min="350" max="350" width="4.5703125" style="15" bestFit="1" customWidth="1"/>
    <col min="351" max="351" width="7.5703125" style="15" bestFit="1" customWidth="1"/>
    <col min="352" max="352" width="9.5703125" style="15" bestFit="1" customWidth="1"/>
    <col min="353" max="353" width="6.5703125" style="15" bestFit="1" customWidth="1"/>
    <col min="354" max="354" width="5.5703125" style="15" bestFit="1" customWidth="1"/>
    <col min="355" max="355" width="4.5703125" style="15" bestFit="1" customWidth="1"/>
    <col min="356" max="356" width="7.5703125" style="15" bestFit="1" customWidth="1"/>
    <col min="357" max="357" width="4.5703125" style="15" bestFit="1" customWidth="1"/>
    <col min="358" max="358" width="7.5703125" style="15" bestFit="1" customWidth="1"/>
    <col min="359" max="359" width="3.5703125" style="15" bestFit="1" customWidth="1"/>
    <col min="360" max="360" width="6.5703125" style="15" bestFit="1" customWidth="1"/>
    <col min="361" max="361" width="4.5703125" style="15" bestFit="1" customWidth="1"/>
    <col min="362" max="362" width="7.5703125" style="15" bestFit="1" customWidth="1"/>
    <col min="363" max="363" width="4.5703125" style="15" bestFit="1" customWidth="1"/>
    <col min="364" max="364" width="7.5703125" style="15" bestFit="1" customWidth="1"/>
    <col min="365" max="365" width="4.5703125" style="15" bestFit="1" customWidth="1"/>
    <col min="366" max="366" width="7.5703125" style="15" bestFit="1" customWidth="1"/>
    <col min="367" max="367" width="3.5703125" style="15" bestFit="1" customWidth="1"/>
    <col min="368" max="368" width="6.5703125" style="15" bestFit="1" customWidth="1"/>
    <col min="369" max="369" width="4.5703125" style="15" bestFit="1" customWidth="1"/>
    <col min="370" max="370" width="7.5703125" style="15" bestFit="1" customWidth="1"/>
    <col min="371" max="371" width="4.5703125" style="15" bestFit="1" customWidth="1"/>
    <col min="372" max="372" width="7.5703125" style="15" bestFit="1" customWidth="1"/>
    <col min="373" max="373" width="3.5703125" style="15" bestFit="1" customWidth="1"/>
    <col min="374" max="374" width="6.5703125" style="15" bestFit="1" customWidth="1"/>
    <col min="375" max="375" width="9.5703125" style="15" bestFit="1" customWidth="1"/>
    <col min="376" max="376" width="6.5703125" style="15" bestFit="1" customWidth="1"/>
    <col min="377" max="377" width="5.5703125" style="15" bestFit="1" customWidth="1"/>
    <col min="378" max="378" width="3.5703125" style="15" bestFit="1" customWidth="1"/>
    <col min="379" max="379" width="6.5703125" style="15" bestFit="1" customWidth="1"/>
    <col min="380" max="380" width="4.5703125" style="15" bestFit="1" customWidth="1"/>
    <col min="381" max="381" width="7.5703125" style="15" bestFit="1" customWidth="1"/>
    <col min="382" max="382" width="4.5703125" style="15" bestFit="1" customWidth="1"/>
    <col min="383" max="383" width="7.5703125" style="15" bestFit="1" customWidth="1"/>
    <col min="384" max="384" width="4.5703125" style="15" bestFit="1" customWidth="1"/>
    <col min="385" max="385" width="7.5703125" style="15" bestFit="1" customWidth="1"/>
    <col min="386" max="386" width="3.5703125" style="15" bestFit="1" customWidth="1"/>
    <col min="387" max="387" width="6.5703125" style="15" bestFit="1" customWidth="1"/>
    <col min="388" max="388" width="4.5703125" style="15" bestFit="1" customWidth="1"/>
    <col min="389" max="389" width="7.5703125" style="15" bestFit="1" customWidth="1"/>
    <col min="390" max="390" width="3.5703125" style="15" bestFit="1" customWidth="1"/>
    <col min="391" max="391" width="6.5703125" style="15" bestFit="1" customWidth="1"/>
    <col min="392" max="392" width="9.5703125" style="15" bestFit="1" customWidth="1"/>
    <col min="393" max="394" width="6.5703125" style="15" bestFit="1" customWidth="1"/>
    <col min="395" max="395" width="4.5703125" style="15" bestFit="1" customWidth="1"/>
    <col min="396" max="396" width="7.5703125" style="15" bestFit="1" customWidth="1"/>
    <col min="397" max="397" width="4.5703125" style="15" bestFit="1" customWidth="1"/>
    <col min="398" max="398" width="7.5703125" style="15" bestFit="1" customWidth="1"/>
    <col min="399" max="399" width="4.5703125" style="15" bestFit="1" customWidth="1"/>
    <col min="400" max="400" width="7.5703125" style="15" bestFit="1" customWidth="1"/>
    <col min="401" max="401" width="3.5703125" style="15" bestFit="1" customWidth="1"/>
    <col min="402" max="402" width="6.5703125" style="15" bestFit="1" customWidth="1"/>
    <col min="403" max="403" width="4.5703125" style="15" bestFit="1" customWidth="1"/>
    <col min="404" max="404" width="7.5703125" style="15" bestFit="1" customWidth="1"/>
    <col min="405" max="405" width="4.5703125" style="15" bestFit="1" customWidth="1"/>
    <col min="406" max="406" width="7.5703125" style="15" bestFit="1" customWidth="1"/>
    <col min="407" max="407" width="3.5703125" style="15" bestFit="1" customWidth="1"/>
    <col min="408" max="408" width="6.5703125" style="15" bestFit="1" customWidth="1"/>
    <col min="409" max="409" width="3.5703125" style="15" bestFit="1" customWidth="1"/>
    <col min="410" max="410" width="6.5703125" style="15" bestFit="1" customWidth="1"/>
    <col min="411" max="411" width="9.5703125" style="15" bestFit="1" customWidth="1"/>
    <col min="412" max="412" width="6.5703125" style="15" bestFit="1" customWidth="1"/>
    <col min="413" max="413" width="5.5703125" style="15" bestFit="1" customWidth="1"/>
    <col min="414" max="414" width="4.5703125" style="15" bestFit="1" customWidth="1"/>
    <col min="415" max="415" width="7.5703125" style="15" bestFit="1" customWidth="1"/>
    <col min="416" max="416" width="4.5703125" style="15" bestFit="1" customWidth="1"/>
    <col min="417" max="417" width="7.5703125" style="15" bestFit="1" customWidth="1"/>
    <col min="418" max="418" width="4.5703125" style="15" bestFit="1" customWidth="1"/>
    <col min="419" max="419" width="7.5703125" style="15" bestFit="1" customWidth="1"/>
    <col min="420" max="420" width="3.5703125" style="15" bestFit="1" customWidth="1"/>
    <col min="421" max="421" width="6.5703125" style="15" bestFit="1" customWidth="1"/>
    <col min="422" max="422" width="9.5703125" style="15" bestFit="1" customWidth="1"/>
    <col min="423" max="423" width="8.5703125" style="15" bestFit="1" customWidth="1"/>
    <col min="424" max="425" width="11.5703125" style="15" bestFit="1" customWidth="1"/>
    <col min="426" max="426" width="10.7109375" style="15" bestFit="1" customWidth="1"/>
    <col min="427" max="16384" width="8.7109375" style="15"/>
  </cols>
  <sheetData>
    <row r="3" spans="1:23" x14ac:dyDescent="0.25">
      <c r="A3" s="15" t="s">
        <v>20</v>
      </c>
      <c r="B3" s="15" t="s">
        <v>21</v>
      </c>
    </row>
    <row r="4" spans="1:23" x14ac:dyDescent="0.25">
      <c r="A4" s="15" t="s">
        <v>22</v>
      </c>
      <c r="C4" s="15" t="s">
        <v>23</v>
      </c>
      <c r="D4" s="15" t="s">
        <v>24</v>
      </c>
      <c r="E4" s="15" t="s">
        <v>25</v>
      </c>
      <c r="F4" s="15" t="s">
        <v>26</v>
      </c>
      <c r="G4" s="15" t="s">
        <v>27</v>
      </c>
      <c r="H4" s="15" t="s">
        <v>28</v>
      </c>
      <c r="I4" s="15" t="s">
        <v>29</v>
      </c>
      <c r="J4" s="15" t="s">
        <v>30</v>
      </c>
      <c r="K4" s="15" t="s">
        <v>31</v>
      </c>
      <c r="L4" s="15" t="s">
        <v>32</v>
      </c>
      <c r="M4" s="15" t="s">
        <v>33</v>
      </c>
      <c r="N4" s="15" t="s">
        <v>34</v>
      </c>
      <c r="O4" s="15" t="s">
        <v>35</v>
      </c>
      <c r="P4" s="15" t="s">
        <v>36</v>
      </c>
      <c r="Q4" s="15" t="s">
        <v>37</v>
      </c>
      <c r="R4" s="15" t="s">
        <v>38</v>
      </c>
      <c r="S4" s="15" t="s">
        <v>39</v>
      </c>
      <c r="T4" s="15" t="s">
        <v>40</v>
      </c>
      <c r="U4" s="15" t="s">
        <v>41</v>
      </c>
      <c r="V4" s="15" t="s">
        <v>42</v>
      </c>
      <c r="W4" s="15" t="s">
        <v>43</v>
      </c>
    </row>
    <row r="5" spans="1:23" x14ac:dyDescent="0.25">
      <c r="A5" s="16" t="s">
        <v>48</v>
      </c>
      <c r="B5" s="15">
        <v>40</v>
      </c>
      <c r="C5" s="15">
        <v>7</v>
      </c>
      <c r="D5" s="15">
        <v>125</v>
      </c>
      <c r="E5" s="15">
        <v>141</v>
      </c>
      <c r="F5" s="15">
        <v>1</v>
      </c>
      <c r="G5" s="15">
        <v>2</v>
      </c>
      <c r="H5" s="15">
        <v>1</v>
      </c>
      <c r="I5" s="15">
        <v>33</v>
      </c>
      <c r="J5" s="15">
        <v>1116</v>
      </c>
      <c r="K5" s="15">
        <v>421</v>
      </c>
      <c r="L5" s="15">
        <v>4</v>
      </c>
      <c r="M5" s="15">
        <v>25</v>
      </c>
      <c r="N5" s="15">
        <v>3</v>
      </c>
      <c r="O5" s="15">
        <v>21</v>
      </c>
      <c r="P5" s="15">
        <v>14</v>
      </c>
      <c r="Q5" s="15">
        <v>1</v>
      </c>
      <c r="S5" s="15">
        <v>2</v>
      </c>
      <c r="T5" s="15">
        <v>20</v>
      </c>
      <c r="U5" s="15">
        <v>16</v>
      </c>
      <c r="W5" s="15">
        <v>1993</v>
      </c>
    </row>
    <row r="6" spans="1:23" x14ac:dyDescent="0.25">
      <c r="A6" s="17" t="s">
        <v>45</v>
      </c>
      <c r="B6" s="15">
        <v>23</v>
      </c>
      <c r="C6" s="15">
        <v>7</v>
      </c>
      <c r="D6" s="15">
        <v>124</v>
      </c>
      <c r="E6" s="15">
        <v>140</v>
      </c>
      <c r="F6" s="15">
        <v>1</v>
      </c>
      <c r="G6" s="15">
        <v>1</v>
      </c>
      <c r="H6" s="15">
        <v>1</v>
      </c>
      <c r="I6" s="15">
        <v>33</v>
      </c>
      <c r="J6" s="15">
        <v>1111</v>
      </c>
      <c r="K6" s="15">
        <v>415</v>
      </c>
      <c r="L6" s="15">
        <v>4</v>
      </c>
      <c r="M6" s="15">
        <v>20</v>
      </c>
      <c r="N6" s="15">
        <v>3</v>
      </c>
      <c r="O6" s="15">
        <v>21</v>
      </c>
      <c r="P6" s="15">
        <v>14</v>
      </c>
      <c r="S6" s="15">
        <v>2</v>
      </c>
      <c r="T6" s="15">
        <v>20</v>
      </c>
      <c r="U6" s="15">
        <v>15</v>
      </c>
      <c r="W6" s="15">
        <v>1955</v>
      </c>
    </row>
    <row r="7" spans="1:23" x14ac:dyDescent="0.25">
      <c r="A7" s="18">
        <v>1997</v>
      </c>
      <c r="B7" s="15">
        <v>8</v>
      </c>
      <c r="C7" s="15">
        <v>4</v>
      </c>
      <c r="D7" s="15">
        <v>50</v>
      </c>
      <c r="E7" s="15">
        <v>11</v>
      </c>
      <c r="J7" s="15">
        <v>57</v>
      </c>
      <c r="K7" s="15">
        <v>18</v>
      </c>
      <c r="W7" s="15">
        <v>148</v>
      </c>
    </row>
    <row r="8" spans="1:23" x14ac:dyDescent="0.25">
      <c r="A8" s="18">
        <v>2005</v>
      </c>
      <c r="B8" s="15">
        <v>2</v>
      </c>
      <c r="H8" s="15">
        <v>1</v>
      </c>
      <c r="I8" s="15">
        <v>4</v>
      </c>
      <c r="J8" s="15">
        <v>22</v>
      </c>
      <c r="K8" s="15">
        <v>5</v>
      </c>
      <c r="M8" s="15">
        <v>2</v>
      </c>
      <c r="S8" s="15">
        <v>2</v>
      </c>
      <c r="T8" s="15">
        <v>3</v>
      </c>
      <c r="U8" s="15">
        <v>1</v>
      </c>
      <c r="W8" s="15">
        <v>42</v>
      </c>
    </row>
    <row r="9" spans="1:23" x14ac:dyDescent="0.25">
      <c r="A9" s="18">
        <v>2007</v>
      </c>
      <c r="B9" s="15">
        <v>4</v>
      </c>
      <c r="C9" s="15">
        <v>1</v>
      </c>
      <c r="D9" s="15">
        <v>13</v>
      </c>
      <c r="E9" s="15">
        <v>9</v>
      </c>
      <c r="J9" s="15">
        <v>25</v>
      </c>
      <c r="K9" s="15">
        <v>40</v>
      </c>
      <c r="M9" s="15">
        <v>2</v>
      </c>
      <c r="O9" s="15">
        <v>1</v>
      </c>
      <c r="P9" s="15">
        <v>6</v>
      </c>
      <c r="T9" s="15">
        <v>9</v>
      </c>
      <c r="U9" s="15">
        <v>8</v>
      </c>
      <c r="W9" s="15">
        <v>118</v>
      </c>
    </row>
    <row r="10" spans="1:23" x14ac:dyDescent="0.25">
      <c r="A10" s="18">
        <v>2008</v>
      </c>
      <c r="B10" s="15">
        <v>5</v>
      </c>
      <c r="D10" s="15">
        <v>12</v>
      </c>
      <c r="E10" s="15">
        <v>9</v>
      </c>
      <c r="I10" s="15">
        <v>2</v>
      </c>
      <c r="J10" s="15">
        <v>109</v>
      </c>
      <c r="K10" s="15">
        <v>14</v>
      </c>
      <c r="M10" s="15">
        <v>10</v>
      </c>
      <c r="O10" s="15">
        <v>1</v>
      </c>
      <c r="T10" s="15">
        <v>7</v>
      </c>
      <c r="U10" s="15">
        <v>4</v>
      </c>
      <c r="W10" s="15">
        <v>173</v>
      </c>
    </row>
    <row r="11" spans="1:23" x14ac:dyDescent="0.25">
      <c r="A11" s="18">
        <v>2009</v>
      </c>
      <c r="B11" s="15">
        <v>1</v>
      </c>
      <c r="D11" s="15">
        <v>4</v>
      </c>
      <c r="E11" s="15">
        <v>1</v>
      </c>
      <c r="I11" s="15">
        <v>1</v>
      </c>
      <c r="J11" s="15">
        <v>106</v>
      </c>
      <c r="K11" s="15">
        <v>57</v>
      </c>
      <c r="M11" s="15">
        <v>2</v>
      </c>
      <c r="N11" s="15">
        <v>1</v>
      </c>
      <c r="O11" s="15">
        <v>6</v>
      </c>
      <c r="P11" s="15">
        <v>1</v>
      </c>
      <c r="T11" s="15">
        <v>1</v>
      </c>
      <c r="W11" s="15">
        <v>181</v>
      </c>
    </row>
    <row r="12" spans="1:23" x14ac:dyDescent="0.25">
      <c r="A12" s="18">
        <v>2010</v>
      </c>
      <c r="D12" s="15">
        <v>2</v>
      </c>
      <c r="E12" s="15">
        <v>3</v>
      </c>
      <c r="J12" s="15">
        <v>27</v>
      </c>
      <c r="K12" s="15">
        <v>19</v>
      </c>
      <c r="O12" s="15">
        <v>2</v>
      </c>
      <c r="P12" s="15">
        <v>1</v>
      </c>
      <c r="W12" s="15">
        <v>54</v>
      </c>
    </row>
    <row r="13" spans="1:23" x14ac:dyDescent="0.25">
      <c r="A13" s="18">
        <v>2011</v>
      </c>
      <c r="B13" s="15">
        <v>1</v>
      </c>
      <c r="D13" s="15">
        <v>4</v>
      </c>
      <c r="E13" s="15">
        <v>20</v>
      </c>
      <c r="I13" s="15">
        <v>1</v>
      </c>
      <c r="J13" s="15">
        <v>18</v>
      </c>
      <c r="K13" s="15">
        <v>13</v>
      </c>
      <c r="W13" s="15">
        <v>57</v>
      </c>
    </row>
    <row r="14" spans="1:23" x14ac:dyDescent="0.25">
      <c r="A14" s="18">
        <v>2012</v>
      </c>
      <c r="D14" s="15">
        <v>7</v>
      </c>
      <c r="E14" s="15">
        <v>1</v>
      </c>
      <c r="I14" s="15">
        <v>2</v>
      </c>
      <c r="J14" s="15">
        <v>213</v>
      </c>
      <c r="K14" s="15">
        <v>33</v>
      </c>
      <c r="N14" s="15">
        <v>1</v>
      </c>
      <c r="O14" s="15">
        <v>4</v>
      </c>
      <c r="P14" s="15">
        <v>2</v>
      </c>
      <c r="W14" s="15">
        <v>263</v>
      </c>
    </row>
    <row r="15" spans="1:23" x14ac:dyDescent="0.25">
      <c r="A15" s="18">
        <v>2013</v>
      </c>
      <c r="B15" s="15">
        <v>1</v>
      </c>
      <c r="D15" s="15">
        <v>12</v>
      </c>
      <c r="E15" s="15">
        <v>60</v>
      </c>
      <c r="F15" s="15">
        <v>1</v>
      </c>
      <c r="I15" s="15">
        <v>9</v>
      </c>
      <c r="J15" s="15">
        <v>99</v>
      </c>
      <c r="K15" s="15">
        <v>115</v>
      </c>
      <c r="L15" s="15">
        <v>4</v>
      </c>
      <c r="O15" s="15">
        <v>1</v>
      </c>
      <c r="P15" s="15">
        <v>3</v>
      </c>
      <c r="U15" s="15">
        <v>1</v>
      </c>
      <c r="W15" s="15">
        <v>306</v>
      </c>
    </row>
    <row r="16" spans="1:23" x14ac:dyDescent="0.25">
      <c r="A16" s="18">
        <v>2014</v>
      </c>
      <c r="B16" s="15">
        <v>1</v>
      </c>
      <c r="D16" s="15">
        <v>16</v>
      </c>
      <c r="I16" s="15">
        <v>1</v>
      </c>
      <c r="J16" s="15">
        <v>6</v>
      </c>
      <c r="K16" s="15">
        <v>10</v>
      </c>
      <c r="W16" s="15">
        <v>34</v>
      </c>
    </row>
    <row r="17" spans="1:23" x14ac:dyDescent="0.25">
      <c r="A17" s="18">
        <v>2015</v>
      </c>
      <c r="D17" s="15">
        <v>2</v>
      </c>
      <c r="E17" s="15">
        <v>12</v>
      </c>
      <c r="J17" s="15">
        <v>80</v>
      </c>
      <c r="K17" s="15">
        <v>6</v>
      </c>
      <c r="W17" s="15">
        <v>100</v>
      </c>
    </row>
    <row r="18" spans="1:23" x14ac:dyDescent="0.25">
      <c r="A18" s="18">
        <v>2016</v>
      </c>
      <c r="E18" s="15">
        <v>6</v>
      </c>
      <c r="I18" s="15">
        <v>11</v>
      </c>
      <c r="J18" s="15">
        <v>170</v>
      </c>
      <c r="K18" s="15">
        <v>53</v>
      </c>
      <c r="N18" s="15">
        <v>1</v>
      </c>
      <c r="O18" s="15">
        <v>3</v>
      </c>
      <c r="W18" s="15">
        <v>244</v>
      </c>
    </row>
    <row r="19" spans="1:23" x14ac:dyDescent="0.25">
      <c r="A19" s="18">
        <v>2018</v>
      </c>
      <c r="D19" s="15">
        <v>1</v>
      </c>
      <c r="I19" s="15">
        <v>2</v>
      </c>
      <c r="J19" s="15">
        <v>166</v>
      </c>
      <c r="K19" s="15">
        <v>32</v>
      </c>
      <c r="M19" s="15">
        <v>1</v>
      </c>
      <c r="O19" s="15">
        <v>3</v>
      </c>
      <c r="P19" s="15">
        <v>1</v>
      </c>
      <c r="U19" s="15">
        <v>1</v>
      </c>
      <c r="W19" s="15">
        <v>207</v>
      </c>
    </row>
    <row r="20" spans="1:23" x14ac:dyDescent="0.25">
      <c r="A20" s="18">
        <v>2020</v>
      </c>
      <c r="C20" s="15">
        <v>2</v>
      </c>
      <c r="D20" s="15">
        <v>1</v>
      </c>
      <c r="E20" s="15">
        <v>8</v>
      </c>
      <c r="G20" s="15">
        <v>1</v>
      </c>
      <c r="J20" s="15">
        <v>13</v>
      </c>
      <c r="M20" s="15">
        <v>3</v>
      </c>
      <c r="W20" s="15">
        <v>28</v>
      </c>
    </row>
    <row r="21" spans="1:23" x14ac:dyDescent="0.25">
      <c r="A21" s="17" t="s">
        <v>46</v>
      </c>
      <c r="B21" s="15">
        <v>14</v>
      </c>
      <c r="G21" s="15">
        <v>1</v>
      </c>
      <c r="M21" s="15">
        <v>5</v>
      </c>
      <c r="Q21" s="15">
        <v>1</v>
      </c>
      <c r="U21" s="15">
        <v>1</v>
      </c>
      <c r="W21" s="15">
        <v>22</v>
      </c>
    </row>
    <row r="22" spans="1:23" x14ac:dyDescent="0.25">
      <c r="A22" s="18">
        <v>2007</v>
      </c>
      <c r="B22" s="15">
        <v>14</v>
      </c>
      <c r="G22" s="15">
        <v>1</v>
      </c>
      <c r="M22" s="15">
        <v>5</v>
      </c>
      <c r="Q22" s="15">
        <v>1</v>
      </c>
      <c r="U22" s="15">
        <v>1</v>
      </c>
      <c r="W22" s="15">
        <v>22</v>
      </c>
    </row>
    <row r="23" spans="1:23" x14ac:dyDescent="0.25">
      <c r="A23" s="17" t="s">
        <v>47</v>
      </c>
      <c r="D23" s="15">
        <v>1</v>
      </c>
      <c r="E23" s="15">
        <v>1</v>
      </c>
      <c r="J23" s="15">
        <v>5</v>
      </c>
      <c r="K23" s="15">
        <v>4</v>
      </c>
      <c r="W23" s="15">
        <v>11</v>
      </c>
    </row>
    <row r="24" spans="1:23" x14ac:dyDescent="0.25">
      <c r="A24" s="18">
        <v>1997</v>
      </c>
      <c r="D24" s="15">
        <v>1</v>
      </c>
      <c r="E24" s="15">
        <v>1</v>
      </c>
      <c r="J24" s="15">
        <v>5</v>
      </c>
      <c r="K24" s="15">
        <v>4</v>
      </c>
      <c r="W24" s="15">
        <v>11</v>
      </c>
    </row>
    <row r="25" spans="1:23" x14ac:dyDescent="0.25">
      <c r="A25" s="17" t="s">
        <v>49</v>
      </c>
      <c r="B25" s="15">
        <v>3</v>
      </c>
      <c r="K25" s="15">
        <v>2</v>
      </c>
      <c r="W25" s="15">
        <v>5</v>
      </c>
    </row>
    <row r="26" spans="1:23" x14ac:dyDescent="0.25">
      <c r="A26" s="18">
        <v>1989</v>
      </c>
      <c r="B26" s="15">
        <v>3</v>
      </c>
      <c r="K26" s="15">
        <v>2</v>
      </c>
      <c r="W26" s="15">
        <v>5</v>
      </c>
    </row>
    <row r="27" spans="1:23" x14ac:dyDescent="0.25">
      <c r="A27" s="16" t="s">
        <v>50</v>
      </c>
      <c r="B27" s="15">
        <v>162</v>
      </c>
      <c r="C27" s="15">
        <v>1</v>
      </c>
      <c r="D27" s="15">
        <v>177</v>
      </c>
      <c r="E27" s="15">
        <v>179</v>
      </c>
      <c r="F27" s="15">
        <v>1</v>
      </c>
      <c r="G27" s="15">
        <v>1</v>
      </c>
      <c r="I27" s="15">
        <v>11</v>
      </c>
      <c r="J27" s="15">
        <v>960</v>
      </c>
      <c r="K27" s="15">
        <v>269</v>
      </c>
      <c r="L27" s="15">
        <v>1</v>
      </c>
      <c r="M27" s="15">
        <v>1</v>
      </c>
      <c r="O27" s="15">
        <v>63</v>
      </c>
      <c r="P27" s="15">
        <v>12</v>
      </c>
      <c r="R27" s="15">
        <v>1</v>
      </c>
      <c r="S27" s="15">
        <v>4</v>
      </c>
      <c r="T27" s="15">
        <v>132</v>
      </c>
      <c r="U27" s="15">
        <v>70</v>
      </c>
      <c r="W27" s="15">
        <v>2045</v>
      </c>
    </row>
    <row r="28" spans="1:23" x14ac:dyDescent="0.25">
      <c r="A28" s="17" t="s">
        <v>47</v>
      </c>
      <c r="B28" s="15">
        <v>162</v>
      </c>
      <c r="C28" s="15">
        <v>1</v>
      </c>
      <c r="D28" s="15">
        <v>177</v>
      </c>
      <c r="E28" s="15">
        <v>179</v>
      </c>
      <c r="F28" s="15">
        <v>1</v>
      </c>
      <c r="G28" s="15">
        <v>1</v>
      </c>
      <c r="I28" s="15">
        <v>11</v>
      </c>
      <c r="J28" s="15">
        <v>960</v>
      </c>
      <c r="K28" s="15">
        <v>269</v>
      </c>
      <c r="L28" s="15">
        <v>1</v>
      </c>
      <c r="M28" s="15">
        <v>1</v>
      </c>
      <c r="O28" s="15">
        <v>63</v>
      </c>
      <c r="P28" s="15">
        <v>12</v>
      </c>
      <c r="R28" s="15">
        <v>1</v>
      </c>
      <c r="S28" s="15">
        <v>4</v>
      </c>
      <c r="T28" s="15">
        <v>132</v>
      </c>
      <c r="U28" s="15">
        <v>70</v>
      </c>
      <c r="W28" s="15">
        <v>2045</v>
      </c>
    </row>
    <row r="29" spans="1:23" x14ac:dyDescent="0.25">
      <c r="A29" s="18">
        <v>1989</v>
      </c>
      <c r="B29" s="15">
        <v>50</v>
      </c>
      <c r="D29" s="15">
        <v>28</v>
      </c>
      <c r="E29" s="15">
        <v>15</v>
      </c>
      <c r="I29" s="15">
        <v>3</v>
      </c>
      <c r="J29" s="15">
        <v>40</v>
      </c>
      <c r="K29" s="15">
        <v>12</v>
      </c>
      <c r="W29" s="15">
        <v>148</v>
      </c>
    </row>
    <row r="30" spans="1:23" x14ac:dyDescent="0.25">
      <c r="A30" s="18">
        <v>1990</v>
      </c>
      <c r="B30" s="15">
        <v>32</v>
      </c>
      <c r="D30" s="15">
        <v>65</v>
      </c>
      <c r="E30" s="15">
        <v>70</v>
      </c>
      <c r="F30" s="15">
        <v>1</v>
      </c>
      <c r="I30" s="15">
        <v>4</v>
      </c>
      <c r="J30" s="15">
        <v>207</v>
      </c>
      <c r="K30" s="15">
        <v>55</v>
      </c>
      <c r="O30" s="15">
        <v>2</v>
      </c>
      <c r="P30" s="15">
        <v>2</v>
      </c>
      <c r="T30" s="15">
        <v>35</v>
      </c>
      <c r="U30" s="15">
        <v>22</v>
      </c>
      <c r="W30" s="15">
        <v>495</v>
      </c>
    </row>
    <row r="31" spans="1:23" x14ac:dyDescent="0.25">
      <c r="A31" s="18">
        <v>1991</v>
      </c>
      <c r="B31" s="15">
        <v>34</v>
      </c>
      <c r="D31" s="15">
        <v>45</v>
      </c>
      <c r="E31" s="15">
        <v>42</v>
      </c>
      <c r="J31" s="15">
        <v>274</v>
      </c>
      <c r="K31" s="15">
        <v>38</v>
      </c>
      <c r="O31" s="15">
        <v>2</v>
      </c>
      <c r="T31" s="15">
        <v>23</v>
      </c>
      <c r="U31" s="15">
        <v>16</v>
      </c>
      <c r="W31" s="15">
        <v>474</v>
      </c>
    </row>
    <row r="32" spans="1:23" x14ac:dyDescent="0.25">
      <c r="A32" s="18">
        <v>1992</v>
      </c>
      <c r="B32" s="15">
        <v>2</v>
      </c>
      <c r="D32" s="15">
        <v>1</v>
      </c>
      <c r="E32" s="15">
        <v>15</v>
      </c>
      <c r="J32" s="15">
        <v>41</v>
      </c>
      <c r="K32" s="15">
        <v>20</v>
      </c>
      <c r="S32" s="15">
        <v>1</v>
      </c>
      <c r="W32" s="15">
        <v>80</v>
      </c>
    </row>
    <row r="33" spans="1:23" x14ac:dyDescent="0.25">
      <c r="A33" s="18">
        <v>1993</v>
      </c>
      <c r="B33" s="15">
        <v>2</v>
      </c>
      <c r="E33" s="15">
        <v>4</v>
      </c>
      <c r="J33" s="15">
        <v>3</v>
      </c>
      <c r="K33" s="15">
        <v>1</v>
      </c>
      <c r="W33" s="15">
        <v>10</v>
      </c>
    </row>
    <row r="34" spans="1:23" x14ac:dyDescent="0.25">
      <c r="A34" s="18">
        <v>2003</v>
      </c>
      <c r="B34" s="15">
        <v>13</v>
      </c>
      <c r="D34" s="15">
        <v>13</v>
      </c>
      <c r="E34" s="15">
        <v>6</v>
      </c>
      <c r="J34" s="15">
        <v>112</v>
      </c>
      <c r="K34" s="15">
        <v>60</v>
      </c>
      <c r="L34" s="15">
        <v>1</v>
      </c>
      <c r="O34" s="15">
        <v>6</v>
      </c>
      <c r="P34" s="15">
        <v>1</v>
      </c>
      <c r="R34" s="15">
        <v>1</v>
      </c>
      <c r="S34" s="15">
        <v>2</v>
      </c>
      <c r="T34" s="15">
        <v>6</v>
      </c>
      <c r="U34" s="15">
        <v>3</v>
      </c>
      <c r="W34" s="15">
        <v>224</v>
      </c>
    </row>
    <row r="35" spans="1:23" x14ac:dyDescent="0.25">
      <c r="A35" s="18">
        <v>2005</v>
      </c>
      <c r="B35" s="15">
        <v>9</v>
      </c>
      <c r="C35" s="15">
        <v>1</v>
      </c>
      <c r="D35" s="15">
        <v>7</v>
      </c>
      <c r="E35" s="15">
        <v>3</v>
      </c>
      <c r="I35" s="15">
        <v>1</v>
      </c>
      <c r="J35" s="15">
        <v>58</v>
      </c>
      <c r="K35" s="15">
        <v>16</v>
      </c>
      <c r="O35" s="15">
        <v>42</v>
      </c>
      <c r="P35" s="15">
        <v>7</v>
      </c>
      <c r="T35" s="15">
        <v>13</v>
      </c>
      <c r="U35" s="15">
        <v>6</v>
      </c>
      <c r="W35" s="15">
        <v>163</v>
      </c>
    </row>
    <row r="36" spans="1:23" x14ac:dyDescent="0.25">
      <c r="A36" s="18">
        <v>2006</v>
      </c>
      <c r="B36" s="15">
        <v>3</v>
      </c>
      <c r="D36" s="15">
        <v>1</v>
      </c>
      <c r="E36" s="15">
        <v>6</v>
      </c>
      <c r="J36" s="15">
        <v>38</v>
      </c>
      <c r="K36" s="15">
        <v>7</v>
      </c>
      <c r="O36" s="15">
        <v>4</v>
      </c>
      <c r="P36" s="15">
        <v>1</v>
      </c>
      <c r="T36" s="15">
        <v>10</v>
      </c>
      <c r="U36" s="15">
        <v>4</v>
      </c>
      <c r="W36" s="15">
        <v>74</v>
      </c>
    </row>
    <row r="37" spans="1:23" x14ac:dyDescent="0.25">
      <c r="A37" s="18">
        <v>2008</v>
      </c>
      <c r="B37" s="15">
        <v>2</v>
      </c>
      <c r="D37" s="15">
        <v>2</v>
      </c>
      <c r="E37" s="15">
        <v>1</v>
      </c>
      <c r="J37" s="15">
        <v>26</v>
      </c>
      <c r="K37" s="15">
        <v>3</v>
      </c>
      <c r="T37" s="15">
        <v>6</v>
      </c>
      <c r="U37" s="15">
        <v>1</v>
      </c>
      <c r="W37" s="15">
        <v>41</v>
      </c>
    </row>
    <row r="38" spans="1:23" x14ac:dyDescent="0.25">
      <c r="A38" s="18">
        <v>2009</v>
      </c>
      <c r="B38" s="15">
        <v>1</v>
      </c>
      <c r="D38" s="15">
        <v>7</v>
      </c>
      <c r="E38" s="15">
        <v>2</v>
      </c>
      <c r="J38" s="15">
        <v>12</v>
      </c>
      <c r="K38" s="15">
        <v>5</v>
      </c>
      <c r="O38" s="15">
        <v>1</v>
      </c>
      <c r="T38" s="15">
        <v>4</v>
      </c>
      <c r="U38" s="15">
        <v>3</v>
      </c>
      <c r="W38" s="15">
        <v>35</v>
      </c>
    </row>
    <row r="39" spans="1:23" x14ac:dyDescent="0.25">
      <c r="A39" s="18">
        <v>2010</v>
      </c>
      <c r="B39" s="15">
        <v>6</v>
      </c>
      <c r="D39" s="15">
        <v>1</v>
      </c>
      <c r="E39" s="15">
        <v>9</v>
      </c>
      <c r="J39" s="15">
        <v>38</v>
      </c>
      <c r="K39" s="15">
        <v>7</v>
      </c>
      <c r="O39" s="15">
        <v>1</v>
      </c>
      <c r="S39" s="15">
        <v>1</v>
      </c>
      <c r="T39" s="15">
        <v>7</v>
      </c>
      <c r="U39" s="15">
        <v>2</v>
      </c>
      <c r="W39" s="15">
        <v>72</v>
      </c>
    </row>
    <row r="40" spans="1:23" x14ac:dyDescent="0.25">
      <c r="A40" s="18">
        <v>2011</v>
      </c>
      <c r="E40" s="15">
        <v>1</v>
      </c>
      <c r="K40" s="15">
        <v>5</v>
      </c>
      <c r="U40" s="15">
        <v>3</v>
      </c>
      <c r="W40" s="15">
        <v>9</v>
      </c>
    </row>
    <row r="41" spans="1:23" x14ac:dyDescent="0.25">
      <c r="A41" s="18">
        <v>2012</v>
      </c>
      <c r="D41" s="15">
        <v>1</v>
      </c>
      <c r="J41" s="15">
        <v>22</v>
      </c>
      <c r="K41" s="15">
        <v>2</v>
      </c>
      <c r="O41" s="15">
        <v>3</v>
      </c>
      <c r="T41" s="15">
        <v>1</v>
      </c>
      <c r="W41" s="15">
        <v>29</v>
      </c>
    </row>
    <row r="42" spans="1:23" x14ac:dyDescent="0.25">
      <c r="A42" s="18">
        <v>2014</v>
      </c>
      <c r="D42" s="15">
        <v>5</v>
      </c>
      <c r="E42" s="15">
        <v>2</v>
      </c>
      <c r="I42" s="15">
        <v>2</v>
      </c>
      <c r="J42" s="15">
        <v>14</v>
      </c>
      <c r="K42" s="15">
        <v>2</v>
      </c>
      <c r="T42" s="15">
        <v>2</v>
      </c>
      <c r="U42" s="15">
        <v>2</v>
      </c>
      <c r="W42" s="15">
        <v>29</v>
      </c>
    </row>
    <row r="43" spans="1:23" x14ac:dyDescent="0.25">
      <c r="A43" s="18">
        <v>2016</v>
      </c>
      <c r="D43" s="15">
        <v>1</v>
      </c>
      <c r="J43" s="15">
        <v>12</v>
      </c>
      <c r="K43" s="15">
        <v>10</v>
      </c>
      <c r="W43" s="15">
        <v>23</v>
      </c>
    </row>
    <row r="44" spans="1:23" x14ac:dyDescent="0.25">
      <c r="A44" s="18">
        <v>2018</v>
      </c>
      <c r="B44" s="15">
        <v>2</v>
      </c>
      <c r="E44" s="15">
        <v>2</v>
      </c>
      <c r="J44" s="15">
        <v>20</v>
      </c>
      <c r="K44" s="15">
        <v>8</v>
      </c>
      <c r="O44" s="15">
        <v>2</v>
      </c>
      <c r="T44" s="15">
        <v>7</v>
      </c>
      <c r="U44" s="15">
        <v>3</v>
      </c>
      <c r="W44" s="15">
        <v>44</v>
      </c>
    </row>
    <row r="45" spans="1:23" x14ac:dyDescent="0.25">
      <c r="A45" s="18">
        <v>2019</v>
      </c>
      <c r="B45" s="15">
        <v>5</v>
      </c>
      <c r="E45" s="15">
        <v>1</v>
      </c>
      <c r="G45" s="15">
        <v>1</v>
      </c>
      <c r="J45" s="15">
        <v>35</v>
      </c>
      <c r="K45" s="15">
        <v>13</v>
      </c>
      <c r="P45" s="15">
        <v>1</v>
      </c>
      <c r="T45" s="15">
        <v>15</v>
      </c>
      <c r="U45" s="15">
        <v>4</v>
      </c>
      <c r="W45" s="15">
        <v>75</v>
      </c>
    </row>
    <row r="46" spans="1:23" x14ac:dyDescent="0.25">
      <c r="A46" s="18">
        <v>2020</v>
      </c>
      <c r="J46" s="15">
        <v>5</v>
      </c>
      <c r="K46" s="15">
        <v>3</v>
      </c>
      <c r="M46" s="15">
        <v>1</v>
      </c>
      <c r="T46" s="15">
        <v>2</v>
      </c>
      <c r="U46" s="15">
        <v>1</v>
      </c>
      <c r="W46" s="15">
        <v>12</v>
      </c>
    </row>
    <row r="47" spans="1:23" x14ac:dyDescent="0.25">
      <c r="A47" s="18">
        <v>2021</v>
      </c>
      <c r="B47" s="15">
        <v>1</v>
      </c>
      <c r="I47" s="15">
        <v>1</v>
      </c>
      <c r="J47" s="15">
        <v>3</v>
      </c>
      <c r="K47" s="15">
        <v>2</v>
      </c>
      <c r="T47" s="15">
        <v>1</v>
      </c>
      <c r="W47" s="15">
        <v>8</v>
      </c>
    </row>
    <row r="48" spans="1:23" x14ac:dyDescent="0.25">
      <c r="A48" s="16" t="s">
        <v>42</v>
      </c>
    </row>
    <row r="49" spans="1:23" x14ac:dyDescent="0.25">
      <c r="A49" s="17" t="s">
        <v>42</v>
      </c>
    </row>
    <row r="50" spans="1:23" x14ac:dyDescent="0.25">
      <c r="A50" s="18" t="s">
        <v>42</v>
      </c>
    </row>
    <row r="51" spans="1:23" x14ac:dyDescent="0.25">
      <c r="A51" s="16" t="s">
        <v>43</v>
      </c>
      <c r="B51" s="15">
        <v>202</v>
      </c>
      <c r="C51" s="15">
        <v>8</v>
      </c>
      <c r="D51" s="15">
        <v>302</v>
      </c>
      <c r="E51" s="15">
        <v>320</v>
      </c>
      <c r="F51" s="15">
        <v>2</v>
      </c>
      <c r="G51" s="15">
        <v>3</v>
      </c>
      <c r="H51" s="15">
        <v>1</v>
      </c>
      <c r="I51" s="15">
        <v>44</v>
      </c>
      <c r="J51" s="15">
        <v>2076</v>
      </c>
      <c r="K51" s="15">
        <v>690</v>
      </c>
      <c r="L51" s="15">
        <v>5</v>
      </c>
      <c r="M51" s="15">
        <v>26</v>
      </c>
      <c r="N51" s="15">
        <v>3</v>
      </c>
      <c r="O51" s="15">
        <v>84</v>
      </c>
      <c r="P51" s="15">
        <v>26</v>
      </c>
      <c r="Q51" s="15">
        <v>1</v>
      </c>
      <c r="R51" s="15">
        <v>1</v>
      </c>
      <c r="S51" s="15">
        <v>6</v>
      </c>
      <c r="T51" s="15">
        <v>152</v>
      </c>
      <c r="U51" s="15">
        <v>86</v>
      </c>
      <c r="W51" s="15">
        <v>4038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1430B-8282-43A8-A9E6-1F8C3AFB3D53}">
  <dimension ref="A3:W56"/>
  <sheetViews>
    <sheetView workbookViewId="0">
      <selection activeCell="A6" sqref="A6:XFD6"/>
    </sheetView>
  </sheetViews>
  <sheetFormatPr defaultColWidth="8.7109375" defaultRowHeight="15" x14ac:dyDescent="0.25"/>
  <cols>
    <col min="1" max="1" width="24" style="15" bestFit="1" customWidth="1"/>
    <col min="2" max="2" width="16.85546875" style="15" bestFit="1" customWidth="1"/>
    <col min="3" max="4" width="4" style="15" bestFit="1" customWidth="1"/>
    <col min="5" max="7" width="3" style="15" bestFit="1" customWidth="1"/>
    <col min="8" max="8" width="5" style="15" bestFit="1" customWidth="1"/>
    <col min="9" max="9" width="4" style="15" bestFit="1" customWidth="1"/>
    <col min="10" max="11" width="3" style="15" bestFit="1" customWidth="1"/>
    <col min="12" max="12" width="4" style="15" bestFit="1" customWidth="1"/>
    <col min="13" max="13" width="3" style="15" bestFit="1" customWidth="1"/>
    <col min="14" max="14" width="11.28515625" style="15" bestFit="1" customWidth="1"/>
    <col min="15" max="15" width="3.85546875" style="15" bestFit="1" customWidth="1"/>
    <col min="16" max="17" width="2.85546875" style="15" bestFit="1" customWidth="1"/>
    <col min="18" max="19" width="3.5703125" style="15" bestFit="1" customWidth="1"/>
    <col min="20" max="20" width="3.85546875" style="15" bestFit="1" customWidth="1"/>
    <col min="21" max="21" width="3.5703125" style="15" bestFit="1" customWidth="1"/>
    <col min="22" max="22" width="6.85546875" style="15" bestFit="1" customWidth="1"/>
    <col min="23" max="23" width="10.7109375" style="15" bestFit="1" customWidth="1"/>
    <col min="24" max="16384" width="8.7109375" style="15"/>
  </cols>
  <sheetData>
    <row r="3" spans="1:23" x14ac:dyDescent="0.25">
      <c r="A3" s="49" t="s">
        <v>20</v>
      </c>
      <c r="B3" s="49" t="s">
        <v>21</v>
      </c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</row>
    <row r="4" spans="1:23" x14ac:dyDescent="0.25">
      <c r="A4" s="49" t="s">
        <v>22</v>
      </c>
      <c r="B4" t="s">
        <v>23</v>
      </c>
      <c r="C4" t="s">
        <v>24</v>
      </c>
      <c r="D4" t="s">
        <v>25</v>
      </c>
      <c r="E4" t="s">
        <v>26</v>
      </c>
      <c r="F4" t="s">
        <v>28</v>
      </c>
      <c r="G4" t="s">
        <v>29</v>
      </c>
      <c r="H4" t="s">
        <v>30</v>
      </c>
      <c r="I4" t="s">
        <v>31</v>
      </c>
      <c r="J4" t="s">
        <v>32</v>
      </c>
      <c r="K4" t="s">
        <v>34</v>
      </c>
      <c r="L4" t="s">
        <v>35</v>
      </c>
      <c r="M4" t="s">
        <v>36</v>
      </c>
      <c r="N4" t="s">
        <v>43</v>
      </c>
      <c r="O4"/>
      <c r="P4"/>
      <c r="Q4"/>
      <c r="R4"/>
      <c r="S4"/>
      <c r="T4"/>
      <c r="U4"/>
      <c r="V4"/>
      <c r="W4"/>
    </row>
    <row r="5" spans="1:23" x14ac:dyDescent="0.25">
      <c r="A5" s="33" t="s">
        <v>44</v>
      </c>
      <c r="B5" s="50"/>
      <c r="C5" s="50">
        <v>9</v>
      </c>
      <c r="D5" s="50">
        <v>10</v>
      </c>
      <c r="E5" s="50"/>
      <c r="F5" s="50"/>
      <c r="G5" s="50">
        <v>1</v>
      </c>
      <c r="H5" s="50">
        <v>242</v>
      </c>
      <c r="I5" s="50">
        <v>37</v>
      </c>
      <c r="J5" s="50"/>
      <c r="K5" s="50">
        <v>1</v>
      </c>
      <c r="L5" s="50">
        <v>26</v>
      </c>
      <c r="M5" s="50">
        <v>4</v>
      </c>
      <c r="N5" s="50">
        <v>330</v>
      </c>
      <c r="O5"/>
      <c r="P5"/>
      <c r="Q5"/>
      <c r="R5"/>
      <c r="S5"/>
      <c r="T5"/>
      <c r="U5"/>
      <c r="V5"/>
      <c r="W5"/>
    </row>
    <row r="6" spans="1:23" x14ac:dyDescent="0.25">
      <c r="A6" s="51">
        <v>1989</v>
      </c>
      <c r="B6" s="50"/>
      <c r="C6" s="50">
        <v>7</v>
      </c>
      <c r="D6" s="50">
        <v>1</v>
      </c>
      <c r="E6" s="50"/>
      <c r="F6" s="50"/>
      <c r="G6" s="50">
        <v>1</v>
      </c>
      <c r="H6" s="50">
        <v>75</v>
      </c>
      <c r="I6" s="50">
        <v>16</v>
      </c>
      <c r="J6" s="50"/>
      <c r="K6" s="50"/>
      <c r="L6" s="50">
        <v>9</v>
      </c>
      <c r="M6" s="50"/>
      <c r="N6" s="50">
        <v>109</v>
      </c>
      <c r="O6"/>
      <c r="P6"/>
      <c r="Q6"/>
      <c r="R6"/>
      <c r="S6"/>
      <c r="T6"/>
      <c r="U6"/>
      <c r="V6"/>
      <c r="W6"/>
    </row>
    <row r="7" spans="1:23" x14ac:dyDescent="0.25">
      <c r="A7" s="51">
        <v>1991</v>
      </c>
      <c r="B7" s="50"/>
      <c r="C7" s="50">
        <v>1</v>
      </c>
      <c r="D7" s="50">
        <v>6</v>
      </c>
      <c r="E7" s="50"/>
      <c r="F7" s="50"/>
      <c r="G7" s="50"/>
      <c r="H7" s="50">
        <v>132</v>
      </c>
      <c r="I7" s="50">
        <v>8</v>
      </c>
      <c r="J7" s="50"/>
      <c r="K7" s="50">
        <v>1</v>
      </c>
      <c r="L7" s="50">
        <v>10</v>
      </c>
      <c r="M7" s="50"/>
      <c r="N7" s="50">
        <v>158</v>
      </c>
      <c r="O7"/>
      <c r="P7"/>
      <c r="Q7"/>
      <c r="R7"/>
      <c r="S7"/>
      <c r="T7"/>
      <c r="U7"/>
      <c r="V7"/>
      <c r="W7"/>
    </row>
    <row r="8" spans="1:23" x14ac:dyDescent="0.25">
      <c r="A8" s="51">
        <v>1993</v>
      </c>
      <c r="B8" s="50"/>
      <c r="C8" s="50"/>
      <c r="D8" s="50"/>
      <c r="E8" s="50"/>
      <c r="F8" s="50"/>
      <c r="G8" s="50"/>
      <c r="H8" s="50"/>
      <c r="I8" s="50"/>
      <c r="J8" s="50"/>
      <c r="K8" s="50"/>
      <c r="L8" s="50">
        <v>2</v>
      </c>
      <c r="M8" s="50"/>
      <c r="N8" s="50">
        <v>2</v>
      </c>
      <c r="O8"/>
      <c r="P8"/>
      <c r="Q8"/>
      <c r="R8"/>
      <c r="S8"/>
      <c r="T8"/>
      <c r="U8"/>
      <c r="V8"/>
      <c r="W8"/>
    </row>
    <row r="9" spans="1:23" x14ac:dyDescent="0.25">
      <c r="A9" s="51">
        <v>1998</v>
      </c>
      <c r="B9" s="50"/>
      <c r="C9" s="50">
        <v>1</v>
      </c>
      <c r="D9" s="50">
        <v>3</v>
      </c>
      <c r="E9" s="50"/>
      <c r="F9" s="50"/>
      <c r="G9" s="50"/>
      <c r="H9" s="50">
        <v>6</v>
      </c>
      <c r="I9" s="50">
        <v>7</v>
      </c>
      <c r="J9" s="50"/>
      <c r="K9" s="50"/>
      <c r="L9" s="50">
        <v>2</v>
      </c>
      <c r="M9" s="50">
        <v>1</v>
      </c>
      <c r="N9" s="50">
        <v>20</v>
      </c>
      <c r="O9"/>
      <c r="P9"/>
      <c r="Q9"/>
      <c r="R9"/>
      <c r="S9"/>
      <c r="T9"/>
      <c r="U9"/>
      <c r="V9"/>
      <c r="W9"/>
    </row>
    <row r="10" spans="1:23" x14ac:dyDescent="0.25">
      <c r="A10" s="51">
        <v>2000</v>
      </c>
      <c r="B10" s="50"/>
      <c r="C10" s="50"/>
      <c r="D10" s="50"/>
      <c r="E10" s="50"/>
      <c r="F10" s="50"/>
      <c r="G10" s="50"/>
      <c r="H10" s="50">
        <v>29</v>
      </c>
      <c r="I10" s="50">
        <v>6</v>
      </c>
      <c r="J10" s="50"/>
      <c r="K10" s="50"/>
      <c r="L10" s="50">
        <v>3</v>
      </c>
      <c r="M10" s="50">
        <v>3</v>
      </c>
      <c r="N10" s="50">
        <v>41</v>
      </c>
      <c r="O10"/>
      <c r="P10"/>
      <c r="Q10"/>
      <c r="R10"/>
      <c r="S10"/>
      <c r="T10"/>
      <c r="U10"/>
      <c r="V10"/>
      <c r="W10"/>
    </row>
    <row r="11" spans="1:23" x14ac:dyDescent="0.25">
      <c r="A11" s="33" t="s">
        <v>45</v>
      </c>
      <c r="B11" s="50">
        <v>9</v>
      </c>
      <c r="C11" s="50">
        <v>174</v>
      </c>
      <c r="D11" s="50">
        <v>171</v>
      </c>
      <c r="E11" s="50">
        <v>2</v>
      </c>
      <c r="F11" s="50">
        <v>1</v>
      </c>
      <c r="G11" s="50">
        <v>55</v>
      </c>
      <c r="H11" s="50">
        <v>1758</v>
      </c>
      <c r="I11" s="50">
        <v>529</v>
      </c>
      <c r="J11" s="50">
        <v>4</v>
      </c>
      <c r="K11" s="50">
        <v>3</v>
      </c>
      <c r="L11" s="50">
        <v>25</v>
      </c>
      <c r="M11" s="50">
        <v>15</v>
      </c>
      <c r="N11" s="50">
        <v>2746</v>
      </c>
      <c r="O11"/>
      <c r="P11"/>
      <c r="Q11"/>
      <c r="R11"/>
      <c r="S11"/>
      <c r="T11"/>
      <c r="U11"/>
      <c r="V11"/>
      <c r="W11"/>
    </row>
    <row r="12" spans="1:23" x14ac:dyDescent="0.25">
      <c r="A12" s="51">
        <v>1997</v>
      </c>
      <c r="B12" s="50">
        <v>4</v>
      </c>
      <c r="C12" s="50">
        <v>50</v>
      </c>
      <c r="D12" s="50">
        <v>11</v>
      </c>
      <c r="E12" s="50"/>
      <c r="F12" s="50"/>
      <c r="G12" s="50"/>
      <c r="H12" s="50">
        <v>57</v>
      </c>
      <c r="I12" s="50">
        <v>18</v>
      </c>
      <c r="J12" s="50"/>
      <c r="K12" s="50"/>
      <c r="L12" s="50"/>
      <c r="M12" s="50"/>
      <c r="N12" s="50">
        <v>140</v>
      </c>
      <c r="O12"/>
      <c r="P12"/>
      <c r="Q12"/>
      <c r="R12"/>
      <c r="S12"/>
      <c r="T12"/>
      <c r="U12"/>
      <c r="V12"/>
      <c r="W12"/>
    </row>
    <row r="13" spans="1:23" x14ac:dyDescent="0.25">
      <c r="A13" s="51">
        <v>2005</v>
      </c>
      <c r="B13" s="50"/>
      <c r="C13" s="50"/>
      <c r="D13" s="50"/>
      <c r="E13" s="50"/>
      <c r="F13" s="50">
        <v>1</v>
      </c>
      <c r="G13" s="50">
        <v>4</v>
      </c>
      <c r="H13" s="50">
        <v>22</v>
      </c>
      <c r="I13" s="50">
        <v>5</v>
      </c>
      <c r="J13" s="50"/>
      <c r="K13" s="50"/>
      <c r="L13" s="50"/>
      <c r="M13" s="50"/>
      <c r="N13" s="50">
        <v>32</v>
      </c>
      <c r="O13"/>
      <c r="P13"/>
      <c r="Q13"/>
      <c r="R13"/>
      <c r="S13"/>
      <c r="T13"/>
      <c r="U13"/>
      <c r="V13"/>
      <c r="W13"/>
    </row>
    <row r="14" spans="1:23" x14ac:dyDescent="0.25">
      <c r="A14" s="51">
        <v>2007</v>
      </c>
      <c r="B14" s="50">
        <v>1</v>
      </c>
      <c r="C14" s="50">
        <v>13</v>
      </c>
      <c r="D14" s="50">
        <v>9</v>
      </c>
      <c r="E14" s="50"/>
      <c r="F14" s="50"/>
      <c r="G14" s="50"/>
      <c r="H14" s="50">
        <v>25</v>
      </c>
      <c r="I14" s="50">
        <v>40</v>
      </c>
      <c r="J14" s="50"/>
      <c r="K14" s="50"/>
      <c r="L14" s="50">
        <v>1</v>
      </c>
      <c r="M14" s="50">
        <v>6</v>
      </c>
      <c r="N14" s="50">
        <v>95</v>
      </c>
      <c r="O14"/>
      <c r="P14"/>
      <c r="Q14"/>
      <c r="R14"/>
      <c r="S14"/>
      <c r="T14"/>
      <c r="U14"/>
      <c r="V14"/>
      <c r="W14"/>
    </row>
    <row r="15" spans="1:23" x14ac:dyDescent="0.25">
      <c r="A15" s="51">
        <v>2008</v>
      </c>
      <c r="B15" s="50"/>
      <c r="C15" s="50">
        <v>12</v>
      </c>
      <c r="D15" s="50">
        <v>9</v>
      </c>
      <c r="E15" s="50"/>
      <c r="F15" s="50"/>
      <c r="G15" s="50">
        <v>2</v>
      </c>
      <c r="H15" s="50">
        <v>109</v>
      </c>
      <c r="I15" s="50">
        <v>14</v>
      </c>
      <c r="J15" s="50"/>
      <c r="K15" s="50"/>
      <c r="L15" s="50">
        <v>1</v>
      </c>
      <c r="M15" s="50"/>
      <c r="N15" s="50">
        <v>147</v>
      </c>
      <c r="O15"/>
      <c r="P15"/>
      <c r="Q15"/>
      <c r="R15"/>
      <c r="S15"/>
      <c r="T15"/>
      <c r="U15"/>
      <c r="V15"/>
      <c r="W15"/>
    </row>
    <row r="16" spans="1:23" x14ac:dyDescent="0.25">
      <c r="A16" s="51">
        <v>2009</v>
      </c>
      <c r="B16" s="50"/>
      <c r="C16" s="50">
        <v>4</v>
      </c>
      <c r="D16" s="50">
        <v>1</v>
      </c>
      <c r="E16" s="50"/>
      <c r="F16" s="50"/>
      <c r="G16" s="50">
        <v>1</v>
      </c>
      <c r="H16" s="50">
        <v>106</v>
      </c>
      <c r="I16" s="50">
        <v>57</v>
      </c>
      <c r="J16" s="50"/>
      <c r="K16" s="50">
        <v>1</v>
      </c>
      <c r="L16" s="50">
        <v>6</v>
      </c>
      <c r="M16" s="50">
        <v>1</v>
      </c>
      <c r="N16" s="50">
        <v>177</v>
      </c>
      <c r="O16"/>
      <c r="P16"/>
      <c r="Q16"/>
      <c r="R16"/>
      <c r="S16"/>
      <c r="T16"/>
      <c r="U16"/>
      <c r="V16"/>
      <c r="W16"/>
    </row>
    <row r="17" spans="1:23" x14ac:dyDescent="0.25">
      <c r="A17" s="51">
        <v>2010</v>
      </c>
      <c r="B17" s="50"/>
      <c r="C17" s="50">
        <v>2</v>
      </c>
      <c r="D17" s="50">
        <v>3</v>
      </c>
      <c r="E17" s="50"/>
      <c r="F17" s="50"/>
      <c r="G17" s="50"/>
      <c r="H17" s="50">
        <v>27</v>
      </c>
      <c r="I17" s="50">
        <v>19</v>
      </c>
      <c r="J17" s="50"/>
      <c r="K17" s="50"/>
      <c r="L17" s="50">
        <v>2</v>
      </c>
      <c r="M17" s="50">
        <v>1</v>
      </c>
      <c r="N17" s="50">
        <v>54</v>
      </c>
      <c r="O17"/>
      <c r="P17"/>
      <c r="Q17"/>
      <c r="R17"/>
      <c r="S17"/>
      <c r="T17"/>
      <c r="U17"/>
      <c r="V17"/>
      <c r="W17"/>
    </row>
    <row r="18" spans="1:23" x14ac:dyDescent="0.25">
      <c r="A18" s="51">
        <v>2011</v>
      </c>
      <c r="B18" s="50"/>
      <c r="C18" s="50">
        <v>4</v>
      </c>
      <c r="D18" s="50">
        <v>20</v>
      </c>
      <c r="E18" s="50"/>
      <c r="F18" s="50"/>
      <c r="G18" s="50">
        <v>1</v>
      </c>
      <c r="H18" s="50">
        <v>18</v>
      </c>
      <c r="I18" s="50">
        <v>13</v>
      </c>
      <c r="J18" s="50"/>
      <c r="K18" s="50"/>
      <c r="L18" s="50"/>
      <c r="M18" s="50"/>
      <c r="N18" s="50">
        <v>56</v>
      </c>
      <c r="O18"/>
      <c r="P18"/>
      <c r="Q18"/>
      <c r="R18"/>
      <c r="S18"/>
      <c r="T18"/>
      <c r="U18"/>
      <c r="V18"/>
      <c r="W18"/>
    </row>
    <row r="19" spans="1:23" x14ac:dyDescent="0.25">
      <c r="A19" s="51">
        <v>2012</v>
      </c>
      <c r="B19" s="50"/>
      <c r="C19" s="50">
        <v>7</v>
      </c>
      <c r="D19" s="50">
        <v>1</v>
      </c>
      <c r="E19" s="50"/>
      <c r="F19" s="50"/>
      <c r="G19" s="50">
        <v>2</v>
      </c>
      <c r="H19" s="50">
        <v>213</v>
      </c>
      <c r="I19" s="50">
        <v>33</v>
      </c>
      <c r="J19" s="50"/>
      <c r="K19" s="50">
        <v>1</v>
      </c>
      <c r="L19" s="50">
        <v>4</v>
      </c>
      <c r="M19" s="50">
        <v>2</v>
      </c>
      <c r="N19" s="50">
        <v>263</v>
      </c>
      <c r="O19"/>
      <c r="P19"/>
      <c r="Q19"/>
      <c r="R19"/>
      <c r="S19"/>
      <c r="T19"/>
      <c r="U19"/>
      <c r="V19"/>
      <c r="W19"/>
    </row>
    <row r="20" spans="1:23" x14ac:dyDescent="0.25">
      <c r="A20" s="51">
        <v>2013</v>
      </c>
      <c r="B20" s="50"/>
      <c r="C20" s="50">
        <v>12</v>
      </c>
      <c r="D20" s="50">
        <v>60</v>
      </c>
      <c r="E20" s="50">
        <v>1</v>
      </c>
      <c r="F20" s="50"/>
      <c r="G20" s="50">
        <v>9</v>
      </c>
      <c r="H20" s="50">
        <v>99</v>
      </c>
      <c r="I20" s="50">
        <v>115</v>
      </c>
      <c r="J20" s="50">
        <v>4</v>
      </c>
      <c r="K20" s="50"/>
      <c r="L20" s="50">
        <v>1</v>
      </c>
      <c r="M20" s="50">
        <v>3</v>
      </c>
      <c r="N20" s="50">
        <v>304</v>
      </c>
      <c r="O20"/>
      <c r="P20"/>
      <c r="Q20"/>
      <c r="R20"/>
      <c r="S20"/>
      <c r="T20"/>
      <c r="U20"/>
      <c r="V20"/>
      <c r="W20"/>
    </row>
    <row r="21" spans="1:23" x14ac:dyDescent="0.25">
      <c r="A21" s="51">
        <v>2014</v>
      </c>
      <c r="B21" s="50"/>
      <c r="C21" s="50">
        <v>55</v>
      </c>
      <c r="D21" s="50">
        <v>11</v>
      </c>
      <c r="E21" s="50">
        <v>1</v>
      </c>
      <c r="F21" s="50"/>
      <c r="G21" s="50">
        <v>13</v>
      </c>
      <c r="H21" s="50">
        <v>164</v>
      </c>
      <c r="I21" s="50">
        <v>15</v>
      </c>
      <c r="J21" s="50"/>
      <c r="K21" s="50"/>
      <c r="L21" s="50"/>
      <c r="M21" s="50"/>
      <c r="N21" s="50">
        <v>259</v>
      </c>
      <c r="O21"/>
      <c r="P21"/>
      <c r="Q21"/>
      <c r="R21"/>
      <c r="S21"/>
      <c r="T21"/>
      <c r="U21"/>
      <c r="V21"/>
      <c r="W21"/>
    </row>
    <row r="22" spans="1:23" x14ac:dyDescent="0.25">
      <c r="A22" s="51">
        <v>2015</v>
      </c>
      <c r="B22" s="50"/>
      <c r="C22" s="50">
        <v>2</v>
      </c>
      <c r="D22" s="50">
        <v>12</v>
      </c>
      <c r="E22" s="50"/>
      <c r="F22" s="50"/>
      <c r="G22" s="50"/>
      <c r="H22" s="50">
        <v>80</v>
      </c>
      <c r="I22" s="50">
        <v>6</v>
      </c>
      <c r="J22" s="50"/>
      <c r="K22" s="50"/>
      <c r="L22" s="50"/>
      <c r="M22" s="50"/>
      <c r="N22" s="50">
        <v>100</v>
      </c>
      <c r="O22"/>
      <c r="P22"/>
      <c r="Q22"/>
      <c r="R22"/>
      <c r="S22"/>
      <c r="T22"/>
      <c r="U22"/>
      <c r="V22"/>
      <c r="W22"/>
    </row>
    <row r="23" spans="1:23" x14ac:dyDescent="0.25">
      <c r="A23" s="51">
        <v>2016</v>
      </c>
      <c r="B23" s="50"/>
      <c r="C23" s="50"/>
      <c r="D23" s="50">
        <v>6</v>
      </c>
      <c r="E23" s="50"/>
      <c r="F23" s="50"/>
      <c r="G23" s="50">
        <v>11</v>
      </c>
      <c r="H23" s="50">
        <v>170</v>
      </c>
      <c r="I23" s="50">
        <v>53</v>
      </c>
      <c r="J23" s="50"/>
      <c r="K23" s="50">
        <v>1</v>
      </c>
      <c r="L23" s="50">
        <v>3</v>
      </c>
      <c r="M23" s="50"/>
      <c r="N23" s="50">
        <v>244</v>
      </c>
      <c r="O23"/>
      <c r="P23"/>
      <c r="Q23"/>
      <c r="R23"/>
      <c r="S23"/>
      <c r="T23"/>
      <c r="U23"/>
      <c r="V23"/>
      <c r="W23"/>
    </row>
    <row r="24" spans="1:23" x14ac:dyDescent="0.25">
      <c r="A24" s="51">
        <v>2017</v>
      </c>
      <c r="B24" s="50"/>
      <c r="C24" s="50"/>
      <c r="D24" s="50"/>
      <c r="E24" s="50"/>
      <c r="F24" s="50"/>
      <c r="G24" s="50">
        <v>1</v>
      </c>
      <c r="H24" s="50">
        <v>83</v>
      </c>
      <c r="I24" s="50">
        <v>13</v>
      </c>
      <c r="J24" s="50"/>
      <c r="K24" s="50"/>
      <c r="L24" s="50">
        <v>2</v>
      </c>
      <c r="M24" s="50"/>
      <c r="N24" s="50">
        <v>99</v>
      </c>
      <c r="O24"/>
      <c r="P24"/>
      <c r="Q24"/>
      <c r="R24"/>
      <c r="S24"/>
      <c r="T24"/>
      <c r="U24"/>
      <c r="V24"/>
      <c r="W24"/>
    </row>
    <row r="25" spans="1:23" x14ac:dyDescent="0.25">
      <c r="A25" s="51">
        <v>2018</v>
      </c>
      <c r="B25" s="50"/>
      <c r="C25" s="50">
        <v>1</v>
      </c>
      <c r="D25" s="50"/>
      <c r="E25" s="50"/>
      <c r="F25" s="50"/>
      <c r="G25" s="50">
        <v>2</v>
      </c>
      <c r="H25" s="50">
        <v>166</v>
      </c>
      <c r="I25" s="50">
        <v>32</v>
      </c>
      <c r="J25" s="50"/>
      <c r="K25" s="50"/>
      <c r="L25" s="50">
        <v>3</v>
      </c>
      <c r="M25" s="50">
        <v>1</v>
      </c>
      <c r="N25" s="50">
        <v>205</v>
      </c>
      <c r="O25"/>
      <c r="P25"/>
      <c r="Q25"/>
      <c r="R25"/>
      <c r="S25"/>
      <c r="T25"/>
      <c r="U25"/>
      <c r="V25"/>
      <c r="W25"/>
    </row>
    <row r="26" spans="1:23" x14ac:dyDescent="0.25">
      <c r="A26" s="51">
        <v>2019</v>
      </c>
      <c r="B26" s="50"/>
      <c r="C26" s="50">
        <v>4</v>
      </c>
      <c r="D26" s="50">
        <v>9</v>
      </c>
      <c r="E26" s="50"/>
      <c r="F26" s="50"/>
      <c r="G26" s="50"/>
      <c r="H26" s="50">
        <v>92</v>
      </c>
      <c r="I26" s="50">
        <v>24</v>
      </c>
      <c r="J26" s="50"/>
      <c r="K26" s="50"/>
      <c r="L26" s="50"/>
      <c r="M26" s="50"/>
      <c r="N26" s="50">
        <v>129</v>
      </c>
      <c r="O26"/>
      <c r="P26"/>
      <c r="Q26"/>
      <c r="R26"/>
      <c r="S26"/>
      <c r="T26"/>
      <c r="U26"/>
      <c r="V26"/>
      <c r="W26"/>
    </row>
    <row r="27" spans="1:23" x14ac:dyDescent="0.25">
      <c r="A27" s="51">
        <v>2020</v>
      </c>
      <c r="B27" s="50">
        <v>2</v>
      </c>
      <c r="C27" s="50">
        <v>4</v>
      </c>
      <c r="D27" s="50">
        <v>14</v>
      </c>
      <c r="E27" s="50"/>
      <c r="F27" s="50"/>
      <c r="G27" s="50">
        <v>3</v>
      </c>
      <c r="H27" s="50">
        <v>178</v>
      </c>
      <c r="I27" s="50">
        <v>6</v>
      </c>
      <c r="J27" s="50"/>
      <c r="K27" s="50"/>
      <c r="L27" s="50"/>
      <c r="M27" s="50"/>
      <c r="N27" s="50">
        <v>207</v>
      </c>
      <c r="O27"/>
      <c r="P27"/>
      <c r="Q27"/>
      <c r="R27"/>
      <c r="S27"/>
      <c r="T27"/>
      <c r="U27"/>
      <c r="V27"/>
      <c r="W27"/>
    </row>
    <row r="28" spans="1:23" x14ac:dyDescent="0.25">
      <c r="A28" s="51">
        <v>2021</v>
      </c>
      <c r="B28" s="50">
        <v>2</v>
      </c>
      <c r="C28" s="50">
        <v>4</v>
      </c>
      <c r="D28" s="50">
        <v>5</v>
      </c>
      <c r="E28" s="50"/>
      <c r="F28" s="50"/>
      <c r="G28" s="50">
        <v>6</v>
      </c>
      <c r="H28" s="50">
        <v>149</v>
      </c>
      <c r="I28" s="50">
        <v>66</v>
      </c>
      <c r="J28" s="50"/>
      <c r="K28" s="50"/>
      <c r="L28" s="50">
        <v>2</v>
      </c>
      <c r="M28" s="50">
        <v>1</v>
      </c>
      <c r="N28" s="50">
        <v>235</v>
      </c>
      <c r="O28"/>
      <c r="P28"/>
      <c r="Q28"/>
      <c r="R28"/>
      <c r="S28"/>
      <c r="T28"/>
      <c r="U28"/>
      <c r="V28"/>
      <c r="W28"/>
    </row>
    <row r="29" spans="1:23" x14ac:dyDescent="0.25">
      <c r="A29" s="33" t="s">
        <v>47</v>
      </c>
      <c r="B29" s="50">
        <v>1</v>
      </c>
      <c r="C29" s="50">
        <v>211</v>
      </c>
      <c r="D29" s="50">
        <v>221</v>
      </c>
      <c r="E29" s="50">
        <v>1</v>
      </c>
      <c r="F29" s="50"/>
      <c r="G29" s="50">
        <v>12</v>
      </c>
      <c r="H29" s="50">
        <v>1021</v>
      </c>
      <c r="I29" s="50">
        <v>300</v>
      </c>
      <c r="J29" s="50">
        <v>1</v>
      </c>
      <c r="K29" s="50"/>
      <c r="L29" s="50">
        <v>69</v>
      </c>
      <c r="M29" s="50">
        <v>12</v>
      </c>
      <c r="N29" s="50">
        <v>1849</v>
      </c>
      <c r="O29"/>
      <c r="P29"/>
      <c r="Q29"/>
      <c r="R29"/>
      <c r="S29"/>
      <c r="T29"/>
      <c r="U29"/>
      <c r="V29"/>
      <c r="W29"/>
    </row>
    <row r="30" spans="1:23" x14ac:dyDescent="0.25">
      <c r="A30" s="51">
        <v>1989</v>
      </c>
      <c r="B30" s="50"/>
      <c r="C30" s="50">
        <v>30</v>
      </c>
      <c r="D30" s="50">
        <v>15</v>
      </c>
      <c r="E30" s="50"/>
      <c r="F30" s="50"/>
      <c r="G30" s="50">
        <v>4</v>
      </c>
      <c r="H30" s="50">
        <v>67</v>
      </c>
      <c r="I30" s="50">
        <v>15</v>
      </c>
      <c r="J30" s="50"/>
      <c r="K30" s="50"/>
      <c r="L30" s="50">
        <v>5</v>
      </c>
      <c r="M30" s="50"/>
      <c r="N30" s="50">
        <v>136</v>
      </c>
      <c r="O30"/>
      <c r="P30"/>
      <c r="Q30"/>
      <c r="R30"/>
      <c r="S30"/>
      <c r="T30"/>
      <c r="U30"/>
      <c r="V30"/>
      <c r="W30"/>
    </row>
    <row r="31" spans="1:23" x14ac:dyDescent="0.25">
      <c r="A31" s="51">
        <v>1990</v>
      </c>
      <c r="B31" s="50"/>
      <c r="C31" s="50">
        <v>65</v>
      </c>
      <c r="D31" s="50">
        <v>70</v>
      </c>
      <c r="E31" s="50">
        <v>1</v>
      </c>
      <c r="F31" s="50"/>
      <c r="G31" s="50">
        <v>4</v>
      </c>
      <c r="H31" s="50">
        <v>207</v>
      </c>
      <c r="I31" s="50">
        <v>55</v>
      </c>
      <c r="J31" s="50"/>
      <c r="K31" s="50"/>
      <c r="L31" s="50">
        <v>2</v>
      </c>
      <c r="M31" s="50">
        <v>2</v>
      </c>
      <c r="N31" s="50">
        <v>406</v>
      </c>
      <c r="O31"/>
      <c r="P31"/>
      <c r="Q31"/>
      <c r="R31"/>
      <c r="S31"/>
      <c r="T31"/>
      <c r="U31"/>
      <c r="V31"/>
      <c r="W31"/>
    </row>
    <row r="32" spans="1:23" x14ac:dyDescent="0.25">
      <c r="A32" s="51">
        <v>1991</v>
      </c>
      <c r="B32" s="50"/>
      <c r="C32" s="50">
        <v>45</v>
      </c>
      <c r="D32" s="50">
        <v>42</v>
      </c>
      <c r="E32" s="50"/>
      <c r="F32" s="50"/>
      <c r="G32" s="50"/>
      <c r="H32" s="50">
        <v>274</v>
      </c>
      <c r="I32" s="50">
        <v>38</v>
      </c>
      <c r="J32" s="50"/>
      <c r="K32" s="50"/>
      <c r="L32" s="50">
        <v>2</v>
      </c>
      <c r="M32" s="50"/>
      <c r="N32" s="50">
        <v>401</v>
      </c>
      <c r="O32"/>
      <c r="P32"/>
      <c r="Q32"/>
      <c r="R32"/>
      <c r="S32"/>
      <c r="T32"/>
      <c r="U32"/>
      <c r="V32"/>
      <c r="W32"/>
    </row>
    <row r="33" spans="1:23" x14ac:dyDescent="0.25">
      <c r="A33" s="51">
        <v>1992</v>
      </c>
      <c r="B33" s="50"/>
      <c r="C33" s="50">
        <v>1</v>
      </c>
      <c r="D33" s="50">
        <v>15</v>
      </c>
      <c r="E33" s="50"/>
      <c r="F33" s="50"/>
      <c r="G33" s="50"/>
      <c r="H33" s="50">
        <v>41</v>
      </c>
      <c r="I33" s="50">
        <v>20</v>
      </c>
      <c r="J33" s="50"/>
      <c r="K33" s="50"/>
      <c r="L33" s="50"/>
      <c r="M33" s="50"/>
      <c r="N33" s="50">
        <v>77</v>
      </c>
      <c r="O33"/>
      <c r="P33"/>
      <c r="Q33"/>
      <c r="R33"/>
      <c r="S33"/>
      <c r="T33"/>
      <c r="U33"/>
      <c r="V33"/>
      <c r="W33"/>
    </row>
    <row r="34" spans="1:23" x14ac:dyDescent="0.25">
      <c r="A34" s="51">
        <v>1993</v>
      </c>
      <c r="B34" s="50"/>
      <c r="C34" s="50"/>
      <c r="D34" s="50">
        <v>4</v>
      </c>
      <c r="E34" s="50"/>
      <c r="F34" s="50"/>
      <c r="G34" s="50"/>
      <c r="H34" s="50">
        <v>3</v>
      </c>
      <c r="I34" s="50">
        <v>1</v>
      </c>
      <c r="J34" s="50"/>
      <c r="K34" s="50"/>
      <c r="L34" s="50"/>
      <c r="M34" s="50"/>
      <c r="N34" s="50">
        <v>8</v>
      </c>
      <c r="O34"/>
      <c r="P34"/>
      <c r="Q34"/>
      <c r="R34"/>
      <c r="S34"/>
      <c r="T34"/>
      <c r="U34"/>
      <c r="V34"/>
      <c r="W34"/>
    </row>
    <row r="35" spans="1:23" x14ac:dyDescent="0.25">
      <c r="A35" s="51">
        <v>1997</v>
      </c>
      <c r="B35" s="50"/>
      <c r="C35" s="50">
        <v>1</v>
      </c>
      <c r="D35" s="50">
        <v>1</v>
      </c>
      <c r="E35" s="50"/>
      <c r="F35" s="50"/>
      <c r="G35" s="50"/>
      <c r="H35" s="50">
        <v>5</v>
      </c>
      <c r="I35" s="50">
        <v>4</v>
      </c>
      <c r="J35" s="50"/>
      <c r="K35" s="50"/>
      <c r="L35" s="50"/>
      <c r="M35" s="50"/>
      <c r="N35" s="50">
        <v>11</v>
      </c>
      <c r="O35"/>
      <c r="P35"/>
      <c r="Q35"/>
      <c r="R35"/>
      <c r="S35"/>
      <c r="T35"/>
      <c r="U35"/>
      <c r="V35"/>
      <c r="W35"/>
    </row>
    <row r="36" spans="1:23" x14ac:dyDescent="0.25">
      <c r="A36" s="51">
        <v>1998</v>
      </c>
      <c r="B36" s="50"/>
      <c r="C36" s="50">
        <v>4</v>
      </c>
      <c r="D36" s="50"/>
      <c r="E36" s="50"/>
      <c r="F36" s="50"/>
      <c r="G36" s="50"/>
      <c r="H36" s="50">
        <v>7</v>
      </c>
      <c r="I36" s="50">
        <v>8</v>
      </c>
      <c r="J36" s="50"/>
      <c r="K36" s="50"/>
      <c r="L36" s="50"/>
      <c r="M36" s="50"/>
      <c r="N36" s="50">
        <v>19</v>
      </c>
      <c r="O36"/>
      <c r="P36"/>
      <c r="Q36"/>
      <c r="R36"/>
      <c r="S36"/>
      <c r="T36"/>
      <c r="U36"/>
      <c r="V36"/>
      <c r="W36"/>
    </row>
    <row r="37" spans="1:23" x14ac:dyDescent="0.25">
      <c r="A37" s="51">
        <v>1999</v>
      </c>
      <c r="B37" s="50"/>
      <c r="C37" s="50">
        <v>27</v>
      </c>
      <c r="D37" s="50">
        <v>41</v>
      </c>
      <c r="E37" s="50"/>
      <c r="F37" s="50"/>
      <c r="G37" s="50"/>
      <c r="H37" s="50">
        <v>22</v>
      </c>
      <c r="I37" s="50">
        <v>16</v>
      </c>
      <c r="J37" s="50"/>
      <c r="K37" s="50"/>
      <c r="L37" s="50">
        <v>1</v>
      </c>
      <c r="M37" s="50"/>
      <c r="N37" s="50">
        <v>107</v>
      </c>
      <c r="O37"/>
      <c r="P37"/>
      <c r="Q37"/>
      <c r="R37"/>
      <c r="S37"/>
      <c r="T37"/>
      <c r="U37"/>
      <c r="V37"/>
      <c r="W37"/>
    </row>
    <row r="38" spans="1:23" x14ac:dyDescent="0.25">
      <c r="A38" s="51">
        <v>2003</v>
      </c>
      <c r="B38" s="50"/>
      <c r="C38" s="50">
        <v>13</v>
      </c>
      <c r="D38" s="50">
        <v>6</v>
      </c>
      <c r="E38" s="50"/>
      <c r="F38" s="50"/>
      <c r="G38" s="50"/>
      <c r="H38" s="50">
        <v>112</v>
      </c>
      <c r="I38" s="50">
        <v>60</v>
      </c>
      <c r="J38" s="50">
        <v>1</v>
      </c>
      <c r="K38" s="50"/>
      <c r="L38" s="50">
        <v>6</v>
      </c>
      <c r="M38" s="50">
        <v>1</v>
      </c>
      <c r="N38" s="50">
        <v>199</v>
      </c>
      <c r="O38"/>
      <c r="P38"/>
      <c r="Q38"/>
      <c r="R38"/>
      <c r="S38"/>
      <c r="T38"/>
      <c r="U38"/>
      <c r="V38"/>
      <c r="W38"/>
    </row>
    <row r="39" spans="1:23" x14ac:dyDescent="0.25">
      <c r="A39" s="51">
        <v>2005</v>
      </c>
      <c r="B39" s="50">
        <v>1</v>
      </c>
      <c r="C39" s="50">
        <v>7</v>
      </c>
      <c r="D39" s="50">
        <v>3</v>
      </c>
      <c r="E39" s="50"/>
      <c r="F39" s="50"/>
      <c r="G39" s="50">
        <v>1</v>
      </c>
      <c r="H39" s="50">
        <v>58</v>
      </c>
      <c r="I39" s="50">
        <v>16</v>
      </c>
      <c r="J39" s="50"/>
      <c r="K39" s="50"/>
      <c r="L39" s="50">
        <v>42</v>
      </c>
      <c r="M39" s="50">
        <v>7</v>
      </c>
      <c r="N39" s="50">
        <v>135</v>
      </c>
      <c r="O39"/>
      <c r="P39"/>
      <c r="Q39"/>
      <c r="R39"/>
      <c r="S39"/>
      <c r="T39"/>
      <c r="U39"/>
      <c r="V39"/>
      <c r="W39"/>
    </row>
    <row r="40" spans="1:23" x14ac:dyDescent="0.25">
      <c r="A40" s="51">
        <v>2006</v>
      </c>
      <c r="B40" s="50"/>
      <c r="C40" s="50">
        <v>1</v>
      </c>
      <c r="D40" s="50">
        <v>6</v>
      </c>
      <c r="E40" s="50"/>
      <c r="F40" s="50"/>
      <c r="G40" s="50"/>
      <c r="H40" s="50">
        <v>38</v>
      </c>
      <c r="I40" s="50">
        <v>7</v>
      </c>
      <c r="J40" s="50"/>
      <c r="K40" s="50"/>
      <c r="L40" s="50">
        <v>4</v>
      </c>
      <c r="M40" s="50">
        <v>1</v>
      </c>
      <c r="N40" s="50">
        <v>57</v>
      </c>
      <c r="O40"/>
      <c r="P40"/>
      <c r="Q40"/>
      <c r="R40"/>
      <c r="S40"/>
      <c r="T40"/>
      <c r="U40"/>
      <c r="V40"/>
      <c r="W40"/>
    </row>
    <row r="41" spans="1:23" x14ac:dyDescent="0.25">
      <c r="A41" s="51">
        <v>2008</v>
      </c>
      <c r="B41" s="50"/>
      <c r="C41" s="50">
        <v>2</v>
      </c>
      <c r="D41" s="50">
        <v>1</v>
      </c>
      <c r="E41" s="50"/>
      <c r="F41" s="50"/>
      <c r="G41" s="50"/>
      <c r="H41" s="50">
        <v>26</v>
      </c>
      <c r="I41" s="50">
        <v>3</v>
      </c>
      <c r="J41" s="50"/>
      <c r="K41" s="50"/>
      <c r="L41" s="50"/>
      <c r="M41" s="50"/>
      <c r="N41" s="50">
        <v>32</v>
      </c>
      <c r="O41"/>
      <c r="P41"/>
      <c r="Q41"/>
      <c r="R41"/>
      <c r="S41"/>
      <c r="T41"/>
      <c r="U41"/>
      <c r="V41"/>
      <c r="W41"/>
    </row>
    <row r="42" spans="1:23" x14ac:dyDescent="0.25">
      <c r="A42" s="51">
        <v>2009</v>
      </c>
      <c r="B42" s="50"/>
      <c r="C42" s="50">
        <v>7</v>
      </c>
      <c r="D42" s="50">
        <v>2</v>
      </c>
      <c r="E42" s="50"/>
      <c r="F42" s="50"/>
      <c r="G42" s="50"/>
      <c r="H42" s="50">
        <v>12</v>
      </c>
      <c r="I42" s="50">
        <v>5</v>
      </c>
      <c r="J42" s="50"/>
      <c r="K42" s="50"/>
      <c r="L42" s="50">
        <v>1</v>
      </c>
      <c r="M42" s="50"/>
      <c r="N42" s="50">
        <v>27</v>
      </c>
      <c r="O42"/>
      <c r="P42"/>
      <c r="Q42"/>
      <c r="R42"/>
      <c r="S42"/>
      <c r="T42"/>
      <c r="U42"/>
      <c r="V42"/>
      <c r="W42"/>
    </row>
    <row r="43" spans="1:23" x14ac:dyDescent="0.25">
      <c r="A43" s="51">
        <v>2010</v>
      </c>
      <c r="B43" s="50"/>
      <c r="C43" s="50">
        <v>1</v>
      </c>
      <c r="D43" s="50">
        <v>9</v>
      </c>
      <c r="E43" s="50"/>
      <c r="F43" s="50"/>
      <c r="G43" s="50"/>
      <c r="H43" s="50">
        <v>38</v>
      </c>
      <c r="I43" s="50">
        <v>7</v>
      </c>
      <c r="J43" s="50"/>
      <c r="K43" s="50"/>
      <c r="L43" s="50">
        <v>1</v>
      </c>
      <c r="M43" s="50"/>
      <c r="N43" s="50">
        <v>56</v>
      </c>
      <c r="O43"/>
      <c r="P43"/>
      <c r="Q43"/>
      <c r="R43"/>
      <c r="S43"/>
      <c r="T43"/>
      <c r="U43"/>
      <c r="V43"/>
      <c r="W43"/>
    </row>
    <row r="44" spans="1:23" x14ac:dyDescent="0.25">
      <c r="A44" s="51">
        <v>2011</v>
      </c>
      <c r="B44" s="50"/>
      <c r="C44" s="50"/>
      <c r="D44" s="50">
        <v>1</v>
      </c>
      <c r="E44" s="50"/>
      <c r="F44" s="50"/>
      <c r="G44" s="50"/>
      <c r="H44" s="50"/>
      <c r="I44" s="50">
        <v>5</v>
      </c>
      <c r="J44" s="50"/>
      <c r="K44" s="50"/>
      <c r="L44" s="50"/>
      <c r="M44" s="50"/>
      <c r="N44" s="50">
        <v>6</v>
      </c>
      <c r="O44"/>
      <c r="P44"/>
      <c r="Q44"/>
      <c r="R44"/>
      <c r="S44"/>
      <c r="T44"/>
      <c r="U44"/>
      <c r="V44"/>
      <c r="W44"/>
    </row>
    <row r="45" spans="1:23" x14ac:dyDescent="0.25">
      <c r="A45" s="51">
        <v>2012</v>
      </c>
      <c r="B45" s="50"/>
      <c r="C45" s="50">
        <v>1</v>
      </c>
      <c r="D45" s="50"/>
      <c r="E45" s="50"/>
      <c r="F45" s="50"/>
      <c r="G45" s="50"/>
      <c r="H45" s="50">
        <v>22</v>
      </c>
      <c r="I45" s="50">
        <v>2</v>
      </c>
      <c r="J45" s="50"/>
      <c r="K45" s="50"/>
      <c r="L45" s="50">
        <v>3</v>
      </c>
      <c r="M45" s="50"/>
      <c r="N45" s="50">
        <v>28</v>
      </c>
      <c r="O45"/>
      <c r="P45"/>
      <c r="Q45"/>
      <c r="R45"/>
      <c r="S45"/>
      <c r="T45"/>
      <c r="U45"/>
      <c r="V45"/>
      <c r="W45"/>
    </row>
    <row r="46" spans="1:23" x14ac:dyDescent="0.25">
      <c r="A46" s="51">
        <v>2014</v>
      </c>
      <c r="B46" s="50"/>
      <c r="C46" s="50">
        <v>5</v>
      </c>
      <c r="D46" s="50">
        <v>2</v>
      </c>
      <c r="E46" s="50"/>
      <c r="F46" s="50"/>
      <c r="G46" s="50">
        <v>2</v>
      </c>
      <c r="H46" s="50">
        <v>14</v>
      </c>
      <c r="I46" s="50">
        <v>2</v>
      </c>
      <c r="J46" s="50"/>
      <c r="K46" s="50"/>
      <c r="L46" s="50"/>
      <c r="M46" s="50"/>
      <c r="N46" s="50">
        <v>25</v>
      </c>
      <c r="O46"/>
      <c r="P46"/>
      <c r="Q46"/>
      <c r="R46"/>
      <c r="S46"/>
      <c r="T46"/>
      <c r="U46"/>
      <c r="V46"/>
      <c r="W46"/>
    </row>
    <row r="47" spans="1:23" x14ac:dyDescent="0.25">
      <c r="A47" s="51">
        <v>2016</v>
      </c>
      <c r="B47" s="50"/>
      <c r="C47" s="50">
        <v>1</v>
      </c>
      <c r="D47" s="50"/>
      <c r="E47" s="50"/>
      <c r="F47" s="50"/>
      <c r="G47" s="50"/>
      <c r="H47" s="50">
        <v>12</v>
      </c>
      <c r="I47" s="50">
        <v>10</v>
      </c>
      <c r="J47" s="50"/>
      <c r="K47" s="50"/>
      <c r="L47" s="50"/>
      <c r="M47" s="50"/>
      <c r="N47" s="50">
        <v>23</v>
      </c>
      <c r="O47"/>
      <c r="P47"/>
      <c r="Q47"/>
      <c r="R47"/>
      <c r="S47"/>
      <c r="T47"/>
      <c r="U47"/>
      <c r="V47"/>
      <c r="W47"/>
    </row>
    <row r="48" spans="1:23" x14ac:dyDescent="0.25">
      <c r="A48" s="51">
        <v>2018</v>
      </c>
      <c r="B48" s="50"/>
      <c r="C48" s="50"/>
      <c r="D48" s="50">
        <v>2</v>
      </c>
      <c r="E48" s="50"/>
      <c r="F48" s="50"/>
      <c r="G48" s="50"/>
      <c r="H48" s="50">
        <v>20</v>
      </c>
      <c r="I48" s="50">
        <v>8</v>
      </c>
      <c r="J48" s="50"/>
      <c r="K48" s="50"/>
      <c r="L48" s="50">
        <v>2</v>
      </c>
      <c r="M48" s="50"/>
      <c r="N48" s="50">
        <v>32</v>
      </c>
      <c r="O48"/>
      <c r="P48"/>
      <c r="Q48"/>
      <c r="R48"/>
      <c r="S48"/>
      <c r="T48"/>
      <c r="U48"/>
      <c r="V48"/>
      <c r="W48"/>
    </row>
    <row r="49" spans="1:23" x14ac:dyDescent="0.25">
      <c r="A49" s="51">
        <v>2019</v>
      </c>
      <c r="B49" s="50"/>
      <c r="C49" s="50"/>
      <c r="D49" s="50">
        <v>1</v>
      </c>
      <c r="E49" s="50"/>
      <c r="F49" s="50"/>
      <c r="G49" s="50"/>
      <c r="H49" s="50">
        <v>35</v>
      </c>
      <c r="I49" s="50">
        <v>13</v>
      </c>
      <c r="J49" s="50"/>
      <c r="K49" s="50"/>
      <c r="L49" s="50"/>
      <c r="M49" s="50">
        <v>1</v>
      </c>
      <c r="N49" s="50">
        <v>50</v>
      </c>
      <c r="O49"/>
      <c r="P49"/>
      <c r="Q49"/>
      <c r="R49"/>
      <c r="S49"/>
      <c r="T49"/>
      <c r="U49"/>
      <c r="V49"/>
      <c r="W49"/>
    </row>
    <row r="50" spans="1:23" x14ac:dyDescent="0.25">
      <c r="A50" s="51">
        <v>2020</v>
      </c>
      <c r="B50" s="50"/>
      <c r="C50" s="50"/>
      <c r="D50" s="50"/>
      <c r="E50" s="50"/>
      <c r="F50" s="50"/>
      <c r="G50" s="50"/>
      <c r="H50" s="50">
        <v>5</v>
      </c>
      <c r="I50" s="50">
        <v>3</v>
      </c>
      <c r="J50" s="50"/>
      <c r="K50" s="50"/>
      <c r="L50" s="50"/>
      <c r="M50" s="50"/>
      <c r="N50" s="50">
        <v>8</v>
      </c>
      <c r="O50"/>
      <c r="P50"/>
      <c r="Q50"/>
      <c r="R50"/>
      <c r="S50"/>
      <c r="T50"/>
      <c r="U50"/>
      <c r="V50"/>
      <c r="W50"/>
    </row>
    <row r="51" spans="1:23" x14ac:dyDescent="0.25">
      <c r="A51" s="51">
        <v>2021</v>
      </c>
      <c r="B51" s="50"/>
      <c r="C51" s="50"/>
      <c r="D51" s="50"/>
      <c r="E51" s="50"/>
      <c r="F51" s="50"/>
      <c r="G51" s="50">
        <v>1</v>
      </c>
      <c r="H51" s="50">
        <v>3</v>
      </c>
      <c r="I51" s="50">
        <v>2</v>
      </c>
      <c r="J51" s="50"/>
      <c r="K51" s="50"/>
      <c r="L51" s="50"/>
      <c r="M51" s="50"/>
      <c r="N51" s="50">
        <v>6</v>
      </c>
      <c r="O51"/>
      <c r="P51"/>
      <c r="Q51"/>
      <c r="R51"/>
      <c r="S51"/>
      <c r="T51"/>
      <c r="U51"/>
      <c r="V51"/>
      <c r="W51"/>
    </row>
    <row r="52" spans="1:23" x14ac:dyDescent="0.25">
      <c r="A52" s="33" t="s">
        <v>43</v>
      </c>
      <c r="B52" s="50">
        <v>10</v>
      </c>
      <c r="C52" s="50">
        <v>394</v>
      </c>
      <c r="D52" s="50">
        <v>402</v>
      </c>
      <c r="E52" s="50">
        <v>3</v>
      </c>
      <c r="F52" s="50">
        <v>1</v>
      </c>
      <c r="G52" s="50">
        <v>68</v>
      </c>
      <c r="H52" s="50">
        <v>3021</v>
      </c>
      <c r="I52" s="50">
        <v>866</v>
      </c>
      <c r="J52" s="50">
        <v>5</v>
      </c>
      <c r="K52" s="50">
        <v>4</v>
      </c>
      <c r="L52" s="50">
        <v>120</v>
      </c>
      <c r="M52" s="50">
        <v>31</v>
      </c>
      <c r="N52" s="50">
        <v>4925</v>
      </c>
      <c r="O52"/>
      <c r="P52"/>
      <c r="Q52"/>
      <c r="R52"/>
      <c r="S52"/>
      <c r="T52"/>
      <c r="U52"/>
      <c r="V52"/>
      <c r="W52"/>
    </row>
    <row r="53" spans="1:23" x14ac:dyDescent="0.2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</row>
    <row r="54" spans="1:23" x14ac:dyDescent="0.25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</row>
    <row r="55" spans="1:23" x14ac:dyDescent="0.2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</row>
    <row r="56" spans="1:23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6FC63-227E-4047-B6E5-19AE272772C3}">
  <dimension ref="A1:N27"/>
  <sheetViews>
    <sheetView workbookViewId="0">
      <selection activeCell="T20" sqref="T20"/>
    </sheetView>
  </sheetViews>
  <sheetFormatPr defaultColWidth="8.7109375" defaultRowHeight="15" x14ac:dyDescent="0.25"/>
  <cols>
    <col min="1" max="1" width="32.85546875" style="29" bestFit="1" customWidth="1"/>
    <col min="2" max="2" width="15.5703125" style="29" bestFit="1" customWidth="1"/>
    <col min="3" max="3" width="2.85546875" style="29" bestFit="1" customWidth="1"/>
    <col min="4" max="4" width="3.5703125" style="29" bestFit="1" customWidth="1"/>
    <col min="5" max="6" width="2.85546875" style="29" bestFit="1" customWidth="1"/>
    <col min="7" max="7" width="3.5703125" style="29" bestFit="1" customWidth="1"/>
    <col min="8" max="8" width="2.85546875" style="29" bestFit="1" customWidth="1"/>
    <col min="9" max="9" width="3.85546875" style="29" bestFit="1" customWidth="1"/>
    <col min="10" max="12" width="2.85546875" style="29" bestFit="1" customWidth="1"/>
    <col min="13" max="13" width="6.85546875" style="29" bestFit="1" customWidth="1"/>
    <col min="14" max="14" width="10.7109375" style="29" bestFit="1" customWidth="1"/>
    <col min="15" max="15" width="7.5703125" style="29" bestFit="1" customWidth="1"/>
    <col min="16" max="16" width="8.5703125" style="29" bestFit="1" customWidth="1"/>
    <col min="17" max="17" width="2.85546875" style="29" bestFit="1" customWidth="1"/>
    <col min="18" max="19" width="3.5703125" style="29" bestFit="1" customWidth="1"/>
    <col min="20" max="20" width="6.85546875" style="29" bestFit="1" customWidth="1"/>
    <col min="21" max="21" width="11.5703125" style="29" bestFit="1" customWidth="1"/>
    <col min="22" max="22" width="10.7109375" style="29" bestFit="1" customWidth="1"/>
    <col min="23" max="23" width="19.7109375" style="29" bestFit="1" customWidth="1"/>
    <col min="24" max="24" width="17.42578125" style="29" bestFit="1" customWidth="1"/>
    <col min="25" max="25" width="22.140625" style="29" bestFit="1" customWidth="1"/>
    <col min="26" max="26" width="15" style="29" bestFit="1" customWidth="1"/>
    <col min="27" max="27" width="19.7109375" style="29" bestFit="1" customWidth="1"/>
    <col min="28" max="28" width="17.42578125" style="29" bestFit="1" customWidth="1"/>
    <col min="29" max="29" width="22.140625" style="29" bestFit="1" customWidth="1"/>
    <col min="30" max="30" width="15" style="29" bestFit="1" customWidth="1"/>
    <col min="31" max="31" width="19.7109375" style="29" bestFit="1" customWidth="1"/>
    <col min="32" max="32" width="15" style="29" bestFit="1" customWidth="1"/>
    <col min="33" max="33" width="19.7109375" style="29" bestFit="1" customWidth="1"/>
    <col min="34" max="34" width="15" style="29" bestFit="1" customWidth="1"/>
    <col min="35" max="35" width="19.7109375" style="29" bestFit="1" customWidth="1"/>
    <col min="36" max="36" width="15" style="29" bestFit="1" customWidth="1"/>
    <col min="37" max="37" width="19.7109375" style="29" bestFit="1" customWidth="1"/>
    <col min="38" max="38" width="15" style="29" bestFit="1" customWidth="1"/>
    <col min="39" max="39" width="19.7109375" style="29" bestFit="1" customWidth="1"/>
    <col min="40" max="40" width="21.5703125" style="29" bestFit="1" customWidth="1"/>
    <col min="41" max="41" width="26.42578125" style="29" bestFit="1" customWidth="1"/>
    <col min="42" max="42" width="19.7109375" style="29" bestFit="1" customWidth="1"/>
    <col min="43" max="43" width="24.5703125" style="29" bestFit="1" customWidth="1"/>
    <col min="44" max="16384" width="8.7109375" style="29"/>
  </cols>
  <sheetData>
    <row r="1" spans="1:14" x14ac:dyDescent="0.25">
      <c r="A1" s="29" t="s">
        <v>65</v>
      </c>
      <c r="B1" s="29" t="s">
        <v>66</v>
      </c>
    </row>
    <row r="3" spans="1:14" x14ac:dyDescent="0.25">
      <c r="A3" s="29" t="s">
        <v>67</v>
      </c>
      <c r="B3" s="29" t="s">
        <v>21</v>
      </c>
    </row>
    <row r="4" spans="1:14" x14ac:dyDescent="0.25">
      <c r="A4" s="29" t="s">
        <v>22</v>
      </c>
      <c r="B4" s="29" t="s">
        <v>27</v>
      </c>
      <c r="C4" s="29" t="s">
        <v>33</v>
      </c>
      <c r="D4" s="29" t="s">
        <v>68</v>
      </c>
      <c r="E4" s="29" t="s">
        <v>69</v>
      </c>
      <c r="F4" s="29" t="s">
        <v>70</v>
      </c>
      <c r="G4" s="29" t="s">
        <v>71</v>
      </c>
      <c r="H4" s="29" t="s">
        <v>72</v>
      </c>
      <c r="I4" s="29" t="s">
        <v>73</v>
      </c>
      <c r="J4" s="29" t="s">
        <v>74</v>
      </c>
      <c r="K4" s="29" t="s">
        <v>75</v>
      </c>
      <c r="L4" s="29" t="s">
        <v>76</v>
      </c>
      <c r="M4" s="29" t="s">
        <v>42</v>
      </c>
      <c r="N4" s="29" t="s">
        <v>43</v>
      </c>
    </row>
    <row r="5" spans="1:14" x14ac:dyDescent="0.25">
      <c r="A5" s="30" t="s">
        <v>77</v>
      </c>
      <c r="B5" s="29">
        <v>3</v>
      </c>
      <c r="C5" s="29">
        <v>32</v>
      </c>
      <c r="D5" s="29">
        <v>5</v>
      </c>
      <c r="E5" s="29">
        <v>7</v>
      </c>
      <c r="F5" s="29">
        <v>6</v>
      </c>
      <c r="G5" s="29">
        <v>1</v>
      </c>
      <c r="H5" s="29">
        <v>11</v>
      </c>
      <c r="I5" s="29">
        <v>201</v>
      </c>
      <c r="J5" s="29">
        <v>65</v>
      </c>
      <c r="K5" s="29">
        <v>3</v>
      </c>
      <c r="L5" s="29">
        <v>2</v>
      </c>
      <c r="N5" s="29">
        <v>336</v>
      </c>
    </row>
    <row r="6" spans="1:14" x14ac:dyDescent="0.25">
      <c r="A6" s="31">
        <v>2022</v>
      </c>
      <c r="C6" s="29">
        <v>21</v>
      </c>
      <c r="D6" s="29">
        <v>3</v>
      </c>
      <c r="F6" s="29">
        <v>2</v>
      </c>
      <c r="H6" s="29">
        <v>8</v>
      </c>
      <c r="I6" s="29">
        <v>162</v>
      </c>
      <c r="J6" s="29">
        <v>53</v>
      </c>
      <c r="K6" s="29">
        <v>3</v>
      </c>
      <c r="L6" s="29">
        <v>2</v>
      </c>
      <c r="N6" s="29">
        <v>254</v>
      </c>
    </row>
    <row r="7" spans="1:14" x14ac:dyDescent="0.25">
      <c r="A7" s="32" t="s">
        <v>78</v>
      </c>
      <c r="C7" s="29">
        <v>20</v>
      </c>
      <c r="D7" s="29">
        <v>2</v>
      </c>
      <c r="F7" s="29">
        <v>1</v>
      </c>
      <c r="H7" s="29">
        <v>1</v>
      </c>
      <c r="I7" s="29">
        <v>45</v>
      </c>
      <c r="J7" s="29">
        <v>14</v>
      </c>
      <c r="N7" s="29">
        <v>83</v>
      </c>
    </row>
    <row r="8" spans="1:14" x14ac:dyDescent="0.25">
      <c r="A8" s="32" t="s">
        <v>79</v>
      </c>
      <c r="C8" s="29">
        <v>1</v>
      </c>
      <c r="D8" s="29">
        <v>1</v>
      </c>
      <c r="H8" s="29">
        <v>1</v>
      </c>
      <c r="I8" s="29">
        <v>53</v>
      </c>
      <c r="J8" s="29">
        <v>24</v>
      </c>
      <c r="K8" s="29">
        <v>3</v>
      </c>
      <c r="L8" s="29">
        <v>2</v>
      </c>
      <c r="N8" s="29">
        <v>85</v>
      </c>
    </row>
    <row r="9" spans="1:14" x14ac:dyDescent="0.25">
      <c r="A9" s="32" t="s">
        <v>80</v>
      </c>
      <c r="F9" s="29">
        <v>1</v>
      </c>
      <c r="H9" s="29">
        <v>6</v>
      </c>
      <c r="I9" s="29">
        <v>64</v>
      </c>
      <c r="J9" s="29">
        <v>15</v>
      </c>
      <c r="N9" s="29">
        <v>86</v>
      </c>
    </row>
    <row r="10" spans="1:14" x14ac:dyDescent="0.25">
      <c r="A10" s="31">
        <v>2023</v>
      </c>
      <c r="C10" s="29">
        <v>3</v>
      </c>
      <c r="F10" s="29">
        <v>2</v>
      </c>
      <c r="G10" s="29">
        <v>1</v>
      </c>
      <c r="I10" s="29">
        <v>9</v>
      </c>
      <c r="J10" s="29">
        <v>10</v>
      </c>
      <c r="N10" s="29">
        <v>25</v>
      </c>
    </row>
    <row r="11" spans="1:14" x14ac:dyDescent="0.25">
      <c r="A11" s="32" t="s">
        <v>81</v>
      </c>
      <c r="F11" s="29">
        <v>1</v>
      </c>
      <c r="I11" s="29">
        <v>2</v>
      </c>
      <c r="J11" s="29">
        <v>7</v>
      </c>
      <c r="N11" s="29">
        <v>10</v>
      </c>
    </row>
    <row r="12" spans="1:14" x14ac:dyDescent="0.25">
      <c r="A12" s="32" t="s">
        <v>79</v>
      </c>
      <c r="I12" s="29">
        <v>1</v>
      </c>
      <c r="N12" s="29">
        <v>1</v>
      </c>
    </row>
    <row r="13" spans="1:14" x14ac:dyDescent="0.25">
      <c r="A13" s="32" t="s">
        <v>82</v>
      </c>
      <c r="C13" s="29">
        <v>3</v>
      </c>
      <c r="F13" s="29">
        <v>1</v>
      </c>
      <c r="G13" s="29">
        <v>1</v>
      </c>
      <c r="I13" s="29">
        <v>6</v>
      </c>
      <c r="J13" s="29">
        <v>3</v>
      </c>
      <c r="N13" s="29">
        <v>14</v>
      </c>
    </row>
    <row r="14" spans="1:14" x14ac:dyDescent="0.25">
      <c r="A14" s="31">
        <v>2024</v>
      </c>
      <c r="B14" s="29">
        <v>3</v>
      </c>
      <c r="C14" s="29">
        <v>8</v>
      </c>
      <c r="D14" s="29">
        <v>2</v>
      </c>
      <c r="E14" s="29">
        <v>7</v>
      </c>
      <c r="F14" s="29">
        <v>2</v>
      </c>
      <c r="H14" s="29">
        <v>3</v>
      </c>
      <c r="I14" s="29">
        <v>30</v>
      </c>
      <c r="J14" s="29">
        <v>2</v>
      </c>
      <c r="N14" s="29">
        <v>57</v>
      </c>
    </row>
    <row r="15" spans="1:14" x14ac:dyDescent="0.25">
      <c r="A15" s="32" t="s">
        <v>83</v>
      </c>
      <c r="F15" s="29">
        <v>1</v>
      </c>
      <c r="I15" s="29">
        <v>1</v>
      </c>
      <c r="N15" s="29">
        <v>2</v>
      </c>
    </row>
    <row r="16" spans="1:14" x14ac:dyDescent="0.25">
      <c r="A16" s="32" t="s">
        <v>79</v>
      </c>
      <c r="F16" s="29">
        <v>1</v>
      </c>
      <c r="I16" s="29">
        <v>1</v>
      </c>
      <c r="N16" s="29">
        <v>2</v>
      </c>
    </row>
    <row r="17" spans="1:14" x14ac:dyDescent="0.25">
      <c r="A17" s="32" t="s">
        <v>82</v>
      </c>
      <c r="E17" s="29">
        <v>1</v>
      </c>
      <c r="H17" s="29">
        <v>1</v>
      </c>
      <c r="I17" s="29">
        <v>16</v>
      </c>
      <c r="N17" s="29">
        <v>18</v>
      </c>
    </row>
    <row r="18" spans="1:14" x14ac:dyDescent="0.25">
      <c r="A18" s="32" t="s">
        <v>84</v>
      </c>
      <c r="D18" s="29">
        <v>2</v>
      </c>
      <c r="E18" s="29">
        <v>2</v>
      </c>
      <c r="H18" s="29">
        <v>2</v>
      </c>
      <c r="N18" s="29">
        <v>6</v>
      </c>
    </row>
    <row r="19" spans="1:14" x14ac:dyDescent="0.25">
      <c r="A19" s="32" t="s">
        <v>80</v>
      </c>
      <c r="B19" s="29">
        <v>3</v>
      </c>
      <c r="C19" s="29">
        <v>8</v>
      </c>
      <c r="E19" s="29">
        <v>4</v>
      </c>
      <c r="I19" s="29">
        <v>12</v>
      </c>
      <c r="J19" s="29">
        <v>2</v>
      </c>
      <c r="N19" s="29">
        <v>29</v>
      </c>
    </row>
    <row r="20" spans="1:14" x14ac:dyDescent="0.25">
      <c r="A20" s="30" t="s">
        <v>85</v>
      </c>
      <c r="D20" s="29">
        <v>5</v>
      </c>
      <c r="E20" s="29">
        <v>1</v>
      </c>
      <c r="G20" s="29">
        <v>5</v>
      </c>
      <c r="H20" s="29">
        <v>2</v>
      </c>
      <c r="I20" s="29">
        <v>20</v>
      </c>
      <c r="J20" s="29">
        <v>4</v>
      </c>
      <c r="N20" s="29">
        <v>37</v>
      </c>
    </row>
    <row r="21" spans="1:14" x14ac:dyDescent="0.25">
      <c r="A21" s="31">
        <v>2022</v>
      </c>
      <c r="D21" s="29">
        <v>3</v>
      </c>
      <c r="E21" s="29">
        <v>1</v>
      </c>
      <c r="G21" s="29">
        <v>2</v>
      </c>
      <c r="I21" s="29">
        <v>8</v>
      </c>
      <c r="J21" s="29">
        <v>2</v>
      </c>
      <c r="N21" s="29">
        <v>16</v>
      </c>
    </row>
    <row r="22" spans="1:14" x14ac:dyDescent="0.25">
      <c r="A22" s="32" t="s">
        <v>86</v>
      </c>
      <c r="D22" s="29">
        <v>3</v>
      </c>
      <c r="E22" s="29">
        <v>1</v>
      </c>
      <c r="G22" s="29">
        <v>2</v>
      </c>
      <c r="I22" s="29">
        <v>8</v>
      </c>
      <c r="J22" s="29">
        <v>2</v>
      </c>
      <c r="N22" s="29">
        <v>16</v>
      </c>
    </row>
    <row r="23" spans="1:14" x14ac:dyDescent="0.25">
      <c r="A23" s="31">
        <v>2023</v>
      </c>
      <c r="D23" s="29">
        <v>2</v>
      </c>
      <c r="G23" s="29">
        <v>2</v>
      </c>
      <c r="I23" s="29">
        <v>6</v>
      </c>
      <c r="J23" s="29">
        <v>1</v>
      </c>
      <c r="N23" s="29">
        <v>11</v>
      </c>
    </row>
    <row r="24" spans="1:14" x14ac:dyDescent="0.25">
      <c r="A24" s="32" t="s">
        <v>87</v>
      </c>
      <c r="D24" s="29">
        <v>2</v>
      </c>
      <c r="G24" s="29">
        <v>2</v>
      </c>
      <c r="I24" s="29">
        <v>6</v>
      </c>
      <c r="J24" s="29">
        <v>1</v>
      </c>
      <c r="N24" s="29">
        <v>11</v>
      </c>
    </row>
    <row r="25" spans="1:14" x14ac:dyDescent="0.25">
      <c r="A25" s="31">
        <v>2024</v>
      </c>
      <c r="G25" s="29">
        <v>1</v>
      </c>
      <c r="H25" s="29">
        <v>2</v>
      </c>
      <c r="I25" s="29">
        <v>6</v>
      </c>
      <c r="J25" s="29">
        <v>1</v>
      </c>
      <c r="N25" s="29">
        <v>10</v>
      </c>
    </row>
    <row r="26" spans="1:14" x14ac:dyDescent="0.25">
      <c r="A26" s="32" t="s">
        <v>87</v>
      </c>
      <c r="G26" s="29">
        <v>1</v>
      </c>
      <c r="H26" s="29">
        <v>2</v>
      </c>
      <c r="I26" s="29">
        <v>6</v>
      </c>
      <c r="J26" s="29">
        <v>1</v>
      </c>
      <c r="N26" s="29">
        <v>10</v>
      </c>
    </row>
    <row r="27" spans="1:14" x14ac:dyDescent="0.25">
      <c r="A27" s="30" t="s">
        <v>43</v>
      </c>
      <c r="B27" s="29">
        <v>3</v>
      </c>
      <c r="C27" s="29">
        <v>32</v>
      </c>
      <c r="D27" s="29">
        <v>10</v>
      </c>
      <c r="E27" s="29">
        <v>8</v>
      </c>
      <c r="F27" s="29">
        <v>6</v>
      </c>
      <c r="G27" s="29">
        <v>6</v>
      </c>
      <c r="H27" s="29">
        <v>13</v>
      </c>
      <c r="I27" s="29">
        <v>221</v>
      </c>
      <c r="J27" s="29">
        <v>69</v>
      </c>
      <c r="K27" s="29">
        <v>3</v>
      </c>
      <c r="L27" s="29">
        <v>2</v>
      </c>
      <c r="N27" s="29">
        <v>373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354B-64E6-4F83-83D0-B21A0505B00B}">
  <dimension ref="A1:G43"/>
  <sheetViews>
    <sheetView workbookViewId="0">
      <selection activeCell="I27" sqref="I27"/>
    </sheetView>
  </sheetViews>
  <sheetFormatPr defaultRowHeight="15" x14ac:dyDescent="0.25"/>
  <cols>
    <col min="1" max="1" width="8.7109375" style="9"/>
    <col min="2" max="2" width="50" customWidth="1"/>
    <col min="3" max="3" width="30.140625" customWidth="1"/>
    <col min="4" max="4" width="17.42578125" customWidth="1"/>
  </cols>
  <sheetData>
    <row r="1" spans="1:7" x14ac:dyDescent="0.25">
      <c r="A1" s="33" t="s">
        <v>115</v>
      </c>
    </row>
    <row r="2" spans="1:7" x14ac:dyDescent="0.25">
      <c r="A2" s="33" t="s">
        <v>90</v>
      </c>
    </row>
    <row r="3" spans="1:7" x14ac:dyDescent="0.25">
      <c r="A3" s="33" t="s">
        <v>89</v>
      </c>
    </row>
    <row r="5" spans="1:7" x14ac:dyDescent="0.25">
      <c r="B5" s="44" t="s">
        <v>13</v>
      </c>
      <c r="C5" s="45" t="s">
        <v>12</v>
      </c>
      <c r="D5" s="46" t="s">
        <v>88</v>
      </c>
      <c r="G5" s="4" t="s">
        <v>11</v>
      </c>
    </row>
    <row r="6" spans="1:7" x14ac:dyDescent="0.25">
      <c r="A6" s="28" t="s">
        <v>10</v>
      </c>
      <c r="B6" s="19" t="s">
        <v>9</v>
      </c>
      <c r="C6" s="23" t="s">
        <v>8</v>
      </c>
      <c r="D6" s="25" t="s">
        <v>7</v>
      </c>
      <c r="E6" s="3"/>
    </row>
    <row r="7" spans="1:7" x14ac:dyDescent="0.25">
      <c r="A7" s="28">
        <v>2025</v>
      </c>
      <c r="B7" s="19" t="s">
        <v>3</v>
      </c>
      <c r="C7" s="23" t="s">
        <v>3</v>
      </c>
      <c r="D7" s="25"/>
      <c r="G7" t="s">
        <v>116</v>
      </c>
    </row>
    <row r="8" spans="1:7" x14ac:dyDescent="0.25">
      <c r="A8" s="28">
        <v>2024</v>
      </c>
      <c r="B8" s="19" t="s">
        <v>3</v>
      </c>
      <c r="C8" s="23" t="s">
        <v>3</v>
      </c>
      <c r="D8" s="25"/>
    </row>
    <row r="9" spans="1:7" x14ac:dyDescent="0.25">
      <c r="A9" s="28">
        <v>2023</v>
      </c>
      <c r="B9" s="19" t="s">
        <v>3</v>
      </c>
      <c r="C9" s="23" t="s">
        <v>3</v>
      </c>
      <c r="D9" s="25"/>
    </row>
    <row r="10" spans="1:7" x14ac:dyDescent="0.25">
      <c r="A10" s="28">
        <v>2022</v>
      </c>
      <c r="B10" s="19" t="s">
        <v>6</v>
      </c>
      <c r="C10" s="23" t="s">
        <v>3</v>
      </c>
      <c r="D10" s="25"/>
    </row>
    <row r="11" spans="1:7" x14ac:dyDescent="0.25">
      <c r="A11" s="28">
        <v>2021</v>
      </c>
      <c r="B11" s="19" t="s">
        <v>5</v>
      </c>
      <c r="C11" s="23" t="s">
        <v>5</v>
      </c>
      <c r="D11" s="25"/>
    </row>
    <row r="12" spans="1:7" x14ac:dyDescent="0.25">
      <c r="A12" s="28">
        <v>2020</v>
      </c>
      <c r="B12" s="19" t="s">
        <v>3</v>
      </c>
      <c r="C12" s="23" t="s">
        <v>3</v>
      </c>
      <c r="D12" s="25" t="s">
        <v>3</v>
      </c>
    </row>
    <row r="13" spans="1:7" x14ac:dyDescent="0.25">
      <c r="A13" s="28">
        <v>2019</v>
      </c>
      <c r="B13" s="19"/>
      <c r="C13" s="23" t="s">
        <v>3</v>
      </c>
      <c r="D13" s="25"/>
    </row>
    <row r="14" spans="1:7" x14ac:dyDescent="0.25">
      <c r="A14" s="28">
        <v>2018</v>
      </c>
      <c r="B14" s="19"/>
      <c r="C14" s="23" t="s">
        <v>2</v>
      </c>
      <c r="D14" s="25"/>
    </row>
    <row r="15" spans="1:7" x14ac:dyDescent="0.25">
      <c r="A15" s="28">
        <v>2017</v>
      </c>
      <c r="B15" s="19"/>
      <c r="C15" s="23"/>
      <c r="D15" s="25"/>
    </row>
    <row r="16" spans="1:7" x14ac:dyDescent="0.25">
      <c r="A16" s="28">
        <v>2016</v>
      </c>
      <c r="B16" s="19"/>
      <c r="C16" s="23"/>
      <c r="D16" s="25"/>
    </row>
    <row r="17" spans="1:4" x14ac:dyDescent="0.25">
      <c r="A17" s="28">
        <v>2015</v>
      </c>
      <c r="B17" s="19"/>
      <c r="C17" s="23"/>
      <c r="D17" s="25"/>
    </row>
    <row r="18" spans="1:4" x14ac:dyDescent="0.25">
      <c r="A18" s="28">
        <v>2014</v>
      </c>
      <c r="B18" s="19"/>
      <c r="C18" s="23"/>
      <c r="D18" s="25"/>
    </row>
    <row r="19" spans="1:4" x14ac:dyDescent="0.25">
      <c r="A19" s="28">
        <v>2013</v>
      </c>
      <c r="B19" s="19"/>
      <c r="C19" s="23"/>
      <c r="D19" s="25"/>
    </row>
    <row r="20" spans="1:4" x14ac:dyDescent="0.25">
      <c r="A20" s="28">
        <v>2012</v>
      </c>
      <c r="B20" s="19"/>
      <c r="C20" s="23"/>
      <c r="D20" s="25"/>
    </row>
    <row r="21" spans="1:4" x14ac:dyDescent="0.25">
      <c r="A21" s="28">
        <v>2011</v>
      </c>
      <c r="B21" s="19"/>
      <c r="C21" s="23"/>
      <c r="D21" s="25"/>
    </row>
    <row r="22" spans="1:4" x14ac:dyDescent="0.25">
      <c r="A22" s="28">
        <v>2010</v>
      </c>
      <c r="B22" s="19"/>
      <c r="C22" s="23"/>
      <c r="D22" s="25"/>
    </row>
    <row r="23" spans="1:4" x14ac:dyDescent="0.25">
      <c r="A23" s="28">
        <v>2009</v>
      </c>
      <c r="B23" s="19"/>
      <c r="C23" s="23"/>
      <c r="D23" s="25"/>
    </row>
    <row r="24" spans="1:4" x14ac:dyDescent="0.25">
      <c r="A24" s="28">
        <v>2008</v>
      </c>
      <c r="B24" s="19"/>
      <c r="C24" s="23"/>
      <c r="D24" s="25"/>
    </row>
    <row r="25" spans="1:4" x14ac:dyDescent="0.25">
      <c r="A25" s="28">
        <v>2007</v>
      </c>
      <c r="B25" s="19"/>
      <c r="C25" s="23"/>
      <c r="D25" s="25"/>
    </row>
    <row r="26" spans="1:4" x14ac:dyDescent="0.25">
      <c r="A26" s="28">
        <v>2006</v>
      </c>
      <c r="B26" s="19"/>
      <c r="C26" s="23"/>
      <c r="D26" s="25"/>
    </row>
    <row r="27" spans="1:4" x14ac:dyDescent="0.25">
      <c r="A27" s="28">
        <v>2005</v>
      </c>
      <c r="B27" s="19"/>
      <c r="C27" s="23"/>
      <c r="D27" s="25"/>
    </row>
    <row r="28" spans="1:4" x14ac:dyDescent="0.25">
      <c r="A28" s="28">
        <v>2004</v>
      </c>
      <c r="B28" s="19"/>
      <c r="C28" s="23"/>
      <c r="D28" s="25"/>
    </row>
    <row r="29" spans="1:4" x14ac:dyDescent="0.25">
      <c r="A29" s="28">
        <v>2003</v>
      </c>
      <c r="B29" s="19"/>
      <c r="C29" s="23"/>
      <c r="D29" s="25"/>
    </row>
    <row r="30" spans="1:4" x14ac:dyDescent="0.25">
      <c r="A30" s="28">
        <v>2002</v>
      </c>
      <c r="B30" s="19"/>
      <c r="C30" s="23"/>
      <c r="D30" s="25"/>
    </row>
    <row r="31" spans="1:4" x14ac:dyDescent="0.25">
      <c r="A31" s="28">
        <v>2001</v>
      </c>
      <c r="B31" s="19"/>
      <c r="C31" s="23"/>
      <c r="D31" s="25"/>
    </row>
    <row r="32" spans="1:4" x14ac:dyDescent="0.25">
      <c r="A32" s="28">
        <v>2000</v>
      </c>
      <c r="B32" s="19"/>
      <c r="C32" s="23"/>
      <c r="D32" s="25"/>
    </row>
    <row r="33" spans="1:4" x14ac:dyDescent="0.25">
      <c r="A33" s="28">
        <v>1999</v>
      </c>
      <c r="B33" s="19"/>
      <c r="C33" s="23"/>
      <c r="D33" s="25"/>
    </row>
    <row r="34" spans="1:4" x14ac:dyDescent="0.25">
      <c r="A34" s="28">
        <v>1998</v>
      </c>
      <c r="B34" s="19"/>
      <c r="C34" s="23"/>
      <c r="D34" s="25"/>
    </row>
    <row r="35" spans="1:4" x14ac:dyDescent="0.25">
      <c r="A35" s="28">
        <v>1997</v>
      </c>
      <c r="B35" s="19"/>
      <c r="C35" s="23"/>
      <c r="D35" s="25"/>
    </row>
    <row r="36" spans="1:4" x14ac:dyDescent="0.25">
      <c r="A36" s="28">
        <v>1996</v>
      </c>
      <c r="B36" s="19"/>
      <c r="C36" s="23"/>
      <c r="D36" s="25"/>
    </row>
    <row r="37" spans="1:4" x14ac:dyDescent="0.25">
      <c r="A37" s="28">
        <v>1995</v>
      </c>
      <c r="B37" s="19"/>
      <c r="C37" s="23"/>
      <c r="D37" s="25"/>
    </row>
    <row r="38" spans="1:4" x14ac:dyDescent="0.25">
      <c r="A38" s="28">
        <v>1994</v>
      </c>
      <c r="B38" s="19"/>
      <c r="C38" s="23"/>
      <c r="D38" s="25"/>
    </row>
    <row r="39" spans="1:4" x14ac:dyDescent="0.25">
      <c r="A39" s="28">
        <v>1993</v>
      </c>
      <c r="B39" s="19"/>
      <c r="C39" s="23"/>
      <c r="D39" s="25"/>
    </row>
    <row r="40" spans="1:4" x14ac:dyDescent="0.25">
      <c r="A40" s="28">
        <v>1992</v>
      </c>
      <c r="B40" s="19"/>
      <c r="C40" s="23"/>
      <c r="D40" s="25"/>
    </row>
    <row r="41" spans="1:4" x14ac:dyDescent="0.25">
      <c r="A41" s="28">
        <v>1991</v>
      </c>
      <c r="B41" s="19"/>
      <c r="C41" s="23"/>
      <c r="D41" s="25"/>
    </row>
    <row r="42" spans="1:4" x14ac:dyDescent="0.25">
      <c r="A42" s="28">
        <v>1990</v>
      </c>
      <c r="B42" s="19"/>
      <c r="C42" s="23"/>
      <c r="D42" s="25"/>
    </row>
    <row r="43" spans="1:4" x14ac:dyDescent="0.25">
      <c r="A43" s="28">
        <v>1989</v>
      </c>
      <c r="B43" s="19"/>
      <c r="C43" s="23"/>
      <c r="D43" s="25"/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Source Overview</vt:lpstr>
      <vt:lpstr>All age data Summary</vt:lpstr>
      <vt:lpstr>"PADS" Summary</vt:lpstr>
      <vt:lpstr>"Age Readings Data" Summary</vt:lpstr>
      <vt:lpstr>"Age Batch Details" Summary</vt:lpstr>
      <vt:lpstr>Biodata Overview</vt:lpstr>
    </vt:vector>
  </TitlesOfParts>
  <Company>DFO MPO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Strother, Ivy (DFO/MPO)</dc:creator>
  <cp:lastModifiedBy>McGivney, Kate (she, her / elle, la) (DFO/MPO)</cp:lastModifiedBy>
  <dcterms:created xsi:type="dcterms:W3CDTF">2026-02-04T23:03:15Z</dcterms:created>
  <dcterms:modified xsi:type="dcterms:W3CDTF">2026-06-08T23:11:28Z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2026-02-04T23:03:44Z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3b340255-5087-485f-9bbc-c0f5c7939932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