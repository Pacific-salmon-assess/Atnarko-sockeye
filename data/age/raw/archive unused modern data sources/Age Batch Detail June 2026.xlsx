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00_GitHub\Atnarko-sockeye\data\age\raw\"/>
    </mc:Choice>
  </mc:AlternateContent>
  <xr:revisionPtr revIDLastSave="0" documentId="13_ncr:1_{91093125-5CA2-47C8-B2DF-D507D4221102}" xr6:coauthVersionLast="47" xr6:coauthVersionMax="47" xr10:uidLastSave="{00000000-0000-0000-0000-000000000000}"/>
  <bookViews>
    <workbookView xWindow="28680" yWindow="-1680" windowWidth="29040" windowHeight="15720" firstSheet="1" activeTab="8" xr2:uid="{00000000-000D-0000-FFFF-FFFF00000000}"/>
  </bookViews>
  <sheets>
    <sheet name="Age Batch Details" sheetId="1" r:id="rId1"/>
    <sheet name="Age Batch Containers" sheetId="2" r:id="rId2"/>
    <sheet name="Pivot" sheetId="7" r:id="rId3"/>
    <sheet name="FSC_table" sheetId="9" r:id="rId4"/>
    <sheet name="escapement_table" sheetId="10" r:id="rId5"/>
    <sheet name="Age Scale Read" sheetId="3" r:id="rId6"/>
    <sheet name="Archive Bin" sheetId="4" r:id="rId7"/>
    <sheet name="Archive Transfer" sheetId="5" r:id="rId8"/>
    <sheet name="Glossary" sheetId="6" r:id="rId9"/>
  </sheets>
  <definedNames>
    <definedName name="_xlnm._FilterDatabase" localSheetId="5" hidden="1">'Age Scale Read'!$A$1:$S$1</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0" l="1"/>
  <c r="M8" i="10"/>
  <c r="M12" i="10"/>
  <c r="M7" i="10"/>
  <c r="M11" i="10"/>
  <c r="M13" i="10"/>
  <c r="M15" i="10"/>
  <c r="M16" i="10"/>
  <c r="M17" i="10"/>
  <c r="M18" i="10"/>
  <c r="M19" i="10"/>
  <c r="L16" i="10"/>
  <c r="L7" i="10"/>
  <c r="L8" i="10"/>
  <c r="L9" i="10"/>
  <c r="L11" i="10"/>
  <c r="L12" i="10"/>
  <c r="L13" i="10"/>
  <c r="L15" i="10"/>
  <c r="L17" i="10"/>
  <c r="L18" i="10"/>
  <c r="L19" i="10"/>
  <c r="K7" i="10"/>
  <c r="K8" i="10"/>
  <c r="K9" i="10"/>
  <c r="K11" i="10"/>
  <c r="K12" i="10"/>
  <c r="K13" i="10"/>
  <c r="K15" i="10"/>
  <c r="K16" i="10"/>
  <c r="K17" i="10"/>
  <c r="K18" i="10"/>
  <c r="K19" i="10"/>
  <c r="T7" i="9"/>
  <c r="T8" i="9"/>
  <c r="T9" i="9"/>
  <c r="T6" i="9"/>
  <c r="R9" i="9"/>
  <c r="R7" i="9"/>
  <c r="R8" i="9"/>
  <c r="R6" i="9"/>
  <c r="Q9" i="9"/>
  <c r="Q7" i="9"/>
  <c r="Q8" i="9"/>
  <c r="Q6" i="9"/>
  <c r="P7" i="9"/>
  <c r="P8" i="9"/>
  <c r="P9" i="9"/>
  <c r="P6" i="9"/>
</calcChain>
</file>

<file path=xl/sharedStrings.xml><?xml version="1.0" encoding="utf-8"?>
<sst xmlns="http://schemas.openxmlformats.org/spreadsheetml/2006/main" count="7320" uniqueCount="351">
  <si>
    <t>BATCH ID</t>
  </si>
  <si>
    <t>BATCH STATUS</t>
  </si>
  <si>
    <t>SAMPLE YEAR</t>
  </si>
  <si>
    <t>YEAR PROCESSED</t>
  </si>
  <si>
    <t>PROJECT</t>
  </si>
  <si>
    <t>SECTOR</t>
  </si>
  <si>
    <t>AREA</t>
  </si>
  <si>
    <t>LOCATION</t>
  </si>
  <si>
    <t>SAMPLE START DATE</t>
  </si>
  <si>
    <t>SAMPLE END DATE</t>
  </si>
  <si>
    <t>PROJECT PRIORITY</t>
  </si>
  <si>
    <t>SPECIES</t>
  </si>
  <si>
    <t>LIFE STAGE</t>
  </si>
  <si>
    <t>FISHERY</t>
  </si>
  <si>
    <t>GEAR</t>
  </si>
  <si>
    <t>NUM CONTAINERS RECEIVED</t>
  </si>
  <si>
    <t>CONTAINER FORMAT</t>
  </si>
  <si>
    <t>SPECIMEN TYPE</t>
  </si>
  <si>
    <t>DATE BATCH RECEIVED</t>
  </si>
  <si>
    <t>DATE DUE</t>
  </si>
  <si>
    <t>TOTAL SPECIMENS RECEIVED</t>
  </si>
  <si>
    <t>TOTAL SPECIMENS AGED</t>
  </si>
  <si>
    <t>MGL STATUS</t>
  </si>
  <si>
    <t>Archived</t>
  </si>
  <si>
    <t>Bella Coola FN (in-river net)</t>
  </si>
  <si>
    <t>NC</t>
  </si>
  <si>
    <t>8</t>
  </si>
  <si>
    <t>Lower Bella Coola River</t>
  </si>
  <si>
    <t>2022-06-13</t>
  </si>
  <si>
    <t>2022-07-20</t>
  </si>
  <si>
    <t>Medium</t>
  </si>
  <si>
    <t>Sockeye</t>
  </si>
  <si>
    <t>Adult</t>
  </si>
  <si>
    <t>First Nations - FSC</t>
  </si>
  <si>
    <t>Gillnet</t>
  </si>
  <si>
    <t>2A</t>
  </si>
  <si>
    <t>Scales</t>
  </si>
  <si>
    <t>2022-12-01</t>
  </si>
  <si>
    <t>2023-01-05</t>
  </si>
  <si>
    <t>CONTAINER ID</t>
  </si>
  <si>
    <t>FIELD CONTAINER ID</t>
  </si>
  <si>
    <t>DATE SAMPLE START</t>
  </si>
  <si>
    <t>DATE SAMPLE END</t>
  </si>
  <si>
    <t>CONTAINER TYPE</t>
  </si>
  <si>
    <t>NUM SPECIMENS</t>
  </si>
  <si>
    <t>COMMENTS</t>
  </si>
  <si>
    <t>1034101</t>
  </si>
  <si>
    <t>Scalebook</t>
  </si>
  <si>
    <t>2 scales across per fish</t>
  </si>
  <si>
    <t>1034102</t>
  </si>
  <si>
    <t>scale #2 from upper Bella Coola River</t>
  </si>
  <si>
    <t>SPECIMEN NUMBER</t>
  </si>
  <si>
    <t>EU AGE</t>
  </si>
  <si>
    <t>PARTIAL AGE</t>
  </si>
  <si>
    <t>SCALE CONDITION DESCRIPTION</t>
  </si>
  <si>
    <t>EDGE CODE</t>
  </si>
  <si>
    <t>GR AGE</t>
  </si>
  <si>
    <t>12</t>
  </si>
  <si>
    <t>42</t>
  </si>
  <si>
    <t>Regenerate Scale</t>
  </si>
  <si>
    <t>M2</t>
  </si>
  <si>
    <t>2M</t>
  </si>
  <si>
    <t>Coho</t>
  </si>
  <si>
    <t>11</t>
  </si>
  <si>
    <t>32</t>
  </si>
  <si>
    <t>Mixed Fish</t>
  </si>
  <si>
    <t>02</t>
  </si>
  <si>
    <t>31</t>
  </si>
  <si>
    <t>13</t>
  </si>
  <si>
    <t>52</t>
  </si>
  <si>
    <t>M3</t>
  </si>
  <si>
    <t>3M</t>
  </si>
  <si>
    <t>Upside Down</t>
  </si>
  <si>
    <t>ARCHIVE BIN CODE</t>
  </si>
  <si>
    <t>ROOM</t>
  </si>
  <si>
    <t>RACK</t>
  </si>
  <si>
    <t>SHELF</t>
  </si>
  <si>
    <t>104mrj</t>
  </si>
  <si>
    <t>SCLSL</t>
  </si>
  <si>
    <t>P</t>
  </si>
  <si>
    <t>10</t>
  </si>
  <si>
    <t>Scale book</t>
  </si>
  <si>
    <t>TRANSFER ID</t>
  </si>
  <si>
    <t>TRANSFER DEST LOCATION NAME</t>
  </si>
  <si>
    <t>TRANSFER CONTACT</t>
  </si>
  <si>
    <t>TRANSFER USER</t>
  </si>
  <si>
    <t>TRANSFER DT</t>
  </si>
  <si>
    <t>EXPECTED RETURN DATE</t>
  </si>
  <si>
    <t>TRANSFER NOTES</t>
  </si>
  <si>
    <t>Glossary of some key terms for salmon age interpretation</t>
  </si>
  <si>
    <t>Partial Age Codes</t>
  </si>
  <si>
    <t>European Partial Age Code</t>
  </si>
  <si>
    <t>Gilbert-Rich Partial Age Code</t>
  </si>
  <si>
    <t>Freshwater Annuli</t>
  </si>
  <si>
    <t>Marine Annuli</t>
  </si>
  <si>
    <t>F0</t>
  </si>
  <si>
    <t>0F</t>
  </si>
  <si>
    <t>0</t>
  </si>
  <si>
    <t>N/A</t>
  </si>
  <si>
    <t>F1</t>
  </si>
  <si>
    <t>1F</t>
  </si>
  <si>
    <t>1</t>
  </si>
  <si>
    <t>F2</t>
  </si>
  <si>
    <t>2F</t>
  </si>
  <si>
    <t>2</t>
  </si>
  <si>
    <t>F3</t>
  </si>
  <si>
    <t>3F</t>
  </si>
  <si>
    <t>3</t>
  </si>
  <si>
    <t>F4</t>
  </si>
  <si>
    <t>4F</t>
  </si>
  <si>
    <t>4</t>
  </si>
  <si>
    <t>F5</t>
  </si>
  <si>
    <t>5F</t>
  </si>
  <si>
    <t>5</t>
  </si>
  <si>
    <t>M0</t>
  </si>
  <si>
    <t>0M</t>
  </si>
  <si>
    <t>M1</t>
  </si>
  <si>
    <t>1M</t>
  </si>
  <si>
    <t>M4</t>
  </si>
  <si>
    <t>4M</t>
  </si>
  <si>
    <t>M5</t>
  </si>
  <si>
    <t>5M</t>
  </si>
  <si>
    <t>Condition Codes</t>
  </si>
  <si>
    <t>Code</t>
  </si>
  <si>
    <t>Explanation</t>
  </si>
  <si>
    <t>RG</t>
  </si>
  <si>
    <t>MF</t>
  </si>
  <si>
    <t>FV</t>
  </si>
  <si>
    <t>Failed Verification</t>
  </si>
  <si>
    <t>W</t>
  </si>
  <si>
    <t>Wet Scale</t>
  </si>
  <si>
    <t>UD</t>
  </si>
  <si>
    <t>UM</t>
  </si>
  <si>
    <t>Unresolved Marine Age</t>
  </si>
  <si>
    <t>UF</t>
  </si>
  <si>
    <t>Unresolved Freshwater Age</t>
  </si>
  <si>
    <t>FS</t>
  </si>
  <si>
    <t>Folded Scale</t>
  </si>
  <si>
    <t>LL</t>
  </si>
  <si>
    <t>Lateral Line Scale</t>
  </si>
  <si>
    <t>DF</t>
  </si>
  <si>
    <t>Double Focus</t>
  </si>
  <si>
    <t>DM</t>
  </si>
  <si>
    <t>Damaged Scale</t>
  </si>
  <si>
    <t>DS</t>
  </si>
  <si>
    <t>Double Scale</t>
  </si>
  <si>
    <t>NP</t>
  </si>
  <si>
    <t>Non-Preferred Scale</t>
  </si>
  <si>
    <t>RS</t>
  </si>
  <si>
    <t>Resorbed Scale</t>
  </si>
  <si>
    <t>NS</t>
  </si>
  <si>
    <t>No Structure</t>
  </si>
  <si>
    <t>PP</t>
  </si>
  <si>
    <t>Poor Pressing</t>
  </si>
  <si>
    <t>OF</t>
  </si>
  <si>
    <t>Obscure Freshwater Annulus</t>
  </si>
  <si>
    <t>OM</t>
  </si>
  <si>
    <t>Obscure Marine Annulus</t>
  </si>
  <si>
    <t>OP</t>
  </si>
  <si>
    <t>Opaque</t>
  </si>
  <si>
    <t>BO</t>
  </si>
  <si>
    <t>Broken Otolith</t>
  </si>
  <si>
    <t>OT</t>
  </si>
  <si>
    <t>Other - See Comments</t>
  </si>
  <si>
    <t>OA</t>
  </si>
  <si>
    <t>Otolith Age - No scale age expected</t>
  </si>
  <si>
    <t>SA</t>
  </si>
  <si>
    <t>Scale Age - No otolith age expected</t>
  </si>
  <si>
    <t>NA</t>
  </si>
  <si>
    <t>2 structures; ages do no agree/another abbrev. does not provide the reason</t>
  </si>
  <si>
    <t>Age Types</t>
  </si>
  <si>
    <t>Type</t>
  </si>
  <si>
    <t>Description</t>
  </si>
  <si>
    <t>European Age</t>
  </si>
  <si>
    <t>European Age (EU) is expressed as two digits seperated by a decimal, eg. 1.2  The first digit equals the number of winters spent in freshwater and the second digit is equal to the number of winters spent in the ocean.  Adding the two numbers gives total age.</t>
  </si>
  <si>
    <t>Gilbert-Rich Age</t>
  </si>
  <si>
    <t>Gilbert-Rich Age (GR) is expressed as two digits with the second being subscript, eg. 4₂  The first digit indicates the year of life that the fish was caught and the subscript indicates the year of life the fish went to sea.</t>
  </si>
  <si>
    <t>Bella Coola River</t>
  </si>
  <si>
    <t>2023-06-27</t>
  </si>
  <si>
    <t>2023-07-12</t>
  </si>
  <si>
    <t>High</t>
  </si>
  <si>
    <t>Drift Net</t>
  </si>
  <si>
    <t>2023-12-07</t>
  </si>
  <si>
    <t>2024-01-31</t>
  </si>
  <si>
    <t>1012012</t>
  </si>
  <si>
    <t>2023-06-29</t>
  </si>
  <si>
    <t>1010144</t>
  </si>
  <si>
    <t>2023-07-04</t>
  </si>
  <si>
    <t>1010145</t>
  </si>
  <si>
    <t>2023-07-11</t>
  </si>
  <si>
    <t>Resorption present but not enough to suspect an annuli is missing.  Age unaffected.</t>
  </si>
  <si>
    <t>8u934n</t>
  </si>
  <si>
    <t>2024-06-18</t>
  </si>
  <si>
    <t>2024-07-25</t>
  </si>
  <si>
    <t>2024-11-13</t>
  </si>
  <si>
    <t>2025-01-05</t>
  </si>
  <si>
    <t>1048453</t>
  </si>
  <si>
    <t>03</t>
  </si>
  <si>
    <t>41</t>
  </si>
  <si>
    <t>2mweti</t>
  </si>
  <si>
    <t>Atnarko River Escapement</t>
  </si>
  <si>
    <t>Atnarko River</t>
  </si>
  <si>
    <t>2022-09-23</t>
  </si>
  <si>
    <t>Escapement</t>
  </si>
  <si>
    <t>Gaff</t>
  </si>
  <si>
    <t>1ABOX</t>
  </si>
  <si>
    <t>Otoliths and Scales</t>
  </si>
  <si>
    <t>2022-11-10</t>
  </si>
  <si>
    <t>2023-03-21</t>
  </si>
  <si>
    <t>1034096</t>
  </si>
  <si>
    <t>1036218</t>
  </si>
  <si>
    <t>Box 8</t>
  </si>
  <si>
    <t>Otolith Box/Tray</t>
  </si>
  <si>
    <t>1 otolith across (box)</t>
  </si>
  <si>
    <t>Ager comments, oto's broken and dirty.
vial 6 is empty.
Ages are '7 final ages' plus '7 otolith ages'</t>
  </si>
  <si>
    <t>fap756</t>
  </si>
  <si>
    <t>A100</t>
  </si>
  <si>
    <t>A</t>
  </si>
  <si>
    <t>km2vhe</t>
  </si>
  <si>
    <t>2022-09-12</t>
  </si>
  <si>
    <t>2022-10-03</t>
  </si>
  <si>
    <t>2023-03-31</t>
  </si>
  <si>
    <t>1036519</t>
  </si>
  <si>
    <t>20079</t>
  </si>
  <si>
    <t>no oto for fish #1 &amp; 10 - used scale to determine final age.
Total of 15 fish aged</t>
  </si>
  <si>
    <t>1036520</t>
  </si>
  <si>
    <t>20080</t>
  </si>
  <si>
    <t>Fish #1 is an oto age. 
Fish 2 &amp; 3 have no otos, used scales to determine final age</t>
  </si>
  <si>
    <t>1036219</t>
  </si>
  <si>
    <t>Box 6B</t>
  </si>
  <si>
    <t>2022-09-17</t>
  </si>
  <si>
    <t>13 oto ages+ 5 final ages</t>
  </si>
  <si>
    <t>2022-09-28</t>
  </si>
  <si>
    <t>1036220</t>
  </si>
  <si>
    <t>Box 4B</t>
  </si>
  <si>
    <t>2 oto ages</t>
  </si>
  <si>
    <t>1036521</t>
  </si>
  <si>
    <t>1013089</t>
  </si>
  <si>
    <t>5 scales down per fish</t>
  </si>
  <si>
    <t>no scale ages</t>
  </si>
  <si>
    <t>2022-09-14</t>
  </si>
  <si>
    <t>1036523</t>
  </si>
  <si>
    <t>1013075</t>
  </si>
  <si>
    <t>2022-09-21</t>
  </si>
  <si>
    <t>1036522</t>
  </si>
  <si>
    <t>1013076</t>
  </si>
  <si>
    <t>1036524</t>
  </si>
  <si>
    <t>1013090</t>
  </si>
  <si>
    <t>Unknown amount of resorption. Cannot assess the number of marine annuli missing. Only freshwater age given, no marine age given.</t>
  </si>
  <si>
    <t>Resorbed Age Interpretation. Resorption affecting age and missing 1 marine annulus</t>
  </si>
  <si>
    <t>1036221</t>
  </si>
  <si>
    <t>Box 5B</t>
  </si>
  <si>
    <t>Otolith Vial</t>
  </si>
  <si>
    <t>5 oto's aged</t>
  </si>
  <si>
    <t>1036525</t>
  </si>
  <si>
    <t>1013091</t>
  </si>
  <si>
    <t>oto's aged - no scale ages</t>
  </si>
  <si>
    <t>1036526</t>
  </si>
  <si>
    <t>1013086</t>
  </si>
  <si>
    <t>1036527</t>
  </si>
  <si>
    <t>1013092</t>
  </si>
  <si>
    <t>1034095</t>
  </si>
  <si>
    <t>1036222</t>
  </si>
  <si>
    <t>Box 7B</t>
  </si>
  <si>
    <t>ages are from Vials 2 and 3, there is NO sample in vial #1</t>
  </si>
  <si>
    <t>S Atnarko R abv Lonesome Lk</t>
  </si>
  <si>
    <t>2022-09-26</t>
  </si>
  <si>
    <t>2022-09-27</t>
  </si>
  <si>
    <t>2023-02-06</t>
  </si>
  <si>
    <t>1010817</t>
  </si>
  <si>
    <t>1010818</t>
  </si>
  <si>
    <t>1036784</t>
  </si>
  <si>
    <t>1 otolith across (tray)</t>
  </si>
  <si>
    <t>93 vials, 86 samples.
Vials 44 - 50 are empty
Ages include 80 oto ages and 2 scale ages
Age for # 38 is a scale age from book 1010815 fish # 10.
Age for # 63 is a scale age from book 1010817 fish # 13 - otolith was damaged.
Age for # 83 is a scale age from book 1010818 fish # 8.</t>
  </si>
  <si>
    <t>1010815</t>
  </si>
  <si>
    <t>22</t>
  </si>
  <si>
    <t>53</t>
  </si>
  <si>
    <t>23</t>
  </si>
  <si>
    <t>63</t>
  </si>
  <si>
    <t>S Atnarko R bel Stillwater</t>
  </si>
  <si>
    <t>2022-10-05</t>
  </si>
  <si>
    <t>2023-01-06</t>
  </si>
  <si>
    <t>1010813</t>
  </si>
  <si>
    <t>1036804</t>
  </si>
  <si>
    <t/>
  </si>
  <si>
    <t>no otoliths in Vials 43 - 50</t>
  </si>
  <si>
    <t>1010814</t>
  </si>
  <si>
    <t>1010819</t>
  </si>
  <si>
    <t>2022-09-29</t>
  </si>
  <si>
    <t>1012648</t>
  </si>
  <si>
    <t>Atnarko River mainstem</t>
  </si>
  <si>
    <t>2023-09-22</t>
  </si>
  <si>
    <t>2023-10-05</t>
  </si>
  <si>
    <t>2023-11-06</t>
  </si>
  <si>
    <t>2024-03-31</t>
  </si>
  <si>
    <t>1010202</t>
  </si>
  <si>
    <t>above Lonesome Lake sample is Fish 11, batch 113253
mainstem vials 92-100</t>
  </si>
  <si>
    <t>1049190</t>
  </si>
  <si>
    <t>Box 1</t>
  </si>
  <si>
    <t>2023-09-25</t>
  </si>
  <si>
    <t>Otoliths aged from vials 92 - 100
9 otoliths 10 is scale age from book 1010202</t>
  </si>
  <si>
    <t>kd7bgj</t>
  </si>
  <si>
    <t>2024-03-30</t>
  </si>
  <si>
    <t>1049194</t>
  </si>
  <si>
    <t>Vial 91, scale in Book 1010202 Batch 113245</t>
  </si>
  <si>
    <t>S Atnarko R abv Rainbow</t>
  </si>
  <si>
    <t>1010201</t>
  </si>
  <si>
    <t>2024-09-14</t>
  </si>
  <si>
    <t>2024-10-07</t>
  </si>
  <si>
    <t>1ATRAY</t>
  </si>
  <si>
    <t>2025-03-31</t>
  </si>
  <si>
    <t>1063351</t>
  </si>
  <si>
    <t>2024-09-25</t>
  </si>
  <si>
    <t>11, 12 doesn't exist</t>
  </si>
  <si>
    <t>1048455</t>
  </si>
  <si>
    <t>2024-09-18</t>
  </si>
  <si>
    <t>oto ages. Vials 11, 12 do not exist.</t>
  </si>
  <si>
    <t>1048456</t>
  </si>
  <si>
    <t>some Oto ages, some final ages.</t>
  </si>
  <si>
    <t>56wvkn</t>
  </si>
  <si>
    <t>Atnarko R abv Tenas</t>
  </si>
  <si>
    <t>Dip Net</t>
  </si>
  <si>
    <t>1013160</t>
  </si>
  <si>
    <t>1048459</t>
  </si>
  <si>
    <t>1013161</t>
  </si>
  <si>
    <t>Fish 10 matches vial 53</t>
  </si>
  <si>
    <t>1013162</t>
  </si>
  <si>
    <t>1063354</t>
  </si>
  <si>
    <t>1048458</t>
  </si>
  <si>
    <t xml:space="preserve">different scales format.
age 51 &amp; 52 are oto  </t>
  </si>
  <si>
    <t>S Atnarko R abv Stillwater</t>
  </si>
  <si>
    <t>1048457</t>
  </si>
  <si>
    <t>Vials 41 - 43 aged.</t>
  </si>
  <si>
    <t>1063353</t>
  </si>
  <si>
    <t>vials 41-43</t>
  </si>
  <si>
    <t>Row Labels</t>
  </si>
  <si>
    <t>(blank)</t>
  </si>
  <si>
    <t>Grand Total</t>
  </si>
  <si>
    <t>Column Labels</t>
  </si>
  <si>
    <t>Count of GR AGE</t>
  </si>
  <si>
    <t>2025-07-07</t>
  </si>
  <si>
    <t>2025-07-27</t>
  </si>
  <si>
    <t>2025-11-18</t>
  </si>
  <si>
    <t>2026-01-05</t>
  </si>
  <si>
    <t>1080831</t>
  </si>
  <si>
    <t>1080832</t>
  </si>
  <si>
    <t>2025-07-21</t>
  </si>
  <si>
    <t>Fish # 18 is Coho.</t>
  </si>
  <si>
    <t>md1bcr</t>
  </si>
  <si>
    <t>(Multiple Items)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</si>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</sst>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name val="Calibri"/>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xf numFmtId="0" fontId="0" fillId="0" borderId="1" xfId="0" applyBorder="1"/>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182.489694328702" createdVersion="8" refreshedVersion="8" minRefreshableVersion="3" recordCount="457" xr:uid="{3967CD6F-56B5-4C91-B43B-FA1C69547DD2}">
  <cacheSource type="worksheet">
    <worksheetSource ref="A1:S1048576" sheet="Age Scale Read"/>
  </cacheSource>
  <cacheFields count="19">
    <cacheField name="BATCH ID" numFmtId="0">
      <sharedItems containsString="0" containsBlank="1" containsNumber="1" containsInteger="1" minValue="101623" maxValue="141539"/>
    </cacheField>
    <cacheField name="SAMPLE YEAR" numFmtId="0">
      <sharedItems containsString="0" containsBlank="1" containsNumber="1" containsInteger="1" minValue="2022" maxValue="2025" count="5">
        <n v="2022"/>
        <n v="2023"/>
        <n v="2024"/>
        <n v="2025"/>
        <m/>
      </sharedItems>
    </cacheField>
    <cacheField name="PROJECT" numFmtId="0">
      <sharedItems containsBlank="1" count="3">
        <s v="Bella Coola FN (in-river net)"/>
        <s v="Atnarko River Escapement"/>
        <m/>
      </sharedItems>
    </cacheField>
    <cacheField name="AREA" numFmtId="0">
      <sharedItems containsBlank="1"/>
    </cacheField>
    <cacheField name="LOCATION" numFmtId="0">
      <sharedItems containsBlank="1" count="10">
        <s v="Lower Bella Coola River"/>
        <s v="Bella Coola River"/>
        <s v="Atnarko River"/>
        <s v="S Atnarko R abv Lonesome Lk"/>
        <s v="S Atnarko R bel Stillwater"/>
        <s v="Atnarko River mainstem"/>
        <s v="S Atnarko R abv Rainbow"/>
        <s v="Atnarko R abv Tenas"/>
        <s v="S Atnarko R abv Stillwater"/>
        <m/>
      </sharedItems>
    </cacheField>
    <cacheField name="CONTAINER ID" numFmtId="0">
      <sharedItems containsBlank="1"/>
    </cacheField>
    <cacheField name="DATE SAMPLE START" numFmtId="0">
      <sharedItems containsBlank="1"/>
    </cacheField>
    <cacheField name="DATE SAMPLE END" numFmtId="0">
      <sharedItems containsBlank="1"/>
    </cacheField>
    <cacheField name="SPECIES" numFmtId="0">
      <sharedItems containsBlank="1" count="3">
        <s v="Sockeye"/>
        <s v="Coho"/>
        <m/>
      </sharedItems>
    </cacheField>
    <cacheField name="LIFE STAGE" numFmtId="0">
      <sharedItems containsBlank="1"/>
    </cacheField>
    <cacheField name="FISHERY" numFmtId="0">
      <sharedItems containsBlank="1"/>
    </cacheField>
    <cacheField name="GEAR" numFmtId="0">
      <sharedItems containsBlank="1"/>
    </cacheField>
    <cacheField name="SPECIMEN TYPE" numFmtId="0">
      <sharedItems containsBlank="1"/>
    </cacheField>
    <cacheField name="SPECIMEN NUMBER" numFmtId="0">
      <sharedItems containsString="0" containsBlank="1" containsNumber="1" containsInteger="1" minValue="1" maxValue="94"/>
    </cacheField>
    <cacheField name="EU AGE" numFmtId="0">
      <sharedItems containsBlank="1"/>
    </cacheField>
    <cacheField name="PARTIAL AGE" numFmtId="0">
      <sharedItems containsBlank="1"/>
    </cacheField>
    <cacheField name="SCALE CONDITION DESCRIPTION" numFmtId="0">
      <sharedItems containsBlank="1"/>
    </cacheField>
    <cacheField name="EDGE CODE" numFmtId="0">
      <sharedItems containsBlank="1"/>
    </cacheField>
    <cacheField name="GR AGE" numFmtId="0">
      <sharedItems containsBlank="1" count="13">
        <s v="42"/>
        <m/>
        <s v="2M"/>
        <s v="32"/>
        <s v="31"/>
        <s v="52"/>
        <s v="3M"/>
        <s v="41"/>
        <s v="1F"/>
        <s v="53"/>
        <s v="63"/>
        <s v="0F"/>
        <s v="1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
  <r>
    <n v="102061"/>
    <x v="0"/>
    <x v="0"/>
    <s v="8"/>
    <x v="0"/>
    <s v="1034101"/>
    <s v="2022-06-13"/>
    <s v="2022-07-20"/>
    <x v="0"/>
    <s v="Adult"/>
    <s v="First Nations - FSC"/>
    <s v="Gillnet"/>
    <s v="Scales"/>
    <n v="1"/>
    <s v="12"/>
    <m/>
    <m/>
    <m/>
    <x v="0"/>
  </r>
  <r>
    <n v="102061"/>
    <x v="0"/>
    <x v="0"/>
    <s v="8"/>
    <x v="0"/>
    <s v="1034101"/>
    <s v="2022-06-13"/>
    <s v="2022-07-20"/>
    <x v="0"/>
    <s v="Adult"/>
    <s v="First Nations - FSC"/>
    <s v="Gillnet"/>
    <s v="Scales"/>
    <n v="2"/>
    <s v="12"/>
    <m/>
    <m/>
    <m/>
    <x v="0"/>
  </r>
  <r>
    <n v="102061"/>
    <x v="0"/>
    <x v="0"/>
    <s v="8"/>
    <x v="0"/>
    <s v="1034101"/>
    <s v="2022-06-13"/>
    <s v="2022-07-20"/>
    <x v="0"/>
    <s v="Adult"/>
    <s v="First Nations - FSC"/>
    <s v="Gillnet"/>
    <s v="Scales"/>
    <n v="3"/>
    <m/>
    <m/>
    <s v="Regenerate Scale"/>
    <m/>
    <x v="1"/>
  </r>
  <r>
    <n v="102061"/>
    <x v="0"/>
    <x v="0"/>
    <s v="8"/>
    <x v="0"/>
    <s v="1034101"/>
    <s v="2022-06-13"/>
    <s v="2022-07-20"/>
    <x v="0"/>
    <s v="Adult"/>
    <s v="First Nations - FSC"/>
    <s v="Gillnet"/>
    <s v="Scales"/>
    <n v="4"/>
    <m/>
    <s v="M2"/>
    <s v="Regenerate Scale"/>
    <m/>
    <x v="2"/>
  </r>
  <r>
    <n v="102061"/>
    <x v="0"/>
    <x v="0"/>
    <s v="8"/>
    <x v="0"/>
    <s v="1034101"/>
    <s v="2022-06-13"/>
    <s v="2022-07-20"/>
    <x v="0"/>
    <s v="Adult"/>
    <s v="First Nations - FSC"/>
    <s v="Gillnet"/>
    <s v="Scales"/>
    <n v="5"/>
    <s v="12"/>
    <m/>
    <m/>
    <m/>
    <x v="0"/>
  </r>
  <r>
    <n v="102061"/>
    <x v="0"/>
    <x v="0"/>
    <s v="8"/>
    <x v="0"/>
    <s v="1034101"/>
    <s v="2022-06-13"/>
    <s v="2022-07-20"/>
    <x v="0"/>
    <s v="Adult"/>
    <s v="First Nations - FSC"/>
    <s v="Gillnet"/>
    <s v="Scales"/>
    <n v="6"/>
    <s v="12"/>
    <m/>
    <m/>
    <m/>
    <x v="0"/>
  </r>
  <r>
    <n v="102061"/>
    <x v="0"/>
    <x v="0"/>
    <s v="8"/>
    <x v="0"/>
    <s v="1034101"/>
    <s v="2022-06-13"/>
    <s v="2022-07-20"/>
    <x v="1"/>
    <s v="Adult"/>
    <s v="First Nations - FSC"/>
    <s v="Gillnet"/>
    <s v="Scales"/>
    <n v="7"/>
    <s v="11"/>
    <m/>
    <m/>
    <m/>
    <x v="3"/>
  </r>
  <r>
    <n v="102061"/>
    <x v="0"/>
    <x v="0"/>
    <s v="8"/>
    <x v="0"/>
    <s v="1034101"/>
    <s v="2022-06-13"/>
    <s v="2022-07-20"/>
    <x v="0"/>
    <s v="Adult"/>
    <s v="First Nations - FSC"/>
    <s v="Gillnet"/>
    <s v="Scales"/>
    <n v="8"/>
    <m/>
    <m/>
    <s v="Mixed Fish"/>
    <m/>
    <x v="1"/>
  </r>
  <r>
    <n v="102061"/>
    <x v="0"/>
    <x v="0"/>
    <s v="8"/>
    <x v="0"/>
    <s v="1034101"/>
    <s v="2022-06-13"/>
    <s v="2022-07-20"/>
    <x v="0"/>
    <s v="Adult"/>
    <s v="First Nations - FSC"/>
    <s v="Gillnet"/>
    <s v="Scales"/>
    <n v="9"/>
    <m/>
    <s v="M2"/>
    <s v="Regenerate Scale"/>
    <m/>
    <x v="2"/>
  </r>
  <r>
    <n v="102061"/>
    <x v="0"/>
    <x v="0"/>
    <s v="8"/>
    <x v="0"/>
    <s v="1034101"/>
    <s v="2022-06-13"/>
    <s v="2022-07-20"/>
    <x v="0"/>
    <s v="Adult"/>
    <s v="First Nations - FSC"/>
    <s v="Gillnet"/>
    <s v="Scales"/>
    <n v="10"/>
    <s v="12"/>
    <m/>
    <m/>
    <m/>
    <x v="0"/>
  </r>
  <r>
    <n v="102061"/>
    <x v="0"/>
    <x v="0"/>
    <s v="8"/>
    <x v="0"/>
    <s v="1034101"/>
    <s v="2022-06-13"/>
    <s v="2022-07-20"/>
    <x v="0"/>
    <s v="Adult"/>
    <s v="First Nations - FSC"/>
    <s v="Gillnet"/>
    <s v="Scales"/>
    <n v="11"/>
    <m/>
    <s v="M2"/>
    <s v="Regenerate Scale"/>
    <m/>
    <x v="2"/>
  </r>
  <r>
    <n v="102061"/>
    <x v="0"/>
    <x v="0"/>
    <s v="8"/>
    <x v="0"/>
    <s v="1034101"/>
    <s v="2022-06-13"/>
    <s v="2022-07-20"/>
    <x v="0"/>
    <s v="Adult"/>
    <s v="First Nations - FSC"/>
    <s v="Gillnet"/>
    <s v="Scales"/>
    <n v="12"/>
    <s v="12"/>
    <m/>
    <m/>
    <m/>
    <x v="0"/>
  </r>
  <r>
    <n v="102061"/>
    <x v="0"/>
    <x v="0"/>
    <s v="8"/>
    <x v="0"/>
    <s v="1034101"/>
    <s v="2022-06-13"/>
    <s v="2022-07-20"/>
    <x v="0"/>
    <s v="Adult"/>
    <s v="First Nations - FSC"/>
    <s v="Gillnet"/>
    <s v="Scales"/>
    <n v="13"/>
    <s v="02"/>
    <m/>
    <m/>
    <m/>
    <x v="4"/>
  </r>
  <r>
    <n v="102061"/>
    <x v="0"/>
    <x v="0"/>
    <s v="8"/>
    <x v="0"/>
    <s v="1034101"/>
    <s v="2022-06-13"/>
    <s v="2022-07-20"/>
    <x v="0"/>
    <s v="Adult"/>
    <s v="First Nations - FSC"/>
    <s v="Gillnet"/>
    <s v="Scales"/>
    <n v="14"/>
    <m/>
    <m/>
    <s v="Regenerate Scale"/>
    <m/>
    <x v="1"/>
  </r>
  <r>
    <n v="102061"/>
    <x v="0"/>
    <x v="0"/>
    <s v="8"/>
    <x v="0"/>
    <s v="1034101"/>
    <s v="2022-06-13"/>
    <s v="2022-07-20"/>
    <x v="0"/>
    <s v="Adult"/>
    <s v="First Nations - FSC"/>
    <s v="Gillnet"/>
    <s v="Scales"/>
    <n v="15"/>
    <s v="12"/>
    <m/>
    <m/>
    <m/>
    <x v="0"/>
  </r>
  <r>
    <n v="102061"/>
    <x v="0"/>
    <x v="0"/>
    <s v="8"/>
    <x v="0"/>
    <s v="1034101"/>
    <s v="2022-06-13"/>
    <s v="2022-07-20"/>
    <x v="0"/>
    <s v="Adult"/>
    <s v="First Nations - FSC"/>
    <s v="Gillnet"/>
    <s v="Scales"/>
    <n v="16"/>
    <s v="13"/>
    <m/>
    <m/>
    <m/>
    <x v="5"/>
  </r>
  <r>
    <n v="102061"/>
    <x v="0"/>
    <x v="0"/>
    <s v="8"/>
    <x v="0"/>
    <s v="1034101"/>
    <s v="2022-06-13"/>
    <s v="2022-07-20"/>
    <x v="1"/>
    <s v="Adult"/>
    <s v="First Nations - FSC"/>
    <s v="Gillnet"/>
    <s v="Scales"/>
    <n v="17"/>
    <s v="11"/>
    <m/>
    <m/>
    <m/>
    <x v="3"/>
  </r>
  <r>
    <n v="102061"/>
    <x v="0"/>
    <x v="0"/>
    <s v="8"/>
    <x v="0"/>
    <s v="1034101"/>
    <s v="2022-06-13"/>
    <s v="2022-07-20"/>
    <x v="0"/>
    <s v="Adult"/>
    <s v="First Nations - FSC"/>
    <s v="Gillnet"/>
    <s v="Scales"/>
    <n v="18"/>
    <m/>
    <s v="M3"/>
    <s v="Regenerate Scale"/>
    <m/>
    <x v="6"/>
  </r>
  <r>
    <n v="102061"/>
    <x v="0"/>
    <x v="0"/>
    <s v="8"/>
    <x v="0"/>
    <s v="1034101"/>
    <s v="2022-06-13"/>
    <s v="2022-07-20"/>
    <x v="0"/>
    <s v="Adult"/>
    <s v="First Nations - FSC"/>
    <s v="Gillnet"/>
    <s v="Scales"/>
    <n v="19"/>
    <s v="13"/>
    <m/>
    <m/>
    <m/>
    <x v="5"/>
  </r>
  <r>
    <n v="102061"/>
    <x v="0"/>
    <x v="0"/>
    <s v="8"/>
    <x v="0"/>
    <s v="1034101"/>
    <s v="2022-06-13"/>
    <s v="2022-07-20"/>
    <x v="0"/>
    <s v="Adult"/>
    <s v="First Nations - FSC"/>
    <s v="Gillnet"/>
    <s v="Scales"/>
    <n v="20"/>
    <s v="12"/>
    <m/>
    <m/>
    <m/>
    <x v="0"/>
  </r>
  <r>
    <n v="102061"/>
    <x v="0"/>
    <x v="0"/>
    <s v="8"/>
    <x v="0"/>
    <s v="1034101"/>
    <s v="2022-06-13"/>
    <s v="2022-07-20"/>
    <x v="0"/>
    <s v="Adult"/>
    <s v="First Nations - FSC"/>
    <s v="Gillnet"/>
    <s v="Scales"/>
    <n v="21"/>
    <m/>
    <m/>
    <s v="Regenerate Scale"/>
    <m/>
    <x v="1"/>
  </r>
  <r>
    <n v="102061"/>
    <x v="0"/>
    <x v="0"/>
    <s v="8"/>
    <x v="0"/>
    <s v="1034101"/>
    <s v="2022-06-13"/>
    <s v="2022-07-20"/>
    <x v="0"/>
    <s v="Adult"/>
    <s v="First Nations - FSC"/>
    <s v="Gillnet"/>
    <s v="Scales"/>
    <n v="22"/>
    <m/>
    <m/>
    <s v="Regenerate Scale"/>
    <m/>
    <x v="1"/>
  </r>
  <r>
    <n v="102061"/>
    <x v="0"/>
    <x v="0"/>
    <s v="8"/>
    <x v="0"/>
    <s v="1034101"/>
    <s v="2022-06-13"/>
    <s v="2022-07-20"/>
    <x v="0"/>
    <s v="Adult"/>
    <s v="First Nations - FSC"/>
    <s v="Gillnet"/>
    <s v="Scales"/>
    <n v="23"/>
    <m/>
    <m/>
    <s v="Upside Down"/>
    <m/>
    <x v="1"/>
  </r>
  <r>
    <n v="102061"/>
    <x v="0"/>
    <x v="0"/>
    <s v="8"/>
    <x v="0"/>
    <s v="1034101"/>
    <s v="2022-06-13"/>
    <s v="2022-07-20"/>
    <x v="0"/>
    <s v="Adult"/>
    <s v="First Nations - FSC"/>
    <s v="Gillnet"/>
    <s v="Scales"/>
    <n v="24"/>
    <m/>
    <m/>
    <s v="Upside Down"/>
    <m/>
    <x v="1"/>
  </r>
  <r>
    <n v="102061"/>
    <x v="0"/>
    <x v="0"/>
    <s v="8"/>
    <x v="0"/>
    <s v="1034101"/>
    <s v="2022-06-13"/>
    <s v="2022-07-20"/>
    <x v="0"/>
    <s v="Adult"/>
    <s v="First Nations - FSC"/>
    <s v="Gillnet"/>
    <s v="Scales"/>
    <n v="25"/>
    <m/>
    <m/>
    <s v="Upside Down"/>
    <m/>
    <x v="1"/>
  </r>
  <r>
    <n v="102061"/>
    <x v="0"/>
    <x v="0"/>
    <s v="8"/>
    <x v="0"/>
    <s v="1034102"/>
    <s v="2022-06-13"/>
    <s v="2022-07-20"/>
    <x v="0"/>
    <s v="Adult"/>
    <s v="First Nations - FSC"/>
    <s v="Gillnet"/>
    <s v="Scales"/>
    <n v="1"/>
    <m/>
    <m/>
    <s v="Upside Down"/>
    <m/>
    <x v="1"/>
  </r>
  <r>
    <n v="102061"/>
    <x v="0"/>
    <x v="0"/>
    <s v="8"/>
    <x v="0"/>
    <s v="1034102"/>
    <s v="2022-06-13"/>
    <s v="2022-07-20"/>
    <x v="0"/>
    <s v="Adult"/>
    <s v="First Nations - FSC"/>
    <s v="Gillnet"/>
    <s v="Scales"/>
    <n v="2"/>
    <m/>
    <s v="M3"/>
    <s v="Regenerate Scale"/>
    <m/>
    <x v="6"/>
  </r>
  <r>
    <n v="114303"/>
    <x v="1"/>
    <x v="0"/>
    <s v="8"/>
    <x v="1"/>
    <s v="1010144"/>
    <s v="2023-07-04"/>
    <s v="2023-07-04"/>
    <x v="0"/>
    <s v="Adult"/>
    <s v="First Nations - FSC"/>
    <s v="Drift Net"/>
    <s v="Scales"/>
    <n v="1"/>
    <m/>
    <s v="M2"/>
    <s v="Wet Scale"/>
    <m/>
    <x v="2"/>
  </r>
  <r>
    <n v="114303"/>
    <x v="1"/>
    <x v="0"/>
    <s v="8"/>
    <x v="1"/>
    <s v="1010144"/>
    <s v="2023-07-04"/>
    <s v="2023-07-04"/>
    <x v="0"/>
    <s v="Adult"/>
    <s v="First Nations - FSC"/>
    <s v="Drift Net"/>
    <s v="Scales"/>
    <n v="2"/>
    <s v="12"/>
    <m/>
    <m/>
    <m/>
    <x v="0"/>
  </r>
  <r>
    <n v="114303"/>
    <x v="1"/>
    <x v="0"/>
    <s v="8"/>
    <x v="1"/>
    <s v="1010144"/>
    <s v="2023-07-04"/>
    <s v="2023-07-04"/>
    <x v="0"/>
    <s v="Adult"/>
    <s v="First Nations - FSC"/>
    <s v="Drift Net"/>
    <s v="Scales"/>
    <n v="3"/>
    <s v="12"/>
    <m/>
    <m/>
    <m/>
    <x v="0"/>
  </r>
  <r>
    <n v="114303"/>
    <x v="1"/>
    <x v="0"/>
    <s v="8"/>
    <x v="1"/>
    <s v="1010144"/>
    <s v="2023-07-04"/>
    <s v="2023-07-04"/>
    <x v="0"/>
    <s v="Adult"/>
    <s v="First Nations - FSC"/>
    <s v="Drift Net"/>
    <s v="Scales"/>
    <n v="4"/>
    <m/>
    <m/>
    <s v="Upside Down"/>
    <m/>
    <x v="1"/>
  </r>
  <r>
    <n v="114303"/>
    <x v="1"/>
    <x v="0"/>
    <s v="8"/>
    <x v="1"/>
    <s v="1010144"/>
    <s v="2023-07-04"/>
    <s v="2023-07-04"/>
    <x v="0"/>
    <s v="Adult"/>
    <s v="First Nations - FSC"/>
    <s v="Drift Net"/>
    <s v="Scales"/>
    <n v="5"/>
    <s v="13"/>
    <m/>
    <m/>
    <s v="Resorption present but not enough to suspect an annuli is missing.  Age unaffected."/>
    <x v="5"/>
  </r>
  <r>
    <n v="114303"/>
    <x v="1"/>
    <x v="0"/>
    <s v="8"/>
    <x v="1"/>
    <s v="1010144"/>
    <s v="2023-07-04"/>
    <s v="2023-07-04"/>
    <x v="0"/>
    <s v="Adult"/>
    <s v="First Nations - FSC"/>
    <s v="Drift Net"/>
    <s v="Scales"/>
    <n v="6"/>
    <s v="12"/>
    <m/>
    <m/>
    <m/>
    <x v="0"/>
  </r>
  <r>
    <n v="114303"/>
    <x v="1"/>
    <x v="0"/>
    <s v="8"/>
    <x v="1"/>
    <s v="1010144"/>
    <s v="2023-07-04"/>
    <s v="2023-07-04"/>
    <x v="0"/>
    <s v="Adult"/>
    <s v="First Nations - FSC"/>
    <s v="Drift Net"/>
    <s v="Scales"/>
    <n v="7"/>
    <m/>
    <s v="M2"/>
    <s v="Wet Scale"/>
    <m/>
    <x v="2"/>
  </r>
  <r>
    <n v="114303"/>
    <x v="1"/>
    <x v="0"/>
    <s v="8"/>
    <x v="1"/>
    <s v="1010145"/>
    <s v="2023-07-11"/>
    <s v="2023-07-12"/>
    <x v="0"/>
    <s v="Adult"/>
    <s v="First Nations - FSC"/>
    <s v="Drift Net"/>
    <s v="Scales"/>
    <n v="1"/>
    <m/>
    <m/>
    <s v="No Structure"/>
    <m/>
    <x v="1"/>
  </r>
  <r>
    <n v="114303"/>
    <x v="1"/>
    <x v="0"/>
    <s v="8"/>
    <x v="1"/>
    <s v="1010145"/>
    <s v="2023-07-11"/>
    <s v="2023-07-12"/>
    <x v="0"/>
    <s v="Adult"/>
    <s v="First Nations - FSC"/>
    <s v="Drift Net"/>
    <s v="Scales"/>
    <n v="2"/>
    <m/>
    <m/>
    <s v="No Structure"/>
    <m/>
    <x v="1"/>
  </r>
  <r>
    <n v="114303"/>
    <x v="1"/>
    <x v="0"/>
    <s v="8"/>
    <x v="1"/>
    <s v="1010145"/>
    <s v="2023-07-11"/>
    <s v="2023-07-12"/>
    <x v="0"/>
    <s v="Adult"/>
    <s v="First Nations - FSC"/>
    <s v="Drift Net"/>
    <s v="Scales"/>
    <n v="3"/>
    <s v="12"/>
    <m/>
    <m/>
    <m/>
    <x v="0"/>
  </r>
  <r>
    <n v="114303"/>
    <x v="1"/>
    <x v="0"/>
    <s v="8"/>
    <x v="1"/>
    <s v="1010145"/>
    <s v="2023-07-11"/>
    <s v="2023-07-12"/>
    <x v="0"/>
    <s v="Adult"/>
    <s v="First Nations - FSC"/>
    <s v="Drift Net"/>
    <s v="Scales"/>
    <n v="4"/>
    <m/>
    <m/>
    <s v="Upside Down"/>
    <m/>
    <x v="1"/>
  </r>
  <r>
    <n v="114303"/>
    <x v="1"/>
    <x v="0"/>
    <s v="8"/>
    <x v="1"/>
    <s v="1010145"/>
    <s v="2023-07-11"/>
    <s v="2023-07-12"/>
    <x v="0"/>
    <s v="Adult"/>
    <s v="First Nations - FSC"/>
    <s v="Drift Net"/>
    <s v="Scales"/>
    <n v="5"/>
    <m/>
    <m/>
    <s v="Upside Down"/>
    <m/>
    <x v="1"/>
  </r>
  <r>
    <n v="114303"/>
    <x v="1"/>
    <x v="0"/>
    <s v="8"/>
    <x v="1"/>
    <s v="1010145"/>
    <s v="2023-07-11"/>
    <s v="2023-07-12"/>
    <x v="0"/>
    <s v="Adult"/>
    <s v="First Nations - FSC"/>
    <s v="Drift Net"/>
    <s v="Scales"/>
    <n v="6"/>
    <s v="12"/>
    <m/>
    <m/>
    <m/>
    <x v="0"/>
  </r>
  <r>
    <n v="114303"/>
    <x v="1"/>
    <x v="0"/>
    <s v="8"/>
    <x v="1"/>
    <s v="1012012"/>
    <s v="2023-06-27"/>
    <s v="2023-06-29"/>
    <x v="0"/>
    <s v="Adult"/>
    <s v="First Nations - FSC"/>
    <s v="Drift Net"/>
    <s v="Scales"/>
    <n v="1"/>
    <m/>
    <s v="M3"/>
    <s v="Regenerate Scale"/>
    <m/>
    <x v="6"/>
  </r>
  <r>
    <n v="114303"/>
    <x v="1"/>
    <x v="0"/>
    <s v="8"/>
    <x v="1"/>
    <s v="1012012"/>
    <s v="2023-06-27"/>
    <s v="2023-06-29"/>
    <x v="0"/>
    <s v="Adult"/>
    <s v="First Nations - FSC"/>
    <s v="Drift Net"/>
    <s v="Scales"/>
    <n v="2"/>
    <m/>
    <m/>
    <s v="Upside Down"/>
    <m/>
    <x v="1"/>
  </r>
  <r>
    <n v="114303"/>
    <x v="1"/>
    <x v="0"/>
    <s v="8"/>
    <x v="1"/>
    <s v="1012012"/>
    <s v="2023-06-27"/>
    <s v="2023-06-29"/>
    <x v="0"/>
    <s v="Adult"/>
    <s v="First Nations - FSC"/>
    <s v="Drift Net"/>
    <s v="Scales"/>
    <n v="3"/>
    <m/>
    <s v="M3"/>
    <s v="Regenerate Scale"/>
    <m/>
    <x v="6"/>
  </r>
  <r>
    <n v="114303"/>
    <x v="1"/>
    <x v="0"/>
    <s v="8"/>
    <x v="1"/>
    <s v="1012012"/>
    <s v="2023-06-27"/>
    <s v="2023-06-29"/>
    <x v="0"/>
    <s v="Adult"/>
    <s v="First Nations - FSC"/>
    <s v="Drift Net"/>
    <s v="Scales"/>
    <n v="4"/>
    <s v="12"/>
    <m/>
    <m/>
    <m/>
    <x v="0"/>
  </r>
  <r>
    <n v="128623"/>
    <x v="2"/>
    <x v="0"/>
    <s v="8"/>
    <x v="1"/>
    <s v="1048453"/>
    <s v="2024-06-18"/>
    <s v="2024-07-25"/>
    <x v="0"/>
    <s v="Adult"/>
    <s v="First Nations - FSC"/>
    <s v="Gillnet"/>
    <s v="Scales"/>
    <n v="1"/>
    <m/>
    <s v="M3"/>
    <m/>
    <m/>
    <x v="6"/>
  </r>
  <r>
    <n v="128623"/>
    <x v="2"/>
    <x v="0"/>
    <s v="8"/>
    <x v="1"/>
    <s v="1048453"/>
    <s v="2024-06-18"/>
    <s v="2024-07-25"/>
    <x v="0"/>
    <s v="Adult"/>
    <s v="First Nations - FSC"/>
    <s v="Gillnet"/>
    <s v="Scales"/>
    <n v="2"/>
    <s v="13"/>
    <m/>
    <m/>
    <m/>
    <x v="5"/>
  </r>
  <r>
    <n v="128623"/>
    <x v="2"/>
    <x v="0"/>
    <s v="8"/>
    <x v="1"/>
    <s v="1048453"/>
    <s v="2024-06-18"/>
    <s v="2024-07-25"/>
    <x v="0"/>
    <s v="Adult"/>
    <s v="First Nations - FSC"/>
    <s v="Gillnet"/>
    <s v="Scales"/>
    <n v="3"/>
    <s v="12"/>
    <m/>
    <m/>
    <s v="Resorption present but not enough to suspect an annuli is missing.  Age unaffected."/>
    <x v="0"/>
  </r>
  <r>
    <n v="128623"/>
    <x v="2"/>
    <x v="0"/>
    <s v="8"/>
    <x v="1"/>
    <s v="1048453"/>
    <s v="2024-06-18"/>
    <s v="2024-07-25"/>
    <x v="0"/>
    <s v="Adult"/>
    <s v="First Nations - FSC"/>
    <s v="Gillnet"/>
    <s v="Scales"/>
    <n v="4"/>
    <m/>
    <m/>
    <s v="Mixed Fish"/>
    <m/>
    <x v="1"/>
  </r>
  <r>
    <n v="128623"/>
    <x v="2"/>
    <x v="0"/>
    <s v="8"/>
    <x v="1"/>
    <s v="1048453"/>
    <s v="2024-06-18"/>
    <s v="2024-07-25"/>
    <x v="0"/>
    <s v="Adult"/>
    <s v="First Nations - FSC"/>
    <s v="Gillnet"/>
    <s v="Scales"/>
    <n v="5"/>
    <s v="12"/>
    <m/>
    <m/>
    <s v="Resorption present but not enough to suspect an annuli is missing.  Age unaffected."/>
    <x v="0"/>
  </r>
  <r>
    <n v="128623"/>
    <x v="2"/>
    <x v="0"/>
    <s v="8"/>
    <x v="1"/>
    <s v="1048453"/>
    <s v="2024-06-18"/>
    <s v="2024-07-25"/>
    <x v="0"/>
    <s v="Adult"/>
    <s v="First Nations - FSC"/>
    <s v="Gillnet"/>
    <s v="Scales"/>
    <n v="6"/>
    <s v="03"/>
    <m/>
    <m/>
    <s v="Resorption present but not enough to suspect an annuli is missing.  Age unaffected."/>
    <x v="7"/>
  </r>
  <r>
    <n v="128623"/>
    <x v="2"/>
    <x v="0"/>
    <s v="8"/>
    <x v="1"/>
    <s v="1048453"/>
    <s v="2024-06-18"/>
    <s v="2024-07-25"/>
    <x v="0"/>
    <s v="Adult"/>
    <s v="First Nations - FSC"/>
    <s v="Gillnet"/>
    <s v="Scales"/>
    <n v="7"/>
    <s v="12"/>
    <m/>
    <m/>
    <s v="Resorption present but not enough to suspect an annuli is missing.  Age unaffected."/>
    <x v="0"/>
  </r>
  <r>
    <n v="128623"/>
    <x v="2"/>
    <x v="0"/>
    <s v="8"/>
    <x v="1"/>
    <s v="1048453"/>
    <s v="2024-06-18"/>
    <s v="2024-07-25"/>
    <x v="0"/>
    <s v="Adult"/>
    <s v="First Nations - FSC"/>
    <s v="Gillnet"/>
    <s v="Scales"/>
    <n v="8"/>
    <s v="03"/>
    <m/>
    <m/>
    <s v="Resorption present but not enough to suspect an annuli is missing.  Age unaffected."/>
    <x v="7"/>
  </r>
  <r>
    <n v="128623"/>
    <x v="2"/>
    <x v="0"/>
    <s v="8"/>
    <x v="1"/>
    <s v="1048453"/>
    <s v="2024-06-18"/>
    <s v="2024-07-25"/>
    <x v="0"/>
    <s v="Adult"/>
    <s v="First Nations - FSC"/>
    <s v="Gillnet"/>
    <s v="Scales"/>
    <n v="9"/>
    <s v="12"/>
    <m/>
    <m/>
    <s v="Resorption present but not enough to suspect an annuli is missing.  Age unaffected."/>
    <x v="0"/>
  </r>
  <r>
    <n v="128623"/>
    <x v="2"/>
    <x v="0"/>
    <s v="8"/>
    <x v="1"/>
    <s v="1048453"/>
    <s v="2024-06-18"/>
    <s v="2024-07-25"/>
    <x v="0"/>
    <s v="Adult"/>
    <s v="First Nations - FSC"/>
    <s v="Gillnet"/>
    <s v="Scales"/>
    <n v="10"/>
    <s v="12"/>
    <m/>
    <m/>
    <s v="Resorption present but not enough to suspect an annuli is missing.  Age unaffected."/>
    <x v="0"/>
  </r>
  <r>
    <n v="128623"/>
    <x v="2"/>
    <x v="0"/>
    <s v="8"/>
    <x v="1"/>
    <s v="1048453"/>
    <s v="2024-06-18"/>
    <s v="2024-07-25"/>
    <x v="0"/>
    <s v="Adult"/>
    <s v="First Nations - FSC"/>
    <s v="Gillnet"/>
    <s v="Scales"/>
    <n v="11"/>
    <m/>
    <m/>
    <s v="Regenerate Scale"/>
    <m/>
    <x v="1"/>
  </r>
  <r>
    <n v="128623"/>
    <x v="2"/>
    <x v="0"/>
    <s v="8"/>
    <x v="1"/>
    <s v="1048453"/>
    <s v="2024-06-18"/>
    <s v="2024-07-25"/>
    <x v="0"/>
    <s v="Adult"/>
    <s v="First Nations - FSC"/>
    <s v="Gillnet"/>
    <s v="Scales"/>
    <n v="12"/>
    <s v="12"/>
    <m/>
    <m/>
    <s v="Resorption present but not enough to suspect an annuli is missing.  Age unaffected."/>
    <x v="0"/>
  </r>
  <r>
    <n v="101623"/>
    <x v="0"/>
    <x v="1"/>
    <s v="8"/>
    <x v="2"/>
    <s v="1036218"/>
    <s v="2022-09-23"/>
    <s v="2022-09-23"/>
    <x v="0"/>
    <s v="Adult"/>
    <s v="Escapement"/>
    <s v="Gaff"/>
    <s v="Otoliths and Scales"/>
    <n v="1"/>
    <s v="13"/>
    <m/>
    <m/>
    <m/>
    <x v="5"/>
  </r>
  <r>
    <n v="101623"/>
    <x v="0"/>
    <x v="1"/>
    <s v="8"/>
    <x v="2"/>
    <s v="1036218"/>
    <s v="2022-09-23"/>
    <s v="2022-09-23"/>
    <x v="0"/>
    <s v="Adult"/>
    <s v="Escapement"/>
    <s v="Gaff"/>
    <s v="Otoliths and Scales"/>
    <n v="2"/>
    <s v="12"/>
    <m/>
    <m/>
    <s v="Resorption present but not enough to suspect an annuli is missing.  Age unaffected."/>
    <x v="0"/>
  </r>
  <r>
    <n v="101623"/>
    <x v="0"/>
    <x v="1"/>
    <s v="8"/>
    <x v="2"/>
    <s v="1036218"/>
    <s v="2022-09-23"/>
    <s v="2022-09-23"/>
    <x v="0"/>
    <s v="Adult"/>
    <s v="Escapement"/>
    <s v="Gaff"/>
    <s v="Otoliths and Scales"/>
    <n v="3"/>
    <s v="12"/>
    <m/>
    <m/>
    <m/>
    <x v="0"/>
  </r>
  <r>
    <n v="101623"/>
    <x v="0"/>
    <x v="1"/>
    <s v="8"/>
    <x v="2"/>
    <s v="1036218"/>
    <s v="2022-09-23"/>
    <s v="2022-09-23"/>
    <x v="0"/>
    <s v="Adult"/>
    <s v="Escapement"/>
    <s v="Gaff"/>
    <s v="Otoliths and Scales"/>
    <n v="4"/>
    <s v="12"/>
    <m/>
    <m/>
    <m/>
    <x v="0"/>
  </r>
  <r>
    <n v="101623"/>
    <x v="0"/>
    <x v="1"/>
    <s v="8"/>
    <x v="2"/>
    <s v="1036218"/>
    <s v="2022-09-23"/>
    <s v="2022-09-23"/>
    <x v="0"/>
    <s v="Adult"/>
    <s v="Escapement"/>
    <s v="Gaff"/>
    <s v="Otoliths and Scales"/>
    <n v="5"/>
    <s v="12"/>
    <m/>
    <m/>
    <m/>
    <x v="0"/>
  </r>
  <r>
    <n v="101623"/>
    <x v="0"/>
    <x v="1"/>
    <s v="8"/>
    <x v="2"/>
    <s v="1036218"/>
    <s v="2022-09-23"/>
    <s v="2022-09-23"/>
    <x v="0"/>
    <s v="Adult"/>
    <s v="Escapement"/>
    <s v="Gaff"/>
    <s v="Otoliths and Scales"/>
    <n v="6"/>
    <m/>
    <m/>
    <s v="2 structures; ages do no agree/another abbrev. does not provide the reason"/>
    <m/>
    <x v="1"/>
  </r>
  <r>
    <n v="101623"/>
    <x v="0"/>
    <x v="1"/>
    <s v="8"/>
    <x v="2"/>
    <s v="1036218"/>
    <s v="2022-09-23"/>
    <s v="2022-09-23"/>
    <x v="0"/>
    <s v="Adult"/>
    <s v="Escapement"/>
    <s v="Gaff"/>
    <s v="Otoliths and Scales"/>
    <n v="7"/>
    <s v="12"/>
    <m/>
    <m/>
    <m/>
    <x v="0"/>
  </r>
  <r>
    <n v="101623"/>
    <x v="0"/>
    <x v="1"/>
    <s v="8"/>
    <x v="2"/>
    <s v="1036218"/>
    <s v="2022-09-23"/>
    <s v="2022-09-23"/>
    <x v="0"/>
    <s v="Adult"/>
    <s v="Escapement"/>
    <s v="Gaff"/>
    <s v="Otoliths and Scales"/>
    <n v="8"/>
    <s v="12"/>
    <m/>
    <m/>
    <m/>
    <x v="0"/>
  </r>
  <r>
    <n v="101623"/>
    <x v="0"/>
    <x v="1"/>
    <s v="8"/>
    <x v="2"/>
    <s v="1036218"/>
    <s v="2022-09-23"/>
    <s v="2022-09-23"/>
    <x v="0"/>
    <s v="Adult"/>
    <s v="Escapement"/>
    <s v="Gaff"/>
    <s v="Otoliths and Scales"/>
    <n v="9"/>
    <s v="13"/>
    <m/>
    <m/>
    <m/>
    <x v="5"/>
  </r>
  <r>
    <n v="101623"/>
    <x v="0"/>
    <x v="1"/>
    <s v="8"/>
    <x v="2"/>
    <s v="1036218"/>
    <s v="2022-09-23"/>
    <s v="2022-09-23"/>
    <x v="0"/>
    <s v="Adult"/>
    <s v="Escapement"/>
    <s v="Gaff"/>
    <s v="Otoliths and Scales"/>
    <n v="10"/>
    <s v="12"/>
    <m/>
    <m/>
    <m/>
    <x v="0"/>
  </r>
  <r>
    <n v="101623"/>
    <x v="0"/>
    <x v="1"/>
    <s v="8"/>
    <x v="2"/>
    <s v="1036218"/>
    <s v="2022-09-23"/>
    <s v="2022-09-23"/>
    <x v="0"/>
    <s v="Adult"/>
    <s v="Escapement"/>
    <s v="Gaff"/>
    <s v="Otoliths and Scales"/>
    <n v="11"/>
    <s v="12"/>
    <m/>
    <m/>
    <m/>
    <x v="0"/>
  </r>
  <r>
    <n v="101623"/>
    <x v="0"/>
    <x v="1"/>
    <s v="8"/>
    <x v="2"/>
    <s v="1036218"/>
    <s v="2022-09-23"/>
    <s v="2022-09-23"/>
    <x v="0"/>
    <s v="Adult"/>
    <s v="Escapement"/>
    <s v="Gaff"/>
    <s v="Otoliths and Scales"/>
    <n v="12"/>
    <s v="12"/>
    <m/>
    <m/>
    <m/>
    <x v="0"/>
  </r>
  <r>
    <n v="101623"/>
    <x v="0"/>
    <x v="1"/>
    <s v="8"/>
    <x v="2"/>
    <s v="1036218"/>
    <s v="2022-09-23"/>
    <s v="2022-09-23"/>
    <x v="0"/>
    <s v="Adult"/>
    <s v="Escapement"/>
    <s v="Gaff"/>
    <s v="Otoliths and Scales"/>
    <n v="13"/>
    <s v="12"/>
    <m/>
    <m/>
    <m/>
    <x v="0"/>
  </r>
  <r>
    <n v="101623"/>
    <x v="0"/>
    <x v="1"/>
    <s v="8"/>
    <x v="2"/>
    <s v="1036218"/>
    <s v="2022-09-23"/>
    <s v="2022-09-2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
    <m/>
    <s v="F1"/>
    <m/>
    <m/>
    <x v="8"/>
  </r>
  <r>
    <n v="101625"/>
    <x v="0"/>
    <x v="1"/>
    <s v="8"/>
    <x v="2"/>
    <s v="1036519"/>
    <s v="2022-09-12"/>
    <s v="2022-10-03"/>
    <x v="0"/>
    <s v="Adult"/>
    <s v="Escapement"/>
    <s v="Gaff"/>
    <s v="Otoliths and Scales"/>
    <n v="2"/>
    <s v="12"/>
    <m/>
    <m/>
    <m/>
    <x v="0"/>
  </r>
  <r>
    <n v="101625"/>
    <x v="0"/>
    <x v="1"/>
    <s v="8"/>
    <x v="2"/>
    <s v="1036519"/>
    <s v="2022-09-12"/>
    <s v="2022-10-03"/>
    <x v="0"/>
    <s v="Adult"/>
    <s v="Escapement"/>
    <s v="Gaff"/>
    <s v="Otoliths and Scales"/>
    <n v="3"/>
    <s v="12"/>
    <m/>
    <m/>
    <m/>
    <x v="0"/>
  </r>
  <r>
    <n v="101625"/>
    <x v="0"/>
    <x v="1"/>
    <s v="8"/>
    <x v="2"/>
    <s v="1036519"/>
    <s v="2022-09-12"/>
    <s v="2022-10-03"/>
    <x v="0"/>
    <s v="Adult"/>
    <s v="Escapement"/>
    <s v="Gaff"/>
    <s v="Otoliths and Scales"/>
    <n v="4"/>
    <s v="12"/>
    <m/>
    <m/>
    <m/>
    <x v="0"/>
  </r>
  <r>
    <n v="101625"/>
    <x v="0"/>
    <x v="1"/>
    <s v="8"/>
    <x v="2"/>
    <s v="1036519"/>
    <s v="2022-09-12"/>
    <s v="2022-10-03"/>
    <x v="0"/>
    <s v="Adult"/>
    <s v="Escapement"/>
    <s v="Gaff"/>
    <s v="Otoliths and Scales"/>
    <n v="5"/>
    <s v="12"/>
    <m/>
    <m/>
    <m/>
    <x v="0"/>
  </r>
  <r>
    <n v="101625"/>
    <x v="0"/>
    <x v="1"/>
    <s v="8"/>
    <x v="2"/>
    <s v="1036519"/>
    <s v="2022-09-12"/>
    <s v="2022-10-03"/>
    <x v="0"/>
    <s v="Adult"/>
    <s v="Escapement"/>
    <s v="Gaff"/>
    <s v="Otoliths and Scales"/>
    <n v="6"/>
    <s v="12"/>
    <m/>
    <m/>
    <s v="Resorption present but not enough to suspect an annuli is missing.  Age unaffected."/>
    <x v="0"/>
  </r>
  <r>
    <n v="101625"/>
    <x v="0"/>
    <x v="1"/>
    <s v="8"/>
    <x v="2"/>
    <s v="1036519"/>
    <s v="2022-09-12"/>
    <s v="2022-10-03"/>
    <x v="0"/>
    <s v="Adult"/>
    <s v="Escapement"/>
    <s v="Gaff"/>
    <s v="Otoliths and Scales"/>
    <n v="7"/>
    <s v="12"/>
    <m/>
    <m/>
    <m/>
    <x v="0"/>
  </r>
  <r>
    <n v="101625"/>
    <x v="0"/>
    <x v="1"/>
    <s v="8"/>
    <x v="2"/>
    <s v="1036519"/>
    <s v="2022-09-12"/>
    <s v="2022-10-03"/>
    <x v="0"/>
    <s v="Adult"/>
    <s v="Escapement"/>
    <s v="Gaff"/>
    <s v="Otoliths and Scales"/>
    <n v="8"/>
    <s v="12"/>
    <m/>
    <m/>
    <s v="Resorption present but not enough to suspect an annuli is missing.  Age unaffected."/>
    <x v="0"/>
  </r>
  <r>
    <n v="101625"/>
    <x v="0"/>
    <x v="1"/>
    <s v="8"/>
    <x v="2"/>
    <s v="1036519"/>
    <s v="2022-09-12"/>
    <s v="2022-10-03"/>
    <x v="0"/>
    <s v="Adult"/>
    <s v="Escapement"/>
    <s v="Gaff"/>
    <s v="Otoliths and Scales"/>
    <n v="9"/>
    <s v="12"/>
    <m/>
    <m/>
    <m/>
    <x v="0"/>
  </r>
  <r>
    <n v="101625"/>
    <x v="0"/>
    <x v="1"/>
    <s v="8"/>
    <x v="2"/>
    <s v="1036519"/>
    <s v="2022-09-12"/>
    <s v="2022-10-03"/>
    <x v="0"/>
    <s v="Adult"/>
    <s v="Escapement"/>
    <s v="Gaff"/>
    <s v="Otoliths and Scales"/>
    <n v="10"/>
    <m/>
    <s v="F1"/>
    <m/>
    <m/>
    <x v="8"/>
  </r>
  <r>
    <n v="101625"/>
    <x v="0"/>
    <x v="1"/>
    <s v="8"/>
    <x v="2"/>
    <s v="1036519"/>
    <s v="2022-09-12"/>
    <s v="2022-10-03"/>
    <x v="0"/>
    <s v="Adult"/>
    <s v="Escapement"/>
    <s v="Gaff"/>
    <s v="Otoliths and Scales"/>
    <n v="11"/>
    <s v="13"/>
    <m/>
    <m/>
    <m/>
    <x v="5"/>
  </r>
  <r>
    <n v="101625"/>
    <x v="0"/>
    <x v="1"/>
    <s v="8"/>
    <x v="2"/>
    <s v="1036519"/>
    <s v="2022-09-12"/>
    <s v="2022-10-03"/>
    <x v="0"/>
    <s v="Adult"/>
    <s v="Escapement"/>
    <s v="Gaff"/>
    <s v="Otoliths and Scales"/>
    <n v="12"/>
    <s v="12"/>
    <m/>
    <m/>
    <m/>
    <x v="0"/>
  </r>
  <r>
    <n v="101625"/>
    <x v="0"/>
    <x v="1"/>
    <s v="8"/>
    <x v="2"/>
    <s v="1036519"/>
    <s v="2022-09-12"/>
    <s v="2022-10-03"/>
    <x v="0"/>
    <s v="Adult"/>
    <s v="Escapement"/>
    <s v="Gaff"/>
    <s v="Otoliths and Scales"/>
    <n v="13"/>
    <s v="13"/>
    <m/>
    <m/>
    <s v="Resorption present but not enough to suspect an annuli is missing.  Age unaffected."/>
    <x v="5"/>
  </r>
  <r>
    <n v="101625"/>
    <x v="0"/>
    <x v="1"/>
    <s v="8"/>
    <x v="2"/>
    <s v="1036519"/>
    <s v="2022-09-12"/>
    <s v="2022-10-0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5"/>
    <s v="12"/>
    <m/>
    <m/>
    <m/>
    <x v="0"/>
  </r>
  <r>
    <n v="101625"/>
    <x v="0"/>
    <x v="1"/>
    <s v="8"/>
    <x v="2"/>
    <s v="1036520"/>
    <s v="2022-09-12"/>
    <s v="2022-10-03"/>
    <x v="0"/>
    <s v="Adult"/>
    <s v="Escapement"/>
    <s v="Gaff"/>
    <s v="Otoliths and Scales"/>
    <n v="1"/>
    <s v="12"/>
    <m/>
    <m/>
    <m/>
    <x v="0"/>
  </r>
  <r>
    <n v="101625"/>
    <x v="0"/>
    <x v="1"/>
    <s v="8"/>
    <x v="2"/>
    <s v="1036520"/>
    <s v="2022-09-12"/>
    <s v="2022-10-03"/>
    <x v="0"/>
    <s v="Adult"/>
    <s v="Escapement"/>
    <s v="Gaff"/>
    <s v="Otoliths and Scales"/>
    <n v="2"/>
    <m/>
    <s v="F1"/>
    <m/>
    <m/>
    <x v="8"/>
  </r>
  <r>
    <n v="101625"/>
    <x v="0"/>
    <x v="1"/>
    <s v="8"/>
    <x v="2"/>
    <s v="1036520"/>
    <s v="2022-09-12"/>
    <s v="2022-10-03"/>
    <x v="0"/>
    <s v="Adult"/>
    <s v="Escapement"/>
    <s v="Gaff"/>
    <s v="Otoliths and Scales"/>
    <n v="3"/>
    <m/>
    <s v="F1"/>
    <m/>
    <m/>
    <x v="8"/>
  </r>
  <r>
    <n v="101627"/>
    <x v="0"/>
    <x v="1"/>
    <s v="8"/>
    <x v="2"/>
    <s v="1036220"/>
    <s v="2022-09-28"/>
    <s v="2022-09-28"/>
    <x v="0"/>
    <s v="Adult"/>
    <s v="Escapement"/>
    <s v="Gaff"/>
    <s v="Otoliths and Scales"/>
    <n v="1"/>
    <s v="12"/>
    <m/>
    <m/>
    <m/>
    <x v="0"/>
  </r>
  <r>
    <n v="101627"/>
    <x v="0"/>
    <x v="1"/>
    <s v="8"/>
    <x v="2"/>
    <s v="1036220"/>
    <s v="2022-09-28"/>
    <s v="2022-09-28"/>
    <x v="0"/>
    <s v="Adult"/>
    <s v="Escapement"/>
    <s v="Gaff"/>
    <s v="Otoliths and Scales"/>
    <n v="2"/>
    <s v="13"/>
    <m/>
    <m/>
    <m/>
    <x v="5"/>
  </r>
  <r>
    <n v="101629"/>
    <x v="0"/>
    <x v="1"/>
    <s v="8"/>
    <x v="2"/>
    <s v="1036522"/>
    <s v="2022-09-21"/>
    <s v="2022-09-28"/>
    <x v="0"/>
    <s v="Adult"/>
    <s v="Escapement"/>
    <s v="Gillnet"/>
    <s v="Scales"/>
    <n v="1"/>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2"/>
    <m/>
    <s v="M2"/>
    <s v="Regenerate Scale"/>
    <s v="Resorbed Age Interpretation. Resorption affecting age and missing 1 marine annulus"/>
    <x v="2"/>
  </r>
  <r>
    <n v="101629"/>
    <x v="0"/>
    <x v="1"/>
    <s v="8"/>
    <x v="2"/>
    <s v="1036522"/>
    <s v="2022-09-21"/>
    <s v="2022-09-28"/>
    <x v="0"/>
    <s v="Adult"/>
    <s v="Escapement"/>
    <s v="Gillnet"/>
    <s v="Scales"/>
    <n v="3"/>
    <m/>
    <s v="M2"/>
    <s v="Regenerate Scale"/>
    <s v="Resorbed Age Interpretation. Resorption affecting age and missing 1 marine annulus"/>
    <x v="2"/>
  </r>
  <r>
    <n v="101629"/>
    <x v="0"/>
    <x v="1"/>
    <s v="8"/>
    <x v="2"/>
    <s v="1036522"/>
    <s v="2022-09-21"/>
    <s v="2022-09-28"/>
    <x v="0"/>
    <s v="Adult"/>
    <s v="Escapement"/>
    <s v="Gillnet"/>
    <s v="Scales"/>
    <n v="4"/>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5"/>
    <s v="12"/>
    <m/>
    <m/>
    <s v="Resorbed Age Interpretation. Resorption affecting age and missing 1 marine annulus"/>
    <x v="0"/>
  </r>
  <r>
    <n v="101629"/>
    <x v="0"/>
    <x v="1"/>
    <s v="8"/>
    <x v="2"/>
    <s v="1036522"/>
    <s v="2022-09-21"/>
    <s v="2022-09-28"/>
    <x v="0"/>
    <s v="Adult"/>
    <s v="Escapement"/>
    <s v="Gillnet"/>
    <s v="Scales"/>
    <n v="6"/>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7"/>
    <s v="12"/>
    <m/>
    <m/>
    <s v="Resorbed Age Interpretation. Resorption affecting age and missing 1 marine annulus"/>
    <x v="0"/>
  </r>
  <r>
    <n v="101629"/>
    <x v="0"/>
    <x v="1"/>
    <s v="8"/>
    <x v="2"/>
    <s v="1036522"/>
    <s v="2022-09-21"/>
    <s v="2022-09-28"/>
    <x v="0"/>
    <s v="Adult"/>
    <s v="Escapement"/>
    <s v="Gillnet"/>
    <s v="Scales"/>
    <n v="8"/>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9"/>
    <s v="12"/>
    <m/>
    <m/>
    <s v="Resorbed Age Interpretation. Resorption affecting age and missing 1 marine annulus"/>
    <x v="0"/>
  </r>
  <r>
    <n v="101629"/>
    <x v="0"/>
    <x v="1"/>
    <s v="8"/>
    <x v="2"/>
    <s v="1036522"/>
    <s v="2022-09-21"/>
    <s v="2022-09-28"/>
    <x v="0"/>
    <s v="Adult"/>
    <s v="Escapement"/>
    <s v="Gillnet"/>
    <s v="Scales"/>
    <n v="10"/>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1"/>
    <s v="13"/>
    <m/>
    <m/>
    <s v="Resorption present but not enough to suspect an annuli is missing.  Age unaffected."/>
    <x v="5"/>
  </r>
  <r>
    <n v="101629"/>
    <x v="0"/>
    <x v="1"/>
    <s v="8"/>
    <x v="2"/>
    <s v="1036523"/>
    <s v="2022-09-14"/>
    <s v="2022-09-21"/>
    <x v="0"/>
    <s v="Adult"/>
    <s v="Escapement"/>
    <s v="Gillnet"/>
    <s v="Scales"/>
    <n v="2"/>
    <s v="11"/>
    <m/>
    <m/>
    <s v="Resorbed Age Interpretation. Resorption affecting age and missing 1 marine annulus"/>
    <x v="3"/>
  </r>
  <r>
    <n v="101629"/>
    <x v="0"/>
    <x v="1"/>
    <s v="8"/>
    <x v="2"/>
    <s v="1036523"/>
    <s v="2022-09-14"/>
    <s v="2022-09-21"/>
    <x v="0"/>
    <s v="Adult"/>
    <s v="Escapement"/>
    <s v="Gillnet"/>
    <s v="Scales"/>
    <n v="3"/>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4"/>
    <s v="13"/>
    <m/>
    <m/>
    <s v="Resorption present but not enough to suspect an annuli is missing.  Age unaffected."/>
    <x v="5"/>
  </r>
  <r>
    <n v="101629"/>
    <x v="0"/>
    <x v="1"/>
    <s v="8"/>
    <x v="2"/>
    <s v="1036523"/>
    <s v="2022-09-14"/>
    <s v="2022-09-21"/>
    <x v="0"/>
    <s v="Adult"/>
    <s v="Escapement"/>
    <s v="Gillnet"/>
    <s v="Scales"/>
    <n v="5"/>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6"/>
    <s v="12"/>
    <m/>
    <m/>
    <s v="Resorbed Age Interpretation. Resorption affecting age and missing 1 marine annulus"/>
    <x v="0"/>
  </r>
  <r>
    <n v="101629"/>
    <x v="0"/>
    <x v="1"/>
    <s v="8"/>
    <x v="2"/>
    <s v="1036523"/>
    <s v="2022-09-14"/>
    <s v="2022-09-21"/>
    <x v="0"/>
    <s v="Adult"/>
    <s v="Escapement"/>
    <s v="Gillnet"/>
    <s v="Scales"/>
    <n v="7"/>
    <s v="12"/>
    <m/>
    <m/>
    <s v="Resorbed Age Interpretation. Resorption affecting age and missing 1 marine annulus"/>
    <x v="0"/>
  </r>
  <r>
    <n v="101629"/>
    <x v="0"/>
    <x v="1"/>
    <s v="8"/>
    <x v="2"/>
    <s v="1036523"/>
    <s v="2022-09-14"/>
    <s v="2022-09-21"/>
    <x v="0"/>
    <s v="Adult"/>
    <s v="Escapement"/>
    <s v="Gillnet"/>
    <s v="Scales"/>
    <n v="8"/>
    <s v="12"/>
    <m/>
    <m/>
    <s v="Resorbed Age Interpretation. Resorption affecting age and missing 1 marine annulus"/>
    <x v="0"/>
  </r>
  <r>
    <n v="101629"/>
    <x v="0"/>
    <x v="1"/>
    <s v="8"/>
    <x v="2"/>
    <s v="1036523"/>
    <s v="2022-09-14"/>
    <s v="2022-09-21"/>
    <x v="0"/>
    <s v="Adult"/>
    <s v="Escapement"/>
    <s v="Gillnet"/>
    <s v="Scales"/>
    <n v="9"/>
    <m/>
    <m/>
    <s v="Regenerate Scale"/>
    <s v="Unknown amount of resorption. Cannot assess the number of marine annuli missing. Only freshwater age given, no marine age given."/>
    <x v="1"/>
  </r>
  <r>
    <n v="101629"/>
    <x v="0"/>
    <x v="1"/>
    <s v="8"/>
    <x v="2"/>
    <s v="1036523"/>
    <s v="2022-09-14"/>
    <s v="2022-09-21"/>
    <x v="0"/>
    <s v="Adult"/>
    <s v="Escapement"/>
    <s v="Gillnet"/>
    <s v="Scales"/>
    <n v="10"/>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1"/>
    <s v="12"/>
    <m/>
    <m/>
    <s v="Resorbed Age Interpretation. Resorption affecting age and missing 1 marine annulus"/>
    <x v="0"/>
  </r>
  <r>
    <n v="101629"/>
    <x v="0"/>
    <x v="1"/>
    <s v="8"/>
    <x v="2"/>
    <s v="1036524"/>
    <s v="2022-09-23"/>
    <s v="2022-09-28"/>
    <x v="0"/>
    <s v="Adult"/>
    <s v="Escapement"/>
    <s v="Gillnet"/>
    <s v="Scales"/>
    <n v="2"/>
    <s v="12"/>
    <m/>
    <m/>
    <s v="Resorbed Age Interpretation. Resorption affecting age and missing 1 marine annulus"/>
    <x v="0"/>
  </r>
  <r>
    <n v="101629"/>
    <x v="0"/>
    <x v="1"/>
    <s v="8"/>
    <x v="2"/>
    <s v="1036524"/>
    <s v="2022-09-23"/>
    <s v="2022-09-28"/>
    <x v="0"/>
    <s v="Adult"/>
    <s v="Escapement"/>
    <s v="Gillnet"/>
    <s v="Scales"/>
    <n v="3"/>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4"/>
    <s v="12"/>
    <m/>
    <m/>
    <s v="Resorption present but not enough to suspect an annuli is missing.  Age unaffected."/>
    <x v="0"/>
  </r>
  <r>
    <n v="101629"/>
    <x v="0"/>
    <x v="1"/>
    <s v="8"/>
    <x v="2"/>
    <s v="1036524"/>
    <s v="2022-09-23"/>
    <s v="2022-09-28"/>
    <x v="0"/>
    <s v="Adult"/>
    <s v="Escapement"/>
    <s v="Gillnet"/>
    <s v="Scales"/>
    <n v="5"/>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6"/>
    <s v="12"/>
    <m/>
    <m/>
    <s v="Resorbed Age Interpretation. Resorption affecting age and missing 1 marine annulus"/>
    <x v="0"/>
  </r>
  <r>
    <n v="101629"/>
    <x v="0"/>
    <x v="1"/>
    <s v="8"/>
    <x v="2"/>
    <s v="1036524"/>
    <s v="2022-09-23"/>
    <s v="2022-09-28"/>
    <x v="0"/>
    <s v="Adult"/>
    <s v="Escapement"/>
    <s v="Gillnet"/>
    <s v="Scales"/>
    <n v="7"/>
    <s v="12"/>
    <m/>
    <m/>
    <s v="Resorbed Age Interpretation. Resorption affecting age and missing 1 marine annulus"/>
    <x v="0"/>
  </r>
  <r>
    <n v="101629"/>
    <x v="0"/>
    <x v="1"/>
    <s v="8"/>
    <x v="2"/>
    <s v="1036524"/>
    <s v="2022-09-23"/>
    <s v="2022-09-28"/>
    <x v="0"/>
    <s v="Adult"/>
    <s v="Escapement"/>
    <s v="Gillnet"/>
    <s v="Scales"/>
    <n v="8"/>
    <s v="12"/>
    <m/>
    <m/>
    <s v="Resorbed Age Interpretation. Resorption affecting age and missing 1 marine annulus"/>
    <x v="0"/>
  </r>
  <r>
    <n v="101629"/>
    <x v="0"/>
    <x v="1"/>
    <s v="8"/>
    <x v="2"/>
    <s v="1036524"/>
    <s v="2022-09-23"/>
    <s v="2022-09-28"/>
    <x v="0"/>
    <s v="Adult"/>
    <s v="Escapement"/>
    <s v="Gillnet"/>
    <s v="Scales"/>
    <n v="9"/>
    <m/>
    <s v="F1"/>
    <s v="Resorbed Scale"/>
    <s v="Unknown amount of resorption. Cannot assess the number of marine annuli missing. Only freshwater age given, no marine age given."/>
    <x v="8"/>
  </r>
  <r>
    <n v="101631"/>
    <x v="0"/>
    <x v="1"/>
    <s v="8"/>
    <x v="2"/>
    <s v="1036221"/>
    <s v="2022-09-23"/>
    <s v="2022-09-28"/>
    <x v="0"/>
    <s v="Adult"/>
    <s v="Escapement"/>
    <s v="Gaff"/>
    <s v="Otoliths and Scales"/>
    <n v="1"/>
    <s v="13"/>
    <m/>
    <m/>
    <m/>
    <x v="5"/>
  </r>
  <r>
    <n v="101631"/>
    <x v="0"/>
    <x v="1"/>
    <s v="8"/>
    <x v="2"/>
    <s v="1036221"/>
    <s v="2022-09-23"/>
    <s v="2022-09-28"/>
    <x v="0"/>
    <s v="Adult"/>
    <s v="Escapement"/>
    <s v="Gaff"/>
    <s v="Otoliths and Scales"/>
    <n v="2"/>
    <s v="12"/>
    <m/>
    <m/>
    <m/>
    <x v="0"/>
  </r>
  <r>
    <n v="101631"/>
    <x v="0"/>
    <x v="1"/>
    <s v="8"/>
    <x v="2"/>
    <s v="1036221"/>
    <s v="2022-09-23"/>
    <s v="2022-09-28"/>
    <x v="0"/>
    <s v="Adult"/>
    <s v="Escapement"/>
    <s v="Gaff"/>
    <s v="Otoliths and Scales"/>
    <n v="3"/>
    <s v="12"/>
    <m/>
    <m/>
    <m/>
    <x v="0"/>
  </r>
  <r>
    <n v="101631"/>
    <x v="0"/>
    <x v="1"/>
    <s v="8"/>
    <x v="2"/>
    <s v="1036221"/>
    <s v="2022-09-23"/>
    <s v="2022-09-28"/>
    <x v="0"/>
    <s v="Adult"/>
    <s v="Escapement"/>
    <s v="Gaff"/>
    <s v="Otoliths and Scales"/>
    <n v="4"/>
    <s v="13"/>
    <m/>
    <m/>
    <m/>
    <x v="5"/>
  </r>
  <r>
    <n v="101631"/>
    <x v="0"/>
    <x v="1"/>
    <s v="8"/>
    <x v="2"/>
    <s v="1036221"/>
    <s v="2022-09-23"/>
    <s v="2022-09-28"/>
    <x v="0"/>
    <s v="Adult"/>
    <s v="Escapement"/>
    <s v="Gaff"/>
    <s v="Otoliths and Scales"/>
    <n v="5"/>
    <s v="03"/>
    <m/>
    <m/>
    <m/>
    <x v="7"/>
  </r>
  <r>
    <n v="101633"/>
    <x v="0"/>
    <x v="1"/>
    <s v="8"/>
    <x v="2"/>
    <s v="1036526"/>
    <s v="2022-09-21"/>
    <s v="2022-09-21"/>
    <x v="0"/>
    <s v="Adult"/>
    <s v="Escapement"/>
    <s v="Gillnet"/>
    <s v="Scales"/>
    <n v="1"/>
    <s v="12"/>
    <m/>
    <m/>
    <s v="Resorbed Age Interpretation. Resorption affecting age and missing 1 marine annulus"/>
    <x v="0"/>
  </r>
  <r>
    <n v="101633"/>
    <x v="0"/>
    <x v="1"/>
    <s v="8"/>
    <x v="2"/>
    <s v="1036526"/>
    <s v="2022-09-21"/>
    <s v="2022-09-21"/>
    <x v="0"/>
    <s v="Adult"/>
    <s v="Escapement"/>
    <s v="Gillnet"/>
    <s v="Scales"/>
    <n v="2"/>
    <s v="12"/>
    <m/>
    <m/>
    <s v="Resorbed Age Interpretation. Resorption affecting age and missing 1 marine annulus"/>
    <x v="0"/>
  </r>
  <r>
    <n v="101633"/>
    <x v="0"/>
    <x v="1"/>
    <s v="8"/>
    <x v="2"/>
    <s v="1036526"/>
    <s v="2022-09-21"/>
    <s v="2022-09-21"/>
    <x v="0"/>
    <s v="Adult"/>
    <s v="Escapement"/>
    <s v="Gillnet"/>
    <s v="Scales"/>
    <n v="3"/>
    <m/>
    <s v="F1"/>
    <s v="Resorbed Scale"/>
    <s v="Unknown amount of resorption. Cannot assess the number of marine annuli missing. Only freshwater age given, no marine age given."/>
    <x v="8"/>
  </r>
  <r>
    <n v="101633"/>
    <x v="0"/>
    <x v="1"/>
    <s v="8"/>
    <x v="2"/>
    <s v="1036526"/>
    <s v="2022-09-21"/>
    <s v="2022-09-21"/>
    <x v="0"/>
    <s v="Adult"/>
    <s v="Escapement"/>
    <s v="Gillnet"/>
    <s v="Scales"/>
    <n v="4"/>
    <s v="13"/>
    <m/>
    <m/>
    <s v="Resorption present but not enough to suspect an annuli is missing.  Age unaffected."/>
    <x v="5"/>
  </r>
  <r>
    <n v="101633"/>
    <x v="0"/>
    <x v="1"/>
    <s v="8"/>
    <x v="2"/>
    <s v="1036526"/>
    <s v="2022-09-21"/>
    <s v="2022-09-21"/>
    <x v="0"/>
    <s v="Adult"/>
    <s v="Escapement"/>
    <s v="Gillnet"/>
    <s v="Scales"/>
    <n v="5"/>
    <s v="12"/>
    <m/>
    <m/>
    <s v="Resorbed Age Interpretation. Resorption affecting age and missing 1 marine annulus"/>
    <x v="0"/>
  </r>
  <r>
    <n v="101633"/>
    <x v="0"/>
    <x v="1"/>
    <s v="8"/>
    <x v="2"/>
    <s v="1036526"/>
    <s v="2022-09-21"/>
    <s v="2022-09-21"/>
    <x v="0"/>
    <s v="Adult"/>
    <s v="Escapement"/>
    <s v="Gillnet"/>
    <s v="Scales"/>
    <n v="6"/>
    <s v="13"/>
    <m/>
    <m/>
    <s v="Resorption present but not enough to suspect an annuli is missing.  Age unaffected."/>
    <x v="5"/>
  </r>
  <r>
    <n v="101633"/>
    <x v="0"/>
    <x v="1"/>
    <s v="8"/>
    <x v="2"/>
    <s v="1036526"/>
    <s v="2022-09-21"/>
    <s v="2022-09-21"/>
    <x v="0"/>
    <s v="Adult"/>
    <s v="Escapement"/>
    <s v="Gillnet"/>
    <s v="Scales"/>
    <n v="7"/>
    <s v="13"/>
    <m/>
    <m/>
    <s v="Resorbed Age Interpretation. Resorption affecting age and missing 1 marine annulus"/>
    <x v="5"/>
  </r>
  <r>
    <n v="101633"/>
    <x v="0"/>
    <x v="1"/>
    <s v="8"/>
    <x v="2"/>
    <s v="1036527"/>
    <s v="2022-09-21"/>
    <s v="2022-09-28"/>
    <x v="0"/>
    <s v="Adult"/>
    <s v="Escapement"/>
    <s v="Gillnet"/>
    <s v="Scales"/>
    <n v="1"/>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2"/>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3"/>
    <s v="12"/>
    <m/>
    <m/>
    <s v="Resorbed Age Interpretation. Resorption affecting age and missing 1 marine annulus"/>
    <x v="0"/>
  </r>
  <r>
    <n v="101633"/>
    <x v="0"/>
    <x v="1"/>
    <s v="8"/>
    <x v="2"/>
    <s v="1036527"/>
    <s v="2022-09-21"/>
    <s v="2022-09-28"/>
    <x v="0"/>
    <s v="Adult"/>
    <s v="Escapement"/>
    <s v="Gillnet"/>
    <s v="Scales"/>
    <n v="4"/>
    <s v="12"/>
    <m/>
    <m/>
    <s v="Resorbed Age Interpretation. Resorption affecting age and missing 1 marine annulus"/>
    <x v="0"/>
  </r>
  <r>
    <n v="101633"/>
    <x v="0"/>
    <x v="1"/>
    <s v="8"/>
    <x v="2"/>
    <s v="1036527"/>
    <s v="2022-09-21"/>
    <s v="2022-09-28"/>
    <x v="0"/>
    <s v="Adult"/>
    <s v="Escapement"/>
    <s v="Gillnet"/>
    <s v="Scales"/>
    <n v="5"/>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6"/>
    <s v="12"/>
    <m/>
    <m/>
    <s v="Resorption present but not enough to suspect an annuli is missing.  Age unaffected."/>
    <x v="0"/>
  </r>
  <r>
    <n v="101633"/>
    <x v="0"/>
    <x v="1"/>
    <s v="8"/>
    <x v="2"/>
    <s v="1036527"/>
    <s v="2022-09-21"/>
    <s v="2022-09-28"/>
    <x v="0"/>
    <s v="Adult"/>
    <s v="Escapement"/>
    <s v="Gillnet"/>
    <s v="Scales"/>
    <n v="7"/>
    <s v="13"/>
    <m/>
    <m/>
    <s v="Resorption present but not enough to suspect an annuli is missing.  Age unaffected."/>
    <x v="5"/>
  </r>
  <r>
    <n v="101633"/>
    <x v="0"/>
    <x v="1"/>
    <s v="8"/>
    <x v="2"/>
    <s v="1036527"/>
    <s v="2022-09-21"/>
    <s v="2022-09-28"/>
    <x v="0"/>
    <s v="Adult"/>
    <s v="Escapement"/>
    <s v="Gillnet"/>
    <s v="Scales"/>
    <n v="8"/>
    <m/>
    <s v="F1"/>
    <s v="Resorbed Scale"/>
    <s v="Unknown amount of resorption. Cannot assess the number of marine annuli missing. Only freshwater age given, no marine age given."/>
    <x v="8"/>
  </r>
  <r>
    <n v="101635"/>
    <x v="0"/>
    <x v="1"/>
    <s v="8"/>
    <x v="2"/>
    <s v="1036222"/>
    <s v="2022-09-23"/>
    <s v="2022-09-23"/>
    <x v="0"/>
    <s v="Adult"/>
    <s v="Escapement"/>
    <s v="Gaff"/>
    <s v="Otoliths and Scales"/>
    <n v="1"/>
    <m/>
    <m/>
    <s v="No Structure"/>
    <m/>
    <x v="1"/>
  </r>
  <r>
    <n v="101635"/>
    <x v="0"/>
    <x v="1"/>
    <s v="8"/>
    <x v="2"/>
    <s v="1036222"/>
    <s v="2022-09-23"/>
    <s v="2022-09-23"/>
    <x v="0"/>
    <s v="Adult"/>
    <s v="Escapement"/>
    <s v="Gaff"/>
    <s v="Otoliths and Scales"/>
    <n v="2"/>
    <s v="12"/>
    <m/>
    <m/>
    <m/>
    <x v="0"/>
  </r>
  <r>
    <n v="101635"/>
    <x v="0"/>
    <x v="1"/>
    <s v="8"/>
    <x v="2"/>
    <s v="1036222"/>
    <s v="2022-09-23"/>
    <s v="2022-09-23"/>
    <x v="0"/>
    <s v="Adult"/>
    <s v="Escapement"/>
    <s v="Gaff"/>
    <s v="Otoliths and Scales"/>
    <n v="3"/>
    <s v="13"/>
    <m/>
    <m/>
    <m/>
    <x v="5"/>
  </r>
  <r>
    <n v="102641"/>
    <x v="0"/>
    <x v="1"/>
    <s v="8"/>
    <x v="3"/>
    <s v="1036784"/>
    <s v="2022-09-26"/>
    <s v="2022-09-27"/>
    <x v="0"/>
    <s v="Adult"/>
    <s v="Escapement"/>
    <s v="Gillnet"/>
    <s v="Otoliths and Scales"/>
    <n v="1"/>
    <s v="12"/>
    <m/>
    <m/>
    <m/>
    <x v="0"/>
  </r>
  <r>
    <n v="102641"/>
    <x v="0"/>
    <x v="1"/>
    <s v="8"/>
    <x v="3"/>
    <s v="1036784"/>
    <s v="2022-09-26"/>
    <s v="2022-09-27"/>
    <x v="0"/>
    <s v="Adult"/>
    <s v="Escapement"/>
    <s v="Gillnet"/>
    <s v="Otoliths and Scales"/>
    <n v="2"/>
    <s v="12"/>
    <m/>
    <m/>
    <m/>
    <x v="0"/>
  </r>
  <r>
    <n v="102641"/>
    <x v="0"/>
    <x v="1"/>
    <s v="8"/>
    <x v="3"/>
    <s v="1036784"/>
    <s v="2022-09-26"/>
    <s v="2022-09-27"/>
    <x v="0"/>
    <s v="Adult"/>
    <s v="Escapement"/>
    <s v="Gillnet"/>
    <s v="Otoliths and Scales"/>
    <n v="3"/>
    <s v="12"/>
    <m/>
    <m/>
    <m/>
    <x v="0"/>
  </r>
  <r>
    <n v="102641"/>
    <x v="0"/>
    <x v="1"/>
    <s v="8"/>
    <x v="3"/>
    <s v="1036784"/>
    <s v="2022-09-26"/>
    <s v="2022-09-27"/>
    <x v="0"/>
    <s v="Adult"/>
    <s v="Escapement"/>
    <s v="Gillnet"/>
    <s v="Otoliths and Scales"/>
    <n v="4"/>
    <s v="12"/>
    <m/>
    <m/>
    <m/>
    <x v="0"/>
  </r>
  <r>
    <n v="102641"/>
    <x v="0"/>
    <x v="1"/>
    <s v="8"/>
    <x v="3"/>
    <s v="1036784"/>
    <s v="2022-09-26"/>
    <s v="2022-09-27"/>
    <x v="0"/>
    <s v="Adult"/>
    <s v="Escapement"/>
    <s v="Gillnet"/>
    <s v="Otoliths and Scales"/>
    <n v="5"/>
    <s v="12"/>
    <m/>
    <m/>
    <m/>
    <x v="0"/>
  </r>
  <r>
    <n v="102641"/>
    <x v="0"/>
    <x v="1"/>
    <s v="8"/>
    <x v="3"/>
    <s v="1036784"/>
    <s v="2022-09-26"/>
    <s v="2022-09-27"/>
    <x v="0"/>
    <s v="Adult"/>
    <s v="Escapement"/>
    <s v="Gillnet"/>
    <s v="Otoliths and Scales"/>
    <n v="6"/>
    <s v="22"/>
    <m/>
    <m/>
    <m/>
    <x v="9"/>
  </r>
  <r>
    <n v="102641"/>
    <x v="0"/>
    <x v="1"/>
    <s v="8"/>
    <x v="3"/>
    <s v="1036784"/>
    <s v="2022-09-26"/>
    <s v="2022-09-27"/>
    <x v="0"/>
    <s v="Adult"/>
    <s v="Escapement"/>
    <s v="Gillnet"/>
    <s v="Otoliths and Scales"/>
    <n v="7"/>
    <s v="13"/>
    <m/>
    <m/>
    <m/>
    <x v="5"/>
  </r>
  <r>
    <n v="102641"/>
    <x v="0"/>
    <x v="1"/>
    <s v="8"/>
    <x v="3"/>
    <s v="1036784"/>
    <s v="2022-09-26"/>
    <s v="2022-09-27"/>
    <x v="0"/>
    <s v="Adult"/>
    <s v="Escapement"/>
    <s v="Gillnet"/>
    <s v="Otoliths and Scales"/>
    <n v="8"/>
    <s v="12"/>
    <m/>
    <m/>
    <m/>
    <x v="0"/>
  </r>
  <r>
    <n v="102641"/>
    <x v="0"/>
    <x v="1"/>
    <s v="8"/>
    <x v="3"/>
    <s v="1036784"/>
    <s v="2022-09-26"/>
    <s v="2022-09-27"/>
    <x v="0"/>
    <s v="Adult"/>
    <s v="Escapement"/>
    <s v="Gillnet"/>
    <s v="Otoliths and Scales"/>
    <n v="9"/>
    <s v="13"/>
    <m/>
    <m/>
    <m/>
    <x v="5"/>
  </r>
  <r>
    <n v="102641"/>
    <x v="0"/>
    <x v="1"/>
    <s v="8"/>
    <x v="3"/>
    <s v="1036784"/>
    <s v="2022-09-26"/>
    <s v="2022-09-27"/>
    <x v="0"/>
    <s v="Adult"/>
    <s v="Escapement"/>
    <s v="Gillnet"/>
    <s v="Otoliths and Scales"/>
    <n v="10"/>
    <s v="12"/>
    <m/>
    <m/>
    <m/>
    <x v="0"/>
  </r>
  <r>
    <n v="102641"/>
    <x v="0"/>
    <x v="1"/>
    <s v="8"/>
    <x v="3"/>
    <s v="1036784"/>
    <s v="2022-09-26"/>
    <s v="2022-09-27"/>
    <x v="0"/>
    <s v="Adult"/>
    <s v="Escapement"/>
    <s v="Gillnet"/>
    <s v="Otoliths and Scales"/>
    <n v="11"/>
    <s v="13"/>
    <m/>
    <m/>
    <m/>
    <x v="5"/>
  </r>
  <r>
    <n v="102641"/>
    <x v="0"/>
    <x v="1"/>
    <s v="8"/>
    <x v="3"/>
    <s v="1036784"/>
    <s v="2022-09-26"/>
    <s v="2022-09-27"/>
    <x v="0"/>
    <s v="Adult"/>
    <s v="Escapement"/>
    <s v="Gillnet"/>
    <s v="Otoliths and Scales"/>
    <n v="12"/>
    <s v="13"/>
    <m/>
    <m/>
    <m/>
    <x v="5"/>
  </r>
  <r>
    <n v="102641"/>
    <x v="0"/>
    <x v="1"/>
    <s v="8"/>
    <x v="3"/>
    <s v="1036784"/>
    <s v="2022-09-26"/>
    <s v="2022-09-27"/>
    <x v="0"/>
    <s v="Adult"/>
    <s v="Escapement"/>
    <s v="Gillnet"/>
    <s v="Otoliths and Scales"/>
    <n v="13"/>
    <s v="12"/>
    <m/>
    <m/>
    <m/>
    <x v="0"/>
  </r>
  <r>
    <n v="102641"/>
    <x v="0"/>
    <x v="1"/>
    <s v="8"/>
    <x v="3"/>
    <s v="1036784"/>
    <s v="2022-09-26"/>
    <s v="2022-09-27"/>
    <x v="0"/>
    <s v="Adult"/>
    <s v="Escapement"/>
    <s v="Gillnet"/>
    <s v="Otoliths and Scales"/>
    <n v="14"/>
    <s v="12"/>
    <m/>
    <m/>
    <m/>
    <x v="0"/>
  </r>
  <r>
    <n v="102641"/>
    <x v="0"/>
    <x v="1"/>
    <s v="8"/>
    <x v="3"/>
    <s v="1036784"/>
    <s v="2022-09-26"/>
    <s v="2022-09-27"/>
    <x v="0"/>
    <s v="Adult"/>
    <s v="Escapement"/>
    <s v="Gillnet"/>
    <s v="Otoliths and Scales"/>
    <n v="15"/>
    <s v="12"/>
    <m/>
    <m/>
    <m/>
    <x v="0"/>
  </r>
  <r>
    <n v="102641"/>
    <x v="0"/>
    <x v="1"/>
    <s v="8"/>
    <x v="3"/>
    <s v="1036784"/>
    <s v="2022-09-26"/>
    <s v="2022-09-27"/>
    <x v="0"/>
    <s v="Adult"/>
    <s v="Escapement"/>
    <s v="Gillnet"/>
    <s v="Otoliths and Scales"/>
    <n v="16"/>
    <s v="12"/>
    <m/>
    <m/>
    <m/>
    <x v="0"/>
  </r>
  <r>
    <n v="102641"/>
    <x v="0"/>
    <x v="1"/>
    <s v="8"/>
    <x v="3"/>
    <s v="1036784"/>
    <s v="2022-09-26"/>
    <s v="2022-09-27"/>
    <x v="0"/>
    <s v="Adult"/>
    <s v="Escapement"/>
    <s v="Gillnet"/>
    <s v="Otoliths and Scales"/>
    <n v="17"/>
    <s v="22"/>
    <m/>
    <m/>
    <m/>
    <x v="9"/>
  </r>
  <r>
    <n v="102641"/>
    <x v="0"/>
    <x v="1"/>
    <s v="8"/>
    <x v="3"/>
    <s v="1036784"/>
    <s v="2022-09-26"/>
    <s v="2022-09-27"/>
    <x v="0"/>
    <s v="Adult"/>
    <s v="Escapement"/>
    <s v="Gillnet"/>
    <s v="Otoliths and Scales"/>
    <n v="18"/>
    <m/>
    <m/>
    <s v="No Structure"/>
    <m/>
    <x v="1"/>
  </r>
  <r>
    <n v="102641"/>
    <x v="0"/>
    <x v="1"/>
    <s v="8"/>
    <x v="3"/>
    <s v="1036784"/>
    <s v="2022-09-26"/>
    <s v="2022-09-27"/>
    <x v="0"/>
    <s v="Adult"/>
    <s v="Escapement"/>
    <s v="Gillnet"/>
    <s v="Otoliths and Scales"/>
    <n v="19"/>
    <m/>
    <s v="M2"/>
    <s v="Unresolved Freshwater Age"/>
    <m/>
    <x v="2"/>
  </r>
  <r>
    <n v="102641"/>
    <x v="0"/>
    <x v="1"/>
    <s v="8"/>
    <x v="3"/>
    <s v="1036784"/>
    <s v="2022-09-26"/>
    <s v="2022-09-27"/>
    <x v="0"/>
    <s v="Adult"/>
    <s v="Escapement"/>
    <s v="Gillnet"/>
    <s v="Otoliths and Scales"/>
    <n v="20"/>
    <s v="12"/>
    <m/>
    <m/>
    <m/>
    <x v="0"/>
  </r>
  <r>
    <n v="102641"/>
    <x v="0"/>
    <x v="1"/>
    <s v="8"/>
    <x v="3"/>
    <s v="1036784"/>
    <s v="2022-09-26"/>
    <s v="2022-09-27"/>
    <x v="0"/>
    <s v="Adult"/>
    <s v="Escapement"/>
    <s v="Gillnet"/>
    <s v="Otoliths and Scales"/>
    <n v="21"/>
    <s v="13"/>
    <m/>
    <m/>
    <m/>
    <x v="5"/>
  </r>
  <r>
    <n v="102641"/>
    <x v="0"/>
    <x v="1"/>
    <s v="8"/>
    <x v="3"/>
    <s v="1036784"/>
    <s v="2022-09-26"/>
    <s v="2022-09-27"/>
    <x v="0"/>
    <s v="Adult"/>
    <s v="Escapement"/>
    <s v="Gillnet"/>
    <s v="Otoliths and Scales"/>
    <n v="22"/>
    <s v="12"/>
    <m/>
    <m/>
    <m/>
    <x v="0"/>
  </r>
  <r>
    <n v="102641"/>
    <x v="0"/>
    <x v="1"/>
    <s v="8"/>
    <x v="3"/>
    <s v="1036784"/>
    <s v="2022-09-26"/>
    <s v="2022-09-27"/>
    <x v="0"/>
    <s v="Adult"/>
    <s v="Escapement"/>
    <s v="Gillnet"/>
    <s v="Otoliths and Scales"/>
    <n v="23"/>
    <s v="12"/>
    <m/>
    <m/>
    <m/>
    <x v="0"/>
  </r>
  <r>
    <n v="102641"/>
    <x v="0"/>
    <x v="1"/>
    <s v="8"/>
    <x v="3"/>
    <s v="1036784"/>
    <s v="2022-09-26"/>
    <s v="2022-09-27"/>
    <x v="0"/>
    <s v="Adult"/>
    <s v="Escapement"/>
    <s v="Gillnet"/>
    <s v="Otoliths and Scales"/>
    <n v="24"/>
    <s v="12"/>
    <m/>
    <m/>
    <m/>
    <x v="0"/>
  </r>
  <r>
    <n v="102641"/>
    <x v="0"/>
    <x v="1"/>
    <s v="8"/>
    <x v="3"/>
    <s v="1036784"/>
    <s v="2022-09-26"/>
    <s v="2022-09-27"/>
    <x v="0"/>
    <s v="Adult"/>
    <s v="Escapement"/>
    <s v="Gillnet"/>
    <s v="Otoliths and Scales"/>
    <n v="25"/>
    <s v="12"/>
    <m/>
    <m/>
    <m/>
    <x v="0"/>
  </r>
  <r>
    <n v="102641"/>
    <x v="0"/>
    <x v="1"/>
    <s v="8"/>
    <x v="3"/>
    <s v="1036784"/>
    <s v="2022-09-26"/>
    <s v="2022-09-27"/>
    <x v="0"/>
    <s v="Adult"/>
    <s v="Escapement"/>
    <s v="Gillnet"/>
    <s v="Otoliths and Scales"/>
    <n v="26"/>
    <s v="22"/>
    <m/>
    <m/>
    <m/>
    <x v="9"/>
  </r>
  <r>
    <n v="102641"/>
    <x v="0"/>
    <x v="1"/>
    <s v="8"/>
    <x v="3"/>
    <s v="1036784"/>
    <s v="2022-09-26"/>
    <s v="2022-09-27"/>
    <x v="0"/>
    <s v="Adult"/>
    <s v="Escapement"/>
    <s v="Gillnet"/>
    <s v="Otoliths and Scales"/>
    <n v="27"/>
    <s v="12"/>
    <m/>
    <m/>
    <m/>
    <x v="0"/>
  </r>
  <r>
    <n v="102641"/>
    <x v="0"/>
    <x v="1"/>
    <s v="8"/>
    <x v="3"/>
    <s v="1036784"/>
    <s v="2022-09-26"/>
    <s v="2022-09-27"/>
    <x v="0"/>
    <s v="Adult"/>
    <s v="Escapement"/>
    <s v="Gillnet"/>
    <s v="Otoliths and Scales"/>
    <n v="28"/>
    <s v="12"/>
    <m/>
    <m/>
    <m/>
    <x v="0"/>
  </r>
  <r>
    <n v="102641"/>
    <x v="0"/>
    <x v="1"/>
    <s v="8"/>
    <x v="3"/>
    <s v="1036784"/>
    <s v="2022-09-26"/>
    <s v="2022-09-27"/>
    <x v="0"/>
    <s v="Adult"/>
    <s v="Escapement"/>
    <s v="Gillnet"/>
    <s v="Otoliths and Scales"/>
    <n v="29"/>
    <s v="12"/>
    <m/>
    <m/>
    <m/>
    <x v="0"/>
  </r>
  <r>
    <n v="102641"/>
    <x v="0"/>
    <x v="1"/>
    <s v="8"/>
    <x v="3"/>
    <s v="1036784"/>
    <s v="2022-09-26"/>
    <s v="2022-09-27"/>
    <x v="0"/>
    <s v="Adult"/>
    <s v="Escapement"/>
    <s v="Gillnet"/>
    <s v="Otoliths and Scales"/>
    <n v="30"/>
    <s v="12"/>
    <m/>
    <m/>
    <m/>
    <x v="0"/>
  </r>
  <r>
    <n v="102641"/>
    <x v="0"/>
    <x v="1"/>
    <s v="8"/>
    <x v="3"/>
    <s v="1036784"/>
    <s v="2022-09-26"/>
    <s v="2022-09-27"/>
    <x v="0"/>
    <s v="Adult"/>
    <s v="Escapement"/>
    <s v="Gillnet"/>
    <s v="Otoliths and Scales"/>
    <n v="31"/>
    <s v="12"/>
    <m/>
    <m/>
    <m/>
    <x v="0"/>
  </r>
  <r>
    <n v="102641"/>
    <x v="0"/>
    <x v="1"/>
    <s v="8"/>
    <x v="3"/>
    <s v="1036784"/>
    <s v="2022-09-26"/>
    <s v="2022-09-27"/>
    <x v="0"/>
    <s v="Adult"/>
    <s v="Escapement"/>
    <s v="Gillnet"/>
    <s v="Otoliths and Scales"/>
    <n v="32"/>
    <s v="12"/>
    <m/>
    <m/>
    <m/>
    <x v="0"/>
  </r>
  <r>
    <n v="102641"/>
    <x v="0"/>
    <x v="1"/>
    <s v="8"/>
    <x v="3"/>
    <s v="1036784"/>
    <s v="2022-09-26"/>
    <s v="2022-09-27"/>
    <x v="0"/>
    <s v="Adult"/>
    <s v="Escapement"/>
    <s v="Gillnet"/>
    <s v="Otoliths and Scales"/>
    <n v="33"/>
    <s v="12"/>
    <m/>
    <m/>
    <m/>
    <x v="0"/>
  </r>
  <r>
    <n v="102641"/>
    <x v="0"/>
    <x v="1"/>
    <s v="8"/>
    <x v="3"/>
    <s v="1036784"/>
    <s v="2022-09-26"/>
    <s v="2022-09-27"/>
    <x v="0"/>
    <s v="Adult"/>
    <s v="Escapement"/>
    <s v="Gillnet"/>
    <s v="Otoliths and Scales"/>
    <n v="34"/>
    <s v="13"/>
    <m/>
    <m/>
    <m/>
    <x v="5"/>
  </r>
  <r>
    <n v="102641"/>
    <x v="0"/>
    <x v="1"/>
    <s v="8"/>
    <x v="3"/>
    <s v="1036784"/>
    <s v="2022-09-26"/>
    <s v="2022-09-27"/>
    <x v="0"/>
    <s v="Adult"/>
    <s v="Escapement"/>
    <s v="Gillnet"/>
    <s v="Otoliths and Scales"/>
    <n v="35"/>
    <s v="13"/>
    <m/>
    <m/>
    <m/>
    <x v="5"/>
  </r>
  <r>
    <n v="102641"/>
    <x v="0"/>
    <x v="1"/>
    <s v="8"/>
    <x v="3"/>
    <s v="1036784"/>
    <s v="2022-09-26"/>
    <s v="2022-09-27"/>
    <x v="0"/>
    <s v="Adult"/>
    <s v="Escapement"/>
    <s v="Gillnet"/>
    <s v="Otoliths and Scales"/>
    <n v="36"/>
    <s v="12"/>
    <m/>
    <m/>
    <m/>
    <x v="0"/>
  </r>
  <r>
    <n v="102641"/>
    <x v="0"/>
    <x v="1"/>
    <s v="8"/>
    <x v="3"/>
    <s v="1036784"/>
    <s v="2022-09-26"/>
    <s v="2022-09-27"/>
    <x v="0"/>
    <s v="Adult"/>
    <s v="Escapement"/>
    <s v="Gillnet"/>
    <s v="Otoliths and Scales"/>
    <n v="37"/>
    <s v="13"/>
    <m/>
    <m/>
    <m/>
    <x v="5"/>
  </r>
  <r>
    <n v="102641"/>
    <x v="0"/>
    <x v="1"/>
    <s v="8"/>
    <x v="3"/>
    <s v="1036784"/>
    <s v="2022-09-26"/>
    <s v="2022-09-27"/>
    <x v="0"/>
    <s v="Adult"/>
    <s v="Escapement"/>
    <s v="Gillnet"/>
    <s v="Otoliths and Scales"/>
    <n v="38"/>
    <s v="12"/>
    <m/>
    <m/>
    <s v="Resorbed Age Interpretation. Resorption affecting age and missing 1 marine annulus"/>
    <x v="0"/>
  </r>
  <r>
    <n v="102641"/>
    <x v="0"/>
    <x v="1"/>
    <s v="8"/>
    <x v="3"/>
    <s v="1036784"/>
    <s v="2022-09-26"/>
    <s v="2022-09-27"/>
    <x v="0"/>
    <s v="Adult"/>
    <s v="Escapement"/>
    <s v="Gillnet"/>
    <s v="Otoliths and Scales"/>
    <n v="39"/>
    <s v="12"/>
    <m/>
    <m/>
    <m/>
    <x v="0"/>
  </r>
  <r>
    <n v="102641"/>
    <x v="0"/>
    <x v="1"/>
    <s v="8"/>
    <x v="3"/>
    <s v="1036784"/>
    <s v="2022-09-26"/>
    <s v="2022-09-27"/>
    <x v="0"/>
    <s v="Adult"/>
    <s v="Escapement"/>
    <s v="Gillnet"/>
    <s v="Otoliths and Scales"/>
    <n v="40"/>
    <s v="23"/>
    <m/>
    <m/>
    <m/>
    <x v="10"/>
  </r>
  <r>
    <n v="102641"/>
    <x v="0"/>
    <x v="1"/>
    <s v="8"/>
    <x v="3"/>
    <s v="1036784"/>
    <s v="2022-09-26"/>
    <s v="2022-09-27"/>
    <x v="0"/>
    <s v="Adult"/>
    <s v="Escapement"/>
    <s v="Gillnet"/>
    <s v="Otoliths and Scales"/>
    <n v="41"/>
    <s v="12"/>
    <m/>
    <m/>
    <m/>
    <x v="0"/>
  </r>
  <r>
    <n v="102641"/>
    <x v="0"/>
    <x v="1"/>
    <s v="8"/>
    <x v="3"/>
    <s v="1036784"/>
    <s v="2022-09-26"/>
    <s v="2022-09-27"/>
    <x v="0"/>
    <s v="Adult"/>
    <s v="Escapement"/>
    <s v="Gillnet"/>
    <s v="Otoliths and Scales"/>
    <n v="42"/>
    <s v="12"/>
    <m/>
    <m/>
    <m/>
    <x v="0"/>
  </r>
  <r>
    <n v="102641"/>
    <x v="0"/>
    <x v="1"/>
    <s v="8"/>
    <x v="3"/>
    <s v="1036784"/>
    <s v="2022-09-26"/>
    <s v="2022-09-27"/>
    <x v="0"/>
    <s v="Adult"/>
    <s v="Escapement"/>
    <s v="Gillnet"/>
    <s v="Otoliths and Scales"/>
    <n v="43"/>
    <s v="12"/>
    <m/>
    <m/>
    <m/>
    <x v="0"/>
  </r>
  <r>
    <n v="102641"/>
    <x v="0"/>
    <x v="1"/>
    <s v="8"/>
    <x v="3"/>
    <s v="1036784"/>
    <s v="2022-09-26"/>
    <s v="2022-09-27"/>
    <x v="0"/>
    <s v="Adult"/>
    <s v="Escapement"/>
    <s v="Gillnet"/>
    <s v="Otoliths and Scales"/>
    <n v="44"/>
    <m/>
    <m/>
    <s v="No Structure"/>
    <m/>
    <x v="1"/>
  </r>
  <r>
    <n v="102641"/>
    <x v="0"/>
    <x v="1"/>
    <s v="8"/>
    <x v="3"/>
    <s v="1036784"/>
    <s v="2022-09-26"/>
    <s v="2022-09-27"/>
    <x v="0"/>
    <s v="Adult"/>
    <s v="Escapement"/>
    <s v="Gillnet"/>
    <s v="Otoliths and Scales"/>
    <n v="45"/>
    <m/>
    <m/>
    <s v="No Structure"/>
    <m/>
    <x v="1"/>
  </r>
  <r>
    <n v="102641"/>
    <x v="0"/>
    <x v="1"/>
    <s v="8"/>
    <x v="3"/>
    <s v="1036784"/>
    <s v="2022-09-26"/>
    <s v="2022-09-27"/>
    <x v="0"/>
    <s v="Adult"/>
    <s v="Escapement"/>
    <s v="Gillnet"/>
    <s v="Otoliths and Scales"/>
    <n v="46"/>
    <m/>
    <m/>
    <s v="No Structure"/>
    <m/>
    <x v="1"/>
  </r>
  <r>
    <n v="102641"/>
    <x v="0"/>
    <x v="1"/>
    <s v="8"/>
    <x v="3"/>
    <s v="1036784"/>
    <s v="2022-09-26"/>
    <s v="2022-09-27"/>
    <x v="0"/>
    <s v="Adult"/>
    <s v="Escapement"/>
    <s v="Gillnet"/>
    <s v="Otoliths and Scales"/>
    <n v="47"/>
    <m/>
    <m/>
    <s v="No Structure"/>
    <m/>
    <x v="1"/>
  </r>
  <r>
    <n v="102641"/>
    <x v="0"/>
    <x v="1"/>
    <s v="8"/>
    <x v="3"/>
    <s v="1036784"/>
    <s v="2022-09-26"/>
    <s v="2022-09-27"/>
    <x v="0"/>
    <s v="Adult"/>
    <s v="Escapement"/>
    <s v="Gillnet"/>
    <s v="Otoliths and Scales"/>
    <n v="48"/>
    <m/>
    <m/>
    <s v="No Structure"/>
    <m/>
    <x v="1"/>
  </r>
  <r>
    <n v="102641"/>
    <x v="0"/>
    <x v="1"/>
    <s v="8"/>
    <x v="3"/>
    <s v="1036784"/>
    <s v="2022-09-26"/>
    <s v="2022-09-27"/>
    <x v="0"/>
    <s v="Adult"/>
    <s v="Escapement"/>
    <s v="Gillnet"/>
    <s v="Otoliths and Scales"/>
    <n v="49"/>
    <m/>
    <m/>
    <s v="No Structure"/>
    <m/>
    <x v="1"/>
  </r>
  <r>
    <n v="102641"/>
    <x v="0"/>
    <x v="1"/>
    <s v="8"/>
    <x v="3"/>
    <s v="1036784"/>
    <s v="2022-09-26"/>
    <s v="2022-09-27"/>
    <x v="0"/>
    <s v="Adult"/>
    <s v="Escapement"/>
    <s v="Gillnet"/>
    <s v="Otoliths and Scales"/>
    <n v="50"/>
    <m/>
    <m/>
    <s v="No Structure"/>
    <m/>
    <x v="1"/>
  </r>
  <r>
    <n v="102641"/>
    <x v="0"/>
    <x v="1"/>
    <s v="8"/>
    <x v="3"/>
    <s v="1036784"/>
    <s v="2022-09-26"/>
    <s v="2022-09-27"/>
    <x v="0"/>
    <s v="Adult"/>
    <s v="Escapement"/>
    <s v="Gillnet"/>
    <s v="Otoliths and Scales"/>
    <n v="51"/>
    <s v="12"/>
    <m/>
    <m/>
    <m/>
    <x v="0"/>
  </r>
  <r>
    <n v="102641"/>
    <x v="0"/>
    <x v="1"/>
    <s v="8"/>
    <x v="3"/>
    <s v="1036784"/>
    <s v="2022-09-26"/>
    <s v="2022-09-27"/>
    <x v="0"/>
    <s v="Adult"/>
    <s v="Escapement"/>
    <s v="Gillnet"/>
    <s v="Otoliths and Scales"/>
    <n v="52"/>
    <s v="13"/>
    <m/>
    <m/>
    <m/>
    <x v="5"/>
  </r>
  <r>
    <n v="102641"/>
    <x v="0"/>
    <x v="1"/>
    <s v="8"/>
    <x v="3"/>
    <s v="1036784"/>
    <s v="2022-09-26"/>
    <s v="2022-09-27"/>
    <x v="0"/>
    <s v="Adult"/>
    <s v="Escapement"/>
    <s v="Gillnet"/>
    <s v="Otoliths and Scales"/>
    <n v="53"/>
    <s v="12"/>
    <m/>
    <m/>
    <m/>
    <x v="0"/>
  </r>
  <r>
    <n v="102641"/>
    <x v="0"/>
    <x v="1"/>
    <s v="8"/>
    <x v="3"/>
    <s v="1036784"/>
    <s v="2022-09-26"/>
    <s v="2022-09-27"/>
    <x v="0"/>
    <s v="Adult"/>
    <s v="Escapement"/>
    <s v="Gillnet"/>
    <s v="Otoliths and Scales"/>
    <n v="54"/>
    <s v="12"/>
    <m/>
    <m/>
    <m/>
    <x v="0"/>
  </r>
  <r>
    <n v="102641"/>
    <x v="0"/>
    <x v="1"/>
    <s v="8"/>
    <x v="3"/>
    <s v="1036784"/>
    <s v="2022-09-26"/>
    <s v="2022-09-27"/>
    <x v="0"/>
    <s v="Adult"/>
    <s v="Escapement"/>
    <s v="Gillnet"/>
    <s v="Otoliths and Scales"/>
    <n v="55"/>
    <s v="13"/>
    <m/>
    <m/>
    <m/>
    <x v="5"/>
  </r>
  <r>
    <n v="102641"/>
    <x v="0"/>
    <x v="1"/>
    <s v="8"/>
    <x v="3"/>
    <s v="1036784"/>
    <s v="2022-09-26"/>
    <s v="2022-09-27"/>
    <x v="0"/>
    <s v="Adult"/>
    <s v="Escapement"/>
    <s v="Gillnet"/>
    <s v="Otoliths and Scales"/>
    <n v="56"/>
    <s v="12"/>
    <m/>
    <m/>
    <m/>
    <x v="0"/>
  </r>
  <r>
    <n v="102641"/>
    <x v="0"/>
    <x v="1"/>
    <s v="8"/>
    <x v="3"/>
    <s v="1036784"/>
    <s v="2022-09-26"/>
    <s v="2022-09-27"/>
    <x v="0"/>
    <s v="Adult"/>
    <s v="Escapement"/>
    <s v="Gillnet"/>
    <s v="Otoliths and Scales"/>
    <n v="57"/>
    <s v="13"/>
    <m/>
    <m/>
    <m/>
    <x v="5"/>
  </r>
  <r>
    <n v="102641"/>
    <x v="0"/>
    <x v="1"/>
    <s v="8"/>
    <x v="3"/>
    <s v="1036784"/>
    <s v="2022-09-26"/>
    <s v="2022-09-27"/>
    <x v="0"/>
    <s v="Adult"/>
    <s v="Escapement"/>
    <s v="Gillnet"/>
    <s v="Otoliths and Scales"/>
    <n v="58"/>
    <s v="12"/>
    <m/>
    <m/>
    <m/>
    <x v="0"/>
  </r>
  <r>
    <n v="102641"/>
    <x v="0"/>
    <x v="1"/>
    <s v="8"/>
    <x v="3"/>
    <s v="1036784"/>
    <s v="2022-09-26"/>
    <s v="2022-09-27"/>
    <x v="0"/>
    <s v="Adult"/>
    <s v="Escapement"/>
    <s v="Gillnet"/>
    <s v="Otoliths and Scales"/>
    <n v="59"/>
    <s v="13"/>
    <m/>
    <m/>
    <m/>
    <x v="5"/>
  </r>
  <r>
    <n v="102641"/>
    <x v="0"/>
    <x v="1"/>
    <s v="8"/>
    <x v="3"/>
    <s v="1036784"/>
    <s v="2022-09-26"/>
    <s v="2022-09-27"/>
    <x v="0"/>
    <s v="Adult"/>
    <s v="Escapement"/>
    <s v="Gillnet"/>
    <s v="Otoliths and Scales"/>
    <n v="60"/>
    <s v="12"/>
    <m/>
    <m/>
    <m/>
    <x v="0"/>
  </r>
  <r>
    <n v="102641"/>
    <x v="0"/>
    <x v="1"/>
    <s v="8"/>
    <x v="3"/>
    <s v="1036784"/>
    <s v="2022-09-26"/>
    <s v="2022-09-27"/>
    <x v="0"/>
    <s v="Adult"/>
    <s v="Escapement"/>
    <s v="Gillnet"/>
    <s v="Otoliths and Scales"/>
    <n v="61"/>
    <s v="13"/>
    <m/>
    <m/>
    <m/>
    <x v="5"/>
  </r>
  <r>
    <n v="102641"/>
    <x v="0"/>
    <x v="1"/>
    <s v="8"/>
    <x v="3"/>
    <s v="1036784"/>
    <s v="2022-09-26"/>
    <s v="2022-09-27"/>
    <x v="0"/>
    <s v="Adult"/>
    <s v="Escapement"/>
    <s v="Gillnet"/>
    <s v="Otoliths and Scales"/>
    <n v="62"/>
    <s v="12"/>
    <m/>
    <m/>
    <m/>
    <x v="0"/>
  </r>
  <r>
    <n v="102641"/>
    <x v="0"/>
    <x v="1"/>
    <s v="8"/>
    <x v="3"/>
    <s v="1036784"/>
    <s v="2022-09-26"/>
    <s v="2022-09-27"/>
    <x v="0"/>
    <s v="Adult"/>
    <s v="Escapement"/>
    <s v="Gillnet"/>
    <s v="Otoliths and Scales"/>
    <n v="63"/>
    <s v="12"/>
    <m/>
    <m/>
    <m/>
    <x v="0"/>
  </r>
  <r>
    <n v="102641"/>
    <x v="0"/>
    <x v="1"/>
    <s v="8"/>
    <x v="3"/>
    <s v="1036784"/>
    <s v="2022-09-26"/>
    <s v="2022-09-27"/>
    <x v="0"/>
    <s v="Adult"/>
    <s v="Escapement"/>
    <s v="Gillnet"/>
    <s v="Otoliths and Scales"/>
    <n v="64"/>
    <s v="12"/>
    <m/>
    <m/>
    <m/>
    <x v="0"/>
  </r>
  <r>
    <n v="102641"/>
    <x v="0"/>
    <x v="1"/>
    <s v="8"/>
    <x v="3"/>
    <s v="1036784"/>
    <s v="2022-09-26"/>
    <s v="2022-09-27"/>
    <x v="0"/>
    <s v="Adult"/>
    <s v="Escapement"/>
    <s v="Gillnet"/>
    <s v="Otoliths and Scales"/>
    <n v="65"/>
    <s v="13"/>
    <m/>
    <m/>
    <m/>
    <x v="5"/>
  </r>
  <r>
    <n v="102641"/>
    <x v="0"/>
    <x v="1"/>
    <s v="8"/>
    <x v="3"/>
    <s v="1036784"/>
    <s v="2022-09-26"/>
    <s v="2022-09-27"/>
    <x v="0"/>
    <s v="Adult"/>
    <s v="Escapement"/>
    <s v="Gillnet"/>
    <s v="Otoliths and Scales"/>
    <n v="66"/>
    <s v="13"/>
    <m/>
    <m/>
    <m/>
    <x v="5"/>
  </r>
  <r>
    <n v="102641"/>
    <x v="0"/>
    <x v="1"/>
    <s v="8"/>
    <x v="3"/>
    <s v="1036784"/>
    <s v="2022-09-26"/>
    <s v="2022-09-27"/>
    <x v="0"/>
    <s v="Adult"/>
    <s v="Escapement"/>
    <s v="Gillnet"/>
    <s v="Otoliths and Scales"/>
    <n v="67"/>
    <s v="12"/>
    <m/>
    <m/>
    <m/>
    <x v="0"/>
  </r>
  <r>
    <n v="102641"/>
    <x v="0"/>
    <x v="1"/>
    <s v="8"/>
    <x v="3"/>
    <s v="1036784"/>
    <s v="2022-09-26"/>
    <s v="2022-09-27"/>
    <x v="0"/>
    <s v="Adult"/>
    <s v="Escapement"/>
    <s v="Gillnet"/>
    <s v="Otoliths and Scales"/>
    <n v="68"/>
    <s v="03"/>
    <m/>
    <m/>
    <m/>
    <x v="7"/>
  </r>
  <r>
    <n v="102641"/>
    <x v="0"/>
    <x v="1"/>
    <s v="8"/>
    <x v="3"/>
    <s v="1036784"/>
    <s v="2022-09-26"/>
    <s v="2022-09-27"/>
    <x v="0"/>
    <s v="Adult"/>
    <s v="Escapement"/>
    <s v="Gillnet"/>
    <s v="Otoliths and Scales"/>
    <n v="69"/>
    <s v="12"/>
    <m/>
    <m/>
    <m/>
    <x v="0"/>
  </r>
  <r>
    <n v="102641"/>
    <x v="0"/>
    <x v="1"/>
    <s v="8"/>
    <x v="3"/>
    <s v="1036784"/>
    <s v="2022-09-26"/>
    <s v="2022-09-27"/>
    <x v="0"/>
    <s v="Adult"/>
    <s v="Escapement"/>
    <s v="Gillnet"/>
    <s v="Otoliths and Scales"/>
    <n v="70"/>
    <s v="12"/>
    <m/>
    <m/>
    <m/>
    <x v="0"/>
  </r>
  <r>
    <n v="102641"/>
    <x v="0"/>
    <x v="1"/>
    <s v="8"/>
    <x v="3"/>
    <s v="1036784"/>
    <s v="2022-09-26"/>
    <s v="2022-09-27"/>
    <x v="0"/>
    <s v="Adult"/>
    <s v="Escapement"/>
    <s v="Gillnet"/>
    <s v="Otoliths and Scales"/>
    <n v="71"/>
    <s v="13"/>
    <m/>
    <m/>
    <m/>
    <x v="5"/>
  </r>
  <r>
    <n v="102641"/>
    <x v="0"/>
    <x v="1"/>
    <s v="8"/>
    <x v="3"/>
    <s v="1036784"/>
    <s v="2022-09-26"/>
    <s v="2022-09-27"/>
    <x v="0"/>
    <s v="Adult"/>
    <s v="Escapement"/>
    <s v="Gillnet"/>
    <s v="Otoliths and Scales"/>
    <n v="72"/>
    <s v="13"/>
    <m/>
    <m/>
    <m/>
    <x v="5"/>
  </r>
  <r>
    <n v="102641"/>
    <x v="0"/>
    <x v="1"/>
    <s v="8"/>
    <x v="3"/>
    <s v="1036784"/>
    <s v="2022-09-26"/>
    <s v="2022-09-27"/>
    <x v="0"/>
    <s v="Adult"/>
    <s v="Escapement"/>
    <s v="Gillnet"/>
    <s v="Otoliths and Scales"/>
    <n v="73"/>
    <s v="13"/>
    <m/>
    <m/>
    <m/>
    <x v="5"/>
  </r>
  <r>
    <n v="102641"/>
    <x v="0"/>
    <x v="1"/>
    <s v="8"/>
    <x v="3"/>
    <s v="1036784"/>
    <s v="2022-09-26"/>
    <s v="2022-09-27"/>
    <x v="0"/>
    <s v="Adult"/>
    <s v="Escapement"/>
    <s v="Gillnet"/>
    <s v="Otoliths and Scales"/>
    <n v="74"/>
    <s v="13"/>
    <m/>
    <m/>
    <m/>
    <x v="5"/>
  </r>
  <r>
    <n v="102641"/>
    <x v="0"/>
    <x v="1"/>
    <s v="8"/>
    <x v="3"/>
    <s v="1036784"/>
    <s v="2022-09-26"/>
    <s v="2022-09-27"/>
    <x v="0"/>
    <s v="Adult"/>
    <s v="Escapement"/>
    <s v="Gillnet"/>
    <s v="Otoliths and Scales"/>
    <n v="75"/>
    <s v="12"/>
    <m/>
    <m/>
    <m/>
    <x v="0"/>
  </r>
  <r>
    <n v="102641"/>
    <x v="0"/>
    <x v="1"/>
    <s v="8"/>
    <x v="3"/>
    <s v="1036784"/>
    <s v="2022-09-26"/>
    <s v="2022-09-27"/>
    <x v="0"/>
    <s v="Adult"/>
    <s v="Escapement"/>
    <s v="Gillnet"/>
    <s v="Otoliths and Scales"/>
    <n v="76"/>
    <s v="13"/>
    <m/>
    <m/>
    <m/>
    <x v="5"/>
  </r>
  <r>
    <n v="102641"/>
    <x v="0"/>
    <x v="1"/>
    <s v="8"/>
    <x v="3"/>
    <s v="1036784"/>
    <s v="2022-09-26"/>
    <s v="2022-09-27"/>
    <x v="0"/>
    <s v="Adult"/>
    <s v="Escapement"/>
    <s v="Gillnet"/>
    <s v="Otoliths and Scales"/>
    <n v="77"/>
    <s v="12"/>
    <m/>
    <m/>
    <m/>
    <x v="0"/>
  </r>
  <r>
    <n v="102641"/>
    <x v="0"/>
    <x v="1"/>
    <s v="8"/>
    <x v="3"/>
    <s v="1036784"/>
    <s v="2022-09-26"/>
    <s v="2022-09-27"/>
    <x v="0"/>
    <s v="Adult"/>
    <s v="Escapement"/>
    <s v="Gillnet"/>
    <s v="Otoliths and Scales"/>
    <n v="78"/>
    <s v="12"/>
    <m/>
    <m/>
    <m/>
    <x v="0"/>
  </r>
  <r>
    <n v="102641"/>
    <x v="0"/>
    <x v="1"/>
    <s v="8"/>
    <x v="3"/>
    <s v="1036784"/>
    <s v="2022-09-26"/>
    <s v="2022-09-27"/>
    <x v="0"/>
    <s v="Adult"/>
    <s v="Escapement"/>
    <s v="Gillnet"/>
    <s v="Otoliths and Scales"/>
    <n v="79"/>
    <s v="12"/>
    <m/>
    <m/>
    <m/>
    <x v="0"/>
  </r>
  <r>
    <n v="102641"/>
    <x v="0"/>
    <x v="1"/>
    <s v="8"/>
    <x v="3"/>
    <s v="1036784"/>
    <s v="2022-09-26"/>
    <s v="2022-09-27"/>
    <x v="0"/>
    <s v="Adult"/>
    <s v="Escapement"/>
    <s v="Gillnet"/>
    <s v="Otoliths and Scales"/>
    <n v="80"/>
    <s v="23"/>
    <m/>
    <m/>
    <m/>
    <x v="10"/>
  </r>
  <r>
    <n v="102641"/>
    <x v="0"/>
    <x v="1"/>
    <s v="8"/>
    <x v="3"/>
    <s v="1036784"/>
    <s v="2022-09-26"/>
    <s v="2022-09-27"/>
    <x v="0"/>
    <s v="Adult"/>
    <s v="Escapement"/>
    <s v="Gillnet"/>
    <s v="Otoliths and Scales"/>
    <n v="81"/>
    <s v="12"/>
    <m/>
    <m/>
    <m/>
    <x v="0"/>
  </r>
  <r>
    <n v="102641"/>
    <x v="0"/>
    <x v="1"/>
    <s v="8"/>
    <x v="3"/>
    <s v="1036784"/>
    <s v="2022-09-26"/>
    <s v="2022-09-27"/>
    <x v="0"/>
    <s v="Adult"/>
    <s v="Escapement"/>
    <s v="Gillnet"/>
    <s v="Otoliths and Scales"/>
    <n v="82"/>
    <s v="12"/>
    <m/>
    <m/>
    <m/>
    <x v="0"/>
  </r>
  <r>
    <n v="102641"/>
    <x v="0"/>
    <x v="1"/>
    <s v="8"/>
    <x v="3"/>
    <s v="1036784"/>
    <s v="2022-09-26"/>
    <s v="2022-09-27"/>
    <x v="0"/>
    <s v="Adult"/>
    <s v="Escapement"/>
    <s v="Gillnet"/>
    <s v="Otoliths and Scales"/>
    <n v="83"/>
    <m/>
    <s v="F1"/>
    <s v="Resorbed Scale"/>
    <s v="Unknown amount of resorption. Cannot assess the number of marine annuli missing. Only freshwater age given, no marine age given."/>
    <x v="8"/>
  </r>
  <r>
    <n v="102641"/>
    <x v="0"/>
    <x v="1"/>
    <s v="8"/>
    <x v="3"/>
    <s v="1036784"/>
    <s v="2022-09-26"/>
    <s v="2022-09-27"/>
    <x v="0"/>
    <s v="Adult"/>
    <s v="Escapement"/>
    <s v="Gillnet"/>
    <s v="Otoliths and Scales"/>
    <n v="84"/>
    <s v="13"/>
    <m/>
    <m/>
    <m/>
    <x v="5"/>
  </r>
  <r>
    <n v="102641"/>
    <x v="0"/>
    <x v="1"/>
    <s v="8"/>
    <x v="3"/>
    <s v="1036784"/>
    <s v="2022-09-26"/>
    <s v="2022-09-27"/>
    <x v="0"/>
    <s v="Adult"/>
    <s v="Escapement"/>
    <s v="Gillnet"/>
    <s v="Otoliths and Scales"/>
    <n v="85"/>
    <s v="12"/>
    <m/>
    <m/>
    <m/>
    <x v="0"/>
  </r>
  <r>
    <n v="102641"/>
    <x v="0"/>
    <x v="1"/>
    <s v="8"/>
    <x v="3"/>
    <s v="1036784"/>
    <s v="2022-09-26"/>
    <s v="2022-09-27"/>
    <x v="0"/>
    <s v="Adult"/>
    <s v="Escapement"/>
    <s v="Gillnet"/>
    <s v="Otoliths and Scales"/>
    <n v="86"/>
    <s v="12"/>
    <m/>
    <m/>
    <m/>
    <x v="0"/>
  </r>
  <r>
    <n v="102641"/>
    <x v="0"/>
    <x v="1"/>
    <s v="8"/>
    <x v="3"/>
    <s v="1036784"/>
    <s v="2022-09-26"/>
    <s v="2022-09-27"/>
    <x v="0"/>
    <s v="Adult"/>
    <s v="Escapement"/>
    <s v="Gillnet"/>
    <s v="Otoliths and Scales"/>
    <n v="87"/>
    <s v="13"/>
    <m/>
    <m/>
    <m/>
    <x v="5"/>
  </r>
  <r>
    <n v="102641"/>
    <x v="0"/>
    <x v="1"/>
    <s v="8"/>
    <x v="3"/>
    <s v="1036784"/>
    <s v="2022-09-26"/>
    <s v="2022-09-27"/>
    <x v="0"/>
    <s v="Adult"/>
    <s v="Escapement"/>
    <s v="Gillnet"/>
    <s v="Otoliths and Scales"/>
    <n v="88"/>
    <s v="12"/>
    <m/>
    <m/>
    <m/>
    <x v="0"/>
  </r>
  <r>
    <n v="102641"/>
    <x v="0"/>
    <x v="1"/>
    <s v="8"/>
    <x v="3"/>
    <s v="1036784"/>
    <s v="2022-09-26"/>
    <s v="2022-09-27"/>
    <x v="0"/>
    <s v="Adult"/>
    <s v="Escapement"/>
    <s v="Gillnet"/>
    <s v="Otoliths and Scales"/>
    <n v="89"/>
    <s v="13"/>
    <m/>
    <m/>
    <m/>
    <x v="5"/>
  </r>
  <r>
    <n v="102641"/>
    <x v="0"/>
    <x v="1"/>
    <s v="8"/>
    <x v="3"/>
    <s v="1036784"/>
    <s v="2022-09-26"/>
    <s v="2022-09-27"/>
    <x v="0"/>
    <s v="Adult"/>
    <s v="Escapement"/>
    <s v="Gillnet"/>
    <s v="Otoliths and Scales"/>
    <n v="90"/>
    <s v="12"/>
    <m/>
    <m/>
    <m/>
    <x v="0"/>
  </r>
  <r>
    <n v="102641"/>
    <x v="0"/>
    <x v="1"/>
    <s v="8"/>
    <x v="3"/>
    <s v="1036784"/>
    <s v="2022-09-26"/>
    <s v="2022-09-27"/>
    <x v="0"/>
    <s v="Adult"/>
    <s v="Escapement"/>
    <s v="Gillnet"/>
    <s v="Otoliths and Scales"/>
    <n v="91"/>
    <s v="12"/>
    <m/>
    <m/>
    <m/>
    <x v="0"/>
  </r>
  <r>
    <n v="102641"/>
    <x v="0"/>
    <x v="1"/>
    <s v="8"/>
    <x v="3"/>
    <s v="1036784"/>
    <s v="2022-09-26"/>
    <s v="2022-09-27"/>
    <x v="0"/>
    <s v="Adult"/>
    <s v="Escapement"/>
    <s v="Gillnet"/>
    <s v="Otoliths and Scales"/>
    <n v="92"/>
    <s v="12"/>
    <m/>
    <m/>
    <m/>
    <x v="0"/>
  </r>
  <r>
    <n v="102641"/>
    <x v="0"/>
    <x v="1"/>
    <s v="8"/>
    <x v="3"/>
    <s v="1036784"/>
    <s v="2022-09-26"/>
    <s v="2022-09-27"/>
    <x v="0"/>
    <s v="Adult"/>
    <s v="Escapement"/>
    <s v="Gillnet"/>
    <s v="Otoliths and Scales"/>
    <n v="93"/>
    <s v="13"/>
    <m/>
    <m/>
    <m/>
    <x v="5"/>
  </r>
  <r>
    <n v="102661"/>
    <x v="0"/>
    <x v="1"/>
    <s v="8"/>
    <x v="4"/>
    <s v="1036804"/>
    <s v="2022-09-21"/>
    <s v=""/>
    <x v="0"/>
    <s v="Adult"/>
    <s v="Escapement"/>
    <s v="Gillnet"/>
    <s v="Otoliths and Scales"/>
    <n v="1"/>
    <s v="03"/>
    <m/>
    <m/>
    <s v="Resorption present but not enough to suspect an annuli is missing.  Age unaffected."/>
    <x v="7"/>
  </r>
  <r>
    <n v="102661"/>
    <x v="0"/>
    <x v="1"/>
    <s v="8"/>
    <x v="4"/>
    <s v="1036804"/>
    <s v="2022-09-21"/>
    <s v=""/>
    <x v="0"/>
    <s v="Adult"/>
    <s v="Escapement"/>
    <s v="Gillnet"/>
    <s v="Otoliths and Scales"/>
    <n v="2"/>
    <s v="12"/>
    <m/>
    <m/>
    <s v="Resorption present but not enough to suspect an annuli is missing.  Age unaffected."/>
    <x v="0"/>
  </r>
  <r>
    <n v="102661"/>
    <x v="0"/>
    <x v="1"/>
    <s v="8"/>
    <x v="4"/>
    <s v="1036804"/>
    <s v="2022-09-21"/>
    <s v=""/>
    <x v="0"/>
    <s v="Adult"/>
    <s v="Escapement"/>
    <s v="Gillnet"/>
    <s v="Otoliths and Scales"/>
    <n v="3"/>
    <s v="12"/>
    <m/>
    <m/>
    <m/>
    <x v="0"/>
  </r>
  <r>
    <n v="102661"/>
    <x v="0"/>
    <x v="1"/>
    <s v="8"/>
    <x v="4"/>
    <s v="1036804"/>
    <s v="2022-09-21"/>
    <s v=""/>
    <x v="0"/>
    <s v="Adult"/>
    <s v="Escapement"/>
    <s v="Gillnet"/>
    <s v="Otoliths and Scales"/>
    <n v="4"/>
    <s v="12"/>
    <m/>
    <m/>
    <m/>
    <x v="0"/>
  </r>
  <r>
    <n v="102661"/>
    <x v="0"/>
    <x v="1"/>
    <s v="8"/>
    <x v="4"/>
    <s v="1036804"/>
    <s v="2022-09-21"/>
    <s v=""/>
    <x v="0"/>
    <s v="Adult"/>
    <s v="Escapement"/>
    <s v="Gillnet"/>
    <s v="Otoliths and Scales"/>
    <n v="5"/>
    <s v="12"/>
    <m/>
    <m/>
    <m/>
    <x v="0"/>
  </r>
  <r>
    <n v="102661"/>
    <x v="0"/>
    <x v="1"/>
    <s v="8"/>
    <x v="4"/>
    <s v="1036804"/>
    <s v="2022-09-21"/>
    <s v=""/>
    <x v="0"/>
    <s v="Adult"/>
    <s v="Escapement"/>
    <s v="Gillnet"/>
    <s v="Otoliths and Scales"/>
    <n v="6"/>
    <s v="12"/>
    <m/>
    <m/>
    <m/>
    <x v="0"/>
  </r>
  <r>
    <n v="102661"/>
    <x v="0"/>
    <x v="1"/>
    <s v="8"/>
    <x v="4"/>
    <s v="1036804"/>
    <s v="2022-09-21"/>
    <s v=""/>
    <x v="0"/>
    <s v="Adult"/>
    <s v="Escapement"/>
    <s v="Gillnet"/>
    <s v="Otoliths and Scales"/>
    <n v="7"/>
    <s v="12"/>
    <m/>
    <m/>
    <m/>
    <x v="0"/>
  </r>
  <r>
    <n v="102661"/>
    <x v="0"/>
    <x v="1"/>
    <s v="8"/>
    <x v="4"/>
    <s v="1036804"/>
    <s v="2022-09-21"/>
    <s v=""/>
    <x v="0"/>
    <s v="Adult"/>
    <s v="Escapement"/>
    <s v="Gillnet"/>
    <s v="Otoliths and Scales"/>
    <n v="8"/>
    <s v="13"/>
    <m/>
    <m/>
    <m/>
    <x v="5"/>
  </r>
  <r>
    <n v="102661"/>
    <x v="0"/>
    <x v="1"/>
    <s v="8"/>
    <x v="4"/>
    <s v="1036804"/>
    <s v="2022-09-21"/>
    <s v=""/>
    <x v="0"/>
    <s v="Adult"/>
    <s v="Escapement"/>
    <s v="Gillnet"/>
    <s v="Otoliths and Scales"/>
    <n v="9"/>
    <s v="12"/>
    <m/>
    <m/>
    <s v="Resorption present but not enough to suspect an annuli is missing.  Age unaffected."/>
    <x v="0"/>
  </r>
  <r>
    <n v="102661"/>
    <x v="0"/>
    <x v="1"/>
    <s v="8"/>
    <x v="4"/>
    <s v="1036804"/>
    <s v="2022-09-21"/>
    <s v=""/>
    <x v="0"/>
    <s v="Adult"/>
    <s v="Escapement"/>
    <s v="Gillnet"/>
    <s v="Otoliths and Scales"/>
    <n v="10"/>
    <s v="12"/>
    <m/>
    <m/>
    <m/>
    <x v="0"/>
  </r>
  <r>
    <n v="102661"/>
    <x v="0"/>
    <x v="1"/>
    <s v="8"/>
    <x v="4"/>
    <s v="1036804"/>
    <s v="2022-09-21"/>
    <s v=""/>
    <x v="0"/>
    <s v="Adult"/>
    <s v="Escapement"/>
    <s v="Gillnet"/>
    <s v="Otoliths and Scales"/>
    <n v="11"/>
    <s v="12"/>
    <m/>
    <m/>
    <m/>
    <x v="0"/>
  </r>
  <r>
    <n v="102661"/>
    <x v="0"/>
    <x v="1"/>
    <s v="8"/>
    <x v="4"/>
    <s v="1036804"/>
    <s v="2022-09-21"/>
    <s v=""/>
    <x v="0"/>
    <s v="Adult"/>
    <s v="Escapement"/>
    <s v="Gillnet"/>
    <s v="Otoliths and Scales"/>
    <n v="12"/>
    <s v="12"/>
    <m/>
    <m/>
    <m/>
    <x v="0"/>
  </r>
  <r>
    <n v="102661"/>
    <x v="0"/>
    <x v="1"/>
    <s v="8"/>
    <x v="4"/>
    <s v="1036804"/>
    <s v="2022-09-21"/>
    <s v=""/>
    <x v="0"/>
    <s v="Adult"/>
    <s v="Escapement"/>
    <s v="Gillnet"/>
    <s v="Otoliths and Scales"/>
    <n v="13"/>
    <s v="13"/>
    <m/>
    <m/>
    <s v="Resorption present but not enough to suspect an annuli is missing.  Age unaffected."/>
    <x v="5"/>
  </r>
  <r>
    <n v="102661"/>
    <x v="0"/>
    <x v="1"/>
    <s v="8"/>
    <x v="4"/>
    <s v="1036804"/>
    <s v="2022-09-21"/>
    <s v=""/>
    <x v="0"/>
    <s v="Adult"/>
    <s v="Escapement"/>
    <s v="Gillnet"/>
    <s v="Otoliths and Scales"/>
    <n v="14"/>
    <s v="12"/>
    <m/>
    <m/>
    <m/>
    <x v="0"/>
  </r>
  <r>
    <n v="102661"/>
    <x v="0"/>
    <x v="1"/>
    <s v="8"/>
    <x v="4"/>
    <s v="1036804"/>
    <s v="2022-09-21"/>
    <s v=""/>
    <x v="0"/>
    <s v="Adult"/>
    <s v="Escapement"/>
    <s v="Gillnet"/>
    <s v="Otoliths and Scales"/>
    <n v="15"/>
    <s v="13"/>
    <m/>
    <m/>
    <m/>
    <x v="5"/>
  </r>
  <r>
    <n v="102661"/>
    <x v="0"/>
    <x v="1"/>
    <s v="8"/>
    <x v="4"/>
    <s v="1036804"/>
    <s v="2022-09-21"/>
    <s v=""/>
    <x v="0"/>
    <s v="Adult"/>
    <s v="Escapement"/>
    <s v="Gillnet"/>
    <s v="Otoliths and Scales"/>
    <n v="16"/>
    <s v="13"/>
    <m/>
    <m/>
    <m/>
    <x v="5"/>
  </r>
  <r>
    <n v="102661"/>
    <x v="0"/>
    <x v="1"/>
    <s v="8"/>
    <x v="4"/>
    <s v="1036804"/>
    <s v="2022-09-21"/>
    <s v=""/>
    <x v="0"/>
    <s v="Adult"/>
    <s v="Escapement"/>
    <s v="Gillnet"/>
    <s v="Otoliths and Scales"/>
    <n v="17"/>
    <s v="13"/>
    <m/>
    <m/>
    <s v="Resorption present but not enough to suspect an annuli is missing.  Age unaffected."/>
    <x v="5"/>
  </r>
  <r>
    <n v="102661"/>
    <x v="0"/>
    <x v="1"/>
    <s v="8"/>
    <x v="4"/>
    <s v="1036804"/>
    <s v="2022-09-21"/>
    <s v=""/>
    <x v="0"/>
    <s v="Adult"/>
    <s v="Escapement"/>
    <s v="Gillnet"/>
    <s v="Otoliths and Scales"/>
    <n v="18"/>
    <s v="12"/>
    <m/>
    <m/>
    <m/>
    <x v="0"/>
  </r>
  <r>
    <n v="102661"/>
    <x v="0"/>
    <x v="1"/>
    <s v="8"/>
    <x v="4"/>
    <s v="1036804"/>
    <s v="2022-09-21"/>
    <s v=""/>
    <x v="0"/>
    <s v="Adult"/>
    <s v="Escapement"/>
    <s v="Gillnet"/>
    <s v="Otoliths and Scales"/>
    <n v="19"/>
    <s v="03"/>
    <m/>
    <m/>
    <m/>
    <x v="7"/>
  </r>
  <r>
    <n v="102661"/>
    <x v="0"/>
    <x v="1"/>
    <s v="8"/>
    <x v="4"/>
    <s v="1036804"/>
    <s v="2022-09-21"/>
    <s v=""/>
    <x v="0"/>
    <s v="Adult"/>
    <s v="Escapement"/>
    <s v="Gillnet"/>
    <s v="Otoliths and Scales"/>
    <n v="20"/>
    <s v="12"/>
    <m/>
    <m/>
    <m/>
    <x v="0"/>
  </r>
  <r>
    <n v="102661"/>
    <x v="0"/>
    <x v="1"/>
    <s v="8"/>
    <x v="4"/>
    <s v="1036804"/>
    <s v="2022-09-21"/>
    <s v=""/>
    <x v="0"/>
    <s v="Adult"/>
    <s v="Escapement"/>
    <s v="Gillnet"/>
    <s v="Otoliths and Scales"/>
    <n v="21"/>
    <s v="12"/>
    <m/>
    <m/>
    <m/>
    <x v="0"/>
  </r>
  <r>
    <n v="102661"/>
    <x v="0"/>
    <x v="1"/>
    <s v="8"/>
    <x v="4"/>
    <s v="1036804"/>
    <s v="2022-09-21"/>
    <s v=""/>
    <x v="0"/>
    <s v="Adult"/>
    <s v="Escapement"/>
    <s v="Gillnet"/>
    <s v="Otoliths and Scales"/>
    <n v="22"/>
    <s v="12"/>
    <m/>
    <m/>
    <m/>
    <x v="0"/>
  </r>
  <r>
    <n v="102661"/>
    <x v="0"/>
    <x v="1"/>
    <s v="8"/>
    <x v="4"/>
    <s v="1036804"/>
    <s v="2022-09-21"/>
    <s v=""/>
    <x v="0"/>
    <s v="Adult"/>
    <s v="Escapement"/>
    <s v="Gillnet"/>
    <s v="Otoliths and Scales"/>
    <n v="23"/>
    <s v="12"/>
    <m/>
    <m/>
    <m/>
    <x v="0"/>
  </r>
  <r>
    <n v="102661"/>
    <x v="0"/>
    <x v="1"/>
    <s v="8"/>
    <x v="4"/>
    <s v="1036804"/>
    <s v="2022-09-21"/>
    <s v=""/>
    <x v="0"/>
    <s v="Adult"/>
    <s v="Escapement"/>
    <s v="Gillnet"/>
    <s v="Otoliths and Scales"/>
    <n v="24"/>
    <s v="12"/>
    <m/>
    <m/>
    <m/>
    <x v="0"/>
  </r>
  <r>
    <n v="102661"/>
    <x v="0"/>
    <x v="1"/>
    <s v="8"/>
    <x v="4"/>
    <s v="1036804"/>
    <s v="2022-09-21"/>
    <s v=""/>
    <x v="0"/>
    <s v="Adult"/>
    <s v="Escapement"/>
    <s v="Gillnet"/>
    <s v="Otoliths and Scales"/>
    <n v="25"/>
    <s v="12"/>
    <m/>
    <m/>
    <s v="Resorption present but not enough to suspect an annuli is missing.  Age unaffected."/>
    <x v="0"/>
  </r>
  <r>
    <n v="102661"/>
    <x v="0"/>
    <x v="1"/>
    <s v="8"/>
    <x v="4"/>
    <s v="1036804"/>
    <s v="2022-09-21"/>
    <s v=""/>
    <x v="0"/>
    <s v="Adult"/>
    <s v="Escapement"/>
    <s v="Gillnet"/>
    <s v="Otoliths and Scales"/>
    <n v="26"/>
    <s v="13"/>
    <m/>
    <m/>
    <m/>
    <x v="5"/>
  </r>
  <r>
    <n v="102661"/>
    <x v="0"/>
    <x v="1"/>
    <s v="8"/>
    <x v="4"/>
    <s v="1036804"/>
    <s v="2022-09-21"/>
    <s v=""/>
    <x v="0"/>
    <s v="Adult"/>
    <s v="Escapement"/>
    <s v="Gillnet"/>
    <s v="Otoliths and Scales"/>
    <n v="27"/>
    <s v="12"/>
    <m/>
    <m/>
    <s v="Resorption present but not enough to suspect an annuli is missing.  Age unaffected."/>
    <x v="0"/>
  </r>
  <r>
    <n v="102661"/>
    <x v="0"/>
    <x v="1"/>
    <s v="8"/>
    <x v="4"/>
    <s v="1036804"/>
    <s v="2022-09-21"/>
    <s v=""/>
    <x v="0"/>
    <s v="Adult"/>
    <s v="Escapement"/>
    <s v="Gillnet"/>
    <s v="Otoliths and Scales"/>
    <n v="28"/>
    <s v="13"/>
    <m/>
    <m/>
    <s v="Resorption present but not enough to suspect an annuli is missing.  Age unaffected."/>
    <x v="5"/>
  </r>
  <r>
    <n v="102661"/>
    <x v="0"/>
    <x v="1"/>
    <s v="8"/>
    <x v="4"/>
    <s v="1036804"/>
    <s v="2022-09-21"/>
    <s v=""/>
    <x v="0"/>
    <s v="Adult"/>
    <s v="Escapement"/>
    <s v="Gillnet"/>
    <s v="Otoliths and Scales"/>
    <n v="29"/>
    <s v="12"/>
    <m/>
    <m/>
    <m/>
    <x v="0"/>
  </r>
  <r>
    <n v="102661"/>
    <x v="0"/>
    <x v="1"/>
    <s v="8"/>
    <x v="4"/>
    <s v="1036804"/>
    <s v="2022-09-21"/>
    <s v=""/>
    <x v="0"/>
    <s v="Adult"/>
    <s v="Escapement"/>
    <s v="Gillnet"/>
    <s v="Otoliths and Scales"/>
    <n v="30"/>
    <s v="12"/>
    <m/>
    <m/>
    <s v="Resorption present but not enough to suspect an annuli is missing.  Age unaffected."/>
    <x v="0"/>
  </r>
  <r>
    <n v="102661"/>
    <x v="0"/>
    <x v="1"/>
    <s v="8"/>
    <x v="4"/>
    <s v="1036804"/>
    <s v="2022-09-21"/>
    <s v=""/>
    <x v="0"/>
    <s v="Adult"/>
    <s v="Escapement"/>
    <s v="Gillnet"/>
    <s v="Otoliths and Scales"/>
    <n v="31"/>
    <s v="12"/>
    <m/>
    <m/>
    <s v="Resorption present but not enough to suspect an annuli is missing.  Age unaffected."/>
    <x v="0"/>
  </r>
  <r>
    <n v="102661"/>
    <x v="0"/>
    <x v="1"/>
    <s v="8"/>
    <x v="4"/>
    <s v="1036804"/>
    <s v="2022-09-21"/>
    <s v=""/>
    <x v="0"/>
    <s v="Adult"/>
    <s v="Escapement"/>
    <s v="Gillnet"/>
    <s v="Otoliths and Scales"/>
    <n v="32"/>
    <s v="12"/>
    <m/>
    <m/>
    <m/>
    <x v="0"/>
  </r>
  <r>
    <n v="102661"/>
    <x v="0"/>
    <x v="1"/>
    <s v="8"/>
    <x v="4"/>
    <s v="1036804"/>
    <s v="2022-09-21"/>
    <s v=""/>
    <x v="0"/>
    <s v="Adult"/>
    <s v="Escapement"/>
    <s v="Gillnet"/>
    <s v="Otoliths and Scales"/>
    <n v="33"/>
    <s v="12"/>
    <m/>
    <m/>
    <m/>
    <x v="0"/>
  </r>
  <r>
    <n v="102661"/>
    <x v="0"/>
    <x v="1"/>
    <s v="8"/>
    <x v="4"/>
    <s v="1036804"/>
    <s v="2022-09-21"/>
    <s v=""/>
    <x v="0"/>
    <s v="Adult"/>
    <s v="Escapement"/>
    <s v="Gillnet"/>
    <s v="Otoliths and Scales"/>
    <n v="34"/>
    <s v="12"/>
    <m/>
    <m/>
    <m/>
    <x v="0"/>
  </r>
  <r>
    <n v="102661"/>
    <x v="0"/>
    <x v="1"/>
    <s v="8"/>
    <x v="4"/>
    <s v="1036804"/>
    <s v="2022-09-21"/>
    <s v=""/>
    <x v="0"/>
    <s v="Adult"/>
    <s v="Escapement"/>
    <s v="Gillnet"/>
    <s v="Otoliths and Scales"/>
    <n v="35"/>
    <s v="12"/>
    <m/>
    <m/>
    <m/>
    <x v="0"/>
  </r>
  <r>
    <n v="102661"/>
    <x v="0"/>
    <x v="1"/>
    <s v="8"/>
    <x v="4"/>
    <s v="1036804"/>
    <s v="2022-09-21"/>
    <s v=""/>
    <x v="0"/>
    <s v="Adult"/>
    <s v="Escapement"/>
    <s v="Gillnet"/>
    <s v="Otoliths and Scales"/>
    <n v="36"/>
    <s v="12"/>
    <m/>
    <m/>
    <m/>
    <x v="0"/>
  </r>
  <r>
    <n v="102661"/>
    <x v="0"/>
    <x v="1"/>
    <s v="8"/>
    <x v="4"/>
    <s v="1036804"/>
    <s v="2022-09-21"/>
    <s v=""/>
    <x v="0"/>
    <s v="Adult"/>
    <s v="Escapement"/>
    <s v="Gillnet"/>
    <s v="Otoliths and Scales"/>
    <n v="37"/>
    <s v="13"/>
    <m/>
    <m/>
    <s v="Resorption present but not enough to suspect an annuli is missing.  Age unaffected."/>
    <x v="5"/>
  </r>
  <r>
    <n v="102661"/>
    <x v="0"/>
    <x v="1"/>
    <s v="8"/>
    <x v="4"/>
    <s v="1036804"/>
    <s v="2022-09-21"/>
    <s v=""/>
    <x v="0"/>
    <s v="Adult"/>
    <s v="Escapement"/>
    <s v="Gillnet"/>
    <s v="Otoliths and Scales"/>
    <n v="38"/>
    <s v="12"/>
    <m/>
    <m/>
    <m/>
    <x v="0"/>
  </r>
  <r>
    <n v="102661"/>
    <x v="0"/>
    <x v="1"/>
    <s v="8"/>
    <x v="4"/>
    <s v="1036804"/>
    <s v="2022-09-21"/>
    <s v=""/>
    <x v="0"/>
    <s v="Adult"/>
    <s v="Escapement"/>
    <s v="Gillnet"/>
    <s v="Otoliths and Scales"/>
    <n v="39"/>
    <s v="13"/>
    <m/>
    <m/>
    <m/>
    <x v="5"/>
  </r>
  <r>
    <n v="102661"/>
    <x v="0"/>
    <x v="1"/>
    <s v="8"/>
    <x v="4"/>
    <s v="1036804"/>
    <s v="2022-09-21"/>
    <s v=""/>
    <x v="0"/>
    <s v="Adult"/>
    <s v="Escapement"/>
    <s v="Gillnet"/>
    <s v="Otoliths and Scales"/>
    <n v="40"/>
    <s v="03"/>
    <m/>
    <m/>
    <m/>
    <x v="7"/>
  </r>
  <r>
    <n v="102661"/>
    <x v="0"/>
    <x v="1"/>
    <s v="8"/>
    <x v="4"/>
    <s v="1036804"/>
    <s v="2022-09-21"/>
    <s v=""/>
    <x v="0"/>
    <s v="Adult"/>
    <s v="Escapement"/>
    <s v="Gillnet"/>
    <s v="Otoliths and Scales"/>
    <n v="41"/>
    <s v="13"/>
    <m/>
    <m/>
    <m/>
    <x v="5"/>
  </r>
  <r>
    <n v="102661"/>
    <x v="0"/>
    <x v="1"/>
    <s v="8"/>
    <x v="4"/>
    <s v="1036804"/>
    <s v="2022-09-21"/>
    <s v=""/>
    <x v="0"/>
    <s v="Adult"/>
    <s v="Escapement"/>
    <s v="Gillnet"/>
    <s v="Otoliths and Scales"/>
    <n v="42"/>
    <s v="12"/>
    <m/>
    <m/>
    <s v="Resorption present but not enough to suspect an annuli is missing.  Age unaffected."/>
    <x v="0"/>
  </r>
  <r>
    <n v="102661"/>
    <x v="0"/>
    <x v="1"/>
    <s v="8"/>
    <x v="4"/>
    <s v="1036804"/>
    <s v="2022-09-21"/>
    <s v=""/>
    <x v="0"/>
    <s v="Adult"/>
    <s v="Escapement"/>
    <s v="Gillnet"/>
    <s v="Otoliths and Scales"/>
    <n v="43"/>
    <m/>
    <m/>
    <s v="No Structure"/>
    <m/>
    <x v="1"/>
  </r>
  <r>
    <n v="102661"/>
    <x v="0"/>
    <x v="1"/>
    <s v="8"/>
    <x v="4"/>
    <s v="1036804"/>
    <s v="2022-09-21"/>
    <s v=""/>
    <x v="0"/>
    <s v="Adult"/>
    <s v="Escapement"/>
    <s v="Gillnet"/>
    <s v="Otoliths and Scales"/>
    <n v="44"/>
    <m/>
    <m/>
    <s v="No Structure"/>
    <m/>
    <x v="1"/>
  </r>
  <r>
    <n v="102661"/>
    <x v="0"/>
    <x v="1"/>
    <s v="8"/>
    <x v="4"/>
    <s v="1036804"/>
    <s v="2022-09-21"/>
    <s v=""/>
    <x v="0"/>
    <s v="Adult"/>
    <s v="Escapement"/>
    <s v="Gillnet"/>
    <s v="Otoliths and Scales"/>
    <n v="45"/>
    <m/>
    <m/>
    <s v="No Structure"/>
    <m/>
    <x v="1"/>
  </r>
  <r>
    <n v="102661"/>
    <x v="0"/>
    <x v="1"/>
    <s v="8"/>
    <x v="4"/>
    <s v="1036804"/>
    <s v="2022-09-21"/>
    <s v=""/>
    <x v="0"/>
    <s v="Adult"/>
    <s v="Escapement"/>
    <s v="Gillnet"/>
    <s v="Otoliths and Scales"/>
    <n v="46"/>
    <m/>
    <m/>
    <s v="No Structure"/>
    <m/>
    <x v="1"/>
  </r>
  <r>
    <n v="102661"/>
    <x v="0"/>
    <x v="1"/>
    <s v="8"/>
    <x v="4"/>
    <s v="1036804"/>
    <s v="2022-09-21"/>
    <s v=""/>
    <x v="0"/>
    <s v="Adult"/>
    <s v="Escapement"/>
    <s v="Gillnet"/>
    <s v="Otoliths and Scales"/>
    <n v="47"/>
    <m/>
    <m/>
    <s v="No Structure"/>
    <m/>
    <x v="1"/>
  </r>
  <r>
    <n v="102661"/>
    <x v="0"/>
    <x v="1"/>
    <s v="8"/>
    <x v="4"/>
    <s v="1036804"/>
    <s v="2022-09-21"/>
    <s v=""/>
    <x v="0"/>
    <s v="Adult"/>
    <s v="Escapement"/>
    <s v="Gillnet"/>
    <s v="Otoliths and Scales"/>
    <n v="48"/>
    <m/>
    <m/>
    <s v="No Structure"/>
    <m/>
    <x v="1"/>
  </r>
  <r>
    <n v="102661"/>
    <x v="0"/>
    <x v="1"/>
    <s v="8"/>
    <x v="4"/>
    <s v="1036804"/>
    <s v="2022-09-21"/>
    <s v=""/>
    <x v="0"/>
    <s v="Adult"/>
    <s v="Escapement"/>
    <s v="Gillnet"/>
    <s v="Otoliths and Scales"/>
    <n v="49"/>
    <m/>
    <m/>
    <s v="No Structure"/>
    <m/>
    <x v="1"/>
  </r>
  <r>
    <n v="102661"/>
    <x v="0"/>
    <x v="1"/>
    <s v="8"/>
    <x v="4"/>
    <s v="1036804"/>
    <s v="2022-09-21"/>
    <s v=""/>
    <x v="0"/>
    <s v="Adult"/>
    <s v="Escapement"/>
    <s v="Gillnet"/>
    <s v="Otoliths and Scales"/>
    <n v="50"/>
    <m/>
    <m/>
    <s v="No Structure"/>
    <m/>
    <x v="1"/>
  </r>
  <r>
    <n v="102661"/>
    <x v="0"/>
    <x v="1"/>
    <s v="8"/>
    <x v="4"/>
    <s v="1036804"/>
    <s v="2022-09-21"/>
    <s v=""/>
    <x v="0"/>
    <s v="Adult"/>
    <s v="Escapement"/>
    <s v="Gillnet"/>
    <s v="Otoliths and Scales"/>
    <n v="51"/>
    <s v="12"/>
    <m/>
    <m/>
    <m/>
    <x v="0"/>
  </r>
  <r>
    <n v="102661"/>
    <x v="0"/>
    <x v="1"/>
    <s v="8"/>
    <x v="4"/>
    <s v="1036804"/>
    <s v="2022-09-21"/>
    <s v=""/>
    <x v="0"/>
    <s v="Adult"/>
    <s v="Escapement"/>
    <s v="Gillnet"/>
    <s v="Otoliths and Scales"/>
    <n v="52"/>
    <s v="12"/>
    <m/>
    <m/>
    <s v="Resorption present but not enough to suspect an annuli is missing.  Age unaffected."/>
    <x v="0"/>
  </r>
  <r>
    <n v="102661"/>
    <x v="0"/>
    <x v="1"/>
    <s v="8"/>
    <x v="4"/>
    <s v="1036804"/>
    <s v="2022-09-21"/>
    <s v=""/>
    <x v="0"/>
    <s v="Adult"/>
    <s v="Escapement"/>
    <s v="Gillnet"/>
    <s v="Otoliths and Scales"/>
    <n v="53"/>
    <s v="12"/>
    <m/>
    <m/>
    <m/>
    <x v="0"/>
  </r>
  <r>
    <n v="102661"/>
    <x v="0"/>
    <x v="1"/>
    <s v="8"/>
    <x v="4"/>
    <s v="1036804"/>
    <s v="2022-09-21"/>
    <s v=""/>
    <x v="0"/>
    <s v="Adult"/>
    <s v="Escapement"/>
    <s v="Gillnet"/>
    <s v="Otoliths and Scales"/>
    <n v="54"/>
    <s v="12"/>
    <m/>
    <m/>
    <m/>
    <x v="0"/>
  </r>
  <r>
    <n v="102661"/>
    <x v="0"/>
    <x v="1"/>
    <s v="8"/>
    <x v="4"/>
    <s v="1036804"/>
    <s v="2022-09-21"/>
    <s v=""/>
    <x v="0"/>
    <s v="Adult"/>
    <s v="Escapement"/>
    <s v="Gillnet"/>
    <s v="Otoliths and Scales"/>
    <n v="55"/>
    <s v="12"/>
    <m/>
    <m/>
    <s v="Resorption present but not enough to suspect an annuli is missing.  Age unaffected."/>
    <x v="0"/>
  </r>
  <r>
    <n v="102661"/>
    <x v="0"/>
    <x v="1"/>
    <s v="8"/>
    <x v="4"/>
    <s v="1036804"/>
    <s v="2022-09-21"/>
    <s v=""/>
    <x v="0"/>
    <s v="Adult"/>
    <s v="Escapement"/>
    <s v="Gillnet"/>
    <s v="Otoliths and Scales"/>
    <n v="56"/>
    <s v="13"/>
    <m/>
    <m/>
    <m/>
    <x v="5"/>
  </r>
  <r>
    <n v="102661"/>
    <x v="0"/>
    <x v="1"/>
    <s v="8"/>
    <x v="4"/>
    <s v="1036804"/>
    <s v="2022-09-21"/>
    <s v=""/>
    <x v="0"/>
    <s v="Adult"/>
    <s v="Escapement"/>
    <s v="Gillnet"/>
    <s v="Otoliths and Scales"/>
    <n v="57"/>
    <s v="12"/>
    <m/>
    <m/>
    <m/>
    <x v="0"/>
  </r>
  <r>
    <n v="102661"/>
    <x v="0"/>
    <x v="1"/>
    <s v="8"/>
    <x v="4"/>
    <s v="1036804"/>
    <s v="2022-09-21"/>
    <s v=""/>
    <x v="0"/>
    <s v="Adult"/>
    <s v="Escapement"/>
    <s v="Gillnet"/>
    <s v="Otoliths and Scales"/>
    <n v="58"/>
    <s v="12"/>
    <m/>
    <m/>
    <s v="Resorption present but not enough to suspect an annuli is missing.  Age unaffected."/>
    <x v="0"/>
  </r>
  <r>
    <n v="102661"/>
    <x v="0"/>
    <x v="1"/>
    <s v="8"/>
    <x v="4"/>
    <s v="1036804"/>
    <s v="2022-09-21"/>
    <s v=""/>
    <x v="0"/>
    <s v="Adult"/>
    <s v="Escapement"/>
    <s v="Gillnet"/>
    <s v="Otoliths and Scales"/>
    <n v="59"/>
    <s v="12"/>
    <m/>
    <m/>
    <m/>
    <x v="0"/>
  </r>
  <r>
    <n v="102661"/>
    <x v="0"/>
    <x v="1"/>
    <s v="8"/>
    <x v="4"/>
    <s v="1036804"/>
    <s v="2022-09-21"/>
    <s v=""/>
    <x v="0"/>
    <s v="Adult"/>
    <s v="Escapement"/>
    <s v="Gillnet"/>
    <s v="Otoliths and Scales"/>
    <n v="60"/>
    <s v="12"/>
    <m/>
    <m/>
    <m/>
    <x v="0"/>
  </r>
  <r>
    <n v="102661"/>
    <x v="0"/>
    <x v="1"/>
    <s v="8"/>
    <x v="4"/>
    <s v="1036804"/>
    <s v="2022-09-21"/>
    <s v=""/>
    <x v="0"/>
    <s v="Adult"/>
    <s v="Escapement"/>
    <s v="Gillnet"/>
    <s v="Otoliths and Scales"/>
    <n v="61"/>
    <s v="12"/>
    <m/>
    <m/>
    <s v="Resorption present but not enough to suspect an annuli is missing.  Age unaffected."/>
    <x v="0"/>
  </r>
  <r>
    <n v="102661"/>
    <x v="0"/>
    <x v="1"/>
    <s v="8"/>
    <x v="4"/>
    <s v="1036804"/>
    <s v="2022-09-21"/>
    <s v=""/>
    <x v="0"/>
    <s v="Adult"/>
    <s v="Escapement"/>
    <s v="Gillnet"/>
    <s v="Otoliths and Scales"/>
    <n v="62"/>
    <s v="12"/>
    <m/>
    <m/>
    <m/>
    <x v="0"/>
  </r>
  <r>
    <n v="102661"/>
    <x v="0"/>
    <x v="1"/>
    <s v="8"/>
    <x v="4"/>
    <s v="1036804"/>
    <s v="2022-09-21"/>
    <s v=""/>
    <x v="0"/>
    <s v="Adult"/>
    <s v="Escapement"/>
    <s v="Gillnet"/>
    <s v="Otoliths and Scales"/>
    <n v="63"/>
    <s v="12"/>
    <m/>
    <m/>
    <s v="Resorption present but not enough to suspect an annuli is missing.  Age unaffected."/>
    <x v="0"/>
  </r>
  <r>
    <n v="102661"/>
    <x v="0"/>
    <x v="1"/>
    <s v="8"/>
    <x v="4"/>
    <s v="1036804"/>
    <s v="2022-09-21"/>
    <s v=""/>
    <x v="0"/>
    <s v="Adult"/>
    <s v="Escapement"/>
    <s v="Gillnet"/>
    <s v="Otoliths and Scales"/>
    <n v="64"/>
    <s v="13"/>
    <m/>
    <m/>
    <s v="Resorption present but not enough to suspect an annuli is missing.  Age unaffected."/>
    <x v="5"/>
  </r>
  <r>
    <n v="102661"/>
    <x v="0"/>
    <x v="1"/>
    <s v="8"/>
    <x v="4"/>
    <s v="1036804"/>
    <s v="2022-09-21"/>
    <s v=""/>
    <x v="0"/>
    <s v="Adult"/>
    <s v="Escapement"/>
    <s v="Gillnet"/>
    <s v="Otoliths and Scales"/>
    <n v="65"/>
    <s v="12"/>
    <m/>
    <m/>
    <m/>
    <x v="0"/>
  </r>
  <r>
    <n v="102661"/>
    <x v="0"/>
    <x v="1"/>
    <s v="8"/>
    <x v="4"/>
    <s v="1036804"/>
    <s v="2022-09-21"/>
    <s v=""/>
    <x v="0"/>
    <s v="Adult"/>
    <s v="Escapement"/>
    <s v="Gillnet"/>
    <s v="Otoliths and Scales"/>
    <n v="66"/>
    <s v="11"/>
    <m/>
    <m/>
    <m/>
    <x v="3"/>
  </r>
  <r>
    <n v="102661"/>
    <x v="0"/>
    <x v="1"/>
    <s v="8"/>
    <x v="4"/>
    <s v="1036804"/>
    <s v="2022-09-21"/>
    <s v=""/>
    <x v="0"/>
    <s v="Adult"/>
    <s v="Escapement"/>
    <s v="Gillnet"/>
    <s v="Otoliths and Scales"/>
    <n v="67"/>
    <s v="03"/>
    <m/>
    <m/>
    <m/>
    <x v="7"/>
  </r>
  <r>
    <n v="102661"/>
    <x v="0"/>
    <x v="1"/>
    <s v="8"/>
    <x v="4"/>
    <s v="1036804"/>
    <s v="2022-09-21"/>
    <s v=""/>
    <x v="0"/>
    <s v="Adult"/>
    <s v="Escapement"/>
    <s v="Gillnet"/>
    <s v="Otoliths and Scales"/>
    <n v="68"/>
    <s v="12"/>
    <m/>
    <m/>
    <m/>
    <x v="0"/>
  </r>
  <r>
    <n v="102661"/>
    <x v="0"/>
    <x v="1"/>
    <s v="8"/>
    <x v="4"/>
    <s v="1036804"/>
    <s v="2022-09-21"/>
    <s v=""/>
    <x v="0"/>
    <s v="Adult"/>
    <s v="Escapement"/>
    <s v="Gillnet"/>
    <s v="Otoliths and Scales"/>
    <n v="69"/>
    <s v="13"/>
    <m/>
    <m/>
    <s v="Resorption present but not enough to suspect an annuli is missing.  Age unaffected."/>
    <x v="5"/>
  </r>
  <r>
    <n v="102661"/>
    <x v="0"/>
    <x v="1"/>
    <s v="8"/>
    <x v="4"/>
    <s v="1036804"/>
    <s v="2022-09-21"/>
    <s v=""/>
    <x v="0"/>
    <s v="Adult"/>
    <s v="Escapement"/>
    <s v="Gillnet"/>
    <s v="Otoliths and Scales"/>
    <n v="70"/>
    <s v="13"/>
    <m/>
    <m/>
    <s v="Resorption present but not enough to suspect an annuli is missing.  Age unaffected."/>
    <x v="5"/>
  </r>
  <r>
    <n v="102661"/>
    <x v="0"/>
    <x v="1"/>
    <s v="8"/>
    <x v="4"/>
    <s v="1036804"/>
    <s v="2022-09-21"/>
    <s v=""/>
    <x v="0"/>
    <s v="Adult"/>
    <s v="Escapement"/>
    <s v="Gillnet"/>
    <s v="Otoliths and Scales"/>
    <n v="71"/>
    <s v="12"/>
    <m/>
    <m/>
    <m/>
    <x v="0"/>
  </r>
  <r>
    <n v="102661"/>
    <x v="0"/>
    <x v="1"/>
    <s v="8"/>
    <x v="4"/>
    <s v="1036804"/>
    <s v="2022-09-21"/>
    <s v=""/>
    <x v="0"/>
    <s v="Adult"/>
    <s v="Escapement"/>
    <s v="Gillnet"/>
    <s v="Otoliths and Scales"/>
    <n v="72"/>
    <s v="12"/>
    <m/>
    <m/>
    <m/>
    <x v="0"/>
  </r>
  <r>
    <n v="102661"/>
    <x v="0"/>
    <x v="1"/>
    <s v="8"/>
    <x v="4"/>
    <s v="1036804"/>
    <s v="2022-09-21"/>
    <s v=""/>
    <x v="0"/>
    <s v="Adult"/>
    <s v="Escapement"/>
    <s v="Gillnet"/>
    <s v="Otoliths and Scales"/>
    <n v="73"/>
    <s v="12"/>
    <m/>
    <m/>
    <s v="Resorption present but not enough to suspect an annuli is missing.  Age unaffected."/>
    <x v="0"/>
  </r>
  <r>
    <n v="102661"/>
    <x v="0"/>
    <x v="1"/>
    <s v="8"/>
    <x v="4"/>
    <s v="1036804"/>
    <s v="2022-09-21"/>
    <s v=""/>
    <x v="0"/>
    <s v="Adult"/>
    <s v="Escapement"/>
    <s v="Gillnet"/>
    <s v="Otoliths and Scales"/>
    <n v="74"/>
    <s v="12"/>
    <m/>
    <m/>
    <s v="Resorption present but not enough to suspect an annuli is missing.  Age unaffected."/>
    <x v="0"/>
  </r>
  <r>
    <n v="102661"/>
    <x v="0"/>
    <x v="1"/>
    <s v="8"/>
    <x v="4"/>
    <s v="1036804"/>
    <s v="2022-09-21"/>
    <s v=""/>
    <x v="0"/>
    <s v="Adult"/>
    <s v="Escapement"/>
    <s v="Gillnet"/>
    <s v="Otoliths and Scales"/>
    <n v="75"/>
    <s v="12"/>
    <m/>
    <m/>
    <s v="Resorption present but not enough to suspect an annuli is missing.  Age unaffected."/>
    <x v="0"/>
  </r>
  <r>
    <n v="102661"/>
    <x v="0"/>
    <x v="1"/>
    <s v="8"/>
    <x v="4"/>
    <s v="1036804"/>
    <s v="2022-09-21"/>
    <s v=""/>
    <x v="0"/>
    <s v="Adult"/>
    <s v="Escapement"/>
    <s v="Gillnet"/>
    <s v="Otoliths and Scales"/>
    <n v="76"/>
    <s v="12"/>
    <m/>
    <m/>
    <m/>
    <x v="0"/>
  </r>
  <r>
    <n v="102661"/>
    <x v="0"/>
    <x v="1"/>
    <s v="8"/>
    <x v="4"/>
    <s v="1036804"/>
    <s v="2022-09-21"/>
    <s v=""/>
    <x v="0"/>
    <s v="Adult"/>
    <s v="Escapement"/>
    <s v="Gillnet"/>
    <s v="Otoliths and Scales"/>
    <n v="77"/>
    <s v="12"/>
    <m/>
    <m/>
    <m/>
    <x v="0"/>
  </r>
  <r>
    <n v="102661"/>
    <x v="0"/>
    <x v="1"/>
    <s v="8"/>
    <x v="4"/>
    <s v="1036804"/>
    <s v="2022-09-21"/>
    <s v=""/>
    <x v="0"/>
    <s v="Adult"/>
    <s v="Escapement"/>
    <s v="Gillnet"/>
    <s v="Otoliths and Scales"/>
    <n v="78"/>
    <s v="12"/>
    <m/>
    <m/>
    <s v="Resorption present but not enough to suspect an annuli is missing.  Age unaffected."/>
    <x v="0"/>
  </r>
  <r>
    <n v="102661"/>
    <x v="0"/>
    <x v="1"/>
    <s v="8"/>
    <x v="4"/>
    <s v="1036804"/>
    <s v="2022-09-21"/>
    <s v=""/>
    <x v="0"/>
    <s v="Adult"/>
    <s v="Escapement"/>
    <s v="Gillnet"/>
    <s v="Otoliths and Scales"/>
    <n v="79"/>
    <s v="12"/>
    <m/>
    <m/>
    <m/>
    <x v="0"/>
  </r>
  <r>
    <n v="102661"/>
    <x v="0"/>
    <x v="1"/>
    <s v="8"/>
    <x v="4"/>
    <s v="1036804"/>
    <s v="2022-09-21"/>
    <s v=""/>
    <x v="0"/>
    <s v="Adult"/>
    <s v="Escapement"/>
    <s v="Gillnet"/>
    <s v="Otoliths and Scales"/>
    <n v="80"/>
    <s v="12"/>
    <m/>
    <m/>
    <m/>
    <x v="0"/>
  </r>
  <r>
    <n v="102661"/>
    <x v="0"/>
    <x v="1"/>
    <s v="8"/>
    <x v="4"/>
    <s v="1036804"/>
    <s v="2022-09-21"/>
    <s v=""/>
    <x v="0"/>
    <s v="Adult"/>
    <s v="Escapement"/>
    <s v="Gillnet"/>
    <s v="Otoliths and Scales"/>
    <n v="81"/>
    <s v="12"/>
    <m/>
    <m/>
    <s v="Resorption present but not enough to suspect an annuli is missing.  Age unaffected."/>
    <x v="0"/>
  </r>
  <r>
    <n v="102661"/>
    <x v="0"/>
    <x v="1"/>
    <s v="8"/>
    <x v="4"/>
    <s v="1036804"/>
    <s v="2022-09-21"/>
    <s v=""/>
    <x v="0"/>
    <s v="Adult"/>
    <s v="Escapement"/>
    <s v="Gillnet"/>
    <s v="Otoliths and Scales"/>
    <n v="82"/>
    <s v="13"/>
    <m/>
    <m/>
    <s v="Resorption present but not enough to suspect an annuli is missing.  Age unaffected."/>
    <x v="5"/>
  </r>
  <r>
    <n v="102661"/>
    <x v="0"/>
    <x v="1"/>
    <s v="8"/>
    <x v="4"/>
    <s v="1036804"/>
    <s v="2022-09-21"/>
    <s v=""/>
    <x v="0"/>
    <s v="Adult"/>
    <s v="Escapement"/>
    <s v="Gillnet"/>
    <s v="Otoliths and Scales"/>
    <n v="83"/>
    <s v="12"/>
    <m/>
    <m/>
    <m/>
    <x v="0"/>
  </r>
  <r>
    <n v="102661"/>
    <x v="0"/>
    <x v="1"/>
    <s v="8"/>
    <x v="4"/>
    <s v="1036804"/>
    <s v="2022-09-21"/>
    <s v=""/>
    <x v="0"/>
    <s v="Adult"/>
    <s v="Escapement"/>
    <s v="Gillnet"/>
    <s v="Otoliths and Scales"/>
    <n v="84"/>
    <s v="12"/>
    <m/>
    <m/>
    <s v="Resorption present but not enough to suspect an annuli is missing.  Age unaffected."/>
    <x v="0"/>
  </r>
  <r>
    <n v="102661"/>
    <x v="0"/>
    <x v="1"/>
    <s v="8"/>
    <x v="4"/>
    <s v="1036804"/>
    <s v="2022-09-21"/>
    <s v=""/>
    <x v="0"/>
    <s v="Adult"/>
    <s v="Escapement"/>
    <s v="Gillnet"/>
    <s v="Otoliths and Scales"/>
    <n v="85"/>
    <s v="12"/>
    <m/>
    <m/>
    <s v="Resorption present but not enough to suspect an annuli is missing.  Age unaffected."/>
    <x v="0"/>
  </r>
  <r>
    <n v="102661"/>
    <x v="0"/>
    <x v="1"/>
    <s v="8"/>
    <x v="4"/>
    <s v="1036804"/>
    <s v="2022-09-21"/>
    <s v=""/>
    <x v="0"/>
    <s v="Adult"/>
    <s v="Escapement"/>
    <s v="Gillnet"/>
    <s v="Otoliths and Scales"/>
    <n v="86"/>
    <s v="12"/>
    <m/>
    <m/>
    <m/>
    <x v="0"/>
  </r>
  <r>
    <n v="102661"/>
    <x v="0"/>
    <x v="1"/>
    <s v="8"/>
    <x v="4"/>
    <s v="1036804"/>
    <s v="2022-09-21"/>
    <s v=""/>
    <x v="0"/>
    <s v="Adult"/>
    <s v="Escapement"/>
    <s v="Gillnet"/>
    <s v="Otoliths and Scales"/>
    <n v="87"/>
    <s v="12"/>
    <m/>
    <m/>
    <m/>
    <x v="0"/>
  </r>
  <r>
    <n v="102661"/>
    <x v="0"/>
    <x v="1"/>
    <s v="8"/>
    <x v="4"/>
    <s v="1036804"/>
    <s v="2022-09-21"/>
    <s v=""/>
    <x v="0"/>
    <s v="Adult"/>
    <s v="Escapement"/>
    <s v="Gillnet"/>
    <s v="Otoliths and Scales"/>
    <n v="88"/>
    <s v="12"/>
    <m/>
    <m/>
    <s v="Resorption present but not enough to suspect an annuli is missing.  Age unaffected."/>
    <x v="0"/>
  </r>
  <r>
    <n v="102661"/>
    <x v="0"/>
    <x v="1"/>
    <s v="8"/>
    <x v="4"/>
    <s v="1036804"/>
    <s v="2022-09-21"/>
    <s v=""/>
    <x v="0"/>
    <s v="Adult"/>
    <s v="Escapement"/>
    <s v="Gillnet"/>
    <s v="Otoliths and Scales"/>
    <n v="89"/>
    <s v="03"/>
    <m/>
    <m/>
    <s v="Resorption present but not enough to suspect an annuli is missing.  Age unaffected."/>
    <x v="7"/>
  </r>
  <r>
    <n v="102661"/>
    <x v="0"/>
    <x v="1"/>
    <s v="8"/>
    <x v="4"/>
    <s v="1036804"/>
    <s v="2022-09-21"/>
    <s v=""/>
    <x v="0"/>
    <s v="Adult"/>
    <s v="Escapement"/>
    <s v="Gillnet"/>
    <s v="Otoliths and Scales"/>
    <n v="90"/>
    <s v="12"/>
    <m/>
    <m/>
    <m/>
    <x v="0"/>
  </r>
  <r>
    <n v="102661"/>
    <x v="0"/>
    <x v="1"/>
    <s v="8"/>
    <x v="4"/>
    <s v="1036804"/>
    <s v="2022-09-21"/>
    <s v=""/>
    <x v="0"/>
    <s v="Adult"/>
    <s v="Escapement"/>
    <s v="Gillnet"/>
    <s v="Otoliths and Scales"/>
    <n v="91"/>
    <s v="12"/>
    <m/>
    <m/>
    <m/>
    <x v="0"/>
  </r>
  <r>
    <n v="102661"/>
    <x v="0"/>
    <x v="1"/>
    <s v="8"/>
    <x v="4"/>
    <s v="1036804"/>
    <s v="2022-09-21"/>
    <s v=""/>
    <x v="0"/>
    <s v="Adult"/>
    <s v="Escapement"/>
    <s v="Gillnet"/>
    <s v="Otoliths and Scales"/>
    <n v="92"/>
    <s v="12"/>
    <m/>
    <m/>
    <s v="Resorption present but not enough to suspect an annuli is missing.  Age unaffected."/>
    <x v="0"/>
  </r>
  <r>
    <n v="102661"/>
    <x v="0"/>
    <x v="1"/>
    <s v="8"/>
    <x v="4"/>
    <s v="1036804"/>
    <s v="2022-09-21"/>
    <s v=""/>
    <x v="0"/>
    <s v="Adult"/>
    <s v="Escapement"/>
    <s v="Gillnet"/>
    <s v="Otoliths and Scales"/>
    <n v="93"/>
    <s v="12"/>
    <m/>
    <m/>
    <m/>
    <x v="0"/>
  </r>
  <r>
    <n v="102661"/>
    <x v="0"/>
    <x v="1"/>
    <s v="8"/>
    <x v="4"/>
    <s v="1036804"/>
    <s v="2022-09-21"/>
    <s v=""/>
    <x v="0"/>
    <s v="Adult"/>
    <s v="Escapement"/>
    <s v="Gillnet"/>
    <s v="Otoliths and Scales"/>
    <n v="94"/>
    <s v="03"/>
    <m/>
    <m/>
    <s v="Resorption present but not enough to suspect an annuli is missing.  Age unaffected."/>
    <x v="7"/>
  </r>
  <r>
    <n v="113245"/>
    <x v="1"/>
    <x v="1"/>
    <s v="8"/>
    <x v="5"/>
    <s v="1049190"/>
    <s v="2023-09-25"/>
    <s v="2023-10-05"/>
    <x v="0"/>
    <s v="Adult"/>
    <s v="Escapement"/>
    <s v="Gaff"/>
    <s v="Otoliths and Scales"/>
    <n v="1"/>
    <s v="13"/>
    <m/>
    <m/>
    <s v="Resorption present but not enough to suspect an annuli is missing.  Age unaffected."/>
    <x v="5"/>
  </r>
  <r>
    <n v="113245"/>
    <x v="1"/>
    <x v="1"/>
    <s v="8"/>
    <x v="5"/>
    <s v="1049190"/>
    <s v="2023-09-25"/>
    <s v="2023-10-05"/>
    <x v="0"/>
    <s v="Adult"/>
    <s v="Escapement"/>
    <s v="Gaff"/>
    <s v="Otoliths and Scales"/>
    <n v="2"/>
    <s v="13"/>
    <m/>
    <m/>
    <s v="Resorption present but not enough to suspect an annuli is missing.  Age unaffected."/>
    <x v="5"/>
  </r>
  <r>
    <n v="113245"/>
    <x v="1"/>
    <x v="1"/>
    <s v="8"/>
    <x v="5"/>
    <s v="1049190"/>
    <s v="2023-09-25"/>
    <s v="2023-10-05"/>
    <x v="0"/>
    <s v="Adult"/>
    <s v="Escapement"/>
    <s v="Gaff"/>
    <s v="Otoliths and Scales"/>
    <n v="3"/>
    <s v="13"/>
    <m/>
    <m/>
    <s v="Resorption present but not enough to suspect an annuli is missing.  Age unaffected."/>
    <x v="5"/>
  </r>
  <r>
    <n v="113245"/>
    <x v="1"/>
    <x v="1"/>
    <s v="8"/>
    <x v="5"/>
    <s v="1049190"/>
    <s v="2023-09-25"/>
    <s v="2023-10-05"/>
    <x v="0"/>
    <s v="Adult"/>
    <s v="Escapement"/>
    <s v="Gaff"/>
    <s v="Otoliths and Scales"/>
    <n v="4"/>
    <s v="13"/>
    <m/>
    <m/>
    <s v="Resorption present but not enough to suspect an annuli is missing.  Age unaffected."/>
    <x v="5"/>
  </r>
  <r>
    <n v="113245"/>
    <x v="1"/>
    <x v="1"/>
    <s v="8"/>
    <x v="5"/>
    <s v="1049190"/>
    <s v="2023-09-25"/>
    <s v="2023-10-05"/>
    <x v="0"/>
    <s v="Adult"/>
    <s v="Escapement"/>
    <s v="Gaff"/>
    <s v="Otoliths and Scales"/>
    <n v="5"/>
    <s v="13"/>
    <m/>
    <m/>
    <s v="Resorption present but not enough to suspect an annuli is missing.  Age unaffected."/>
    <x v="5"/>
  </r>
  <r>
    <n v="113245"/>
    <x v="1"/>
    <x v="1"/>
    <s v="8"/>
    <x v="5"/>
    <s v="1049190"/>
    <s v="2023-09-25"/>
    <s v="2023-10-05"/>
    <x v="0"/>
    <s v="Adult"/>
    <s v="Escapement"/>
    <s v="Gaff"/>
    <s v="Otoliths and Scales"/>
    <n v="6"/>
    <s v="12"/>
    <m/>
    <m/>
    <s v="Resorption present but not enough to suspect an annuli is missing.  Age unaffected."/>
    <x v="0"/>
  </r>
  <r>
    <n v="113245"/>
    <x v="1"/>
    <x v="1"/>
    <s v="8"/>
    <x v="5"/>
    <s v="1049190"/>
    <s v="2023-09-25"/>
    <s v="2023-10-05"/>
    <x v="0"/>
    <s v="Adult"/>
    <s v="Escapement"/>
    <s v="Gaff"/>
    <s v="Otoliths and Scales"/>
    <n v="7"/>
    <s v="13"/>
    <m/>
    <m/>
    <s v="Resorption present but not enough to suspect an annuli is missing.  Age unaffected."/>
    <x v="5"/>
  </r>
  <r>
    <n v="113245"/>
    <x v="1"/>
    <x v="1"/>
    <s v="8"/>
    <x v="5"/>
    <s v="1049190"/>
    <s v="2023-09-25"/>
    <s v="2023-10-05"/>
    <x v="0"/>
    <s v="Adult"/>
    <s v="Escapement"/>
    <s v="Gaff"/>
    <s v="Otoliths and Scales"/>
    <n v="8"/>
    <s v="12"/>
    <m/>
    <m/>
    <s v="Resorption present but not enough to suspect an annuli is missing.  Age unaffected."/>
    <x v="0"/>
  </r>
  <r>
    <n v="113245"/>
    <x v="1"/>
    <x v="1"/>
    <s v="8"/>
    <x v="5"/>
    <s v="1049190"/>
    <s v="2023-09-25"/>
    <s v="2023-10-05"/>
    <x v="0"/>
    <s v="Adult"/>
    <s v="Escapement"/>
    <s v="Gaff"/>
    <s v="Otoliths and Scales"/>
    <n v="9"/>
    <s v="13"/>
    <m/>
    <m/>
    <s v="Resorption present but not enough to suspect an annuli is missing.  Age unaffected."/>
    <x v="5"/>
  </r>
  <r>
    <n v="113245"/>
    <x v="1"/>
    <x v="1"/>
    <s v="8"/>
    <x v="5"/>
    <s v="1049190"/>
    <s v="2023-09-25"/>
    <s v="2023-10-05"/>
    <x v="0"/>
    <s v="Adult"/>
    <s v="Escapement"/>
    <s v="Gaff"/>
    <s v="Otoliths and Scales"/>
    <n v="10"/>
    <s v="11"/>
    <m/>
    <s v="Scale Age - No otolith age expected"/>
    <s v="Resorption present but not enough to suspect an annuli is missing.  Age unaffected."/>
    <x v="3"/>
  </r>
  <r>
    <n v="113253"/>
    <x v="1"/>
    <x v="1"/>
    <s v="8"/>
    <x v="3"/>
    <s v="1049194"/>
    <s v="2023-09-25"/>
    <s v="2023-10-05"/>
    <x v="0"/>
    <s v="Adult"/>
    <s v="Escapement"/>
    <s v="Gaff"/>
    <s v="Otoliths and Scales"/>
    <n v="1"/>
    <s v="12"/>
    <m/>
    <m/>
    <m/>
    <x v="0"/>
  </r>
  <r>
    <n v="113281"/>
    <x v="1"/>
    <x v="1"/>
    <s v="8"/>
    <x v="6"/>
    <s v="1010201"/>
    <s v="2023-09-22"/>
    <s v="2023-09-25"/>
    <x v="0"/>
    <s v="Adult"/>
    <s v="Escapement"/>
    <s v="Gillnet"/>
    <s v="Scales"/>
    <n v="1"/>
    <s v="12"/>
    <m/>
    <m/>
    <s v="Resorption present but not enough to suspect an annuli is missing.  Age unaffected."/>
    <x v="0"/>
  </r>
  <r>
    <n v="113281"/>
    <x v="1"/>
    <x v="1"/>
    <s v="8"/>
    <x v="6"/>
    <s v="1010201"/>
    <s v="2023-09-22"/>
    <s v="2023-09-25"/>
    <x v="0"/>
    <s v="Adult"/>
    <s v="Escapement"/>
    <s v="Gillnet"/>
    <s v="Scales"/>
    <n v="2"/>
    <s v="12"/>
    <m/>
    <m/>
    <s v="Resorbed Age Interpretation. Resorption affecting age and missing 1 marine annulus"/>
    <x v="0"/>
  </r>
  <r>
    <n v="113281"/>
    <x v="1"/>
    <x v="1"/>
    <s v="8"/>
    <x v="6"/>
    <s v="1010201"/>
    <s v="2023-09-22"/>
    <s v="2023-09-25"/>
    <x v="0"/>
    <s v="Adult"/>
    <s v="Escapement"/>
    <s v="Gillnet"/>
    <s v="Scales"/>
    <n v="3"/>
    <s v="13"/>
    <m/>
    <m/>
    <s v="Resorbed Age Interpretation. Resorption affecting age and missing 1 marine annulus"/>
    <x v="5"/>
  </r>
  <r>
    <n v="113281"/>
    <x v="1"/>
    <x v="1"/>
    <s v="8"/>
    <x v="6"/>
    <s v="1010201"/>
    <s v="2023-09-22"/>
    <s v="2023-09-25"/>
    <x v="0"/>
    <s v="Adult"/>
    <s v="Escapement"/>
    <s v="Gillnet"/>
    <s v="Scales"/>
    <n v="4"/>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5"/>
    <s v="13"/>
    <m/>
    <m/>
    <s v="Resorbed Age Interpretation. Resorption affecting age and missing 1 marine annulus"/>
    <x v="5"/>
  </r>
  <r>
    <n v="113281"/>
    <x v="1"/>
    <x v="1"/>
    <s v="8"/>
    <x v="6"/>
    <s v="1010201"/>
    <s v="2023-09-22"/>
    <s v="2023-09-25"/>
    <x v="0"/>
    <s v="Adult"/>
    <s v="Escapement"/>
    <s v="Gillnet"/>
    <s v="Scales"/>
    <n v="6"/>
    <s v="11"/>
    <m/>
    <m/>
    <s v="Resorption present but not enough to suspect an annuli is missing.  Age unaffected."/>
    <x v="3"/>
  </r>
  <r>
    <n v="113281"/>
    <x v="1"/>
    <x v="1"/>
    <s v="8"/>
    <x v="6"/>
    <s v="1010201"/>
    <s v="2023-09-22"/>
    <s v="2023-09-25"/>
    <x v="0"/>
    <s v="Adult"/>
    <s v="Escapement"/>
    <s v="Gillnet"/>
    <s v="Scales"/>
    <n v="7"/>
    <s v="12"/>
    <m/>
    <m/>
    <s v="Resorption present but not enough to suspect an annuli is missing.  Age unaffected."/>
    <x v="0"/>
  </r>
  <r>
    <n v="113281"/>
    <x v="1"/>
    <x v="1"/>
    <s v="8"/>
    <x v="6"/>
    <s v="1010201"/>
    <s v="2023-09-22"/>
    <s v="2023-09-25"/>
    <x v="0"/>
    <s v="Adult"/>
    <s v="Escapement"/>
    <s v="Gillnet"/>
    <s v="Scales"/>
    <n v="8"/>
    <s v="13"/>
    <m/>
    <m/>
    <s v="Resorbed Age Interpretation. Resorption affecting age and missing 1 marine annulus"/>
    <x v="5"/>
  </r>
  <r>
    <n v="113281"/>
    <x v="1"/>
    <x v="1"/>
    <s v="8"/>
    <x v="6"/>
    <s v="1010201"/>
    <s v="2023-09-22"/>
    <s v="2023-09-25"/>
    <x v="0"/>
    <s v="Adult"/>
    <s v="Escapement"/>
    <s v="Gillnet"/>
    <s v="Scales"/>
    <n v="9"/>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10"/>
    <s v="12"/>
    <m/>
    <m/>
    <s v="Resorbed Age Interpretation. Resorption affecting age and missing 1 marine annulus"/>
    <x v="0"/>
  </r>
  <r>
    <n v="113281"/>
    <x v="1"/>
    <x v="1"/>
    <s v="8"/>
    <x v="6"/>
    <s v="1010201"/>
    <s v="2023-09-22"/>
    <s v="2023-09-25"/>
    <x v="0"/>
    <s v="Adult"/>
    <s v="Escapement"/>
    <s v="Gillnet"/>
    <s v="Scales"/>
    <n v="11"/>
    <s v="12"/>
    <m/>
    <m/>
    <s v="Resorbed Age Interpretation. Resorption affecting age and missing 1 marine annulus"/>
    <x v="0"/>
  </r>
  <r>
    <n v="113281"/>
    <x v="1"/>
    <x v="1"/>
    <s v="8"/>
    <x v="6"/>
    <s v="1010201"/>
    <s v="2023-09-22"/>
    <s v="2023-09-25"/>
    <x v="0"/>
    <s v="Adult"/>
    <s v="Escapement"/>
    <s v="Gillnet"/>
    <s v="Scales"/>
    <n v="12"/>
    <m/>
    <s v="M3"/>
    <s v="Regenerate Scale"/>
    <s v="Resorption present but not enough to suspect an annuli is missing.  Age unaffected."/>
    <x v="6"/>
  </r>
  <r>
    <n v="113281"/>
    <x v="1"/>
    <x v="1"/>
    <s v="8"/>
    <x v="6"/>
    <s v="1010201"/>
    <s v="2023-09-22"/>
    <s v="2023-09-25"/>
    <x v="0"/>
    <s v="Adult"/>
    <s v="Escapement"/>
    <s v="Gillnet"/>
    <s v="Scales"/>
    <n v="13"/>
    <s v="12"/>
    <m/>
    <m/>
    <s v="Resorption present but not enough to suspect an annuli is missing.  Age unaffected."/>
    <x v="0"/>
  </r>
  <r>
    <n v="113281"/>
    <x v="1"/>
    <x v="1"/>
    <s v="8"/>
    <x v="6"/>
    <s v="1010201"/>
    <s v="2023-09-22"/>
    <s v="2023-09-25"/>
    <x v="0"/>
    <s v="Adult"/>
    <s v="Escapement"/>
    <s v="Gillnet"/>
    <s v="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
    <s v="13"/>
    <m/>
    <m/>
    <s v="Resorption present but not enough to suspect an annuli is missing.  Age unaffected."/>
    <x v="5"/>
  </r>
  <r>
    <n v="131261"/>
    <x v="2"/>
    <x v="1"/>
    <s v="8"/>
    <x v="4"/>
    <s v="1048455"/>
    <s v="2024-09-18"/>
    <s v="2024-10-07"/>
    <x v="0"/>
    <s v="Adult"/>
    <s v="Escapement"/>
    <s v="Gaff"/>
    <s v="Otoliths and Scales"/>
    <n v="2"/>
    <s v="12"/>
    <m/>
    <m/>
    <s v="Resorption present but not enough to suspect an annuli is missing.  Age unaffected."/>
    <x v="0"/>
  </r>
  <r>
    <n v="131261"/>
    <x v="2"/>
    <x v="1"/>
    <s v="8"/>
    <x v="4"/>
    <s v="1048455"/>
    <s v="2024-09-18"/>
    <s v="2024-10-07"/>
    <x v="0"/>
    <s v="Adult"/>
    <s v="Escapement"/>
    <s v="Gaff"/>
    <s v="Otoliths and Scales"/>
    <n v="3"/>
    <s v="12"/>
    <m/>
    <m/>
    <s v="Resorption present but not enough to suspect an annuli is missing.  Age unaffected."/>
    <x v="0"/>
  </r>
  <r>
    <n v="131261"/>
    <x v="2"/>
    <x v="1"/>
    <s v="8"/>
    <x v="4"/>
    <s v="1048455"/>
    <s v="2024-09-18"/>
    <s v="2024-10-07"/>
    <x v="0"/>
    <s v="Adult"/>
    <s v="Escapement"/>
    <s v="Gaff"/>
    <s v="Otoliths and Scales"/>
    <n v="4"/>
    <s v="12"/>
    <m/>
    <m/>
    <m/>
    <x v="0"/>
  </r>
  <r>
    <n v="131261"/>
    <x v="2"/>
    <x v="1"/>
    <s v="8"/>
    <x v="4"/>
    <s v="1048455"/>
    <s v="2024-09-18"/>
    <s v="2024-10-07"/>
    <x v="0"/>
    <s v="Adult"/>
    <s v="Escapement"/>
    <s v="Gaff"/>
    <s v="Otoliths and Scales"/>
    <n v="5"/>
    <s v="02"/>
    <m/>
    <m/>
    <s v="Resorption present but not enough to suspect an annuli is missing.  Age unaffected."/>
    <x v="4"/>
  </r>
  <r>
    <n v="131261"/>
    <x v="2"/>
    <x v="1"/>
    <s v="8"/>
    <x v="4"/>
    <s v="1048455"/>
    <s v="2024-09-18"/>
    <s v="2024-10-07"/>
    <x v="0"/>
    <s v="Adult"/>
    <s v="Escapement"/>
    <s v="Gaff"/>
    <s v="Otoliths and Scales"/>
    <n v="6"/>
    <s v="02"/>
    <m/>
    <m/>
    <m/>
    <x v="4"/>
  </r>
  <r>
    <n v="131261"/>
    <x v="2"/>
    <x v="1"/>
    <s v="8"/>
    <x v="4"/>
    <s v="1048455"/>
    <s v="2024-09-18"/>
    <s v="2024-10-07"/>
    <x v="0"/>
    <s v="Adult"/>
    <s v="Escapement"/>
    <s v="Gaff"/>
    <s v="Otoliths and Scales"/>
    <n v="7"/>
    <s v="02"/>
    <m/>
    <m/>
    <s v="Resorption present but not enough to suspect an annuli is missing.  Age unaffected."/>
    <x v="4"/>
  </r>
  <r>
    <n v="131261"/>
    <x v="2"/>
    <x v="1"/>
    <s v="8"/>
    <x v="4"/>
    <s v="1048455"/>
    <s v="2024-09-18"/>
    <s v="2024-10-07"/>
    <x v="0"/>
    <s v="Adult"/>
    <s v="Escapement"/>
    <s v="Gaff"/>
    <s v="Otoliths and Scales"/>
    <n v="8"/>
    <m/>
    <s v="F0"/>
    <s v="Resorbed Scale"/>
    <s v="Unknown amount of resorption. Cannot assess the number of marine annuli missing. Only freshwater age given, no marine age given."/>
    <x v="11"/>
  </r>
  <r>
    <n v="131261"/>
    <x v="2"/>
    <x v="1"/>
    <s v="8"/>
    <x v="4"/>
    <s v="1048455"/>
    <s v="2024-09-18"/>
    <s v="2024-10-07"/>
    <x v="0"/>
    <s v="Adult"/>
    <s v="Escapement"/>
    <s v="Gaff"/>
    <s v="Otoliths and Scales"/>
    <n v="9"/>
    <s v="13"/>
    <m/>
    <m/>
    <s v="Resorption present but not enough to suspect an annuli is missing.  Age unaffected."/>
    <x v="5"/>
  </r>
  <r>
    <n v="131261"/>
    <x v="2"/>
    <x v="1"/>
    <s v="8"/>
    <x v="4"/>
    <s v="1048455"/>
    <s v="2024-09-18"/>
    <s v="2024-10-07"/>
    <x v="0"/>
    <s v="Adult"/>
    <s v="Escapement"/>
    <s v="Gaff"/>
    <s v="Otoliths and Scales"/>
    <n v="10"/>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1"/>
    <s v="12"/>
    <m/>
    <m/>
    <m/>
    <x v="0"/>
  </r>
  <r>
    <n v="131261"/>
    <x v="2"/>
    <x v="1"/>
    <s v="8"/>
    <x v="4"/>
    <s v="1048455"/>
    <s v="2024-09-18"/>
    <s v="2024-10-07"/>
    <x v="0"/>
    <s v="Adult"/>
    <s v="Escapement"/>
    <s v="Gaff"/>
    <s v="Otoliths and Scales"/>
    <n v="12"/>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3"/>
    <s v="12"/>
    <m/>
    <m/>
    <s v="Resorption present but not enough to suspect an annuli is missing.  Age unaffected."/>
    <x v="0"/>
  </r>
  <r>
    <n v="131261"/>
    <x v="2"/>
    <x v="1"/>
    <s v="8"/>
    <x v="4"/>
    <s v="1048455"/>
    <s v="2024-09-18"/>
    <s v="2024-10-07"/>
    <x v="0"/>
    <s v="Adult"/>
    <s v="Escapement"/>
    <s v="Gaff"/>
    <s v="Otoliths and 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5"/>
    <s v="12"/>
    <m/>
    <m/>
    <s v="Resorption present but not enough to suspect an annuli is missing.  Age unaffected."/>
    <x v="0"/>
  </r>
  <r>
    <n v="131261"/>
    <x v="2"/>
    <x v="1"/>
    <s v="8"/>
    <x v="4"/>
    <s v="1048455"/>
    <s v="2024-09-18"/>
    <s v="2024-10-07"/>
    <x v="0"/>
    <s v="Adult"/>
    <s v="Escapement"/>
    <s v="Gaff"/>
    <s v="Otoliths and Scales"/>
    <n v="16"/>
    <s v="12"/>
    <m/>
    <m/>
    <m/>
    <x v="0"/>
  </r>
  <r>
    <n v="131261"/>
    <x v="2"/>
    <x v="1"/>
    <s v="8"/>
    <x v="4"/>
    <s v="1048455"/>
    <s v="2024-09-18"/>
    <s v="2024-10-07"/>
    <x v="0"/>
    <s v="Adult"/>
    <s v="Escapement"/>
    <s v="Gaff"/>
    <s v="Otoliths and Scales"/>
    <n v="17"/>
    <s v="12"/>
    <m/>
    <m/>
    <m/>
    <x v="0"/>
  </r>
  <r>
    <n v="131261"/>
    <x v="2"/>
    <x v="1"/>
    <s v="8"/>
    <x v="4"/>
    <s v="1048455"/>
    <s v="2024-09-18"/>
    <s v="2024-10-07"/>
    <x v="0"/>
    <s v="Adult"/>
    <s v="Escapement"/>
    <s v="Gaff"/>
    <s v="Otoliths and Scales"/>
    <n v="18"/>
    <s v="12"/>
    <m/>
    <m/>
    <m/>
    <x v="0"/>
  </r>
  <r>
    <n v="131261"/>
    <x v="2"/>
    <x v="1"/>
    <s v="8"/>
    <x v="4"/>
    <s v="1048455"/>
    <s v="2024-09-18"/>
    <s v="2024-10-07"/>
    <x v="0"/>
    <s v="Adult"/>
    <s v="Escapement"/>
    <s v="Gaff"/>
    <s v="Otoliths and Scales"/>
    <n v="19"/>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0"/>
    <s v="02"/>
    <m/>
    <m/>
    <s v="Resorption present but not enough to suspect an annuli is missing.  Age unaffected."/>
    <x v="4"/>
  </r>
  <r>
    <n v="131261"/>
    <x v="2"/>
    <x v="1"/>
    <s v="8"/>
    <x v="4"/>
    <s v="1048455"/>
    <s v="2024-09-18"/>
    <s v="2024-10-07"/>
    <x v="0"/>
    <s v="Adult"/>
    <s v="Escapement"/>
    <s v="Gaff"/>
    <s v="Otoliths and Scales"/>
    <n v="21"/>
    <s v="12"/>
    <m/>
    <m/>
    <s v="Resorption present but not enough to suspect an annuli is missing.  Age unaffected."/>
    <x v="0"/>
  </r>
  <r>
    <n v="131261"/>
    <x v="2"/>
    <x v="1"/>
    <s v="8"/>
    <x v="4"/>
    <s v="1048455"/>
    <s v="2024-09-18"/>
    <s v="2024-10-07"/>
    <x v="0"/>
    <s v="Adult"/>
    <s v="Escapement"/>
    <s v="Gaff"/>
    <s v="Otoliths and Scales"/>
    <n v="22"/>
    <s v="12"/>
    <m/>
    <m/>
    <s v="Resorption present but not enough to suspect an annuli is missing.  Age unaffected."/>
    <x v="0"/>
  </r>
  <r>
    <n v="131261"/>
    <x v="2"/>
    <x v="1"/>
    <s v="8"/>
    <x v="4"/>
    <s v="1048455"/>
    <s v="2024-09-18"/>
    <s v="2024-10-07"/>
    <x v="0"/>
    <s v="Adult"/>
    <s v="Escapement"/>
    <s v="Gaff"/>
    <s v="Otoliths and Scales"/>
    <n v="23"/>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4"/>
    <m/>
    <s v="F0"/>
    <s v="Resorbed Scale"/>
    <m/>
    <x v="11"/>
  </r>
  <r>
    <n v="131261"/>
    <x v="2"/>
    <x v="1"/>
    <s v="8"/>
    <x v="4"/>
    <s v="1048455"/>
    <s v="2024-09-18"/>
    <s v="2024-10-07"/>
    <x v="0"/>
    <s v="Adult"/>
    <s v="Escapement"/>
    <s v="Gaff"/>
    <s v="Otoliths and Scales"/>
    <n v="25"/>
    <m/>
    <s v="F1"/>
    <s v="Resorbed Scale"/>
    <m/>
    <x v="8"/>
  </r>
  <r>
    <n v="131261"/>
    <x v="2"/>
    <x v="1"/>
    <s v="8"/>
    <x v="4"/>
    <s v="1048456"/>
    <s v="2024-09-18"/>
    <s v="2024-10-07"/>
    <x v="0"/>
    <s v="Adult"/>
    <s v="Escapement"/>
    <s v="Gaff"/>
    <s v="Otoliths and Scales"/>
    <n v="1"/>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2"/>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3"/>
    <s v="12"/>
    <m/>
    <m/>
    <s v="Resorption present but not enough to suspect an annuli is missing.  Age unaffected."/>
    <x v="0"/>
  </r>
  <r>
    <n v="131261"/>
    <x v="2"/>
    <x v="1"/>
    <s v="8"/>
    <x v="4"/>
    <s v="1048456"/>
    <s v="2024-09-18"/>
    <s v="2024-10-07"/>
    <x v="0"/>
    <s v="Adult"/>
    <s v="Escapement"/>
    <s v="Gaff"/>
    <s v="Otoliths and Scales"/>
    <n v="4"/>
    <m/>
    <s v="F0"/>
    <s v="Unresolved Marine Age"/>
    <s v="Unknown amount of resorption. Cannot assess the number of marine annuli missing. Only freshwater age given, no marine age given."/>
    <x v="11"/>
  </r>
  <r>
    <n v="131261"/>
    <x v="2"/>
    <x v="1"/>
    <s v="8"/>
    <x v="4"/>
    <s v="1048456"/>
    <s v="2024-09-18"/>
    <s v="2024-10-07"/>
    <x v="0"/>
    <s v="Adult"/>
    <s v="Escapement"/>
    <s v="Gaff"/>
    <s v="Otoliths and Scales"/>
    <n v="5"/>
    <m/>
    <m/>
    <s v="Upside Down"/>
    <m/>
    <x v="1"/>
  </r>
  <r>
    <n v="131281"/>
    <x v="2"/>
    <x v="1"/>
    <s v="8"/>
    <x v="7"/>
    <s v="1013160"/>
    <s v="2024-09-25"/>
    <s v="2024-09-25"/>
    <x v="0"/>
    <s v="Adult"/>
    <s v="Escapement"/>
    <s v="Dip Net"/>
    <s v="Scales"/>
    <n v="1"/>
    <s v="12"/>
    <m/>
    <m/>
    <s v="Resorption present but not enough to suspect an annuli is missing.  Age unaffected."/>
    <x v="0"/>
  </r>
  <r>
    <n v="131281"/>
    <x v="2"/>
    <x v="1"/>
    <s v="8"/>
    <x v="7"/>
    <s v="1013160"/>
    <s v="2024-09-25"/>
    <s v="2024-09-25"/>
    <x v="0"/>
    <s v="Adult"/>
    <s v="Escapement"/>
    <s v="Dip Net"/>
    <s v="Scales"/>
    <n v="2"/>
    <s v="11"/>
    <m/>
    <m/>
    <s v="Resorption present but not enough to suspect an annuli is missing.  Age unaffected."/>
    <x v="3"/>
  </r>
  <r>
    <n v="131283"/>
    <x v="2"/>
    <x v="1"/>
    <s v="8"/>
    <x v="3"/>
    <s v="1048459"/>
    <s v="2024-09-25"/>
    <s v="2024-09-25"/>
    <x v="0"/>
    <s v="Adult"/>
    <s v="Escapement"/>
    <s v="Gaff"/>
    <s v="Scales"/>
    <n v="1"/>
    <s v="11"/>
    <m/>
    <m/>
    <s v="Resorption present but not enough to suspect an annuli is missing.  Age unaffected."/>
    <x v="3"/>
  </r>
  <r>
    <n v="131283"/>
    <x v="2"/>
    <x v="1"/>
    <s v="8"/>
    <x v="3"/>
    <s v="1048459"/>
    <s v="2024-09-25"/>
    <s v="2024-09-25"/>
    <x v="0"/>
    <s v="Adult"/>
    <s v="Escapement"/>
    <s v="Gaff"/>
    <s v="Scales"/>
    <n v="2"/>
    <s v="12"/>
    <m/>
    <m/>
    <s v="Resorbed Age Interpretation. Resorption affecting age and missing 1 marine annulus"/>
    <x v="0"/>
  </r>
  <r>
    <n v="131285"/>
    <x v="2"/>
    <x v="1"/>
    <s v="8"/>
    <x v="6"/>
    <s v="1013161"/>
    <s v="2024-09-14"/>
    <s v="2024-09-25"/>
    <x v="0"/>
    <s v="Adult"/>
    <s v="Escapement"/>
    <s v="Dip Net"/>
    <s v="Otoliths and Scales"/>
    <n v="1"/>
    <s v="12"/>
    <m/>
    <m/>
    <s v="Resorbed Age Interpretation. Resorption affecting age and missing 1 marine annulus"/>
    <x v="0"/>
  </r>
  <r>
    <n v="131285"/>
    <x v="2"/>
    <x v="1"/>
    <s v="8"/>
    <x v="6"/>
    <s v="1013161"/>
    <s v="2024-09-14"/>
    <s v="2024-09-25"/>
    <x v="0"/>
    <s v="Adult"/>
    <s v="Escapement"/>
    <s v="Dip Net"/>
    <s v="Otoliths and Scales"/>
    <n v="2"/>
    <s v="12"/>
    <m/>
    <m/>
    <s v="Resorption present but not enough to suspect an annuli is missing.  Age unaffected."/>
    <x v="0"/>
  </r>
  <r>
    <n v="131285"/>
    <x v="2"/>
    <x v="1"/>
    <s v="8"/>
    <x v="6"/>
    <s v="1013161"/>
    <s v="2024-09-14"/>
    <s v="2024-09-25"/>
    <x v="0"/>
    <s v="Adult"/>
    <s v="Escapement"/>
    <s v="Dip Net"/>
    <s v="Otoliths and Scales"/>
    <n v="3"/>
    <s v="12"/>
    <m/>
    <m/>
    <s v="Resorbed Age Interpretation. Resorption affecting age and missing 1 marine annulus"/>
    <x v="0"/>
  </r>
  <r>
    <n v="131285"/>
    <x v="2"/>
    <x v="1"/>
    <s v="8"/>
    <x v="6"/>
    <s v="1013161"/>
    <s v="2024-09-14"/>
    <s v="2024-09-25"/>
    <x v="0"/>
    <s v="Adult"/>
    <s v="Escapement"/>
    <s v="Dip Net"/>
    <s v="Otoliths and Scales"/>
    <n v="4"/>
    <s v="12"/>
    <m/>
    <m/>
    <s v="Resorbed Age Interpretation. Resorption affecting age and missing 1 marine annulus"/>
    <x v="0"/>
  </r>
  <r>
    <n v="131285"/>
    <x v="2"/>
    <x v="1"/>
    <s v="8"/>
    <x v="6"/>
    <s v="1013161"/>
    <s v="2024-09-14"/>
    <s v="2024-09-25"/>
    <x v="0"/>
    <s v="Adult"/>
    <s v="Escapement"/>
    <s v="Dip Net"/>
    <s v="Otoliths and Scales"/>
    <n v="5"/>
    <s v="12"/>
    <m/>
    <m/>
    <s v="Resorption present but not enough to suspect an annuli is missing.  Age unaffected."/>
    <x v="0"/>
  </r>
  <r>
    <n v="131285"/>
    <x v="2"/>
    <x v="1"/>
    <s v="8"/>
    <x v="6"/>
    <s v="1013161"/>
    <s v="2024-09-14"/>
    <s v="2024-09-25"/>
    <x v="0"/>
    <s v="Adult"/>
    <s v="Escapement"/>
    <s v="Dip Net"/>
    <s v="Otoliths and Scales"/>
    <n v="6"/>
    <s v="12"/>
    <m/>
    <m/>
    <s v="Resorbed Age Interpretation. Resorption affecting age and missing 1 marine annulus"/>
    <x v="0"/>
  </r>
  <r>
    <n v="131285"/>
    <x v="2"/>
    <x v="1"/>
    <s v="8"/>
    <x v="6"/>
    <s v="1013161"/>
    <s v="2024-09-14"/>
    <s v="2024-09-25"/>
    <x v="0"/>
    <s v="Adult"/>
    <s v="Escapement"/>
    <s v="Dip Net"/>
    <s v="Otoliths and Scales"/>
    <n v="7"/>
    <s v="12"/>
    <m/>
    <m/>
    <s v="Resorbed Age Interpretation. Resorption affecting age and missing 1 marine annulus"/>
    <x v="0"/>
  </r>
  <r>
    <n v="131285"/>
    <x v="2"/>
    <x v="1"/>
    <s v="8"/>
    <x v="6"/>
    <s v="1013161"/>
    <s v="2024-09-14"/>
    <s v="2024-09-25"/>
    <x v="0"/>
    <s v="Adult"/>
    <s v="Escapement"/>
    <s v="Dip Net"/>
    <s v="Otoliths and Scales"/>
    <n v="8"/>
    <s v="12"/>
    <m/>
    <m/>
    <s v="Resorbed Age Interpretation. Resorption affecting age and missing 1 marine annulus"/>
    <x v="0"/>
  </r>
  <r>
    <n v="131285"/>
    <x v="2"/>
    <x v="1"/>
    <s v="8"/>
    <x v="6"/>
    <s v="1013161"/>
    <s v="2024-09-14"/>
    <s v="2024-09-25"/>
    <x v="0"/>
    <s v="Adult"/>
    <s v="Escapement"/>
    <s v="Dip Net"/>
    <s v="Otoliths and Scales"/>
    <n v="9"/>
    <s v="02"/>
    <m/>
    <m/>
    <s v="Resorbed Age Interpretation. Resorption affecting age and missing 1 marine annulus"/>
    <x v="4"/>
  </r>
  <r>
    <n v="131285"/>
    <x v="2"/>
    <x v="1"/>
    <s v="8"/>
    <x v="6"/>
    <s v="1013161"/>
    <s v="2024-09-14"/>
    <s v="2024-09-25"/>
    <x v="0"/>
    <s v="Adult"/>
    <s v="Escapement"/>
    <s v="Dip Net"/>
    <s v="Otoliths and Scales"/>
    <n v="10"/>
    <s v="03"/>
    <m/>
    <m/>
    <s v="Resorption present but not enough to suspect an annuli is missing.  Age unaffected."/>
    <x v="7"/>
  </r>
  <r>
    <n v="131285"/>
    <x v="2"/>
    <x v="1"/>
    <s v="8"/>
    <x v="6"/>
    <s v="1013162"/>
    <s v="2024-09-14"/>
    <s v="2024-09-25"/>
    <x v="0"/>
    <s v="Adult"/>
    <s v="Escapement"/>
    <s v="Dip Net"/>
    <s v="Otoliths and Scales"/>
    <n v="1"/>
    <s v="12"/>
    <m/>
    <m/>
    <s v="Resorbed Age Interpretation. Resorption affecting age and missing 1 marine annulus"/>
    <x v="0"/>
  </r>
  <r>
    <n v="131285"/>
    <x v="2"/>
    <x v="1"/>
    <s v="8"/>
    <x v="6"/>
    <s v="1013162"/>
    <s v="2024-09-14"/>
    <s v="2024-09-25"/>
    <x v="0"/>
    <s v="Adult"/>
    <s v="Escapement"/>
    <s v="Dip Net"/>
    <s v="Otoliths and Scales"/>
    <n v="2"/>
    <s v="12"/>
    <m/>
    <m/>
    <s v="Resorbed Age Interpretation. Resorption affecting age and missing 1 marine annulus"/>
    <x v="0"/>
  </r>
  <r>
    <n v="131285"/>
    <x v="2"/>
    <x v="1"/>
    <s v="8"/>
    <x v="6"/>
    <s v="1013162"/>
    <s v="2024-09-14"/>
    <s v="2024-09-25"/>
    <x v="0"/>
    <s v="Adult"/>
    <s v="Escapement"/>
    <s v="Dip Net"/>
    <s v="Otoliths and Scales"/>
    <n v="3"/>
    <s v="12"/>
    <m/>
    <m/>
    <s v="Resorbed Age Interpretation. Resorption affecting age and missing 1 marine annulus"/>
    <x v="0"/>
  </r>
  <r>
    <n v="131285"/>
    <x v="2"/>
    <x v="1"/>
    <s v="8"/>
    <x v="6"/>
    <s v="1013162"/>
    <s v="2024-09-14"/>
    <s v="2024-09-25"/>
    <x v="0"/>
    <s v="Adult"/>
    <s v="Escapement"/>
    <s v="Dip Net"/>
    <s v="Otoliths and Scales"/>
    <n v="4"/>
    <s v="12"/>
    <m/>
    <m/>
    <s v="Resorbed Age Interpretation. Resorption affecting age and missing 1 marine annulus"/>
    <x v="0"/>
  </r>
  <r>
    <n v="131285"/>
    <x v="2"/>
    <x v="1"/>
    <s v="8"/>
    <x v="6"/>
    <s v="1013162"/>
    <s v="2024-09-14"/>
    <s v="2024-09-25"/>
    <x v="0"/>
    <s v="Adult"/>
    <s v="Escapement"/>
    <s v="Dip Net"/>
    <s v="Otoliths and Scales"/>
    <n v="5"/>
    <m/>
    <m/>
    <s v="Wet Scale"/>
    <m/>
    <x v="1"/>
  </r>
  <r>
    <n v="131285"/>
    <x v="2"/>
    <x v="1"/>
    <s v="8"/>
    <x v="6"/>
    <s v="1013162"/>
    <s v="2024-09-14"/>
    <s v="2024-09-25"/>
    <x v="0"/>
    <s v="Adult"/>
    <s v="Escapement"/>
    <s v="Dip Net"/>
    <s v="Otoliths and Scales"/>
    <n v="6"/>
    <s v="12"/>
    <m/>
    <m/>
    <s v="Resorbed Age Interpretation. Resorption affecting age and missing 1 marine annulus"/>
    <x v="0"/>
  </r>
  <r>
    <n v="131285"/>
    <x v="2"/>
    <x v="1"/>
    <s v="8"/>
    <x v="6"/>
    <s v="1013162"/>
    <s v="2024-09-14"/>
    <s v="2024-09-25"/>
    <x v="0"/>
    <s v="Adult"/>
    <s v="Escapement"/>
    <s v="Dip Net"/>
    <s v="Otoliths and Scales"/>
    <n v="7"/>
    <s v="12"/>
    <m/>
    <m/>
    <s v="Resorbed Age Interpretation. Resorption affecting age and missing 1 marine annulus"/>
    <x v="0"/>
  </r>
  <r>
    <n v="131285"/>
    <x v="2"/>
    <x v="1"/>
    <s v="8"/>
    <x v="6"/>
    <s v="1048458"/>
    <s v="2024-09-25"/>
    <s v="2024-09-25"/>
    <x v="0"/>
    <s v="Adult"/>
    <s v="Escapement"/>
    <s v="Dip Net"/>
    <s v="Otoliths and Scales"/>
    <n v="1"/>
    <s v="12"/>
    <m/>
    <m/>
    <s v="Resorption present but not enough to suspect an annuli is missing.  Age unaffected."/>
    <x v="0"/>
  </r>
  <r>
    <n v="131285"/>
    <x v="2"/>
    <x v="1"/>
    <s v="8"/>
    <x v="6"/>
    <s v="1048458"/>
    <s v="2024-09-25"/>
    <s v="2024-09-25"/>
    <x v="0"/>
    <s v="Adult"/>
    <s v="Escapement"/>
    <s v="Dip Net"/>
    <s v="Otoliths and Scales"/>
    <n v="2"/>
    <s v="12"/>
    <m/>
    <m/>
    <s v="Resorption present but not enough to suspect an annuli is missing.  Age unaffected."/>
    <x v="0"/>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41539"/>
    <x v="3"/>
    <x v="0"/>
    <s v="8"/>
    <x v="1"/>
    <s v="1080831"/>
    <s v="2025-07-07"/>
    <s v="2025-07-27"/>
    <x v="0"/>
    <s v="Adult"/>
    <s v="First Nations - FSC"/>
    <s v="Gillnet"/>
    <s v="Scales"/>
    <n v="1"/>
    <s v="13"/>
    <m/>
    <m/>
    <m/>
    <x v="5"/>
  </r>
  <r>
    <n v="141539"/>
    <x v="3"/>
    <x v="0"/>
    <s v="8"/>
    <x v="1"/>
    <s v="1080831"/>
    <s v="2025-07-07"/>
    <s v="2025-07-27"/>
    <x v="0"/>
    <s v="Adult"/>
    <s v="First Nations - FSC"/>
    <s v="Gillnet"/>
    <s v="Scales"/>
    <n v="2"/>
    <s v="12"/>
    <m/>
    <m/>
    <m/>
    <x v="0"/>
  </r>
  <r>
    <n v="141539"/>
    <x v="3"/>
    <x v="0"/>
    <s v="8"/>
    <x v="1"/>
    <s v="1080831"/>
    <s v="2025-07-07"/>
    <s v="2025-07-27"/>
    <x v="0"/>
    <s v="Adult"/>
    <s v="First Nations - FSC"/>
    <s v="Gillnet"/>
    <s v="Scales"/>
    <n v="3"/>
    <s v="12"/>
    <m/>
    <m/>
    <m/>
    <x v="0"/>
  </r>
  <r>
    <n v="141539"/>
    <x v="3"/>
    <x v="0"/>
    <s v="8"/>
    <x v="1"/>
    <s v="1080831"/>
    <s v="2025-07-07"/>
    <s v="2025-07-27"/>
    <x v="0"/>
    <s v="Adult"/>
    <s v="First Nations - FSC"/>
    <s v="Gillnet"/>
    <s v="Scales"/>
    <n v="4"/>
    <s v="12"/>
    <m/>
    <m/>
    <m/>
    <x v="0"/>
  </r>
  <r>
    <n v="141539"/>
    <x v="3"/>
    <x v="0"/>
    <s v="8"/>
    <x v="1"/>
    <s v="1080831"/>
    <s v="2025-07-07"/>
    <s v="2025-07-27"/>
    <x v="0"/>
    <s v="Adult"/>
    <s v="First Nations - FSC"/>
    <s v="Gillnet"/>
    <s v="Scales"/>
    <n v="5"/>
    <s v="12"/>
    <m/>
    <m/>
    <m/>
    <x v="0"/>
  </r>
  <r>
    <n v="141539"/>
    <x v="3"/>
    <x v="0"/>
    <s v="8"/>
    <x v="1"/>
    <s v="1080831"/>
    <s v="2025-07-07"/>
    <s v="2025-07-27"/>
    <x v="0"/>
    <s v="Adult"/>
    <s v="First Nations - FSC"/>
    <s v="Gillnet"/>
    <s v="Scales"/>
    <n v="6"/>
    <s v="13"/>
    <m/>
    <m/>
    <m/>
    <x v="5"/>
  </r>
  <r>
    <n v="141539"/>
    <x v="3"/>
    <x v="0"/>
    <s v="8"/>
    <x v="1"/>
    <s v="1080831"/>
    <s v="2025-07-07"/>
    <s v="2025-07-27"/>
    <x v="0"/>
    <s v="Adult"/>
    <s v="First Nations - FSC"/>
    <s v="Gillnet"/>
    <s v="Scales"/>
    <n v="7"/>
    <s v="13"/>
    <m/>
    <m/>
    <m/>
    <x v="5"/>
  </r>
  <r>
    <n v="141539"/>
    <x v="3"/>
    <x v="0"/>
    <s v="8"/>
    <x v="1"/>
    <s v="1080831"/>
    <s v="2025-07-07"/>
    <s v="2025-07-27"/>
    <x v="0"/>
    <s v="Adult"/>
    <s v="First Nations - FSC"/>
    <s v="Gillnet"/>
    <s v="Scales"/>
    <n v="8"/>
    <s v="12"/>
    <m/>
    <m/>
    <m/>
    <x v="0"/>
  </r>
  <r>
    <n v="141539"/>
    <x v="3"/>
    <x v="0"/>
    <s v="8"/>
    <x v="1"/>
    <s v="1080831"/>
    <s v="2025-07-07"/>
    <s v="2025-07-27"/>
    <x v="0"/>
    <s v="Adult"/>
    <s v="First Nations - FSC"/>
    <s v="Gillnet"/>
    <s v="Scales"/>
    <n v="9"/>
    <s v="13"/>
    <m/>
    <m/>
    <m/>
    <x v="5"/>
  </r>
  <r>
    <n v="141539"/>
    <x v="3"/>
    <x v="0"/>
    <s v="8"/>
    <x v="1"/>
    <s v="1080831"/>
    <s v="2025-07-07"/>
    <s v="2025-07-27"/>
    <x v="0"/>
    <s v="Adult"/>
    <s v="First Nations - FSC"/>
    <s v="Gillnet"/>
    <s v="Scales"/>
    <n v="10"/>
    <s v="12"/>
    <m/>
    <m/>
    <m/>
    <x v="0"/>
  </r>
  <r>
    <n v="141539"/>
    <x v="3"/>
    <x v="0"/>
    <s v="8"/>
    <x v="1"/>
    <s v="1080831"/>
    <s v="2025-07-07"/>
    <s v="2025-07-27"/>
    <x v="0"/>
    <s v="Adult"/>
    <s v="First Nations - FSC"/>
    <s v="Gillnet"/>
    <s v="Scales"/>
    <n v="11"/>
    <s v="03"/>
    <m/>
    <m/>
    <m/>
    <x v="7"/>
  </r>
  <r>
    <n v="141539"/>
    <x v="3"/>
    <x v="0"/>
    <s v="8"/>
    <x v="1"/>
    <s v="1080831"/>
    <s v="2025-07-07"/>
    <s v="2025-07-27"/>
    <x v="0"/>
    <s v="Adult"/>
    <s v="First Nations - FSC"/>
    <s v="Gillnet"/>
    <s v="Scales"/>
    <n v="12"/>
    <s v="02"/>
    <m/>
    <m/>
    <m/>
    <x v="4"/>
  </r>
  <r>
    <n v="141539"/>
    <x v="3"/>
    <x v="0"/>
    <s v="8"/>
    <x v="1"/>
    <s v="1080831"/>
    <s v="2025-07-07"/>
    <s v="2025-07-27"/>
    <x v="0"/>
    <s v="Adult"/>
    <s v="First Nations - FSC"/>
    <s v="Gillnet"/>
    <s v="Scales"/>
    <n v="13"/>
    <s v="13"/>
    <m/>
    <m/>
    <m/>
    <x v="5"/>
  </r>
  <r>
    <n v="141539"/>
    <x v="3"/>
    <x v="0"/>
    <s v="8"/>
    <x v="1"/>
    <s v="1080831"/>
    <s v="2025-07-07"/>
    <s v="2025-07-27"/>
    <x v="0"/>
    <s v="Adult"/>
    <s v="First Nations - FSC"/>
    <s v="Gillnet"/>
    <s v="Scales"/>
    <n v="14"/>
    <s v="12"/>
    <m/>
    <m/>
    <m/>
    <x v="0"/>
  </r>
  <r>
    <n v="141539"/>
    <x v="3"/>
    <x v="0"/>
    <s v="8"/>
    <x v="1"/>
    <s v="1080831"/>
    <s v="2025-07-07"/>
    <s v="2025-07-27"/>
    <x v="0"/>
    <s v="Adult"/>
    <s v="First Nations - FSC"/>
    <s v="Gillnet"/>
    <s v="Scales"/>
    <n v="15"/>
    <s v="12"/>
    <m/>
    <m/>
    <m/>
    <x v="0"/>
  </r>
  <r>
    <n v="141539"/>
    <x v="3"/>
    <x v="0"/>
    <s v="8"/>
    <x v="1"/>
    <s v="1080831"/>
    <s v="2025-07-07"/>
    <s v="2025-07-27"/>
    <x v="0"/>
    <s v="Adult"/>
    <s v="First Nations - FSC"/>
    <s v="Gillnet"/>
    <s v="Scales"/>
    <n v="16"/>
    <s v="12"/>
    <m/>
    <m/>
    <m/>
    <x v="0"/>
  </r>
  <r>
    <n v="141539"/>
    <x v="3"/>
    <x v="0"/>
    <s v="8"/>
    <x v="1"/>
    <s v="1080831"/>
    <s v="2025-07-07"/>
    <s v="2025-07-27"/>
    <x v="0"/>
    <s v="Adult"/>
    <s v="First Nations - FSC"/>
    <s v="Gillnet"/>
    <s v="Scales"/>
    <n v="17"/>
    <m/>
    <s v="M2"/>
    <s v="Regenerate Scale"/>
    <m/>
    <x v="2"/>
  </r>
  <r>
    <n v="141539"/>
    <x v="3"/>
    <x v="0"/>
    <s v="8"/>
    <x v="1"/>
    <s v="1080831"/>
    <s v="2025-07-07"/>
    <s v="2025-07-27"/>
    <x v="0"/>
    <s v="Adult"/>
    <s v="First Nations - FSC"/>
    <s v="Gillnet"/>
    <s v="Scales"/>
    <n v="18"/>
    <s v="03"/>
    <m/>
    <m/>
    <m/>
    <x v="7"/>
  </r>
  <r>
    <n v="141539"/>
    <x v="3"/>
    <x v="0"/>
    <s v="8"/>
    <x v="1"/>
    <s v="1080831"/>
    <s v="2025-07-07"/>
    <s v="2025-07-27"/>
    <x v="0"/>
    <s v="Adult"/>
    <s v="First Nations - FSC"/>
    <s v="Gillnet"/>
    <s v="Scales"/>
    <n v="19"/>
    <m/>
    <m/>
    <s v="Regenerate Scale"/>
    <m/>
    <x v="1"/>
  </r>
  <r>
    <n v="141539"/>
    <x v="3"/>
    <x v="0"/>
    <s v="8"/>
    <x v="1"/>
    <s v="1080831"/>
    <s v="2025-07-07"/>
    <s v="2025-07-27"/>
    <x v="0"/>
    <s v="Adult"/>
    <s v="First Nations - FSC"/>
    <s v="Gillnet"/>
    <s v="Scales"/>
    <n v="20"/>
    <s v="12"/>
    <m/>
    <m/>
    <s v="Resorption present but not enough to suspect an annuli is missing.  Age unaffected."/>
    <x v="0"/>
  </r>
  <r>
    <n v="141539"/>
    <x v="3"/>
    <x v="0"/>
    <s v="8"/>
    <x v="1"/>
    <s v="1080831"/>
    <s v="2025-07-07"/>
    <s v="2025-07-27"/>
    <x v="0"/>
    <s v="Adult"/>
    <s v="First Nations - FSC"/>
    <s v="Gillnet"/>
    <s v="Scales"/>
    <n v="21"/>
    <s v="12"/>
    <m/>
    <m/>
    <m/>
    <x v="0"/>
  </r>
  <r>
    <n v="141539"/>
    <x v="3"/>
    <x v="0"/>
    <s v="8"/>
    <x v="1"/>
    <s v="1080831"/>
    <s v="2025-07-07"/>
    <s v="2025-07-27"/>
    <x v="0"/>
    <s v="Adult"/>
    <s v="First Nations - FSC"/>
    <s v="Gillnet"/>
    <s v="Scales"/>
    <n v="22"/>
    <m/>
    <s v="M2"/>
    <s v="Regenerate Scale"/>
    <m/>
    <x v="2"/>
  </r>
  <r>
    <n v="141539"/>
    <x v="3"/>
    <x v="0"/>
    <s v="8"/>
    <x v="1"/>
    <s v="1080831"/>
    <s v="2025-07-07"/>
    <s v="2025-07-27"/>
    <x v="0"/>
    <s v="Adult"/>
    <s v="First Nations - FSC"/>
    <s v="Gillnet"/>
    <s v="Scales"/>
    <n v="23"/>
    <s v="03"/>
    <m/>
    <m/>
    <m/>
    <x v="7"/>
  </r>
  <r>
    <n v="141539"/>
    <x v="3"/>
    <x v="0"/>
    <s v="8"/>
    <x v="1"/>
    <s v="1080831"/>
    <s v="2025-07-07"/>
    <s v="2025-07-27"/>
    <x v="0"/>
    <s v="Adult"/>
    <s v="First Nations - FSC"/>
    <s v="Gillnet"/>
    <s v="Scales"/>
    <n v="24"/>
    <s v="12"/>
    <m/>
    <m/>
    <m/>
    <x v="0"/>
  </r>
  <r>
    <n v="141539"/>
    <x v="3"/>
    <x v="0"/>
    <s v="8"/>
    <x v="1"/>
    <s v="1080831"/>
    <s v="2025-07-07"/>
    <s v="2025-07-27"/>
    <x v="0"/>
    <s v="Adult"/>
    <s v="First Nations - FSC"/>
    <s v="Gillnet"/>
    <s v="Scales"/>
    <n v="25"/>
    <m/>
    <s v="M2"/>
    <s v="Regenerate Scale"/>
    <s v="Resorption present but not enough to suspect an annuli is missing.  Age unaffected."/>
    <x v="2"/>
  </r>
  <r>
    <n v="141539"/>
    <x v="3"/>
    <x v="0"/>
    <s v="8"/>
    <x v="1"/>
    <s v="1080832"/>
    <s v="2025-07-21"/>
    <s v="2025-07-27"/>
    <x v="0"/>
    <s v="Adult"/>
    <s v="First Nations - FSC"/>
    <s v="Gillnet"/>
    <s v="Scales"/>
    <n v="1"/>
    <s v="12"/>
    <m/>
    <m/>
    <m/>
    <x v="0"/>
  </r>
  <r>
    <n v="141539"/>
    <x v="3"/>
    <x v="0"/>
    <s v="8"/>
    <x v="1"/>
    <s v="1080832"/>
    <s v="2025-07-21"/>
    <s v="2025-07-27"/>
    <x v="0"/>
    <s v="Adult"/>
    <s v="First Nations - FSC"/>
    <s v="Gillnet"/>
    <s v="Scales"/>
    <n v="2"/>
    <s v="13"/>
    <m/>
    <m/>
    <s v="Resorption present but not enough to suspect an annuli is missing.  Age unaffected."/>
    <x v="5"/>
  </r>
  <r>
    <n v="141539"/>
    <x v="3"/>
    <x v="0"/>
    <s v="8"/>
    <x v="1"/>
    <s v="1080832"/>
    <s v="2025-07-21"/>
    <s v="2025-07-27"/>
    <x v="0"/>
    <s v="Adult"/>
    <s v="First Nations - FSC"/>
    <s v="Gillnet"/>
    <s v="Scales"/>
    <n v="3"/>
    <s v="02"/>
    <m/>
    <m/>
    <s v="Resorption present but not enough to suspect an annuli is missing.  Age unaffected."/>
    <x v="4"/>
  </r>
  <r>
    <n v="141539"/>
    <x v="3"/>
    <x v="0"/>
    <s v="8"/>
    <x v="1"/>
    <s v="1080832"/>
    <s v="2025-07-21"/>
    <s v="2025-07-27"/>
    <x v="0"/>
    <s v="Adult"/>
    <s v="First Nations - FSC"/>
    <s v="Gillnet"/>
    <s v="Scales"/>
    <n v="4"/>
    <s v="13"/>
    <m/>
    <m/>
    <s v="Resorption present but not enough to suspect an annuli is missing.  Age unaffected."/>
    <x v="5"/>
  </r>
  <r>
    <n v="141539"/>
    <x v="3"/>
    <x v="0"/>
    <s v="8"/>
    <x v="1"/>
    <s v="1080832"/>
    <s v="2025-07-21"/>
    <s v="2025-07-27"/>
    <x v="0"/>
    <s v="Adult"/>
    <s v="First Nations - FSC"/>
    <s v="Gillnet"/>
    <s v="Scales"/>
    <n v="5"/>
    <s v="12"/>
    <m/>
    <m/>
    <s v="Resorption present but not enough to suspect an annuli is missing.  Age unaffected."/>
    <x v="0"/>
  </r>
  <r>
    <n v="141539"/>
    <x v="3"/>
    <x v="0"/>
    <s v="8"/>
    <x v="1"/>
    <s v="1080832"/>
    <s v="2025-07-21"/>
    <s v="2025-07-27"/>
    <x v="0"/>
    <s v="Adult"/>
    <s v="First Nations - FSC"/>
    <s v="Gillnet"/>
    <s v="Scales"/>
    <n v="6"/>
    <s v="13"/>
    <m/>
    <m/>
    <s v="Resorption present but not enough to suspect an annuli is missing.  Age unaffected."/>
    <x v="5"/>
  </r>
  <r>
    <n v="141539"/>
    <x v="3"/>
    <x v="0"/>
    <s v="8"/>
    <x v="1"/>
    <s v="1080832"/>
    <s v="2025-07-21"/>
    <s v="2025-07-27"/>
    <x v="0"/>
    <s v="Adult"/>
    <s v="First Nations - FSC"/>
    <s v="Gillnet"/>
    <s v="Scales"/>
    <n v="7"/>
    <s v="12"/>
    <m/>
    <m/>
    <m/>
    <x v="0"/>
  </r>
  <r>
    <n v="141539"/>
    <x v="3"/>
    <x v="0"/>
    <s v="8"/>
    <x v="1"/>
    <s v="1080832"/>
    <s v="2025-07-21"/>
    <s v="2025-07-27"/>
    <x v="0"/>
    <s v="Adult"/>
    <s v="First Nations - FSC"/>
    <s v="Gillnet"/>
    <s v="Scales"/>
    <n v="8"/>
    <s v="12"/>
    <m/>
    <m/>
    <s v="Resorption present but not enough to suspect an annuli is missing.  Age unaffected."/>
    <x v="0"/>
  </r>
  <r>
    <n v="141539"/>
    <x v="3"/>
    <x v="0"/>
    <s v="8"/>
    <x v="1"/>
    <s v="1080832"/>
    <s v="2025-07-21"/>
    <s v="2025-07-27"/>
    <x v="0"/>
    <s v="Adult"/>
    <s v="First Nations - FSC"/>
    <s v="Gillnet"/>
    <s v="Scales"/>
    <n v="9"/>
    <s v="22"/>
    <m/>
    <m/>
    <s v="Resorption present but not enough to suspect an annuli is missing.  Age unaffected."/>
    <x v="9"/>
  </r>
  <r>
    <n v="141539"/>
    <x v="3"/>
    <x v="0"/>
    <s v="8"/>
    <x v="1"/>
    <s v="1080832"/>
    <s v="2025-07-21"/>
    <s v="2025-07-27"/>
    <x v="0"/>
    <s v="Adult"/>
    <s v="First Nations - FSC"/>
    <s v="Gillnet"/>
    <s v="Scales"/>
    <n v="10"/>
    <s v="22"/>
    <m/>
    <m/>
    <m/>
    <x v="9"/>
  </r>
  <r>
    <n v="141539"/>
    <x v="3"/>
    <x v="0"/>
    <s v="8"/>
    <x v="1"/>
    <s v="1080832"/>
    <s v="2025-07-21"/>
    <s v="2025-07-27"/>
    <x v="0"/>
    <s v="Adult"/>
    <s v="First Nations - FSC"/>
    <s v="Gillnet"/>
    <s v="Scales"/>
    <n v="11"/>
    <m/>
    <s v="M2"/>
    <s v="Regenerate Scale"/>
    <s v="Resorption present but not enough to suspect an annuli is missing.  Age unaffected."/>
    <x v="2"/>
  </r>
  <r>
    <n v="141539"/>
    <x v="3"/>
    <x v="0"/>
    <s v="8"/>
    <x v="1"/>
    <s v="1080832"/>
    <s v="2025-07-21"/>
    <s v="2025-07-27"/>
    <x v="0"/>
    <s v="Adult"/>
    <s v="First Nations - FSC"/>
    <s v="Gillnet"/>
    <s v="Scales"/>
    <n v="12"/>
    <m/>
    <m/>
    <s v="No Structure"/>
    <m/>
    <x v="1"/>
  </r>
  <r>
    <n v="141539"/>
    <x v="3"/>
    <x v="0"/>
    <s v="8"/>
    <x v="1"/>
    <s v="1080832"/>
    <s v="2025-07-21"/>
    <s v="2025-07-27"/>
    <x v="0"/>
    <s v="Adult"/>
    <s v="First Nations - FSC"/>
    <s v="Gillnet"/>
    <s v="Scales"/>
    <n v="13"/>
    <m/>
    <m/>
    <s v="No Structure"/>
    <m/>
    <x v="1"/>
  </r>
  <r>
    <n v="141539"/>
    <x v="3"/>
    <x v="0"/>
    <s v="8"/>
    <x v="1"/>
    <s v="1080832"/>
    <s v="2025-07-21"/>
    <s v="2025-07-27"/>
    <x v="0"/>
    <s v="Adult"/>
    <s v="First Nations - FSC"/>
    <s v="Gillnet"/>
    <s v="Scales"/>
    <n v="14"/>
    <m/>
    <s v="M2"/>
    <s v="Regenerate Scale"/>
    <s v="Resorption present but not enough to suspect an annuli is missing.  Age unaffected."/>
    <x v="2"/>
  </r>
  <r>
    <n v="141539"/>
    <x v="3"/>
    <x v="0"/>
    <s v="8"/>
    <x v="1"/>
    <s v="1080832"/>
    <s v="2025-07-21"/>
    <s v="2025-07-27"/>
    <x v="0"/>
    <s v="Adult"/>
    <s v="First Nations - FSC"/>
    <s v="Gillnet"/>
    <s v="Scales"/>
    <n v="15"/>
    <s v="13"/>
    <m/>
    <m/>
    <m/>
    <x v="5"/>
  </r>
  <r>
    <n v="141539"/>
    <x v="3"/>
    <x v="0"/>
    <s v="8"/>
    <x v="1"/>
    <s v="1080832"/>
    <s v="2025-07-21"/>
    <s v="2025-07-27"/>
    <x v="0"/>
    <s v="Adult"/>
    <s v="First Nations - FSC"/>
    <s v="Gillnet"/>
    <s v="Scales"/>
    <n v="16"/>
    <s v="13"/>
    <m/>
    <m/>
    <s v="Resorption present but not enough to suspect an annuli is missing.  Age unaffected."/>
    <x v="5"/>
  </r>
  <r>
    <n v="141539"/>
    <x v="3"/>
    <x v="0"/>
    <s v="8"/>
    <x v="1"/>
    <s v="1080832"/>
    <s v="2025-07-21"/>
    <s v="2025-07-27"/>
    <x v="0"/>
    <s v="Adult"/>
    <s v="First Nations - FSC"/>
    <s v="Gillnet"/>
    <s v="Scales"/>
    <n v="17"/>
    <s v="12"/>
    <m/>
    <m/>
    <m/>
    <x v="0"/>
  </r>
  <r>
    <n v="141539"/>
    <x v="3"/>
    <x v="0"/>
    <s v="8"/>
    <x v="1"/>
    <s v="1080832"/>
    <s v="2025-07-21"/>
    <s v="2025-07-27"/>
    <x v="1"/>
    <s v="Adult"/>
    <s v="First Nations - FSC"/>
    <s v="Gillnet"/>
    <s v="Scales"/>
    <n v="18"/>
    <m/>
    <s v="M1"/>
    <s v="Regenerate Scale"/>
    <m/>
    <x v="12"/>
  </r>
  <r>
    <m/>
    <x v="4"/>
    <x v="2"/>
    <m/>
    <x v="9"/>
    <m/>
    <m/>
    <m/>
    <x v="2"/>
    <m/>
    <m/>
    <m/>
    <m/>
    <m/>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D7B65-33F4-4604-B12A-06B567079B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29" firstHeaderRow="1" firstDataRow="2" firstDataCol="1" rowPageCount="1" colPageCount="1"/>
  <pivotFields count="19">
    <pivotField showAll="0"/>
    <pivotField axis="axisRow" showAll="0">
      <items count="6">
        <item x="0"/>
        <item x="1"/>
        <item x="2"/>
        <item x="4"/>
        <item x="3"/>
        <item t="default"/>
      </items>
    </pivotField>
    <pivotField axis="axisRow" showAll="0">
      <items count="4">
        <item x="1"/>
        <item x="0"/>
        <item x="2"/>
        <item t="default"/>
      </items>
    </pivotField>
    <pivotField showAll="0"/>
    <pivotField axis="axisRow" showAll="0">
      <items count="11">
        <item x="7"/>
        <item x="2"/>
        <item x="5"/>
        <item x="1"/>
        <item x="0"/>
        <item x="3"/>
        <item x="6"/>
        <item x="8"/>
        <item x="4"/>
        <item x="9"/>
        <item t="default"/>
      </items>
    </pivotField>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dataField="1" showAll="0">
      <items count="14">
        <item x="11"/>
        <item x="8"/>
        <item x="2"/>
        <item x="4"/>
        <item x="3"/>
        <item x="6"/>
        <item x="7"/>
        <item x="0"/>
        <item x="5"/>
        <item x="9"/>
        <item x="10"/>
        <item x="1"/>
        <item x="12"/>
        <item t="default"/>
      </items>
    </pivotField>
  </pivotFields>
  <rowFields count="3">
    <field x="2"/>
    <field x="1"/>
    <field x="4"/>
  </rowFields>
  <rowItems count="25">
    <i>
      <x/>
    </i>
    <i r="1">
      <x/>
    </i>
    <i r="2">
      <x v="1"/>
    </i>
    <i r="2">
      <x v="5"/>
    </i>
    <i r="2">
      <x v="8"/>
    </i>
    <i r="1">
      <x v="1"/>
    </i>
    <i r="2">
      <x v="2"/>
    </i>
    <i r="2">
      <x v="5"/>
    </i>
    <i r="2">
      <x v="6"/>
    </i>
    <i r="1">
      <x v="2"/>
    </i>
    <i r="2">
      <x/>
    </i>
    <i r="2">
      <x v="5"/>
    </i>
    <i r="2">
      <x v="6"/>
    </i>
    <i r="2">
      <x v="7"/>
    </i>
    <i r="2">
      <x v="8"/>
    </i>
    <i>
      <x v="1"/>
    </i>
    <i r="1">
      <x/>
    </i>
    <i r="2">
      <x v="4"/>
    </i>
    <i r="1">
      <x v="1"/>
    </i>
    <i r="2">
      <x v="3"/>
    </i>
    <i r="1">
      <x v="2"/>
    </i>
    <i r="2">
      <x v="3"/>
    </i>
    <i r="1">
      <x v="4"/>
    </i>
    <i r="2">
      <x v="3"/>
    </i>
    <i t="grand">
      <x/>
    </i>
  </rowItems>
  <colFields count="1">
    <field x="18"/>
  </colFields>
  <colItems count="13">
    <i>
      <x/>
    </i>
    <i>
      <x v="1"/>
    </i>
    <i>
      <x v="2"/>
    </i>
    <i>
      <x v="3"/>
    </i>
    <i>
      <x v="4"/>
    </i>
    <i>
      <x v="5"/>
    </i>
    <i>
      <x v="6"/>
    </i>
    <i>
      <x v="7"/>
    </i>
    <i>
      <x v="8"/>
    </i>
    <i>
      <x v="9"/>
    </i>
    <i>
      <x v="10"/>
    </i>
    <i>
      <x v="11"/>
    </i>
    <i t="grand">
      <x/>
    </i>
  </colItems>
  <pageFields count="1">
    <pageField fld="8" item="1"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5FD19-A247-4496-84C2-18BC66AEC2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10" firstHeaderRow="1" firstDataRow="2" firstDataCol="1" rowPageCount="2" colPageCount="1"/>
  <pivotFields count="19">
    <pivotField showAll="0"/>
    <pivotField axis="axisRow" showAll="0">
      <items count="6">
        <item x="0"/>
        <item x="1"/>
        <item x="2"/>
        <item x="3"/>
        <item x="4"/>
        <item t="default"/>
      </items>
    </pivotField>
    <pivotField axis="axisPage" showAll="0">
      <items count="4">
        <item x="1"/>
        <item x="0"/>
        <item x="2"/>
        <item t="default"/>
      </items>
    </pivotField>
    <pivotField showAll="0"/>
    <pivotField axis="axisPage" multipleItemSelectionAllowed="1" showAll="0">
      <items count="11">
        <item h="1" x="7"/>
        <item h="1" x="2"/>
        <item h="1" x="5"/>
        <item x="1"/>
        <item x="0"/>
        <item h="1" x="3"/>
        <item h="1" x="6"/>
        <item h="1" x="8"/>
        <item h="1" x="4"/>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4">
        <item h="1" x="11"/>
        <item h="1" x="8"/>
        <item h="1" x="12"/>
        <item h="1" x="2"/>
        <item x="4"/>
        <item x="3"/>
        <item h="1" x="6"/>
        <item x="7"/>
        <item x="0"/>
        <item x="5"/>
        <item x="9"/>
        <item x="10"/>
        <item h="1" x="1"/>
        <item t="default"/>
      </items>
    </pivotField>
  </pivotFields>
  <rowFields count="1">
    <field x="1"/>
  </rowFields>
  <rowItems count="5">
    <i>
      <x/>
    </i>
    <i>
      <x v="1"/>
    </i>
    <i>
      <x v="2"/>
    </i>
    <i>
      <x v="3"/>
    </i>
    <i t="grand">
      <x/>
    </i>
  </rowItems>
  <colFields count="1">
    <field x="18"/>
  </colFields>
  <colItems count="7">
    <i>
      <x v="4"/>
    </i>
    <i>
      <x v="5"/>
    </i>
    <i>
      <x v="7"/>
    </i>
    <i>
      <x v="8"/>
    </i>
    <i>
      <x v="9"/>
    </i>
    <i>
      <x v="10"/>
    </i>
    <i t="grand">
      <x/>
    </i>
  </colItems>
  <pageFields count="2">
    <pageField fld="2" item="1" hier="-1"/>
    <pageField fld="4"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038E8-1ACE-4EBF-B1F4-F031708600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I20" firstHeaderRow="1" firstDataRow="2" firstDataCol="1" rowPageCount="1" colPageCount="1"/>
  <pivotFields count="19">
    <pivotField showAll="0"/>
    <pivotField axis="axisRow" showAll="0">
      <items count="6">
        <item x="0"/>
        <item x="1"/>
        <item x="2"/>
        <item x="3"/>
        <item x="4"/>
        <item t="default"/>
      </items>
    </pivotField>
    <pivotField axis="axisPage" multipleItemSelectionAllowed="1" showAll="0">
      <items count="4">
        <item x="1"/>
        <item h="1" x="0"/>
        <item h="1" x="2"/>
        <item t="default"/>
      </items>
    </pivotField>
    <pivotField showAll="0"/>
    <pivotField axis="axisRow" multipleItemSelectionAllowed="1" showAll="0">
      <items count="11">
        <item x="7"/>
        <item x="2"/>
        <item x="5"/>
        <item x="1"/>
        <item x="0"/>
        <item x="3"/>
        <item x="6"/>
        <item x="8"/>
        <item x="4"/>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4">
        <item h="1" x="11"/>
        <item h="1" x="8"/>
        <item h="1" x="12"/>
        <item h="1" x="2"/>
        <item x="4"/>
        <item x="3"/>
        <item h="1" x="6"/>
        <item x="7"/>
        <item x="0"/>
        <item x="5"/>
        <item x="9"/>
        <item x="10"/>
        <item h="1" x="1"/>
        <item t="default"/>
      </items>
    </pivotField>
  </pivotFields>
  <rowFields count="2">
    <field x="1"/>
    <field x="4"/>
  </rowFields>
  <rowItems count="15">
    <i>
      <x/>
    </i>
    <i r="1">
      <x v="1"/>
    </i>
    <i r="1">
      <x v="5"/>
    </i>
    <i r="1">
      <x v="8"/>
    </i>
    <i>
      <x v="1"/>
    </i>
    <i r="1">
      <x v="2"/>
    </i>
    <i r="1">
      <x v="5"/>
    </i>
    <i r="1">
      <x v="6"/>
    </i>
    <i>
      <x v="2"/>
    </i>
    <i r="1">
      <x/>
    </i>
    <i r="1">
      <x v="5"/>
    </i>
    <i r="1">
      <x v="6"/>
    </i>
    <i r="1">
      <x v="7"/>
    </i>
    <i r="1">
      <x v="8"/>
    </i>
    <i t="grand">
      <x/>
    </i>
  </rowItems>
  <colFields count="1">
    <field x="18"/>
  </colFields>
  <colItems count="8">
    <i>
      <x v="4"/>
    </i>
    <i>
      <x v="5"/>
    </i>
    <i>
      <x v="7"/>
    </i>
    <i>
      <x v="8"/>
    </i>
    <i>
      <x v="9"/>
    </i>
    <i>
      <x v="10"/>
    </i>
    <i>
      <x v="11"/>
    </i>
    <i t="grand">
      <x/>
    </i>
  </colItems>
  <pageFields count="1">
    <pageField fld="2"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
  <sheetViews>
    <sheetView workbookViewId="0">
      <selection activeCell="D6" sqref="D6"/>
    </sheetView>
  </sheetViews>
  <sheetFormatPr defaultRowHeight="15" x14ac:dyDescent="0.25"/>
  <cols>
    <col min="5" max="5" width="30.7109375" customWidth="1"/>
  </cols>
  <sheetData>
    <row r="1" spans="1:2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v>102061</v>
      </c>
      <c r="B2" t="s">
        <v>23</v>
      </c>
      <c r="C2">
        <v>2022</v>
      </c>
      <c r="D2">
        <v>2022</v>
      </c>
      <c r="E2" t="s">
        <v>24</v>
      </c>
      <c r="F2" t="s">
        <v>25</v>
      </c>
      <c r="G2" t="s">
        <v>26</v>
      </c>
      <c r="H2" t="s">
        <v>27</v>
      </c>
      <c r="I2" s="1" t="s">
        <v>28</v>
      </c>
      <c r="J2" s="1" t="s">
        <v>29</v>
      </c>
      <c r="K2" t="s">
        <v>30</v>
      </c>
      <c r="L2" t="s">
        <v>31</v>
      </c>
      <c r="M2" t="s">
        <v>32</v>
      </c>
      <c r="N2" t="s">
        <v>33</v>
      </c>
      <c r="O2" t="s">
        <v>34</v>
      </c>
      <c r="P2">
        <v>2</v>
      </c>
      <c r="Q2" t="s">
        <v>35</v>
      </c>
      <c r="R2" t="s">
        <v>36</v>
      </c>
      <c r="S2" s="1" t="s">
        <v>37</v>
      </c>
      <c r="T2" s="1" t="s">
        <v>38</v>
      </c>
      <c r="U2">
        <v>27</v>
      </c>
      <c r="V2">
        <v>27</v>
      </c>
    </row>
    <row r="3" spans="1:23" x14ac:dyDescent="0.25">
      <c r="A3">
        <v>114303</v>
      </c>
      <c r="B3" t="s">
        <v>23</v>
      </c>
      <c r="C3">
        <v>2023</v>
      </c>
      <c r="D3">
        <v>2023</v>
      </c>
      <c r="E3" t="s">
        <v>24</v>
      </c>
      <c r="F3" t="s">
        <v>25</v>
      </c>
      <c r="G3" t="s">
        <v>26</v>
      </c>
      <c r="H3" t="s">
        <v>177</v>
      </c>
      <c r="I3" s="1" t="s">
        <v>178</v>
      </c>
      <c r="J3" s="1" t="s">
        <v>179</v>
      </c>
      <c r="K3" t="s">
        <v>180</v>
      </c>
      <c r="L3" t="s">
        <v>31</v>
      </c>
      <c r="M3" t="s">
        <v>32</v>
      </c>
      <c r="N3" t="s">
        <v>33</v>
      </c>
      <c r="O3" t="s">
        <v>181</v>
      </c>
      <c r="P3">
        <v>3</v>
      </c>
      <c r="Q3" t="s">
        <v>35</v>
      </c>
      <c r="R3" t="s">
        <v>36</v>
      </c>
      <c r="S3" s="1" t="s">
        <v>182</v>
      </c>
      <c r="T3" s="1" t="s">
        <v>183</v>
      </c>
      <c r="U3">
        <v>17</v>
      </c>
      <c r="V3">
        <v>17</v>
      </c>
    </row>
    <row r="4" spans="1:23" x14ac:dyDescent="0.25">
      <c r="A4">
        <v>128623</v>
      </c>
      <c r="B4" t="s">
        <v>23</v>
      </c>
      <c r="C4">
        <v>2024</v>
      </c>
      <c r="D4">
        <v>2024</v>
      </c>
      <c r="E4" t="s">
        <v>24</v>
      </c>
      <c r="F4" t="s">
        <v>25</v>
      </c>
      <c r="G4" t="s">
        <v>26</v>
      </c>
      <c r="H4" t="s">
        <v>177</v>
      </c>
      <c r="I4" s="1" t="s">
        <v>192</v>
      </c>
      <c r="J4" s="1" t="s">
        <v>193</v>
      </c>
      <c r="K4" t="s">
        <v>30</v>
      </c>
      <c r="L4" t="s">
        <v>31</v>
      </c>
      <c r="M4" t="s">
        <v>32</v>
      </c>
      <c r="N4" t="s">
        <v>33</v>
      </c>
      <c r="O4" t="s">
        <v>34</v>
      </c>
      <c r="P4">
        <v>1</v>
      </c>
      <c r="Q4" t="s">
        <v>35</v>
      </c>
      <c r="R4" t="s">
        <v>36</v>
      </c>
      <c r="S4" s="1" t="s">
        <v>194</v>
      </c>
      <c r="T4" s="1" t="s">
        <v>195</v>
      </c>
      <c r="U4">
        <v>12</v>
      </c>
      <c r="V4">
        <v>12</v>
      </c>
    </row>
    <row r="5" spans="1:23" x14ac:dyDescent="0.25">
      <c r="A5">
        <v>101623</v>
      </c>
      <c r="B5" t="s">
        <v>23</v>
      </c>
      <c r="C5">
        <v>2022</v>
      </c>
      <c r="D5">
        <v>2022</v>
      </c>
      <c r="E5" t="s">
        <v>200</v>
      </c>
      <c r="F5" t="s">
        <v>25</v>
      </c>
      <c r="G5" t="s">
        <v>26</v>
      </c>
      <c r="H5" t="s">
        <v>201</v>
      </c>
      <c r="I5" s="1" t="s">
        <v>202</v>
      </c>
      <c r="J5" s="1" t="s">
        <v>202</v>
      </c>
      <c r="K5" t="s">
        <v>30</v>
      </c>
      <c r="L5" t="s">
        <v>31</v>
      </c>
      <c r="M5" t="s">
        <v>32</v>
      </c>
      <c r="N5" t="s">
        <v>203</v>
      </c>
      <c r="O5" t="s">
        <v>204</v>
      </c>
      <c r="P5">
        <v>2</v>
      </c>
      <c r="Q5" t="s">
        <v>205</v>
      </c>
      <c r="R5" t="s">
        <v>206</v>
      </c>
      <c r="S5" s="1" t="s">
        <v>207</v>
      </c>
      <c r="T5" s="1" t="s">
        <v>208</v>
      </c>
      <c r="U5">
        <v>27</v>
      </c>
      <c r="V5">
        <v>14</v>
      </c>
    </row>
    <row r="6" spans="1:23" x14ac:dyDescent="0.25">
      <c r="A6">
        <v>101625</v>
      </c>
      <c r="B6" t="s">
        <v>23</v>
      </c>
      <c r="C6">
        <v>2022</v>
      </c>
      <c r="D6">
        <v>2022</v>
      </c>
      <c r="E6" t="s">
        <v>200</v>
      </c>
      <c r="F6" t="s">
        <v>25</v>
      </c>
      <c r="G6" t="s">
        <v>26</v>
      </c>
      <c r="H6" t="s">
        <v>201</v>
      </c>
      <c r="I6" s="1" t="s">
        <v>219</v>
      </c>
      <c r="J6" s="1" t="s">
        <v>220</v>
      </c>
      <c r="K6" t="s">
        <v>30</v>
      </c>
      <c r="L6" t="s">
        <v>31</v>
      </c>
      <c r="M6" t="s">
        <v>32</v>
      </c>
      <c r="N6" t="s">
        <v>203</v>
      </c>
      <c r="O6" t="s">
        <v>204</v>
      </c>
      <c r="P6">
        <v>3</v>
      </c>
      <c r="Q6" t="s">
        <v>205</v>
      </c>
      <c r="R6" t="s">
        <v>206</v>
      </c>
      <c r="S6" s="1" t="s">
        <v>207</v>
      </c>
      <c r="T6" s="1" t="s">
        <v>221</v>
      </c>
      <c r="U6">
        <v>33</v>
      </c>
      <c r="V6">
        <v>18</v>
      </c>
    </row>
    <row r="7" spans="1:23" x14ac:dyDescent="0.25">
      <c r="A7">
        <v>101627</v>
      </c>
      <c r="B7" t="s">
        <v>23</v>
      </c>
      <c r="C7">
        <v>2022</v>
      </c>
      <c r="D7">
        <v>2022</v>
      </c>
      <c r="E7" t="s">
        <v>200</v>
      </c>
      <c r="F7" t="s">
        <v>25</v>
      </c>
      <c r="G7" t="s">
        <v>26</v>
      </c>
      <c r="H7" t="s">
        <v>201</v>
      </c>
      <c r="I7" s="1" t="s">
        <v>232</v>
      </c>
      <c r="J7" s="1" t="s">
        <v>232</v>
      </c>
      <c r="K7" t="s">
        <v>30</v>
      </c>
      <c r="L7" t="s">
        <v>31</v>
      </c>
      <c r="M7" t="s">
        <v>32</v>
      </c>
      <c r="N7" t="s">
        <v>203</v>
      </c>
      <c r="O7" t="s">
        <v>204</v>
      </c>
      <c r="P7">
        <v>2</v>
      </c>
      <c r="Q7" t="s">
        <v>205</v>
      </c>
      <c r="R7" t="s">
        <v>206</v>
      </c>
      <c r="S7" s="1" t="s">
        <v>207</v>
      </c>
      <c r="T7" s="1" t="s">
        <v>208</v>
      </c>
      <c r="U7">
        <v>4</v>
      </c>
      <c r="V7">
        <v>2</v>
      </c>
    </row>
    <row r="8" spans="1:23" x14ac:dyDescent="0.25">
      <c r="A8">
        <v>101629</v>
      </c>
      <c r="B8" t="s">
        <v>23</v>
      </c>
      <c r="C8">
        <v>2022</v>
      </c>
      <c r="D8">
        <v>2022</v>
      </c>
      <c r="E8" t="s">
        <v>200</v>
      </c>
      <c r="F8" t="s">
        <v>25</v>
      </c>
      <c r="G8" t="s">
        <v>26</v>
      </c>
      <c r="H8" t="s">
        <v>201</v>
      </c>
      <c r="I8" s="1" t="s">
        <v>240</v>
      </c>
      <c r="J8" s="1" t="s">
        <v>232</v>
      </c>
      <c r="K8" t="s">
        <v>30</v>
      </c>
      <c r="L8" t="s">
        <v>31</v>
      </c>
      <c r="M8" t="s">
        <v>32</v>
      </c>
      <c r="N8" t="s">
        <v>203</v>
      </c>
      <c r="O8" t="s">
        <v>34</v>
      </c>
      <c r="P8">
        <v>3</v>
      </c>
      <c r="Q8" t="s">
        <v>35</v>
      </c>
      <c r="R8" t="s">
        <v>36</v>
      </c>
      <c r="S8" s="1" t="s">
        <v>207</v>
      </c>
      <c r="T8" s="1" t="s">
        <v>208</v>
      </c>
      <c r="U8">
        <v>29</v>
      </c>
      <c r="V8">
        <v>29</v>
      </c>
    </row>
    <row r="9" spans="1:23" x14ac:dyDescent="0.25">
      <c r="A9">
        <v>101631</v>
      </c>
      <c r="B9" t="s">
        <v>23</v>
      </c>
      <c r="C9">
        <v>2022</v>
      </c>
      <c r="D9">
        <v>2022</v>
      </c>
      <c r="E9" t="s">
        <v>200</v>
      </c>
      <c r="F9" t="s">
        <v>25</v>
      </c>
      <c r="G9" t="s">
        <v>26</v>
      </c>
      <c r="H9" t="s">
        <v>201</v>
      </c>
      <c r="I9" s="1" t="s">
        <v>202</v>
      </c>
      <c r="J9" s="1" t="s">
        <v>232</v>
      </c>
      <c r="K9" t="s">
        <v>30</v>
      </c>
      <c r="L9" t="s">
        <v>31</v>
      </c>
      <c r="M9" t="s">
        <v>32</v>
      </c>
      <c r="N9" t="s">
        <v>203</v>
      </c>
      <c r="O9" t="s">
        <v>204</v>
      </c>
      <c r="P9">
        <v>2</v>
      </c>
      <c r="Q9" t="s">
        <v>205</v>
      </c>
      <c r="R9" t="s">
        <v>206</v>
      </c>
      <c r="S9" s="1" t="s">
        <v>207</v>
      </c>
      <c r="T9" s="1" t="s">
        <v>208</v>
      </c>
      <c r="U9">
        <v>10</v>
      </c>
      <c r="V9">
        <v>5</v>
      </c>
    </row>
    <row r="10" spans="1:23" x14ac:dyDescent="0.25">
      <c r="A10">
        <v>101633</v>
      </c>
      <c r="B10" t="s">
        <v>23</v>
      </c>
      <c r="C10">
        <v>2022</v>
      </c>
      <c r="D10">
        <v>2022</v>
      </c>
      <c r="E10" t="s">
        <v>200</v>
      </c>
      <c r="F10" t="s">
        <v>25</v>
      </c>
      <c r="G10" t="s">
        <v>26</v>
      </c>
      <c r="H10" t="s">
        <v>201</v>
      </c>
      <c r="I10" s="1" t="s">
        <v>243</v>
      </c>
      <c r="J10" s="1" t="s">
        <v>232</v>
      </c>
      <c r="K10" t="s">
        <v>30</v>
      </c>
      <c r="L10" t="s">
        <v>31</v>
      </c>
      <c r="M10" t="s">
        <v>32</v>
      </c>
      <c r="N10" t="s">
        <v>203</v>
      </c>
      <c r="O10" t="s">
        <v>34</v>
      </c>
      <c r="P10">
        <v>2</v>
      </c>
      <c r="Q10" t="s">
        <v>35</v>
      </c>
      <c r="R10" t="s">
        <v>36</v>
      </c>
      <c r="S10" s="1" t="s">
        <v>207</v>
      </c>
      <c r="T10" s="1" t="s">
        <v>208</v>
      </c>
      <c r="U10">
        <v>15</v>
      </c>
      <c r="V10">
        <v>15</v>
      </c>
    </row>
    <row r="11" spans="1:23" x14ac:dyDescent="0.25">
      <c r="A11">
        <v>101635</v>
      </c>
      <c r="B11" t="s">
        <v>23</v>
      </c>
      <c r="C11">
        <v>2022</v>
      </c>
      <c r="D11">
        <v>2022</v>
      </c>
      <c r="E11" t="s">
        <v>200</v>
      </c>
      <c r="F11" t="s">
        <v>25</v>
      </c>
      <c r="G11" t="s">
        <v>26</v>
      </c>
      <c r="H11" t="s">
        <v>201</v>
      </c>
      <c r="I11" s="1" t="s">
        <v>202</v>
      </c>
      <c r="J11" s="1" t="s">
        <v>202</v>
      </c>
      <c r="K11" t="s">
        <v>30</v>
      </c>
      <c r="L11" t="s">
        <v>31</v>
      </c>
      <c r="M11" t="s">
        <v>32</v>
      </c>
      <c r="N11" t="s">
        <v>203</v>
      </c>
      <c r="O11" t="s">
        <v>204</v>
      </c>
      <c r="P11">
        <v>2</v>
      </c>
      <c r="Q11" t="s">
        <v>205</v>
      </c>
      <c r="R11" t="s">
        <v>206</v>
      </c>
      <c r="S11" s="1" t="s">
        <v>207</v>
      </c>
      <c r="T11" s="1" t="s">
        <v>208</v>
      </c>
      <c r="U11">
        <v>6</v>
      </c>
      <c r="V11">
        <v>3</v>
      </c>
    </row>
    <row r="12" spans="1:23" x14ac:dyDescent="0.25">
      <c r="A12">
        <v>102641</v>
      </c>
      <c r="B12" t="s">
        <v>23</v>
      </c>
      <c r="C12">
        <v>2022</v>
      </c>
      <c r="D12">
        <v>2022</v>
      </c>
      <c r="E12" t="s">
        <v>200</v>
      </c>
      <c r="F12" t="s">
        <v>25</v>
      </c>
      <c r="G12" t="s">
        <v>26</v>
      </c>
      <c r="H12" t="s">
        <v>265</v>
      </c>
      <c r="I12" s="1" t="s">
        <v>266</v>
      </c>
      <c r="J12" s="1" t="s">
        <v>267</v>
      </c>
      <c r="K12" t="s">
        <v>30</v>
      </c>
      <c r="L12" t="s">
        <v>31</v>
      </c>
      <c r="M12" t="s">
        <v>32</v>
      </c>
      <c r="N12" t="s">
        <v>203</v>
      </c>
      <c r="O12" t="s">
        <v>34</v>
      </c>
      <c r="P12">
        <v>4</v>
      </c>
      <c r="Q12" t="s">
        <v>205</v>
      </c>
      <c r="R12" t="s">
        <v>206</v>
      </c>
      <c r="S12" s="1" t="s">
        <v>268</v>
      </c>
      <c r="T12" s="1" t="s">
        <v>221</v>
      </c>
      <c r="U12">
        <v>144</v>
      </c>
      <c r="V12">
        <v>93</v>
      </c>
    </row>
    <row r="13" spans="1:23" x14ac:dyDescent="0.25">
      <c r="A13">
        <v>102661</v>
      </c>
      <c r="B13" t="s">
        <v>23</v>
      </c>
      <c r="C13">
        <v>2022</v>
      </c>
      <c r="D13">
        <v>2022</v>
      </c>
      <c r="E13" t="s">
        <v>200</v>
      </c>
      <c r="F13" t="s">
        <v>25</v>
      </c>
      <c r="G13" t="s">
        <v>26</v>
      </c>
      <c r="H13" t="s">
        <v>279</v>
      </c>
      <c r="I13" s="1" t="s">
        <v>243</v>
      </c>
      <c r="J13" s="1" t="s">
        <v>280</v>
      </c>
      <c r="K13" t="s">
        <v>30</v>
      </c>
      <c r="L13" t="s">
        <v>31</v>
      </c>
      <c r="M13" t="s">
        <v>32</v>
      </c>
      <c r="N13" t="s">
        <v>203</v>
      </c>
      <c r="O13" t="s">
        <v>34</v>
      </c>
      <c r="P13">
        <v>5</v>
      </c>
      <c r="Q13" t="s">
        <v>205</v>
      </c>
      <c r="R13" t="s">
        <v>206</v>
      </c>
      <c r="S13" s="1" t="s">
        <v>281</v>
      </c>
      <c r="T13" s="1" t="s">
        <v>221</v>
      </c>
      <c r="U13">
        <v>175</v>
      </c>
      <c r="V13">
        <v>94</v>
      </c>
    </row>
    <row r="14" spans="1:23" x14ac:dyDescent="0.25">
      <c r="A14">
        <v>113245</v>
      </c>
      <c r="B14" t="s">
        <v>23</v>
      </c>
      <c r="C14">
        <v>2023</v>
      </c>
      <c r="D14">
        <v>2023</v>
      </c>
      <c r="E14" t="s">
        <v>200</v>
      </c>
      <c r="F14" t="s">
        <v>25</v>
      </c>
      <c r="G14" t="s">
        <v>26</v>
      </c>
      <c r="H14" t="s">
        <v>290</v>
      </c>
      <c r="I14" s="1" t="s">
        <v>291</v>
      </c>
      <c r="J14" s="1" t="s">
        <v>292</v>
      </c>
      <c r="K14" t="s">
        <v>30</v>
      </c>
      <c r="L14" t="s">
        <v>31</v>
      </c>
      <c r="M14" t="s">
        <v>32</v>
      </c>
      <c r="N14" t="s">
        <v>203</v>
      </c>
      <c r="O14" t="s">
        <v>204</v>
      </c>
      <c r="P14">
        <v>2</v>
      </c>
      <c r="Q14" t="s">
        <v>35</v>
      </c>
      <c r="R14" t="s">
        <v>206</v>
      </c>
      <c r="S14" s="1" t="s">
        <v>293</v>
      </c>
      <c r="T14" s="1" t="s">
        <v>294</v>
      </c>
      <c r="U14">
        <v>19</v>
      </c>
      <c r="V14">
        <v>10</v>
      </c>
    </row>
    <row r="15" spans="1:23" x14ac:dyDescent="0.25">
      <c r="A15">
        <v>113253</v>
      </c>
      <c r="B15" t="s">
        <v>23</v>
      </c>
      <c r="C15">
        <v>2023</v>
      </c>
      <c r="D15">
        <v>2023</v>
      </c>
      <c r="E15" t="s">
        <v>200</v>
      </c>
      <c r="F15" t="s">
        <v>25</v>
      </c>
      <c r="G15" t="s">
        <v>26</v>
      </c>
      <c r="H15" t="s">
        <v>265</v>
      </c>
      <c r="I15" s="1" t="s">
        <v>299</v>
      </c>
      <c r="J15" s="1" t="s">
        <v>292</v>
      </c>
      <c r="K15" t="s">
        <v>30</v>
      </c>
      <c r="L15" t="s">
        <v>31</v>
      </c>
      <c r="M15" t="s">
        <v>32</v>
      </c>
      <c r="N15" t="s">
        <v>203</v>
      </c>
      <c r="O15" t="s">
        <v>204</v>
      </c>
      <c r="P15">
        <v>1</v>
      </c>
      <c r="Q15" t="s">
        <v>35</v>
      </c>
      <c r="R15" t="s">
        <v>206</v>
      </c>
      <c r="S15" s="1" t="s">
        <v>293</v>
      </c>
      <c r="T15" s="1" t="s">
        <v>302</v>
      </c>
      <c r="U15">
        <v>1</v>
      </c>
      <c r="V15">
        <v>1</v>
      </c>
    </row>
    <row r="16" spans="1:23" x14ac:dyDescent="0.25">
      <c r="A16">
        <v>113281</v>
      </c>
      <c r="B16" t="s">
        <v>23</v>
      </c>
      <c r="C16">
        <v>2023</v>
      </c>
      <c r="D16">
        <v>2023</v>
      </c>
      <c r="E16" t="s">
        <v>200</v>
      </c>
      <c r="F16" t="s">
        <v>25</v>
      </c>
      <c r="G16" t="s">
        <v>26</v>
      </c>
      <c r="H16" t="s">
        <v>305</v>
      </c>
      <c r="I16" s="1" t="s">
        <v>291</v>
      </c>
      <c r="J16" s="1" t="s">
        <v>299</v>
      </c>
      <c r="K16" t="s">
        <v>30</v>
      </c>
      <c r="L16" t="s">
        <v>31</v>
      </c>
      <c r="M16" t="s">
        <v>32</v>
      </c>
      <c r="N16" t="s">
        <v>203</v>
      </c>
      <c r="O16" t="s">
        <v>34</v>
      </c>
      <c r="P16">
        <v>1</v>
      </c>
      <c r="Q16" t="s">
        <v>35</v>
      </c>
      <c r="R16" t="s">
        <v>36</v>
      </c>
      <c r="S16" s="1" t="s">
        <v>293</v>
      </c>
      <c r="T16" s="1" t="s">
        <v>294</v>
      </c>
      <c r="U16">
        <v>14</v>
      </c>
      <c r="V16">
        <v>14</v>
      </c>
    </row>
    <row r="17" spans="1:22" x14ac:dyDescent="0.25">
      <c r="A17">
        <v>131261</v>
      </c>
      <c r="B17" t="s">
        <v>23</v>
      </c>
      <c r="C17">
        <v>2024</v>
      </c>
      <c r="D17">
        <v>2024</v>
      </c>
      <c r="E17" t="s">
        <v>200</v>
      </c>
      <c r="F17" t="s">
        <v>25</v>
      </c>
      <c r="G17" t="s">
        <v>26</v>
      </c>
      <c r="H17" t="s">
        <v>279</v>
      </c>
      <c r="I17" s="1" t="s">
        <v>307</v>
      </c>
      <c r="J17" s="1" t="s">
        <v>308</v>
      </c>
      <c r="K17" t="s">
        <v>30</v>
      </c>
      <c r="L17" t="s">
        <v>31</v>
      </c>
      <c r="M17" t="s">
        <v>32</v>
      </c>
      <c r="N17" t="s">
        <v>203</v>
      </c>
      <c r="O17" t="s">
        <v>204</v>
      </c>
      <c r="P17">
        <v>3</v>
      </c>
      <c r="Q17" t="s">
        <v>309</v>
      </c>
      <c r="R17" t="s">
        <v>206</v>
      </c>
      <c r="S17" s="1" t="s">
        <v>194</v>
      </c>
      <c r="T17" s="1" t="s">
        <v>310</v>
      </c>
      <c r="U17">
        <v>60</v>
      </c>
      <c r="V17">
        <v>30</v>
      </c>
    </row>
    <row r="18" spans="1:22" x14ac:dyDescent="0.25">
      <c r="A18">
        <v>131281</v>
      </c>
      <c r="B18" t="s">
        <v>23</v>
      </c>
      <c r="C18">
        <v>2024</v>
      </c>
      <c r="D18">
        <v>2024</v>
      </c>
      <c r="E18" t="s">
        <v>200</v>
      </c>
      <c r="F18" t="s">
        <v>25</v>
      </c>
      <c r="G18" t="s">
        <v>26</v>
      </c>
      <c r="H18" t="s">
        <v>320</v>
      </c>
      <c r="I18" s="1" t="s">
        <v>312</v>
      </c>
      <c r="J18" s="1" t="s">
        <v>312</v>
      </c>
      <c r="K18" t="s">
        <v>30</v>
      </c>
      <c r="L18" t="s">
        <v>31</v>
      </c>
      <c r="M18" t="s">
        <v>32</v>
      </c>
      <c r="N18" t="s">
        <v>203</v>
      </c>
      <c r="O18" t="s">
        <v>321</v>
      </c>
      <c r="P18">
        <v>1</v>
      </c>
      <c r="Q18" t="s">
        <v>35</v>
      </c>
      <c r="R18" t="s">
        <v>36</v>
      </c>
      <c r="S18" s="1" t="s">
        <v>194</v>
      </c>
      <c r="T18" s="1" t="s">
        <v>310</v>
      </c>
      <c r="U18">
        <v>2</v>
      </c>
      <c r="V18">
        <v>2</v>
      </c>
    </row>
    <row r="19" spans="1:22" x14ac:dyDescent="0.25">
      <c r="A19">
        <v>131283</v>
      </c>
      <c r="B19" t="s">
        <v>23</v>
      </c>
      <c r="C19">
        <v>2024</v>
      </c>
      <c r="D19">
        <v>2024</v>
      </c>
      <c r="E19" t="s">
        <v>200</v>
      </c>
      <c r="F19" t="s">
        <v>25</v>
      </c>
      <c r="G19" t="s">
        <v>26</v>
      </c>
      <c r="H19" t="s">
        <v>265</v>
      </c>
      <c r="I19" s="1" t="s">
        <v>312</v>
      </c>
      <c r="J19" s="1" t="s">
        <v>312</v>
      </c>
      <c r="K19" t="s">
        <v>30</v>
      </c>
      <c r="L19" t="s">
        <v>31</v>
      </c>
      <c r="M19" t="s">
        <v>32</v>
      </c>
      <c r="N19" t="s">
        <v>203</v>
      </c>
      <c r="O19" t="s">
        <v>204</v>
      </c>
      <c r="P19">
        <v>1</v>
      </c>
      <c r="Q19" t="s">
        <v>35</v>
      </c>
      <c r="R19" t="s">
        <v>36</v>
      </c>
      <c r="S19" s="1" t="s">
        <v>194</v>
      </c>
      <c r="T19" s="1" t="s">
        <v>310</v>
      </c>
      <c r="U19">
        <v>2</v>
      </c>
      <c r="V19">
        <v>2</v>
      </c>
    </row>
    <row r="20" spans="1:22" x14ac:dyDescent="0.25">
      <c r="A20">
        <v>131285</v>
      </c>
      <c r="B20" t="s">
        <v>23</v>
      </c>
      <c r="C20">
        <v>2024</v>
      </c>
      <c r="D20">
        <v>2024</v>
      </c>
      <c r="E20" t="s">
        <v>200</v>
      </c>
      <c r="F20" t="s">
        <v>25</v>
      </c>
      <c r="G20" t="s">
        <v>26</v>
      </c>
      <c r="H20" t="s">
        <v>305</v>
      </c>
      <c r="I20" s="1" t="s">
        <v>307</v>
      </c>
      <c r="J20" s="1" t="s">
        <v>312</v>
      </c>
      <c r="K20" t="s">
        <v>30</v>
      </c>
      <c r="L20" t="s">
        <v>31</v>
      </c>
      <c r="M20" t="s">
        <v>32</v>
      </c>
      <c r="N20" t="s">
        <v>203</v>
      </c>
      <c r="O20" t="s">
        <v>321</v>
      </c>
      <c r="P20">
        <v>4</v>
      </c>
      <c r="Q20" t="s">
        <v>309</v>
      </c>
      <c r="R20" t="s">
        <v>206</v>
      </c>
      <c r="S20" s="1" t="s">
        <v>194</v>
      </c>
      <c r="T20" s="1" t="s">
        <v>310</v>
      </c>
      <c r="U20">
        <v>22</v>
      </c>
      <c r="V20">
        <v>19</v>
      </c>
    </row>
    <row r="21" spans="1:22" x14ac:dyDescent="0.25">
      <c r="A21">
        <v>131287</v>
      </c>
      <c r="B21" t="s">
        <v>23</v>
      </c>
      <c r="C21">
        <v>2024</v>
      </c>
      <c r="D21">
        <v>2024</v>
      </c>
      <c r="E21" t="s">
        <v>200</v>
      </c>
      <c r="F21" t="s">
        <v>25</v>
      </c>
      <c r="G21" t="s">
        <v>26</v>
      </c>
      <c r="H21" t="s">
        <v>330</v>
      </c>
      <c r="I21" s="1" t="s">
        <v>312</v>
      </c>
      <c r="J21" s="1" t="s">
        <v>312</v>
      </c>
      <c r="K21" t="s">
        <v>30</v>
      </c>
      <c r="L21" t="s">
        <v>31</v>
      </c>
      <c r="M21" t="s">
        <v>32</v>
      </c>
      <c r="N21" t="s">
        <v>203</v>
      </c>
      <c r="O21" t="s">
        <v>204</v>
      </c>
      <c r="P21">
        <v>2</v>
      </c>
      <c r="Q21" t="s">
        <v>309</v>
      </c>
      <c r="R21" t="s">
        <v>206</v>
      </c>
      <c r="S21" s="1" t="s">
        <v>194</v>
      </c>
      <c r="T21" s="1" t="s">
        <v>310</v>
      </c>
      <c r="U21">
        <v>6</v>
      </c>
      <c r="V21">
        <v>3</v>
      </c>
    </row>
    <row r="22" spans="1:22" x14ac:dyDescent="0.25">
      <c r="A22">
        <v>141539</v>
      </c>
      <c r="B22" t="s">
        <v>23</v>
      </c>
      <c r="C22">
        <v>2025</v>
      </c>
      <c r="D22">
        <v>2025</v>
      </c>
      <c r="E22" t="s">
        <v>24</v>
      </c>
      <c r="F22" t="s">
        <v>25</v>
      </c>
      <c r="G22" t="s">
        <v>26</v>
      </c>
      <c r="H22" t="s">
        <v>177</v>
      </c>
      <c r="I22" s="1" t="s">
        <v>340</v>
      </c>
      <c r="J22" s="1" t="s">
        <v>341</v>
      </c>
      <c r="K22" t="s">
        <v>30</v>
      </c>
      <c r="L22" t="s">
        <v>31</v>
      </c>
      <c r="M22" t="s">
        <v>32</v>
      </c>
      <c r="N22" t="s">
        <v>33</v>
      </c>
      <c r="O22" t="s">
        <v>34</v>
      </c>
      <c r="P22">
        <v>2</v>
      </c>
      <c r="Q22" t="s">
        <v>35</v>
      </c>
      <c r="R22" t="s">
        <v>36</v>
      </c>
      <c r="S22" s="1" t="s">
        <v>342</v>
      </c>
      <c r="T22" s="1" t="s">
        <v>343</v>
      </c>
      <c r="U22">
        <v>43</v>
      </c>
      <c r="V22">
        <v>43</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opLeftCell="A37" workbookViewId="0">
      <selection activeCell="A48" sqref="A48:I49"/>
    </sheetView>
  </sheetViews>
  <sheetFormatPr defaultRowHeight="15" x14ac:dyDescent="0.25"/>
  <sheetData>
    <row r="1" spans="1:9" x14ac:dyDescent="0.25">
      <c r="A1" s="2" t="s">
        <v>0</v>
      </c>
      <c r="B1" s="2" t="s">
        <v>39</v>
      </c>
      <c r="C1" s="2" t="s">
        <v>40</v>
      </c>
      <c r="D1" s="2" t="s">
        <v>41</v>
      </c>
      <c r="E1" s="2" t="s">
        <v>42</v>
      </c>
      <c r="F1" s="2" t="s">
        <v>43</v>
      </c>
      <c r="G1" s="2" t="s">
        <v>44</v>
      </c>
      <c r="H1" s="2" t="s">
        <v>16</v>
      </c>
      <c r="I1" s="2" t="s">
        <v>45</v>
      </c>
    </row>
    <row r="2" spans="1:9" x14ac:dyDescent="0.25">
      <c r="A2">
        <v>102061</v>
      </c>
      <c r="B2" t="s">
        <v>46</v>
      </c>
      <c r="D2" s="1" t="s">
        <v>28</v>
      </c>
      <c r="E2" s="1" t="s">
        <v>29</v>
      </c>
      <c r="F2" t="s">
        <v>47</v>
      </c>
      <c r="G2">
        <v>25</v>
      </c>
      <c r="H2" t="s">
        <v>48</v>
      </c>
    </row>
    <row r="3" spans="1:9" x14ac:dyDescent="0.25">
      <c r="A3">
        <v>102061</v>
      </c>
      <c r="B3" t="s">
        <v>49</v>
      </c>
      <c r="D3" s="1" t="s">
        <v>28</v>
      </c>
      <c r="E3" s="1" t="s">
        <v>29</v>
      </c>
      <c r="F3" t="s">
        <v>47</v>
      </c>
      <c r="G3">
        <v>2</v>
      </c>
      <c r="H3" t="s">
        <v>48</v>
      </c>
      <c r="I3" t="s">
        <v>50</v>
      </c>
    </row>
    <row r="4" spans="1:9" x14ac:dyDescent="0.25">
      <c r="A4">
        <v>114303</v>
      </c>
      <c r="B4" t="s">
        <v>184</v>
      </c>
      <c r="D4" s="1" t="s">
        <v>178</v>
      </c>
      <c r="E4" s="1" t="s">
        <v>185</v>
      </c>
      <c r="F4" t="s">
        <v>47</v>
      </c>
      <c r="G4">
        <v>4</v>
      </c>
      <c r="H4" t="s">
        <v>48</v>
      </c>
    </row>
    <row r="5" spans="1:9" x14ac:dyDescent="0.25">
      <c r="A5">
        <v>114303</v>
      </c>
      <c r="B5" t="s">
        <v>186</v>
      </c>
      <c r="D5" s="1" t="s">
        <v>187</v>
      </c>
      <c r="E5" s="1" t="s">
        <v>187</v>
      </c>
      <c r="F5" t="s">
        <v>47</v>
      </c>
      <c r="G5">
        <v>7</v>
      </c>
      <c r="H5" t="s">
        <v>48</v>
      </c>
    </row>
    <row r="6" spans="1:9" x14ac:dyDescent="0.25">
      <c r="A6">
        <v>114303</v>
      </c>
      <c r="B6" t="s">
        <v>188</v>
      </c>
      <c r="D6" s="1" t="s">
        <v>189</v>
      </c>
      <c r="E6" s="1" t="s">
        <v>179</v>
      </c>
      <c r="F6" t="s">
        <v>47</v>
      </c>
      <c r="G6">
        <v>6</v>
      </c>
      <c r="H6" t="s">
        <v>48</v>
      </c>
    </row>
    <row r="7" spans="1:9" x14ac:dyDescent="0.25">
      <c r="A7">
        <v>128623</v>
      </c>
      <c r="B7" t="s">
        <v>196</v>
      </c>
      <c r="D7" s="1" t="s">
        <v>192</v>
      </c>
      <c r="E7" s="1" t="s">
        <v>193</v>
      </c>
      <c r="F7" t="s">
        <v>47</v>
      </c>
      <c r="G7">
        <v>12</v>
      </c>
      <c r="H7" t="s">
        <v>48</v>
      </c>
    </row>
    <row r="8" spans="1:9" x14ac:dyDescent="0.25">
      <c r="A8">
        <v>101623</v>
      </c>
      <c r="B8" t="s">
        <v>209</v>
      </c>
      <c r="D8" s="1" t="s">
        <v>202</v>
      </c>
      <c r="E8" s="1" t="s">
        <v>202</v>
      </c>
      <c r="F8" t="s">
        <v>47</v>
      </c>
      <c r="G8">
        <v>14</v>
      </c>
      <c r="H8" t="s">
        <v>48</v>
      </c>
    </row>
    <row r="9" spans="1:9" x14ac:dyDescent="0.25">
      <c r="A9">
        <v>101623</v>
      </c>
      <c r="B9" t="s">
        <v>210</v>
      </c>
      <c r="C9" t="s">
        <v>211</v>
      </c>
      <c r="D9" s="1" t="s">
        <v>202</v>
      </c>
      <c r="E9" s="1" t="s">
        <v>202</v>
      </c>
      <c r="F9" t="s">
        <v>212</v>
      </c>
      <c r="G9">
        <v>13</v>
      </c>
      <c r="H9" t="s">
        <v>213</v>
      </c>
      <c r="I9" t="s">
        <v>214</v>
      </c>
    </row>
    <row r="10" spans="1:9" x14ac:dyDescent="0.25">
      <c r="A10">
        <v>101625</v>
      </c>
      <c r="B10" t="s">
        <v>222</v>
      </c>
      <c r="C10" t="s">
        <v>223</v>
      </c>
      <c r="D10" s="1" t="s">
        <v>219</v>
      </c>
      <c r="E10" s="1" t="s">
        <v>220</v>
      </c>
      <c r="F10" t="s">
        <v>47</v>
      </c>
      <c r="G10">
        <v>15</v>
      </c>
      <c r="H10" t="s">
        <v>48</v>
      </c>
      <c r="I10" t="s">
        <v>224</v>
      </c>
    </row>
    <row r="11" spans="1:9" x14ac:dyDescent="0.25">
      <c r="A11">
        <v>101625</v>
      </c>
      <c r="B11" t="s">
        <v>225</v>
      </c>
      <c r="C11" t="s">
        <v>226</v>
      </c>
      <c r="D11" s="1" t="s">
        <v>219</v>
      </c>
      <c r="E11" s="1" t="s">
        <v>220</v>
      </c>
      <c r="F11" t="s">
        <v>47</v>
      </c>
      <c r="G11">
        <v>3</v>
      </c>
      <c r="H11" t="s">
        <v>48</v>
      </c>
      <c r="I11" t="s">
        <v>227</v>
      </c>
    </row>
    <row r="12" spans="1:9" x14ac:dyDescent="0.25">
      <c r="A12">
        <v>101625</v>
      </c>
      <c r="B12" t="s">
        <v>228</v>
      </c>
      <c r="C12" t="s">
        <v>229</v>
      </c>
      <c r="D12" s="1" t="s">
        <v>230</v>
      </c>
      <c r="E12" s="1" t="s">
        <v>220</v>
      </c>
      <c r="F12" t="s">
        <v>212</v>
      </c>
      <c r="G12">
        <v>15</v>
      </c>
      <c r="H12" t="s">
        <v>213</v>
      </c>
      <c r="I12" t="s">
        <v>231</v>
      </c>
    </row>
    <row r="13" spans="1:9" x14ac:dyDescent="0.25">
      <c r="A13">
        <v>101627</v>
      </c>
      <c r="B13" t="s">
        <v>233</v>
      </c>
      <c r="C13" t="s">
        <v>234</v>
      </c>
      <c r="D13" s="1" t="s">
        <v>232</v>
      </c>
      <c r="E13" s="1" t="s">
        <v>232</v>
      </c>
      <c r="F13" t="s">
        <v>212</v>
      </c>
      <c r="G13">
        <v>2</v>
      </c>
      <c r="H13" t="s">
        <v>213</v>
      </c>
      <c r="I13" t="s">
        <v>235</v>
      </c>
    </row>
    <row r="14" spans="1:9" x14ac:dyDescent="0.25">
      <c r="A14">
        <v>101627</v>
      </c>
      <c r="B14" t="s">
        <v>236</v>
      </c>
      <c r="C14" t="s">
        <v>237</v>
      </c>
      <c r="D14" s="1" t="s">
        <v>232</v>
      </c>
      <c r="E14" s="1" t="s">
        <v>232</v>
      </c>
      <c r="F14" t="s">
        <v>47</v>
      </c>
      <c r="G14">
        <v>2</v>
      </c>
      <c r="H14" t="s">
        <v>238</v>
      </c>
      <c r="I14" t="s">
        <v>239</v>
      </c>
    </row>
    <row r="15" spans="1:9" x14ac:dyDescent="0.25">
      <c r="A15">
        <v>101629</v>
      </c>
      <c r="B15" t="s">
        <v>241</v>
      </c>
      <c r="C15" t="s">
        <v>242</v>
      </c>
      <c r="D15" s="1" t="s">
        <v>240</v>
      </c>
      <c r="E15" s="1" t="s">
        <v>243</v>
      </c>
      <c r="F15" t="s">
        <v>47</v>
      </c>
      <c r="G15">
        <v>10</v>
      </c>
      <c r="H15" t="s">
        <v>238</v>
      </c>
    </row>
    <row r="16" spans="1:9" x14ac:dyDescent="0.25">
      <c r="A16">
        <v>101629</v>
      </c>
      <c r="B16" t="s">
        <v>244</v>
      </c>
      <c r="C16" t="s">
        <v>245</v>
      </c>
      <c r="D16" s="1" t="s">
        <v>243</v>
      </c>
      <c r="E16" s="1" t="s">
        <v>232</v>
      </c>
      <c r="F16" t="s">
        <v>47</v>
      </c>
      <c r="G16">
        <v>10</v>
      </c>
      <c r="H16" t="s">
        <v>238</v>
      </c>
    </row>
    <row r="17" spans="1:9" x14ac:dyDescent="0.25">
      <c r="A17">
        <v>101629</v>
      </c>
      <c r="B17" t="s">
        <v>246</v>
      </c>
      <c r="C17" t="s">
        <v>247</v>
      </c>
      <c r="D17" s="1" t="s">
        <v>202</v>
      </c>
      <c r="E17" s="1" t="s">
        <v>232</v>
      </c>
      <c r="F17" t="s">
        <v>47</v>
      </c>
      <c r="G17">
        <v>9</v>
      </c>
      <c r="H17" t="s">
        <v>238</v>
      </c>
    </row>
    <row r="18" spans="1:9" x14ac:dyDescent="0.25">
      <c r="A18">
        <v>101631</v>
      </c>
      <c r="B18" t="s">
        <v>250</v>
      </c>
      <c r="C18" t="s">
        <v>251</v>
      </c>
      <c r="D18" s="1" t="s">
        <v>202</v>
      </c>
      <c r="E18" s="1" t="s">
        <v>232</v>
      </c>
      <c r="F18" t="s">
        <v>252</v>
      </c>
      <c r="G18">
        <v>5</v>
      </c>
      <c r="H18" t="s">
        <v>213</v>
      </c>
      <c r="I18" t="s">
        <v>253</v>
      </c>
    </row>
    <row r="19" spans="1:9" x14ac:dyDescent="0.25">
      <c r="A19">
        <v>101631</v>
      </c>
      <c r="B19" t="s">
        <v>254</v>
      </c>
      <c r="C19" t="s">
        <v>255</v>
      </c>
      <c r="D19" s="1" t="s">
        <v>202</v>
      </c>
      <c r="E19" s="1" t="s">
        <v>232</v>
      </c>
      <c r="F19" t="s">
        <v>47</v>
      </c>
      <c r="G19">
        <v>5</v>
      </c>
      <c r="H19" t="s">
        <v>238</v>
      </c>
      <c r="I19" t="s">
        <v>256</v>
      </c>
    </row>
    <row r="20" spans="1:9" x14ac:dyDescent="0.25">
      <c r="A20">
        <v>101633</v>
      </c>
      <c r="B20" t="s">
        <v>257</v>
      </c>
      <c r="C20" t="s">
        <v>258</v>
      </c>
      <c r="D20" s="1" t="s">
        <v>243</v>
      </c>
      <c r="E20" s="1" t="s">
        <v>243</v>
      </c>
      <c r="F20" t="s">
        <v>47</v>
      </c>
      <c r="G20">
        <v>7</v>
      </c>
      <c r="H20" t="s">
        <v>238</v>
      </c>
    </row>
    <row r="21" spans="1:9" x14ac:dyDescent="0.25">
      <c r="A21">
        <v>101633</v>
      </c>
      <c r="B21" t="s">
        <v>259</v>
      </c>
      <c r="C21" t="s">
        <v>260</v>
      </c>
      <c r="D21" s="1" t="s">
        <v>243</v>
      </c>
      <c r="E21" s="1" t="s">
        <v>232</v>
      </c>
      <c r="F21" t="s">
        <v>47</v>
      </c>
      <c r="G21">
        <v>8</v>
      </c>
      <c r="H21" t="s">
        <v>238</v>
      </c>
    </row>
    <row r="22" spans="1:9" x14ac:dyDescent="0.25">
      <c r="A22">
        <v>101635</v>
      </c>
      <c r="B22" t="s">
        <v>261</v>
      </c>
      <c r="D22" s="1" t="s">
        <v>202</v>
      </c>
      <c r="E22" s="1" t="s">
        <v>202</v>
      </c>
      <c r="F22" t="s">
        <v>47</v>
      </c>
      <c r="G22">
        <v>3</v>
      </c>
      <c r="H22" t="s">
        <v>48</v>
      </c>
    </row>
    <row r="23" spans="1:9" x14ac:dyDescent="0.25">
      <c r="A23">
        <v>101635</v>
      </c>
      <c r="B23" t="s">
        <v>262</v>
      </c>
      <c r="C23" t="s">
        <v>263</v>
      </c>
      <c r="D23" s="1" t="s">
        <v>202</v>
      </c>
      <c r="E23" s="1" t="s">
        <v>202</v>
      </c>
      <c r="F23" t="s">
        <v>212</v>
      </c>
      <c r="G23">
        <v>3</v>
      </c>
      <c r="H23" t="s">
        <v>213</v>
      </c>
      <c r="I23" t="s">
        <v>264</v>
      </c>
    </row>
    <row r="24" spans="1:9" x14ac:dyDescent="0.25">
      <c r="A24">
        <v>102641</v>
      </c>
      <c r="B24" t="s">
        <v>269</v>
      </c>
      <c r="D24" s="1" t="s">
        <v>266</v>
      </c>
      <c r="E24" s="1" t="s">
        <v>266</v>
      </c>
      <c r="F24" t="s">
        <v>47</v>
      </c>
      <c r="G24">
        <v>25</v>
      </c>
      <c r="H24" t="s">
        <v>48</v>
      </c>
    </row>
    <row r="25" spans="1:9" x14ac:dyDescent="0.25">
      <c r="A25">
        <v>102641</v>
      </c>
      <c r="B25" t="s">
        <v>270</v>
      </c>
      <c r="D25" s="1" t="s">
        <v>266</v>
      </c>
      <c r="E25" s="1" t="s">
        <v>267</v>
      </c>
      <c r="F25" t="s">
        <v>47</v>
      </c>
      <c r="G25">
        <v>18</v>
      </c>
      <c r="H25" t="s">
        <v>48</v>
      </c>
    </row>
    <row r="26" spans="1:9" x14ac:dyDescent="0.25">
      <c r="A26">
        <v>102641</v>
      </c>
      <c r="B26" t="s">
        <v>271</v>
      </c>
      <c r="D26" s="1" t="s">
        <v>266</v>
      </c>
      <c r="E26" s="1" t="s">
        <v>267</v>
      </c>
      <c r="F26" t="s">
        <v>212</v>
      </c>
      <c r="G26">
        <v>86</v>
      </c>
      <c r="H26" t="s">
        <v>272</v>
      </c>
      <c r="I26" t="s">
        <v>273</v>
      </c>
    </row>
    <row r="27" spans="1:9" x14ac:dyDescent="0.25">
      <c r="A27">
        <v>102641</v>
      </c>
      <c r="B27" t="s">
        <v>274</v>
      </c>
      <c r="D27" s="1" t="s">
        <v>267</v>
      </c>
      <c r="E27" s="1" t="s">
        <v>267</v>
      </c>
      <c r="F27" t="s">
        <v>47</v>
      </c>
      <c r="G27">
        <v>15</v>
      </c>
      <c r="H27" t="s">
        <v>48</v>
      </c>
    </row>
    <row r="28" spans="1:9" x14ac:dyDescent="0.25">
      <c r="A28">
        <v>102661</v>
      </c>
      <c r="B28" t="s">
        <v>282</v>
      </c>
      <c r="D28" s="1" t="s">
        <v>243</v>
      </c>
      <c r="E28" s="1" t="s">
        <v>266</v>
      </c>
      <c r="F28" t="s">
        <v>47</v>
      </c>
      <c r="G28">
        <v>25</v>
      </c>
      <c r="H28" t="s">
        <v>48</v>
      </c>
    </row>
    <row r="29" spans="1:9" x14ac:dyDescent="0.25">
      <c r="A29">
        <v>102661</v>
      </c>
      <c r="B29" t="s">
        <v>283</v>
      </c>
      <c r="D29" s="1" t="s">
        <v>243</v>
      </c>
      <c r="E29" s="1" t="s">
        <v>284</v>
      </c>
      <c r="F29" t="s">
        <v>212</v>
      </c>
      <c r="G29">
        <v>89</v>
      </c>
      <c r="H29" t="s">
        <v>213</v>
      </c>
      <c r="I29" t="s">
        <v>285</v>
      </c>
    </row>
    <row r="30" spans="1:9" x14ac:dyDescent="0.25">
      <c r="A30">
        <v>102661</v>
      </c>
      <c r="B30" t="s">
        <v>286</v>
      </c>
      <c r="D30" s="1" t="s">
        <v>266</v>
      </c>
      <c r="E30" s="1" t="s">
        <v>266</v>
      </c>
      <c r="F30" t="s">
        <v>47</v>
      </c>
      <c r="G30">
        <v>25</v>
      </c>
      <c r="H30" t="s">
        <v>48</v>
      </c>
    </row>
    <row r="31" spans="1:9" x14ac:dyDescent="0.25">
      <c r="A31">
        <v>102661</v>
      </c>
      <c r="B31" t="s">
        <v>287</v>
      </c>
      <c r="D31" s="1" t="s">
        <v>288</v>
      </c>
      <c r="E31" s="1" t="s">
        <v>280</v>
      </c>
      <c r="F31" t="s">
        <v>47</v>
      </c>
      <c r="G31">
        <v>25</v>
      </c>
      <c r="H31" t="s">
        <v>48</v>
      </c>
    </row>
    <row r="32" spans="1:9" x14ac:dyDescent="0.25">
      <c r="A32">
        <v>102661</v>
      </c>
      <c r="B32" t="s">
        <v>289</v>
      </c>
      <c r="D32" s="1" t="s">
        <v>280</v>
      </c>
      <c r="E32" s="1" t="s">
        <v>280</v>
      </c>
      <c r="F32" t="s">
        <v>47</v>
      </c>
      <c r="G32">
        <v>11</v>
      </c>
      <c r="H32" t="s">
        <v>48</v>
      </c>
    </row>
    <row r="33" spans="1:9" x14ac:dyDescent="0.25">
      <c r="A33">
        <v>113245</v>
      </c>
      <c r="B33" t="s">
        <v>295</v>
      </c>
      <c r="D33" s="1" t="s">
        <v>291</v>
      </c>
      <c r="E33" s="1" t="s">
        <v>292</v>
      </c>
      <c r="F33" t="s">
        <v>47</v>
      </c>
      <c r="G33">
        <v>10</v>
      </c>
      <c r="H33" t="s">
        <v>48</v>
      </c>
      <c r="I33" t="s">
        <v>296</v>
      </c>
    </row>
    <row r="34" spans="1:9" x14ac:dyDescent="0.25">
      <c r="A34">
        <v>113245</v>
      </c>
      <c r="B34" t="s">
        <v>297</v>
      </c>
      <c r="C34" t="s">
        <v>298</v>
      </c>
      <c r="D34" s="1" t="s">
        <v>299</v>
      </c>
      <c r="E34" s="1" t="s">
        <v>292</v>
      </c>
      <c r="F34" t="s">
        <v>212</v>
      </c>
      <c r="G34">
        <v>9</v>
      </c>
      <c r="H34" t="s">
        <v>213</v>
      </c>
      <c r="I34" t="s">
        <v>300</v>
      </c>
    </row>
    <row r="35" spans="1:9" x14ac:dyDescent="0.25">
      <c r="A35">
        <v>113253</v>
      </c>
      <c r="B35" t="s">
        <v>303</v>
      </c>
      <c r="C35" t="s">
        <v>298</v>
      </c>
      <c r="D35" s="1" t="s">
        <v>299</v>
      </c>
      <c r="E35" s="1" t="s">
        <v>292</v>
      </c>
      <c r="F35" t="s">
        <v>212</v>
      </c>
      <c r="G35">
        <v>1</v>
      </c>
      <c r="H35" t="s">
        <v>213</v>
      </c>
      <c r="I35" t="s">
        <v>304</v>
      </c>
    </row>
    <row r="36" spans="1:9" x14ac:dyDescent="0.25">
      <c r="A36">
        <v>113281</v>
      </c>
      <c r="B36" t="s">
        <v>306</v>
      </c>
      <c r="D36" s="1" t="s">
        <v>291</v>
      </c>
      <c r="E36" s="1" t="s">
        <v>299</v>
      </c>
      <c r="F36" t="s">
        <v>47</v>
      </c>
      <c r="G36">
        <v>14</v>
      </c>
      <c r="H36" t="s">
        <v>48</v>
      </c>
    </row>
    <row r="37" spans="1:9" x14ac:dyDescent="0.25">
      <c r="A37">
        <v>131261</v>
      </c>
      <c r="B37" t="s">
        <v>311</v>
      </c>
      <c r="D37" s="1" t="s">
        <v>307</v>
      </c>
      <c r="E37" s="1" t="s">
        <v>312</v>
      </c>
      <c r="F37" t="s">
        <v>212</v>
      </c>
      <c r="G37">
        <v>30</v>
      </c>
      <c r="H37" t="s">
        <v>213</v>
      </c>
      <c r="I37" t="s">
        <v>313</v>
      </c>
    </row>
    <row r="38" spans="1:9" x14ac:dyDescent="0.25">
      <c r="A38">
        <v>131261</v>
      </c>
      <c r="B38" t="s">
        <v>314</v>
      </c>
      <c r="D38" s="1" t="s">
        <v>315</v>
      </c>
      <c r="E38" s="1" t="s">
        <v>308</v>
      </c>
      <c r="F38" t="s">
        <v>47</v>
      </c>
      <c r="G38">
        <v>25</v>
      </c>
      <c r="H38" t="s">
        <v>48</v>
      </c>
      <c r="I38" t="s">
        <v>316</v>
      </c>
    </row>
    <row r="39" spans="1:9" x14ac:dyDescent="0.25">
      <c r="A39">
        <v>131261</v>
      </c>
      <c r="B39" t="s">
        <v>317</v>
      </c>
      <c r="D39" s="1" t="s">
        <v>315</v>
      </c>
      <c r="E39" s="1" t="s">
        <v>308</v>
      </c>
      <c r="F39" t="s">
        <v>47</v>
      </c>
      <c r="G39">
        <v>5</v>
      </c>
      <c r="H39" t="s">
        <v>48</v>
      </c>
      <c r="I39" t="s">
        <v>318</v>
      </c>
    </row>
    <row r="40" spans="1:9" x14ac:dyDescent="0.25">
      <c r="A40">
        <v>131281</v>
      </c>
      <c r="B40" t="s">
        <v>322</v>
      </c>
      <c r="D40" s="1" t="s">
        <v>312</v>
      </c>
      <c r="E40" s="1" t="s">
        <v>312</v>
      </c>
      <c r="F40" t="s">
        <v>47</v>
      </c>
      <c r="G40">
        <v>2</v>
      </c>
      <c r="H40" t="s">
        <v>238</v>
      </c>
    </row>
    <row r="41" spans="1:9" x14ac:dyDescent="0.25">
      <c r="A41">
        <v>131283</v>
      </c>
      <c r="B41" t="s">
        <v>323</v>
      </c>
      <c r="D41" s="1" t="s">
        <v>312</v>
      </c>
      <c r="E41" s="1" t="s">
        <v>312</v>
      </c>
      <c r="F41" t="s">
        <v>47</v>
      </c>
      <c r="G41">
        <v>2</v>
      </c>
      <c r="H41" t="s">
        <v>48</v>
      </c>
    </row>
    <row r="42" spans="1:9" x14ac:dyDescent="0.25">
      <c r="A42">
        <v>131285</v>
      </c>
      <c r="B42" t="s">
        <v>324</v>
      </c>
      <c r="D42" s="1" t="s">
        <v>307</v>
      </c>
      <c r="E42" s="1" t="s">
        <v>312</v>
      </c>
      <c r="F42" t="s">
        <v>47</v>
      </c>
      <c r="G42">
        <v>10</v>
      </c>
      <c r="H42" t="s">
        <v>238</v>
      </c>
      <c r="I42" t="s">
        <v>325</v>
      </c>
    </row>
    <row r="43" spans="1:9" x14ac:dyDescent="0.25">
      <c r="A43">
        <v>131285</v>
      </c>
      <c r="B43" t="s">
        <v>326</v>
      </c>
      <c r="D43" s="1" t="s">
        <v>307</v>
      </c>
      <c r="E43" s="1" t="s">
        <v>312</v>
      </c>
      <c r="F43" t="s">
        <v>47</v>
      </c>
      <c r="G43">
        <v>7</v>
      </c>
      <c r="H43" t="s">
        <v>238</v>
      </c>
    </row>
    <row r="44" spans="1:9" x14ac:dyDescent="0.25">
      <c r="A44">
        <v>131285</v>
      </c>
      <c r="B44" t="s">
        <v>327</v>
      </c>
      <c r="D44" s="1" t="s">
        <v>307</v>
      </c>
      <c r="E44" s="1" t="s">
        <v>312</v>
      </c>
      <c r="F44" t="s">
        <v>212</v>
      </c>
      <c r="G44">
        <v>3</v>
      </c>
      <c r="H44" t="s">
        <v>213</v>
      </c>
    </row>
    <row r="45" spans="1:9" x14ac:dyDescent="0.25">
      <c r="A45">
        <v>131285</v>
      </c>
      <c r="B45" t="s">
        <v>328</v>
      </c>
      <c r="D45" s="1" t="s">
        <v>312</v>
      </c>
      <c r="E45" s="1" t="s">
        <v>312</v>
      </c>
      <c r="F45" t="s">
        <v>47</v>
      </c>
      <c r="G45">
        <v>2</v>
      </c>
      <c r="H45" t="s">
        <v>48</v>
      </c>
      <c r="I45" t="s">
        <v>329</v>
      </c>
    </row>
    <row r="46" spans="1:9" x14ac:dyDescent="0.25">
      <c r="A46">
        <v>131287</v>
      </c>
      <c r="B46" t="s">
        <v>331</v>
      </c>
      <c r="D46" s="1" t="s">
        <v>312</v>
      </c>
      <c r="E46" s="1" t="s">
        <v>312</v>
      </c>
      <c r="F46" t="s">
        <v>47</v>
      </c>
      <c r="G46">
        <v>3</v>
      </c>
      <c r="H46" t="s">
        <v>48</v>
      </c>
      <c r="I46" t="s">
        <v>332</v>
      </c>
    </row>
    <row r="47" spans="1:9" x14ac:dyDescent="0.25">
      <c r="A47">
        <v>131287</v>
      </c>
      <c r="B47" t="s">
        <v>333</v>
      </c>
      <c r="D47" s="1" t="s">
        <v>312</v>
      </c>
      <c r="E47" s="1" t="s">
        <v>312</v>
      </c>
      <c r="F47" t="s">
        <v>212</v>
      </c>
      <c r="G47">
        <v>3</v>
      </c>
      <c r="H47" t="s">
        <v>213</v>
      </c>
      <c r="I47" t="s">
        <v>334</v>
      </c>
    </row>
    <row r="48" spans="1:9" x14ac:dyDescent="0.25">
      <c r="A48">
        <v>141539</v>
      </c>
      <c r="B48" t="s">
        <v>344</v>
      </c>
      <c r="D48" s="1" t="s">
        <v>340</v>
      </c>
      <c r="E48" s="1" t="s">
        <v>341</v>
      </c>
      <c r="F48" t="s">
        <v>47</v>
      </c>
      <c r="G48">
        <v>25</v>
      </c>
      <c r="H48" t="s">
        <v>48</v>
      </c>
    </row>
    <row r="49" spans="1:9" x14ac:dyDescent="0.25">
      <c r="A49">
        <v>141539</v>
      </c>
      <c r="B49" t="s">
        <v>345</v>
      </c>
      <c r="D49" s="1" t="s">
        <v>346</v>
      </c>
      <c r="E49" s="1" t="s">
        <v>341</v>
      </c>
      <c r="F49" t="s">
        <v>47</v>
      </c>
      <c r="G49">
        <v>18</v>
      </c>
      <c r="H49" t="s">
        <v>48</v>
      </c>
      <c r="I49" t="s">
        <v>347</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B895-930E-4093-B0AF-3713AC11B200}">
  <dimension ref="A1:N29"/>
  <sheetViews>
    <sheetView topLeftCell="A16" workbookViewId="0"/>
  </sheetViews>
  <sheetFormatPr defaultRowHeight="15" x14ac:dyDescent="0.25"/>
  <cols>
    <col min="1" max="1" width="32.7109375" bestFit="1" customWidth="1"/>
    <col min="2" max="2" width="16.28515625" bestFit="1" customWidth="1"/>
    <col min="3" max="3" width="3" bestFit="1" customWidth="1"/>
    <col min="4" max="4" width="3.85546875" bestFit="1" customWidth="1"/>
    <col min="5" max="6" width="3" bestFit="1" customWidth="1"/>
    <col min="7" max="7" width="3.85546875" bestFit="1" customWidth="1"/>
    <col min="8" max="8" width="3" bestFit="1" customWidth="1"/>
    <col min="9" max="9" width="4" bestFit="1" customWidth="1"/>
    <col min="10" max="12" width="3" bestFit="1" customWidth="1"/>
    <col min="13" max="13" width="7.28515625" bestFit="1" customWidth="1"/>
    <col min="14" max="14" width="11.28515625" bestFit="1" customWidth="1"/>
    <col min="15" max="15" width="7.5703125" bestFit="1" customWidth="1"/>
    <col min="16" max="16" width="8.5703125" bestFit="1" customWidth="1"/>
    <col min="17" max="17" width="2.85546875" bestFit="1" customWidth="1"/>
    <col min="18" max="19" width="3.5703125" bestFit="1" customWidth="1"/>
    <col min="20" max="20" width="6.85546875" bestFit="1" customWidth="1"/>
    <col min="21" max="21" width="11.5703125" bestFit="1" customWidth="1"/>
    <col min="22" max="22" width="10.7109375" bestFit="1" customWidth="1"/>
    <col min="23" max="23" width="19.7109375" bestFit="1" customWidth="1"/>
    <col min="24" max="24" width="17.42578125" bestFit="1" customWidth="1"/>
    <col min="25" max="25" width="22.140625" bestFit="1" customWidth="1"/>
    <col min="26" max="26" width="15" bestFit="1" customWidth="1"/>
    <col min="27" max="27" width="19.7109375" bestFit="1" customWidth="1"/>
    <col min="28" max="28" width="17.42578125" bestFit="1" customWidth="1"/>
    <col min="29" max="29" width="22.140625" bestFit="1" customWidth="1"/>
    <col min="30" max="30" width="15" bestFit="1" customWidth="1"/>
    <col min="31" max="31" width="19.7109375" bestFit="1" customWidth="1"/>
    <col min="32" max="32" width="15" bestFit="1" customWidth="1"/>
    <col min="33" max="33" width="19.7109375" bestFit="1" customWidth="1"/>
    <col min="34" max="34" width="15" bestFit="1" customWidth="1"/>
    <col min="35" max="35" width="19.7109375" bestFit="1" customWidth="1"/>
    <col min="36" max="36" width="15" bestFit="1" customWidth="1"/>
    <col min="37" max="37" width="19.7109375" bestFit="1" customWidth="1"/>
    <col min="38" max="38" width="15" bestFit="1" customWidth="1"/>
    <col min="39" max="39" width="19.7109375" bestFit="1" customWidth="1"/>
    <col min="40" max="40" width="21.5703125" bestFit="1" customWidth="1"/>
    <col min="41" max="41" width="26.42578125" bestFit="1" customWidth="1"/>
    <col min="42" max="42" width="19.7109375" bestFit="1" customWidth="1"/>
    <col min="43" max="43" width="24.5703125" bestFit="1" customWidth="1"/>
  </cols>
  <sheetData>
    <row r="1" spans="1:14" x14ac:dyDescent="0.25">
      <c r="A1" s="7" t="s">
        <v>11</v>
      </c>
      <c r="B1" t="s">
        <v>31</v>
      </c>
    </row>
    <row r="3" spans="1:14" x14ac:dyDescent="0.25">
      <c r="A3" s="7" t="s">
        <v>339</v>
      </c>
      <c r="B3" s="7" t="s">
        <v>338</v>
      </c>
    </row>
    <row r="4" spans="1:14" x14ac:dyDescent="0.25">
      <c r="A4" s="7" t="s">
        <v>335</v>
      </c>
      <c r="B4" t="s">
        <v>96</v>
      </c>
      <c r="C4" t="s">
        <v>100</v>
      </c>
      <c r="D4" t="s">
        <v>61</v>
      </c>
      <c r="E4" t="s">
        <v>67</v>
      </c>
      <c r="F4" t="s">
        <v>64</v>
      </c>
      <c r="G4" t="s">
        <v>71</v>
      </c>
      <c r="H4" t="s">
        <v>198</v>
      </c>
      <c r="I4" t="s">
        <v>58</v>
      </c>
      <c r="J4" t="s">
        <v>69</v>
      </c>
      <c r="K4" t="s">
        <v>276</v>
      </c>
      <c r="L4" t="s">
        <v>278</v>
      </c>
      <c r="M4" t="s">
        <v>336</v>
      </c>
      <c r="N4" t="s">
        <v>337</v>
      </c>
    </row>
    <row r="5" spans="1:14" x14ac:dyDescent="0.25">
      <c r="A5" s="8" t="s">
        <v>200</v>
      </c>
      <c r="B5">
        <v>3</v>
      </c>
      <c r="C5">
        <v>32</v>
      </c>
      <c r="D5">
        <v>5</v>
      </c>
      <c r="E5">
        <v>7</v>
      </c>
      <c r="F5">
        <v>6</v>
      </c>
      <c r="G5">
        <v>1</v>
      </c>
      <c r="H5">
        <v>11</v>
      </c>
      <c r="I5">
        <v>201</v>
      </c>
      <c r="J5">
        <v>65</v>
      </c>
      <c r="K5">
        <v>3</v>
      </c>
      <c r="L5">
        <v>2</v>
      </c>
      <c r="N5">
        <v>336</v>
      </c>
    </row>
    <row r="6" spans="1:14" x14ac:dyDescent="0.25">
      <c r="A6" s="9">
        <v>2022</v>
      </c>
      <c r="C6">
        <v>21</v>
      </c>
      <c r="D6">
        <v>3</v>
      </c>
      <c r="F6">
        <v>2</v>
      </c>
      <c r="H6">
        <v>8</v>
      </c>
      <c r="I6">
        <v>162</v>
      </c>
      <c r="J6">
        <v>53</v>
      </c>
      <c r="K6">
        <v>3</v>
      </c>
      <c r="L6">
        <v>2</v>
      </c>
      <c r="N6">
        <v>254</v>
      </c>
    </row>
    <row r="7" spans="1:14" x14ac:dyDescent="0.25">
      <c r="A7" s="10" t="s">
        <v>201</v>
      </c>
      <c r="C7">
        <v>20</v>
      </c>
      <c r="D7">
        <v>2</v>
      </c>
      <c r="F7">
        <v>1</v>
      </c>
      <c r="H7">
        <v>1</v>
      </c>
      <c r="I7">
        <v>45</v>
      </c>
      <c r="J7">
        <v>14</v>
      </c>
      <c r="N7">
        <v>83</v>
      </c>
    </row>
    <row r="8" spans="1:14" x14ac:dyDescent="0.25">
      <c r="A8" s="10" t="s">
        <v>265</v>
      </c>
      <c r="C8">
        <v>1</v>
      </c>
      <c r="D8">
        <v>1</v>
      </c>
      <c r="H8">
        <v>1</v>
      </c>
      <c r="I8">
        <v>53</v>
      </c>
      <c r="J8">
        <v>24</v>
      </c>
      <c r="K8">
        <v>3</v>
      </c>
      <c r="L8">
        <v>2</v>
      </c>
      <c r="N8">
        <v>85</v>
      </c>
    </row>
    <row r="9" spans="1:14" x14ac:dyDescent="0.25">
      <c r="A9" s="10" t="s">
        <v>279</v>
      </c>
      <c r="F9">
        <v>1</v>
      </c>
      <c r="H9">
        <v>6</v>
      </c>
      <c r="I9">
        <v>64</v>
      </c>
      <c r="J9">
        <v>15</v>
      </c>
      <c r="N9">
        <v>86</v>
      </c>
    </row>
    <row r="10" spans="1:14" x14ac:dyDescent="0.25">
      <c r="A10" s="9">
        <v>2023</v>
      </c>
      <c r="C10">
        <v>3</v>
      </c>
      <c r="F10">
        <v>2</v>
      </c>
      <c r="G10">
        <v>1</v>
      </c>
      <c r="I10">
        <v>9</v>
      </c>
      <c r="J10">
        <v>10</v>
      </c>
      <c r="N10">
        <v>25</v>
      </c>
    </row>
    <row r="11" spans="1:14" x14ac:dyDescent="0.25">
      <c r="A11" s="10" t="s">
        <v>290</v>
      </c>
      <c r="F11">
        <v>1</v>
      </c>
      <c r="I11">
        <v>2</v>
      </c>
      <c r="J11">
        <v>7</v>
      </c>
      <c r="N11">
        <v>10</v>
      </c>
    </row>
    <row r="12" spans="1:14" x14ac:dyDescent="0.25">
      <c r="A12" s="10" t="s">
        <v>265</v>
      </c>
      <c r="I12">
        <v>1</v>
      </c>
      <c r="N12">
        <v>1</v>
      </c>
    </row>
    <row r="13" spans="1:14" x14ac:dyDescent="0.25">
      <c r="A13" s="10" t="s">
        <v>305</v>
      </c>
      <c r="C13">
        <v>3</v>
      </c>
      <c r="F13">
        <v>1</v>
      </c>
      <c r="G13">
        <v>1</v>
      </c>
      <c r="I13">
        <v>6</v>
      </c>
      <c r="J13">
        <v>3</v>
      </c>
      <c r="N13">
        <v>14</v>
      </c>
    </row>
    <row r="14" spans="1:14" x14ac:dyDescent="0.25">
      <c r="A14" s="9">
        <v>2024</v>
      </c>
      <c r="B14">
        <v>3</v>
      </c>
      <c r="C14">
        <v>8</v>
      </c>
      <c r="D14">
        <v>2</v>
      </c>
      <c r="E14">
        <v>7</v>
      </c>
      <c r="F14">
        <v>2</v>
      </c>
      <c r="H14">
        <v>3</v>
      </c>
      <c r="I14">
        <v>30</v>
      </c>
      <c r="J14">
        <v>2</v>
      </c>
      <c r="N14">
        <v>57</v>
      </c>
    </row>
    <row r="15" spans="1:14" x14ac:dyDescent="0.25">
      <c r="A15" s="10" t="s">
        <v>320</v>
      </c>
      <c r="F15">
        <v>1</v>
      </c>
      <c r="I15">
        <v>1</v>
      </c>
      <c r="N15">
        <v>2</v>
      </c>
    </row>
    <row r="16" spans="1:14" x14ac:dyDescent="0.25">
      <c r="A16" s="10" t="s">
        <v>265</v>
      </c>
      <c r="F16">
        <v>1</v>
      </c>
      <c r="I16">
        <v>1</v>
      </c>
      <c r="N16">
        <v>2</v>
      </c>
    </row>
    <row r="17" spans="1:14" x14ac:dyDescent="0.25">
      <c r="A17" s="10" t="s">
        <v>305</v>
      </c>
      <c r="E17">
        <v>1</v>
      </c>
      <c r="H17">
        <v>1</v>
      </c>
      <c r="I17">
        <v>16</v>
      </c>
      <c r="N17">
        <v>18</v>
      </c>
    </row>
    <row r="18" spans="1:14" x14ac:dyDescent="0.25">
      <c r="A18" s="10" t="s">
        <v>330</v>
      </c>
      <c r="D18">
        <v>2</v>
      </c>
      <c r="E18">
        <v>2</v>
      </c>
      <c r="H18">
        <v>2</v>
      </c>
      <c r="N18">
        <v>6</v>
      </c>
    </row>
    <row r="19" spans="1:14" x14ac:dyDescent="0.25">
      <c r="A19" s="10" t="s">
        <v>279</v>
      </c>
      <c r="B19">
        <v>3</v>
      </c>
      <c r="C19">
        <v>8</v>
      </c>
      <c r="E19">
        <v>4</v>
      </c>
      <c r="I19">
        <v>12</v>
      </c>
      <c r="J19">
        <v>2</v>
      </c>
      <c r="N19">
        <v>29</v>
      </c>
    </row>
    <row r="20" spans="1:14" x14ac:dyDescent="0.25">
      <c r="A20" s="8" t="s">
        <v>24</v>
      </c>
      <c r="D20">
        <v>10</v>
      </c>
      <c r="E20">
        <v>3</v>
      </c>
      <c r="G20">
        <v>5</v>
      </c>
      <c r="H20">
        <v>5</v>
      </c>
      <c r="I20">
        <v>37</v>
      </c>
      <c r="J20">
        <v>14</v>
      </c>
      <c r="K20">
        <v>2</v>
      </c>
      <c r="N20">
        <v>76</v>
      </c>
    </row>
    <row r="21" spans="1:14" x14ac:dyDescent="0.25">
      <c r="A21" s="9">
        <v>2022</v>
      </c>
      <c r="D21">
        <v>3</v>
      </c>
      <c r="E21">
        <v>1</v>
      </c>
      <c r="G21">
        <v>2</v>
      </c>
      <c r="I21">
        <v>8</v>
      </c>
      <c r="J21">
        <v>2</v>
      </c>
      <c r="N21">
        <v>16</v>
      </c>
    </row>
    <row r="22" spans="1:14" x14ac:dyDescent="0.25">
      <c r="A22" s="10" t="s">
        <v>27</v>
      </c>
      <c r="D22">
        <v>3</v>
      </c>
      <c r="E22">
        <v>1</v>
      </c>
      <c r="G22">
        <v>2</v>
      </c>
      <c r="I22">
        <v>8</v>
      </c>
      <c r="J22">
        <v>2</v>
      </c>
      <c r="N22">
        <v>16</v>
      </c>
    </row>
    <row r="23" spans="1:14" x14ac:dyDescent="0.25">
      <c r="A23" s="9">
        <v>2023</v>
      </c>
      <c r="D23">
        <v>2</v>
      </c>
      <c r="G23">
        <v>2</v>
      </c>
      <c r="I23">
        <v>6</v>
      </c>
      <c r="J23">
        <v>1</v>
      </c>
      <c r="N23">
        <v>11</v>
      </c>
    </row>
    <row r="24" spans="1:14" x14ac:dyDescent="0.25">
      <c r="A24" s="10" t="s">
        <v>177</v>
      </c>
      <c r="D24">
        <v>2</v>
      </c>
      <c r="G24">
        <v>2</v>
      </c>
      <c r="I24">
        <v>6</v>
      </c>
      <c r="J24">
        <v>1</v>
      </c>
      <c r="N24">
        <v>11</v>
      </c>
    </row>
    <row r="25" spans="1:14" x14ac:dyDescent="0.25">
      <c r="A25" s="9">
        <v>2024</v>
      </c>
      <c r="G25">
        <v>1</v>
      </c>
      <c r="H25">
        <v>2</v>
      </c>
      <c r="I25">
        <v>6</v>
      </c>
      <c r="J25">
        <v>1</v>
      </c>
      <c r="N25">
        <v>10</v>
      </c>
    </row>
    <row r="26" spans="1:14" x14ac:dyDescent="0.25">
      <c r="A26" s="10" t="s">
        <v>177</v>
      </c>
      <c r="G26">
        <v>1</v>
      </c>
      <c r="H26">
        <v>2</v>
      </c>
      <c r="I26">
        <v>6</v>
      </c>
      <c r="J26">
        <v>1</v>
      </c>
      <c r="N26">
        <v>10</v>
      </c>
    </row>
    <row r="27" spans="1:14" x14ac:dyDescent="0.25">
      <c r="A27" s="9">
        <v>2025</v>
      </c>
      <c r="D27">
        <v>5</v>
      </c>
      <c r="E27">
        <v>2</v>
      </c>
      <c r="H27">
        <v>3</v>
      </c>
      <c r="I27">
        <v>17</v>
      </c>
      <c r="J27">
        <v>10</v>
      </c>
      <c r="K27">
        <v>2</v>
      </c>
      <c r="N27">
        <v>39</v>
      </c>
    </row>
    <row r="28" spans="1:14" x14ac:dyDescent="0.25">
      <c r="A28" s="10" t="s">
        <v>177</v>
      </c>
      <c r="D28">
        <v>5</v>
      </c>
      <c r="E28">
        <v>2</v>
      </c>
      <c r="H28">
        <v>3</v>
      </c>
      <c r="I28">
        <v>17</v>
      </c>
      <c r="J28">
        <v>10</v>
      </c>
      <c r="K28">
        <v>2</v>
      </c>
      <c r="N28">
        <v>39</v>
      </c>
    </row>
    <row r="29" spans="1:14" x14ac:dyDescent="0.25">
      <c r="A29" s="8" t="s">
        <v>337</v>
      </c>
      <c r="B29">
        <v>3</v>
      </c>
      <c r="C29">
        <v>32</v>
      </c>
      <c r="D29">
        <v>15</v>
      </c>
      <c r="E29">
        <v>10</v>
      </c>
      <c r="F29">
        <v>6</v>
      </c>
      <c r="G29">
        <v>6</v>
      </c>
      <c r="H29">
        <v>16</v>
      </c>
      <c r="I29">
        <v>238</v>
      </c>
      <c r="J29">
        <v>79</v>
      </c>
      <c r="K29">
        <v>5</v>
      </c>
      <c r="L29">
        <v>2</v>
      </c>
      <c r="N29">
        <v>412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1AC7-0439-4F5B-9235-8C6F328FBEB5}">
  <dimension ref="A1:T10"/>
  <sheetViews>
    <sheetView workbookViewId="0">
      <selection activeCell="W24" sqref="W24"/>
    </sheetView>
  </sheetViews>
  <sheetFormatPr defaultRowHeight="15" x14ac:dyDescent="0.25"/>
  <cols>
    <col min="1" max="1" width="15.85546875" bestFit="1" customWidth="1"/>
    <col min="2" max="2" width="28.42578125" bestFit="1" customWidth="1"/>
    <col min="3" max="7" width="3" bestFit="1" customWidth="1"/>
    <col min="8" max="8" width="11.28515625" bestFit="1" customWidth="1"/>
    <col min="9" max="10" width="3" bestFit="1" customWidth="1"/>
    <col min="11" max="11" width="7.28515625" bestFit="1" customWidth="1"/>
    <col min="12" max="12" width="11.28515625" bestFit="1" customWidth="1"/>
    <col min="13" max="13" width="3" bestFit="1" customWidth="1"/>
    <col min="14" max="14" width="7.28515625" bestFit="1" customWidth="1"/>
    <col min="15" max="15" width="11.28515625" bestFit="1" customWidth="1"/>
  </cols>
  <sheetData>
    <row r="1" spans="1:20" x14ac:dyDescent="0.25">
      <c r="A1" s="7" t="s">
        <v>4</v>
      </c>
      <c r="B1" t="s">
        <v>24</v>
      </c>
    </row>
    <row r="2" spans="1:20" x14ac:dyDescent="0.25">
      <c r="A2" s="7" t="s">
        <v>7</v>
      </c>
      <c r="B2" t="s">
        <v>349</v>
      </c>
    </row>
    <row r="4" spans="1:20" x14ac:dyDescent="0.25">
      <c r="A4" s="7" t="s">
        <v>339</v>
      </c>
      <c r="B4" s="7" t="s">
        <v>338</v>
      </c>
    </row>
    <row r="5" spans="1:20" x14ac:dyDescent="0.25">
      <c r="A5" s="7" t="s">
        <v>335</v>
      </c>
      <c r="B5" t="s">
        <v>67</v>
      </c>
      <c r="C5" t="s">
        <v>64</v>
      </c>
      <c r="D5" t="s">
        <v>198</v>
      </c>
      <c r="E5" t="s">
        <v>58</v>
      </c>
      <c r="F5" t="s">
        <v>69</v>
      </c>
      <c r="G5" t="s">
        <v>276</v>
      </c>
      <c r="H5" t="s">
        <v>337</v>
      </c>
      <c r="O5">
        <v>2</v>
      </c>
      <c r="P5">
        <v>3</v>
      </c>
      <c r="Q5">
        <v>4</v>
      </c>
      <c r="R5">
        <v>5</v>
      </c>
      <c r="S5">
        <v>6</v>
      </c>
      <c r="T5" s="11" t="s">
        <v>350</v>
      </c>
    </row>
    <row r="6" spans="1:20" x14ac:dyDescent="0.25">
      <c r="A6" s="8">
        <v>2022</v>
      </c>
      <c r="B6">
        <v>1</v>
      </c>
      <c r="C6">
        <v>2</v>
      </c>
      <c r="E6">
        <v>8</v>
      </c>
      <c r="F6">
        <v>2</v>
      </c>
      <c r="H6">
        <v>13</v>
      </c>
      <c r="N6" s="8">
        <v>2022</v>
      </c>
      <c r="O6">
        <v>0</v>
      </c>
      <c r="P6">
        <f>SUM(B6:C6)</f>
        <v>3</v>
      </c>
      <c r="Q6">
        <f>SUM(D6:E6)</f>
        <v>8</v>
      </c>
      <c r="R6">
        <f>SUM(F6:G6)</f>
        <v>2</v>
      </c>
      <c r="S6">
        <v>0</v>
      </c>
      <c r="T6">
        <f>SUM(O6:S6)</f>
        <v>13</v>
      </c>
    </row>
    <row r="7" spans="1:20" x14ac:dyDescent="0.25">
      <c r="A7" s="8">
        <v>2023</v>
      </c>
      <c r="E7">
        <v>6</v>
      </c>
      <c r="F7">
        <v>1</v>
      </c>
      <c r="H7">
        <v>7</v>
      </c>
      <c r="N7" s="8">
        <v>2023</v>
      </c>
      <c r="O7">
        <v>0</v>
      </c>
      <c r="P7">
        <f t="shared" ref="P7:P9" si="0">SUM(B7:C7)</f>
        <v>0</v>
      </c>
      <c r="Q7">
        <f t="shared" ref="Q7:Q8" si="1">SUM(D7:E7)</f>
        <v>6</v>
      </c>
      <c r="R7">
        <f t="shared" ref="R7:R8" si="2">SUM(F7:G7)</f>
        <v>1</v>
      </c>
      <c r="S7">
        <v>0</v>
      </c>
      <c r="T7">
        <f t="shared" ref="T7:T9" si="3">SUM(O7:S7)</f>
        <v>7</v>
      </c>
    </row>
    <row r="8" spans="1:20" x14ac:dyDescent="0.25">
      <c r="A8" s="8">
        <v>2024</v>
      </c>
      <c r="D8">
        <v>2</v>
      </c>
      <c r="E8">
        <v>6</v>
      </c>
      <c r="F8">
        <v>1</v>
      </c>
      <c r="H8">
        <v>9</v>
      </c>
      <c r="N8" s="8">
        <v>2024</v>
      </c>
      <c r="O8">
        <v>0</v>
      </c>
      <c r="P8">
        <f t="shared" si="0"/>
        <v>0</v>
      </c>
      <c r="Q8">
        <f t="shared" si="1"/>
        <v>8</v>
      </c>
      <c r="R8">
        <f t="shared" si="2"/>
        <v>1</v>
      </c>
      <c r="S8">
        <v>0</v>
      </c>
      <c r="T8">
        <f t="shared" si="3"/>
        <v>9</v>
      </c>
    </row>
    <row r="9" spans="1:20" x14ac:dyDescent="0.25">
      <c r="A9" s="8">
        <v>2025</v>
      </c>
      <c r="B9">
        <v>2</v>
      </c>
      <c r="D9">
        <v>3</v>
      </c>
      <c r="E9">
        <v>17</v>
      </c>
      <c r="F9">
        <v>10</v>
      </c>
      <c r="G9">
        <v>2</v>
      </c>
      <c r="H9">
        <v>34</v>
      </c>
      <c r="N9" s="8">
        <v>2025</v>
      </c>
      <c r="O9">
        <v>0</v>
      </c>
      <c r="P9">
        <f t="shared" si="0"/>
        <v>2</v>
      </c>
      <c r="Q9">
        <f>SUM(D9:E9)</f>
        <v>20</v>
      </c>
      <c r="R9">
        <f>SUM(F9:G9)</f>
        <v>12</v>
      </c>
      <c r="S9">
        <v>0</v>
      </c>
      <c r="T9">
        <f t="shared" si="3"/>
        <v>34</v>
      </c>
    </row>
    <row r="10" spans="1:20" x14ac:dyDescent="0.25">
      <c r="A10" s="8" t="s">
        <v>337</v>
      </c>
      <c r="B10">
        <v>3</v>
      </c>
      <c r="C10">
        <v>2</v>
      </c>
      <c r="D10">
        <v>5</v>
      </c>
      <c r="E10">
        <v>37</v>
      </c>
      <c r="F10">
        <v>14</v>
      </c>
      <c r="G10">
        <v>2</v>
      </c>
      <c r="H10">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930E-C322-4891-AE5F-5EE383ED1282}">
  <dimension ref="A2:T23"/>
  <sheetViews>
    <sheetView workbookViewId="0">
      <selection activeCell="A19" sqref="A15:A19"/>
    </sheetView>
  </sheetViews>
  <sheetFormatPr defaultRowHeight="15" x14ac:dyDescent="0.25"/>
  <cols>
    <col min="1" max="1" width="30.7109375" bestFit="1" customWidth="1"/>
    <col min="2" max="2" width="26.85546875" bestFit="1" customWidth="1"/>
    <col min="3" max="4" width="3" bestFit="1" customWidth="1"/>
    <col min="5" max="5" width="4" bestFit="1" customWidth="1"/>
    <col min="6" max="8" width="3" bestFit="1" customWidth="1"/>
    <col min="9" max="9" width="11.28515625" bestFit="1" customWidth="1"/>
    <col min="10" max="10" width="3" bestFit="1" customWidth="1"/>
    <col min="11" max="11" width="7.28515625" bestFit="1" customWidth="1"/>
    <col min="12" max="12" width="11.28515625" bestFit="1" customWidth="1"/>
    <col min="13" max="13" width="3" bestFit="1" customWidth="1"/>
    <col min="14" max="14" width="7.28515625" bestFit="1" customWidth="1"/>
    <col min="15" max="15" width="11.28515625" bestFit="1" customWidth="1"/>
  </cols>
  <sheetData>
    <row r="2" spans="1:20" x14ac:dyDescent="0.25">
      <c r="A2" s="7" t="s">
        <v>4</v>
      </c>
      <c r="B2" t="s">
        <v>200</v>
      </c>
    </row>
    <row r="4" spans="1:20" x14ac:dyDescent="0.25">
      <c r="A4" s="7" t="s">
        <v>339</v>
      </c>
      <c r="B4" s="7" t="s">
        <v>338</v>
      </c>
    </row>
    <row r="5" spans="1:20" x14ac:dyDescent="0.25">
      <c r="A5" s="7" t="s">
        <v>335</v>
      </c>
      <c r="B5" t="s">
        <v>67</v>
      </c>
      <c r="C5" t="s">
        <v>64</v>
      </c>
      <c r="D5" t="s">
        <v>198</v>
      </c>
      <c r="E5" t="s">
        <v>58</v>
      </c>
      <c r="F5" t="s">
        <v>69</v>
      </c>
      <c r="G5" t="s">
        <v>276</v>
      </c>
      <c r="H5" t="s">
        <v>278</v>
      </c>
      <c r="I5" t="s">
        <v>337</v>
      </c>
      <c r="K5">
        <v>3</v>
      </c>
      <c r="L5">
        <v>4</v>
      </c>
      <c r="M5">
        <v>5</v>
      </c>
      <c r="N5">
        <v>6</v>
      </c>
      <c r="T5" s="11"/>
    </row>
    <row r="6" spans="1:20" x14ac:dyDescent="0.25">
      <c r="A6" s="8">
        <v>2022</v>
      </c>
      <c r="B6" s="12"/>
      <c r="C6" s="12">
        <v>2</v>
      </c>
      <c r="D6" s="12">
        <v>8</v>
      </c>
      <c r="E6" s="12">
        <v>162</v>
      </c>
      <c r="F6" s="12">
        <v>53</v>
      </c>
      <c r="G6" s="12">
        <v>3</v>
      </c>
      <c r="H6" s="12">
        <v>2</v>
      </c>
      <c r="I6" s="12">
        <v>230</v>
      </c>
      <c r="N6" s="8"/>
    </row>
    <row r="7" spans="1:20" x14ac:dyDescent="0.25">
      <c r="A7" s="9" t="s">
        <v>201</v>
      </c>
      <c r="B7" s="12"/>
      <c r="C7" s="12">
        <v>1</v>
      </c>
      <c r="D7" s="12">
        <v>1</v>
      </c>
      <c r="E7" s="12">
        <v>45</v>
      </c>
      <c r="F7" s="12">
        <v>14</v>
      </c>
      <c r="G7" s="12"/>
      <c r="H7" s="12"/>
      <c r="I7" s="12">
        <v>61</v>
      </c>
      <c r="K7">
        <f t="shared" ref="K7:K23" si="0">SUM(B7:C7)</f>
        <v>1</v>
      </c>
      <c r="L7">
        <f t="shared" ref="L7:L23" si="1">SUM(D7:E7)</f>
        <v>46</v>
      </c>
      <c r="M7">
        <f t="shared" ref="M7:M23" si="2">SUM(F7:G7)</f>
        <v>14</v>
      </c>
      <c r="N7" s="8"/>
    </row>
    <row r="8" spans="1:20" x14ac:dyDescent="0.25">
      <c r="A8" s="9" t="s">
        <v>265</v>
      </c>
      <c r="B8" s="12"/>
      <c r="C8" s="12"/>
      <c r="D8" s="12">
        <v>1</v>
      </c>
      <c r="E8" s="12">
        <v>53</v>
      </c>
      <c r="F8" s="12">
        <v>24</v>
      </c>
      <c r="G8" s="12">
        <v>3</v>
      </c>
      <c r="H8" s="12">
        <v>2</v>
      </c>
      <c r="I8" s="12">
        <v>83</v>
      </c>
      <c r="K8">
        <f t="shared" si="0"/>
        <v>0</v>
      </c>
      <c r="L8">
        <f t="shared" si="1"/>
        <v>54</v>
      </c>
      <c r="M8">
        <f>SUM(F8:G8)</f>
        <v>27</v>
      </c>
      <c r="N8" s="8"/>
    </row>
    <row r="9" spans="1:20" x14ac:dyDescent="0.25">
      <c r="A9" s="9" t="s">
        <v>279</v>
      </c>
      <c r="B9" s="12"/>
      <c r="C9" s="12">
        <v>1</v>
      </c>
      <c r="D9" s="12">
        <v>6</v>
      </c>
      <c r="E9" s="12">
        <v>64</v>
      </c>
      <c r="F9" s="12">
        <v>15</v>
      </c>
      <c r="G9" s="12"/>
      <c r="H9" s="12"/>
      <c r="I9" s="12">
        <v>86</v>
      </c>
      <c r="K9">
        <f t="shared" si="0"/>
        <v>1</v>
      </c>
      <c r="L9">
        <f t="shared" si="1"/>
        <v>70</v>
      </c>
      <c r="M9">
        <f>SUM(F9:G9)</f>
        <v>15</v>
      </c>
      <c r="N9" s="8"/>
    </row>
    <row r="10" spans="1:20" x14ac:dyDescent="0.25">
      <c r="A10" s="8">
        <v>2023</v>
      </c>
      <c r="B10" s="12"/>
      <c r="C10" s="12">
        <v>2</v>
      </c>
      <c r="D10" s="12"/>
      <c r="E10" s="12">
        <v>9</v>
      </c>
      <c r="F10" s="12">
        <v>10</v>
      </c>
      <c r="G10" s="12"/>
      <c r="H10" s="12"/>
      <c r="I10" s="12">
        <v>21</v>
      </c>
      <c r="N10" s="8"/>
    </row>
    <row r="11" spans="1:20" x14ac:dyDescent="0.25">
      <c r="A11" s="9" t="s">
        <v>290</v>
      </c>
      <c r="B11" s="12"/>
      <c r="C11" s="12">
        <v>1</v>
      </c>
      <c r="D11" s="12"/>
      <c r="E11" s="12">
        <v>2</v>
      </c>
      <c r="F11" s="12">
        <v>7</v>
      </c>
      <c r="G11" s="12"/>
      <c r="H11" s="12"/>
      <c r="I11" s="12">
        <v>10</v>
      </c>
      <c r="K11">
        <f t="shared" si="0"/>
        <v>1</v>
      </c>
      <c r="L11">
        <f t="shared" si="1"/>
        <v>2</v>
      </c>
      <c r="M11">
        <f t="shared" si="2"/>
        <v>7</v>
      </c>
      <c r="N11" s="8"/>
    </row>
    <row r="12" spans="1:20" x14ac:dyDescent="0.25">
      <c r="A12" s="9" t="s">
        <v>265</v>
      </c>
      <c r="B12" s="12"/>
      <c r="C12" s="12"/>
      <c r="D12" s="12"/>
      <c r="E12" s="12">
        <v>1</v>
      </c>
      <c r="F12" s="12"/>
      <c r="G12" s="12"/>
      <c r="H12" s="12"/>
      <c r="I12" s="12">
        <v>1</v>
      </c>
      <c r="K12">
        <f t="shared" si="0"/>
        <v>0</v>
      </c>
      <c r="L12">
        <f t="shared" si="1"/>
        <v>1</v>
      </c>
      <c r="M12">
        <f>SUM(F12:G12)</f>
        <v>0</v>
      </c>
      <c r="N12" s="8">
        <v>2</v>
      </c>
    </row>
    <row r="13" spans="1:20" x14ac:dyDescent="0.25">
      <c r="A13" s="9" t="s">
        <v>305</v>
      </c>
      <c r="B13" s="12"/>
      <c r="C13" s="12">
        <v>1</v>
      </c>
      <c r="D13" s="12"/>
      <c r="E13" s="12">
        <v>6</v>
      </c>
      <c r="F13" s="12">
        <v>3</v>
      </c>
      <c r="G13" s="12"/>
      <c r="H13" s="12"/>
      <c r="I13" s="12">
        <v>10</v>
      </c>
      <c r="K13">
        <f t="shared" si="0"/>
        <v>1</v>
      </c>
      <c r="L13">
        <f t="shared" si="1"/>
        <v>6</v>
      </c>
      <c r="M13">
        <f t="shared" si="2"/>
        <v>3</v>
      </c>
      <c r="N13" s="8">
        <v>2</v>
      </c>
    </row>
    <row r="14" spans="1:20" x14ac:dyDescent="0.25">
      <c r="A14" s="8">
        <v>2024</v>
      </c>
      <c r="B14" s="12">
        <v>7</v>
      </c>
      <c r="C14" s="12">
        <v>2</v>
      </c>
      <c r="D14" s="12">
        <v>3</v>
      </c>
      <c r="E14" s="12">
        <v>30</v>
      </c>
      <c r="F14" s="12">
        <v>2</v>
      </c>
      <c r="G14" s="12"/>
      <c r="H14" s="12"/>
      <c r="I14" s="12">
        <v>44</v>
      </c>
      <c r="N14" s="8"/>
    </row>
    <row r="15" spans="1:20" x14ac:dyDescent="0.25">
      <c r="A15" s="9" t="s">
        <v>320</v>
      </c>
      <c r="B15" s="12"/>
      <c r="C15" s="12">
        <v>1</v>
      </c>
      <c r="D15" s="12"/>
      <c r="E15" s="12">
        <v>1</v>
      </c>
      <c r="F15" s="12"/>
      <c r="G15" s="12"/>
      <c r="H15" s="12"/>
      <c r="I15" s="12">
        <v>2</v>
      </c>
      <c r="K15">
        <f t="shared" si="0"/>
        <v>1</v>
      </c>
      <c r="L15">
        <f t="shared" si="1"/>
        <v>1</v>
      </c>
      <c r="M15">
        <f t="shared" si="2"/>
        <v>0</v>
      </c>
      <c r="N15" s="8"/>
    </row>
    <row r="16" spans="1:20" x14ac:dyDescent="0.25">
      <c r="A16" s="9" t="s">
        <v>265</v>
      </c>
      <c r="B16" s="12"/>
      <c r="C16" s="12">
        <v>1</v>
      </c>
      <c r="D16" s="12"/>
      <c r="E16" s="12">
        <v>1</v>
      </c>
      <c r="F16" s="12"/>
      <c r="G16" s="12"/>
      <c r="H16" s="12"/>
      <c r="I16" s="12">
        <v>2</v>
      </c>
      <c r="K16">
        <f t="shared" si="0"/>
        <v>1</v>
      </c>
      <c r="L16">
        <f>SUM(D16:E16)</f>
        <v>1</v>
      </c>
      <c r="M16">
        <f t="shared" si="2"/>
        <v>0</v>
      </c>
      <c r="N16" s="8"/>
    </row>
    <row r="17" spans="1:14" x14ac:dyDescent="0.25">
      <c r="A17" s="9" t="s">
        <v>305</v>
      </c>
      <c r="B17" s="12">
        <v>1</v>
      </c>
      <c r="C17" s="12"/>
      <c r="D17" s="12">
        <v>1</v>
      </c>
      <c r="E17" s="12">
        <v>16</v>
      </c>
      <c r="F17" s="12"/>
      <c r="G17" s="12"/>
      <c r="H17" s="12"/>
      <c r="I17" s="12">
        <v>18</v>
      </c>
      <c r="K17">
        <f t="shared" si="0"/>
        <v>1</v>
      </c>
      <c r="L17">
        <f t="shared" si="1"/>
        <v>17</v>
      </c>
      <c r="M17">
        <f t="shared" si="2"/>
        <v>0</v>
      </c>
      <c r="N17" s="8"/>
    </row>
    <row r="18" spans="1:14" x14ac:dyDescent="0.25">
      <c r="A18" s="9" t="s">
        <v>330</v>
      </c>
      <c r="B18" s="12">
        <v>2</v>
      </c>
      <c r="C18" s="12"/>
      <c r="D18" s="12">
        <v>2</v>
      </c>
      <c r="E18" s="12"/>
      <c r="F18" s="12"/>
      <c r="G18" s="12"/>
      <c r="H18" s="12"/>
      <c r="I18" s="12">
        <v>4</v>
      </c>
      <c r="K18">
        <f t="shared" si="0"/>
        <v>2</v>
      </c>
      <c r="L18">
        <f t="shared" si="1"/>
        <v>2</v>
      </c>
      <c r="M18">
        <f t="shared" si="2"/>
        <v>0</v>
      </c>
      <c r="N18" s="8"/>
    </row>
    <row r="19" spans="1:14" x14ac:dyDescent="0.25">
      <c r="A19" s="9" t="s">
        <v>279</v>
      </c>
      <c r="B19" s="12">
        <v>4</v>
      </c>
      <c r="C19" s="12"/>
      <c r="D19" s="12"/>
      <c r="E19" s="12">
        <v>12</v>
      </c>
      <c r="F19" s="12">
        <v>2</v>
      </c>
      <c r="G19" s="12"/>
      <c r="H19" s="12"/>
      <c r="I19" s="12">
        <v>18</v>
      </c>
      <c r="K19">
        <f t="shared" si="0"/>
        <v>4</v>
      </c>
      <c r="L19">
        <f t="shared" si="1"/>
        <v>12</v>
      </c>
      <c r="M19">
        <f t="shared" si="2"/>
        <v>2</v>
      </c>
      <c r="N19" s="8"/>
    </row>
    <row r="20" spans="1:14" x14ac:dyDescent="0.25">
      <c r="A20" s="8" t="s">
        <v>337</v>
      </c>
      <c r="B20" s="12">
        <v>7</v>
      </c>
      <c r="C20" s="12">
        <v>6</v>
      </c>
      <c r="D20" s="12">
        <v>11</v>
      </c>
      <c r="E20" s="12">
        <v>201</v>
      </c>
      <c r="F20" s="12">
        <v>65</v>
      </c>
      <c r="G20" s="12">
        <v>3</v>
      </c>
      <c r="H20" s="12">
        <v>2</v>
      </c>
      <c r="I20" s="12">
        <v>295</v>
      </c>
      <c r="N20" s="8"/>
    </row>
    <row r="21" spans="1:14" x14ac:dyDescent="0.25">
      <c r="N21" s="8"/>
    </row>
    <row r="22" spans="1:14" x14ac:dyDescent="0.25">
      <c r="N22" s="8"/>
    </row>
    <row r="23" spans="1:14" x14ac:dyDescent="0.25">
      <c r="N2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7"/>
  <sheetViews>
    <sheetView workbookViewId="0">
      <selection sqref="A1:S1048576"/>
    </sheetView>
  </sheetViews>
  <sheetFormatPr defaultRowHeight="15" x14ac:dyDescent="0.25"/>
  <cols>
    <col min="5" max="5" width="23.42578125" customWidth="1"/>
  </cols>
  <sheetData>
    <row r="1" spans="1:19" x14ac:dyDescent="0.25">
      <c r="A1" s="2" t="s">
        <v>0</v>
      </c>
      <c r="B1" s="2" t="s">
        <v>2</v>
      </c>
      <c r="C1" s="2" t="s">
        <v>4</v>
      </c>
      <c r="D1" s="2" t="s">
        <v>6</v>
      </c>
      <c r="E1" s="2" t="s">
        <v>7</v>
      </c>
      <c r="F1" s="2" t="s">
        <v>39</v>
      </c>
      <c r="G1" s="2" t="s">
        <v>41</v>
      </c>
      <c r="H1" s="2" t="s">
        <v>42</v>
      </c>
      <c r="I1" s="2" t="s">
        <v>11</v>
      </c>
      <c r="J1" s="2" t="s">
        <v>12</v>
      </c>
      <c r="K1" s="2" t="s">
        <v>13</v>
      </c>
      <c r="L1" s="2" t="s">
        <v>14</v>
      </c>
      <c r="M1" s="2" t="s">
        <v>17</v>
      </c>
      <c r="N1" s="2" t="s">
        <v>51</v>
      </c>
      <c r="O1" s="2" t="s">
        <v>52</v>
      </c>
      <c r="P1" s="2" t="s">
        <v>53</v>
      </c>
      <c r="Q1" s="2" t="s">
        <v>54</v>
      </c>
      <c r="R1" s="2" t="s">
        <v>55</v>
      </c>
      <c r="S1" s="2" t="s">
        <v>56</v>
      </c>
    </row>
    <row r="2" spans="1:19" x14ac:dyDescent="0.25">
      <c r="A2">
        <v>102061</v>
      </c>
      <c r="B2">
        <v>2022</v>
      </c>
      <c r="C2" t="s">
        <v>24</v>
      </c>
      <c r="D2" t="s">
        <v>26</v>
      </c>
      <c r="E2" t="s">
        <v>27</v>
      </c>
      <c r="F2" t="s">
        <v>46</v>
      </c>
      <c r="G2" s="1" t="s">
        <v>28</v>
      </c>
      <c r="H2" s="1" t="s">
        <v>29</v>
      </c>
      <c r="I2" t="s">
        <v>31</v>
      </c>
      <c r="J2" t="s">
        <v>32</v>
      </c>
      <c r="K2" t="s">
        <v>33</v>
      </c>
      <c r="L2" t="s">
        <v>34</v>
      </c>
      <c r="M2" t="s">
        <v>36</v>
      </c>
      <c r="N2">
        <v>1</v>
      </c>
      <c r="O2" t="s">
        <v>57</v>
      </c>
      <c r="S2" t="s">
        <v>58</v>
      </c>
    </row>
    <row r="3" spans="1:19" x14ac:dyDescent="0.25">
      <c r="A3">
        <v>102061</v>
      </c>
      <c r="B3">
        <v>2022</v>
      </c>
      <c r="C3" t="s">
        <v>24</v>
      </c>
      <c r="D3" t="s">
        <v>26</v>
      </c>
      <c r="E3" t="s">
        <v>27</v>
      </c>
      <c r="F3" t="s">
        <v>46</v>
      </c>
      <c r="G3" s="1" t="s">
        <v>28</v>
      </c>
      <c r="H3" s="1" t="s">
        <v>29</v>
      </c>
      <c r="I3" t="s">
        <v>31</v>
      </c>
      <c r="J3" t="s">
        <v>32</v>
      </c>
      <c r="K3" t="s">
        <v>33</v>
      </c>
      <c r="L3" t="s">
        <v>34</v>
      </c>
      <c r="M3" t="s">
        <v>36</v>
      </c>
      <c r="N3">
        <v>2</v>
      </c>
      <c r="O3" t="s">
        <v>57</v>
      </c>
      <c r="S3" t="s">
        <v>58</v>
      </c>
    </row>
    <row r="4" spans="1:19" x14ac:dyDescent="0.25">
      <c r="A4">
        <v>102061</v>
      </c>
      <c r="B4">
        <v>2022</v>
      </c>
      <c r="C4" t="s">
        <v>24</v>
      </c>
      <c r="D4" t="s">
        <v>26</v>
      </c>
      <c r="E4" t="s">
        <v>27</v>
      </c>
      <c r="F4" t="s">
        <v>46</v>
      </c>
      <c r="G4" s="1" t="s">
        <v>28</v>
      </c>
      <c r="H4" s="1" t="s">
        <v>29</v>
      </c>
      <c r="I4" t="s">
        <v>31</v>
      </c>
      <c r="J4" t="s">
        <v>32</v>
      </c>
      <c r="K4" t="s">
        <v>33</v>
      </c>
      <c r="L4" t="s">
        <v>34</v>
      </c>
      <c r="M4" t="s">
        <v>36</v>
      </c>
      <c r="N4">
        <v>3</v>
      </c>
      <c r="Q4" t="s">
        <v>59</v>
      </c>
    </row>
    <row r="5" spans="1:19" x14ac:dyDescent="0.25">
      <c r="A5">
        <v>102061</v>
      </c>
      <c r="B5">
        <v>2022</v>
      </c>
      <c r="C5" t="s">
        <v>24</v>
      </c>
      <c r="D5" t="s">
        <v>26</v>
      </c>
      <c r="E5" t="s">
        <v>27</v>
      </c>
      <c r="F5" t="s">
        <v>46</v>
      </c>
      <c r="G5" s="1" t="s">
        <v>28</v>
      </c>
      <c r="H5" s="1" t="s">
        <v>29</v>
      </c>
      <c r="I5" t="s">
        <v>31</v>
      </c>
      <c r="J5" t="s">
        <v>32</v>
      </c>
      <c r="K5" t="s">
        <v>33</v>
      </c>
      <c r="L5" t="s">
        <v>34</v>
      </c>
      <c r="M5" t="s">
        <v>36</v>
      </c>
      <c r="N5">
        <v>4</v>
      </c>
      <c r="P5" t="s">
        <v>60</v>
      </c>
      <c r="Q5" t="s">
        <v>59</v>
      </c>
      <c r="S5" t="s">
        <v>61</v>
      </c>
    </row>
    <row r="6" spans="1:19" x14ac:dyDescent="0.25">
      <c r="A6">
        <v>102061</v>
      </c>
      <c r="B6">
        <v>2022</v>
      </c>
      <c r="C6" t="s">
        <v>24</v>
      </c>
      <c r="D6" t="s">
        <v>26</v>
      </c>
      <c r="E6" t="s">
        <v>27</v>
      </c>
      <c r="F6" t="s">
        <v>46</v>
      </c>
      <c r="G6" s="1" t="s">
        <v>28</v>
      </c>
      <c r="H6" s="1" t="s">
        <v>29</v>
      </c>
      <c r="I6" t="s">
        <v>31</v>
      </c>
      <c r="J6" t="s">
        <v>32</v>
      </c>
      <c r="K6" t="s">
        <v>33</v>
      </c>
      <c r="L6" t="s">
        <v>34</v>
      </c>
      <c r="M6" t="s">
        <v>36</v>
      </c>
      <c r="N6">
        <v>5</v>
      </c>
      <c r="O6" t="s">
        <v>57</v>
      </c>
      <c r="S6" t="s">
        <v>58</v>
      </c>
    </row>
    <row r="7" spans="1:19" x14ac:dyDescent="0.25">
      <c r="A7">
        <v>102061</v>
      </c>
      <c r="B7">
        <v>2022</v>
      </c>
      <c r="C7" t="s">
        <v>24</v>
      </c>
      <c r="D7" t="s">
        <v>26</v>
      </c>
      <c r="E7" t="s">
        <v>27</v>
      </c>
      <c r="F7" t="s">
        <v>46</v>
      </c>
      <c r="G7" s="1" t="s">
        <v>28</v>
      </c>
      <c r="H7" s="1" t="s">
        <v>29</v>
      </c>
      <c r="I7" t="s">
        <v>31</v>
      </c>
      <c r="J7" t="s">
        <v>32</v>
      </c>
      <c r="K7" t="s">
        <v>33</v>
      </c>
      <c r="L7" t="s">
        <v>34</v>
      </c>
      <c r="M7" t="s">
        <v>36</v>
      </c>
      <c r="N7">
        <v>6</v>
      </c>
      <c r="O7" t="s">
        <v>57</v>
      </c>
      <c r="S7" t="s">
        <v>58</v>
      </c>
    </row>
    <row r="8" spans="1:19" x14ac:dyDescent="0.25">
      <c r="A8">
        <v>102061</v>
      </c>
      <c r="B8">
        <v>2022</v>
      </c>
      <c r="C8" t="s">
        <v>24</v>
      </c>
      <c r="D8" t="s">
        <v>26</v>
      </c>
      <c r="E8" t="s">
        <v>27</v>
      </c>
      <c r="F8" t="s">
        <v>46</v>
      </c>
      <c r="G8" s="1" t="s">
        <v>28</v>
      </c>
      <c r="H8" s="1" t="s">
        <v>29</v>
      </c>
      <c r="I8" t="s">
        <v>62</v>
      </c>
      <c r="J8" t="s">
        <v>32</v>
      </c>
      <c r="K8" t="s">
        <v>33</v>
      </c>
      <c r="L8" t="s">
        <v>34</v>
      </c>
      <c r="M8" t="s">
        <v>36</v>
      </c>
      <c r="N8">
        <v>7</v>
      </c>
      <c r="O8" t="s">
        <v>63</v>
      </c>
      <c r="S8" t="s">
        <v>64</v>
      </c>
    </row>
    <row r="9" spans="1:19" x14ac:dyDescent="0.25">
      <c r="A9">
        <v>102061</v>
      </c>
      <c r="B9">
        <v>2022</v>
      </c>
      <c r="C9" t="s">
        <v>24</v>
      </c>
      <c r="D9" t="s">
        <v>26</v>
      </c>
      <c r="E9" t="s">
        <v>27</v>
      </c>
      <c r="F9" t="s">
        <v>46</v>
      </c>
      <c r="G9" s="1" t="s">
        <v>28</v>
      </c>
      <c r="H9" s="1" t="s">
        <v>29</v>
      </c>
      <c r="I9" t="s">
        <v>31</v>
      </c>
      <c r="J9" t="s">
        <v>32</v>
      </c>
      <c r="K9" t="s">
        <v>33</v>
      </c>
      <c r="L9" t="s">
        <v>34</v>
      </c>
      <c r="M9" t="s">
        <v>36</v>
      </c>
      <c r="N9">
        <v>8</v>
      </c>
      <c r="Q9" t="s">
        <v>65</v>
      </c>
    </row>
    <row r="10" spans="1:19" x14ac:dyDescent="0.25">
      <c r="A10">
        <v>102061</v>
      </c>
      <c r="B10">
        <v>2022</v>
      </c>
      <c r="C10" t="s">
        <v>24</v>
      </c>
      <c r="D10" t="s">
        <v>26</v>
      </c>
      <c r="E10" t="s">
        <v>27</v>
      </c>
      <c r="F10" t="s">
        <v>46</v>
      </c>
      <c r="G10" s="1" t="s">
        <v>28</v>
      </c>
      <c r="H10" s="1" t="s">
        <v>29</v>
      </c>
      <c r="I10" t="s">
        <v>31</v>
      </c>
      <c r="J10" t="s">
        <v>32</v>
      </c>
      <c r="K10" t="s">
        <v>33</v>
      </c>
      <c r="L10" t="s">
        <v>34</v>
      </c>
      <c r="M10" t="s">
        <v>36</v>
      </c>
      <c r="N10">
        <v>9</v>
      </c>
      <c r="P10" t="s">
        <v>60</v>
      </c>
      <c r="Q10" t="s">
        <v>59</v>
      </c>
      <c r="S10" t="s">
        <v>61</v>
      </c>
    </row>
    <row r="11" spans="1:19" x14ac:dyDescent="0.25">
      <c r="A11">
        <v>102061</v>
      </c>
      <c r="B11">
        <v>2022</v>
      </c>
      <c r="C11" t="s">
        <v>24</v>
      </c>
      <c r="D11" t="s">
        <v>26</v>
      </c>
      <c r="E11" t="s">
        <v>27</v>
      </c>
      <c r="F11" t="s">
        <v>46</v>
      </c>
      <c r="G11" s="1" t="s">
        <v>28</v>
      </c>
      <c r="H11" s="1" t="s">
        <v>29</v>
      </c>
      <c r="I11" t="s">
        <v>31</v>
      </c>
      <c r="J11" t="s">
        <v>32</v>
      </c>
      <c r="K11" t="s">
        <v>33</v>
      </c>
      <c r="L11" t="s">
        <v>34</v>
      </c>
      <c r="M11" t="s">
        <v>36</v>
      </c>
      <c r="N11">
        <v>10</v>
      </c>
      <c r="O11" t="s">
        <v>57</v>
      </c>
      <c r="S11" t="s">
        <v>58</v>
      </c>
    </row>
    <row r="12" spans="1:19" x14ac:dyDescent="0.25">
      <c r="A12">
        <v>102061</v>
      </c>
      <c r="B12">
        <v>2022</v>
      </c>
      <c r="C12" t="s">
        <v>24</v>
      </c>
      <c r="D12" t="s">
        <v>26</v>
      </c>
      <c r="E12" t="s">
        <v>27</v>
      </c>
      <c r="F12" t="s">
        <v>46</v>
      </c>
      <c r="G12" s="1" t="s">
        <v>28</v>
      </c>
      <c r="H12" s="1" t="s">
        <v>29</v>
      </c>
      <c r="I12" t="s">
        <v>31</v>
      </c>
      <c r="J12" t="s">
        <v>32</v>
      </c>
      <c r="K12" t="s">
        <v>33</v>
      </c>
      <c r="L12" t="s">
        <v>34</v>
      </c>
      <c r="M12" t="s">
        <v>36</v>
      </c>
      <c r="N12">
        <v>11</v>
      </c>
      <c r="P12" t="s">
        <v>60</v>
      </c>
      <c r="Q12" t="s">
        <v>59</v>
      </c>
      <c r="S12" t="s">
        <v>61</v>
      </c>
    </row>
    <row r="13" spans="1:19" x14ac:dyDescent="0.25">
      <c r="A13">
        <v>102061</v>
      </c>
      <c r="B13">
        <v>2022</v>
      </c>
      <c r="C13" t="s">
        <v>24</v>
      </c>
      <c r="D13" t="s">
        <v>26</v>
      </c>
      <c r="E13" t="s">
        <v>27</v>
      </c>
      <c r="F13" t="s">
        <v>46</v>
      </c>
      <c r="G13" s="1" t="s">
        <v>28</v>
      </c>
      <c r="H13" s="1" t="s">
        <v>29</v>
      </c>
      <c r="I13" t="s">
        <v>31</v>
      </c>
      <c r="J13" t="s">
        <v>32</v>
      </c>
      <c r="K13" t="s">
        <v>33</v>
      </c>
      <c r="L13" t="s">
        <v>34</v>
      </c>
      <c r="M13" t="s">
        <v>36</v>
      </c>
      <c r="N13">
        <v>12</v>
      </c>
      <c r="O13" t="s">
        <v>57</v>
      </c>
      <c r="S13" t="s">
        <v>58</v>
      </c>
    </row>
    <row r="14" spans="1:19" x14ac:dyDescent="0.25">
      <c r="A14">
        <v>102061</v>
      </c>
      <c r="B14">
        <v>2022</v>
      </c>
      <c r="C14" t="s">
        <v>24</v>
      </c>
      <c r="D14" t="s">
        <v>26</v>
      </c>
      <c r="E14" t="s">
        <v>27</v>
      </c>
      <c r="F14" t="s">
        <v>46</v>
      </c>
      <c r="G14" s="1" t="s">
        <v>28</v>
      </c>
      <c r="H14" s="1" t="s">
        <v>29</v>
      </c>
      <c r="I14" t="s">
        <v>31</v>
      </c>
      <c r="J14" t="s">
        <v>32</v>
      </c>
      <c r="K14" t="s">
        <v>33</v>
      </c>
      <c r="L14" t="s">
        <v>34</v>
      </c>
      <c r="M14" t="s">
        <v>36</v>
      </c>
      <c r="N14">
        <v>13</v>
      </c>
      <c r="O14" t="s">
        <v>66</v>
      </c>
      <c r="S14" t="s">
        <v>67</v>
      </c>
    </row>
    <row r="15" spans="1:19" x14ac:dyDescent="0.25">
      <c r="A15">
        <v>102061</v>
      </c>
      <c r="B15">
        <v>2022</v>
      </c>
      <c r="C15" t="s">
        <v>24</v>
      </c>
      <c r="D15" t="s">
        <v>26</v>
      </c>
      <c r="E15" t="s">
        <v>27</v>
      </c>
      <c r="F15" t="s">
        <v>46</v>
      </c>
      <c r="G15" s="1" t="s">
        <v>28</v>
      </c>
      <c r="H15" s="1" t="s">
        <v>29</v>
      </c>
      <c r="I15" t="s">
        <v>31</v>
      </c>
      <c r="J15" t="s">
        <v>32</v>
      </c>
      <c r="K15" t="s">
        <v>33</v>
      </c>
      <c r="L15" t="s">
        <v>34</v>
      </c>
      <c r="M15" t="s">
        <v>36</v>
      </c>
      <c r="N15">
        <v>14</v>
      </c>
      <c r="Q15" t="s">
        <v>59</v>
      </c>
    </row>
    <row r="16" spans="1:19" x14ac:dyDescent="0.25">
      <c r="A16">
        <v>102061</v>
      </c>
      <c r="B16">
        <v>2022</v>
      </c>
      <c r="C16" t="s">
        <v>24</v>
      </c>
      <c r="D16" t="s">
        <v>26</v>
      </c>
      <c r="E16" t="s">
        <v>27</v>
      </c>
      <c r="F16" t="s">
        <v>46</v>
      </c>
      <c r="G16" s="1" t="s">
        <v>28</v>
      </c>
      <c r="H16" s="1" t="s">
        <v>29</v>
      </c>
      <c r="I16" t="s">
        <v>31</v>
      </c>
      <c r="J16" t="s">
        <v>32</v>
      </c>
      <c r="K16" t="s">
        <v>33</v>
      </c>
      <c r="L16" t="s">
        <v>34</v>
      </c>
      <c r="M16" t="s">
        <v>36</v>
      </c>
      <c r="N16">
        <v>15</v>
      </c>
      <c r="O16" t="s">
        <v>57</v>
      </c>
      <c r="S16" t="s">
        <v>58</v>
      </c>
    </row>
    <row r="17" spans="1:19" x14ac:dyDescent="0.25">
      <c r="A17">
        <v>102061</v>
      </c>
      <c r="B17">
        <v>2022</v>
      </c>
      <c r="C17" t="s">
        <v>24</v>
      </c>
      <c r="D17" t="s">
        <v>26</v>
      </c>
      <c r="E17" t="s">
        <v>27</v>
      </c>
      <c r="F17" t="s">
        <v>46</v>
      </c>
      <c r="G17" s="1" t="s">
        <v>28</v>
      </c>
      <c r="H17" s="1" t="s">
        <v>29</v>
      </c>
      <c r="I17" t="s">
        <v>31</v>
      </c>
      <c r="J17" t="s">
        <v>32</v>
      </c>
      <c r="K17" t="s">
        <v>33</v>
      </c>
      <c r="L17" t="s">
        <v>34</v>
      </c>
      <c r="M17" t="s">
        <v>36</v>
      </c>
      <c r="N17">
        <v>16</v>
      </c>
      <c r="O17" t="s">
        <v>68</v>
      </c>
      <c r="S17" t="s">
        <v>69</v>
      </c>
    </row>
    <row r="18" spans="1:19" x14ac:dyDescent="0.25">
      <c r="A18">
        <v>102061</v>
      </c>
      <c r="B18">
        <v>2022</v>
      </c>
      <c r="C18" t="s">
        <v>24</v>
      </c>
      <c r="D18" t="s">
        <v>26</v>
      </c>
      <c r="E18" t="s">
        <v>27</v>
      </c>
      <c r="F18" t="s">
        <v>46</v>
      </c>
      <c r="G18" s="1" t="s">
        <v>28</v>
      </c>
      <c r="H18" s="1" t="s">
        <v>29</v>
      </c>
      <c r="I18" t="s">
        <v>62</v>
      </c>
      <c r="J18" t="s">
        <v>32</v>
      </c>
      <c r="K18" t="s">
        <v>33</v>
      </c>
      <c r="L18" t="s">
        <v>34</v>
      </c>
      <c r="M18" t="s">
        <v>36</v>
      </c>
      <c r="N18">
        <v>17</v>
      </c>
      <c r="O18" t="s">
        <v>63</v>
      </c>
      <c r="S18" t="s">
        <v>64</v>
      </c>
    </row>
    <row r="19" spans="1:19" x14ac:dyDescent="0.25">
      <c r="A19">
        <v>102061</v>
      </c>
      <c r="B19">
        <v>2022</v>
      </c>
      <c r="C19" t="s">
        <v>24</v>
      </c>
      <c r="D19" t="s">
        <v>26</v>
      </c>
      <c r="E19" t="s">
        <v>27</v>
      </c>
      <c r="F19" t="s">
        <v>46</v>
      </c>
      <c r="G19" s="1" t="s">
        <v>28</v>
      </c>
      <c r="H19" s="1" t="s">
        <v>29</v>
      </c>
      <c r="I19" t="s">
        <v>31</v>
      </c>
      <c r="J19" t="s">
        <v>32</v>
      </c>
      <c r="K19" t="s">
        <v>33</v>
      </c>
      <c r="L19" t="s">
        <v>34</v>
      </c>
      <c r="M19" t="s">
        <v>36</v>
      </c>
      <c r="N19">
        <v>18</v>
      </c>
      <c r="P19" t="s">
        <v>70</v>
      </c>
      <c r="Q19" t="s">
        <v>59</v>
      </c>
      <c r="S19" t="s">
        <v>71</v>
      </c>
    </row>
    <row r="20" spans="1:19" x14ac:dyDescent="0.25">
      <c r="A20">
        <v>102061</v>
      </c>
      <c r="B20">
        <v>2022</v>
      </c>
      <c r="C20" t="s">
        <v>24</v>
      </c>
      <c r="D20" t="s">
        <v>26</v>
      </c>
      <c r="E20" t="s">
        <v>27</v>
      </c>
      <c r="F20" t="s">
        <v>46</v>
      </c>
      <c r="G20" s="1" t="s">
        <v>28</v>
      </c>
      <c r="H20" s="1" t="s">
        <v>29</v>
      </c>
      <c r="I20" t="s">
        <v>31</v>
      </c>
      <c r="J20" t="s">
        <v>32</v>
      </c>
      <c r="K20" t="s">
        <v>33</v>
      </c>
      <c r="L20" t="s">
        <v>34</v>
      </c>
      <c r="M20" t="s">
        <v>36</v>
      </c>
      <c r="N20">
        <v>19</v>
      </c>
      <c r="O20" t="s">
        <v>68</v>
      </c>
      <c r="S20" t="s">
        <v>69</v>
      </c>
    </row>
    <row r="21" spans="1:19" x14ac:dyDescent="0.25">
      <c r="A21">
        <v>102061</v>
      </c>
      <c r="B21">
        <v>2022</v>
      </c>
      <c r="C21" t="s">
        <v>24</v>
      </c>
      <c r="D21" t="s">
        <v>26</v>
      </c>
      <c r="E21" t="s">
        <v>27</v>
      </c>
      <c r="F21" t="s">
        <v>46</v>
      </c>
      <c r="G21" s="1" t="s">
        <v>28</v>
      </c>
      <c r="H21" s="1" t="s">
        <v>29</v>
      </c>
      <c r="I21" t="s">
        <v>31</v>
      </c>
      <c r="J21" t="s">
        <v>32</v>
      </c>
      <c r="K21" t="s">
        <v>33</v>
      </c>
      <c r="L21" t="s">
        <v>34</v>
      </c>
      <c r="M21" t="s">
        <v>36</v>
      </c>
      <c r="N21">
        <v>20</v>
      </c>
      <c r="O21" t="s">
        <v>57</v>
      </c>
      <c r="S21" t="s">
        <v>58</v>
      </c>
    </row>
    <row r="22" spans="1:19" x14ac:dyDescent="0.25">
      <c r="A22">
        <v>102061</v>
      </c>
      <c r="B22">
        <v>2022</v>
      </c>
      <c r="C22" t="s">
        <v>24</v>
      </c>
      <c r="D22" t="s">
        <v>26</v>
      </c>
      <c r="E22" t="s">
        <v>27</v>
      </c>
      <c r="F22" t="s">
        <v>46</v>
      </c>
      <c r="G22" s="1" t="s">
        <v>28</v>
      </c>
      <c r="H22" s="1" t="s">
        <v>29</v>
      </c>
      <c r="I22" t="s">
        <v>31</v>
      </c>
      <c r="J22" t="s">
        <v>32</v>
      </c>
      <c r="K22" t="s">
        <v>33</v>
      </c>
      <c r="L22" t="s">
        <v>34</v>
      </c>
      <c r="M22" t="s">
        <v>36</v>
      </c>
      <c r="N22">
        <v>21</v>
      </c>
      <c r="Q22" t="s">
        <v>59</v>
      </c>
    </row>
    <row r="23" spans="1:19" x14ac:dyDescent="0.25">
      <c r="A23">
        <v>102061</v>
      </c>
      <c r="B23">
        <v>2022</v>
      </c>
      <c r="C23" t="s">
        <v>24</v>
      </c>
      <c r="D23" t="s">
        <v>26</v>
      </c>
      <c r="E23" t="s">
        <v>27</v>
      </c>
      <c r="F23" t="s">
        <v>46</v>
      </c>
      <c r="G23" s="1" t="s">
        <v>28</v>
      </c>
      <c r="H23" s="1" t="s">
        <v>29</v>
      </c>
      <c r="I23" t="s">
        <v>31</v>
      </c>
      <c r="J23" t="s">
        <v>32</v>
      </c>
      <c r="K23" t="s">
        <v>33</v>
      </c>
      <c r="L23" t="s">
        <v>34</v>
      </c>
      <c r="M23" t="s">
        <v>36</v>
      </c>
      <c r="N23">
        <v>22</v>
      </c>
      <c r="Q23" t="s">
        <v>59</v>
      </c>
    </row>
    <row r="24" spans="1:19" x14ac:dyDescent="0.25">
      <c r="A24">
        <v>102061</v>
      </c>
      <c r="B24">
        <v>2022</v>
      </c>
      <c r="C24" t="s">
        <v>24</v>
      </c>
      <c r="D24" t="s">
        <v>26</v>
      </c>
      <c r="E24" t="s">
        <v>27</v>
      </c>
      <c r="F24" t="s">
        <v>46</v>
      </c>
      <c r="G24" s="1" t="s">
        <v>28</v>
      </c>
      <c r="H24" s="1" t="s">
        <v>29</v>
      </c>
      <c r="I24" t="s">
        <v>31</v>
      </c>
      <c r="J24" t="s">
        <v>32</v>
      </c>
      <c r="K24" t="s">
        <v>33</v>
      </c>
      <c r="L24" t="s">
        <v>34</v>
      </c>
      <c r="M24" t="s">
        <v>36</v>
      </c>
      <c r="N24">
        <v>23</v>
      </c>
      <c r="Q24" t="s">
        <v>72</v>
      </c>
    </row>
    <row r="25" spans="1:19" x14ac:dyDescent="0.25">
      <c r="A25">
        <v>102061</v>
      </c>
      <c r="B25">
        <v>2022</v>
      </c>
      <c r="C25" t="s">
        <v>24</v>
      </c>
      <c r="D25" t="s">
        <v>26</v>
      </c>
      <c r="E25" t="s">
        <v>27</v>
      </c>
      <c r="F25" t="s">
        <v>46</v>
      </c>
      <c r="G25" s="1" t="s">
        <v>28</v>
      </c>
      <c r="H25" s="1" t="s">
        <v>29</v>
      </c>
      <c r="I25" t="s">
        <v>31</v>
      </c>
      <c r="J25" t="s">
        <v>32</v>
      </c>
      <c r="K25" t="s">
        <v>33</v>
      </c>
      <c r="L25" t="s">
        <v>34</v>
      </c>
      <c r="M25" t="s">
        <v>36</v>
      </c>
      <c r="N25">
        <v>24</v>
      </c>
      <c r="Q25" t="s">
        <v>72</v>
      </c>
    </row>
    <row r="26" spans="1:19" x14ac:dyDescent="0.25">
      <c r="A26">
        <v>102061</v>
      </c>
      <c r="B26">
        <v>2022</v>
      </c>
      <c r="C26" t="s">
        <v>24</v>
      </c>
      <c r="D26" t="s">
        <v>26</v>
      </c>
      <c r="E26" t="s">
        <v>27</v>
      </c>
      <c r="F26" t="s">
        <v>46</v>
      </c>
      <c r="G26" s="1" t="s">
        <v>28</v>
      </c>
      <c r="H26" s="1" t="s">
        <v>29</v>
      </c>
      <c r="I26" t="s">
        <v>31</v>
      </c>
      <c r="J26" t="s">
        <v>32</v>
      </c>
      <c r="K26" t="s">
        <v>33</v>
      </c>
      <c r="L26" t="s">
        <v>34</v>
      </c>
      <c r="M26" t="s">
        <v>36</v>
      </c>
      <c r="N26">
        <v>25</v>
      </c>
      <c r="Q26" t="s">
        <v>72</v>
      </c>
    </row>
    <row r="27" spans="1:19" x14ac:dyDescent="0.25">
      <c r="A27">
        <v>102061</v>
      </c>
      <c r="B27">
        <v>2022</v>
      </c>
      <c r="C27" t="s">
        <v>24</v>
      </c>
      <c r="D27" t="s">
        <v>26</v>
      </c>
      <c r="E27" t="s">
        <v>27</v>
      </c>
      <c r="F27" t="s">
        <v>49</v>
      </c>
      <c r="G27" s="1" t="s">
        <v>28</v>
      </c>
      <c r="H27" s="1" t="s">
        <v>29</v>
      </c>
      <c r="I27" t="s">
        <v>31</v>
      </c>
      <c r="J27" t="s">
        <v>32</v>
      </c>
      <c r="K27" t="s">
        <v>33</v>
      </c>
      <c r="L27" t="s">
        <v>34</v>
      </c>
      <c r="M27" t="s">
        <v>36</v>
      </c>
      <c r="N27">
        <v>1</v>
      </c>
      <c r="Q27" t="s">
        <v>72</v>
      </c>
    </row>
    <row r="28" spans="1:19" x14ac:dyDescent="0.25">
      <c r="A28">
        <v>102061</v>
      </c>
      <c r="B28">
        <v>2022</v>
      </c>
      <c r="C28" t="s">
        <v>24</v>
      </c>
      <c r="D28" t="s">
        <v>26</v>
      </c>
      <c r="E28" t="s">
        <v>27</v>
      </c>
      <c r="F28" t="s">
        <v>49</v>
      </c>
      <c r="G28" s="1" t="s">
        <v>28</v>
      </c>
      <c r="H28" s="1" t="s">
        <v>29</v>
      </c>
      <c r="I28" t="s">
        <v>31</v>
      </c>
      <c r="J28" t="s">
        <v>32</v>
      </c>
      <c r="K28" t="s">
        <v>33</v>
      </c>
      <c r="L28" t="s">
        <v>34</v>
      </c>
      <c r="M28" t="s">
        <v>36</v>
      </c>
      <c r="N28">
        <v>2</v>
      </c>
      <c r="P28" t="s">
        <v>70</v>
      </c>
      <c r="Q28" t="s">
        <v>59</v>
      </c>
      <c r="S28" t="s">
        <v>71</v>
      </c>
    </row>
    <row r="29" spans="1:19" x14ac:dyDescent="0.25">
      <c r="A29">
        <v>114303</v>
      </c>
      <c r="B29">
        <v>2023</v>
      </c>
      <c r="C29" t="s">
        <v>24</v>
      </c>
      <c r="D29" t="s">
        <v>26</v>
      </c>
      <c r="E29" t="s">
        <v>177</v>
      </c>
      <c r="F29" t="s">
        <v>186</v>
      </c>
      <c r="G29" s="1" t="s">
        <v>187</v>
      </c>
      <c r="H29" s="1" t="s">
        <v>187</v>
      </c>
      <c r="I29" t="s">
        <v>31</v>
      </c>
      <c r="J29" t="s">
        <v>32</v>
      </c>
      <c r="K29" t="s">
        <v>33</v>
      </c>
      <c r="L29" t="s">
        <v>181</v>
      </c>
      <c r="M29" t="s">
        <v>36</v>
      </c>
      <c r="N29">
        <v>1</v>
      </c>
      <c r="P29" t="s">
        <v>60</v>
      </c>
      <c r="Q29" t="s">
        <v>130</v>
      </c>
      <c r="S29" t="s">
        <v>61</v>
      </c>
    </row>
    <row r="30" spans="1:19" x14ac:dyDescent="0.25">
      <c r="A30">
        <v>114303</v>
      </c>
      <c r="B30">
        <v>2023</v>
      </c>
      <c r="C30" t="s">
        <v>24</v>
      </c>
      <c r="D30" t="s">
        <v>26</v>
      </c>
      <c r="E30" t="s">
        <v>177</v>
      </c>
      <c r="F30" t="s">
        <v>186</v>
      </c>
      <c r="G30" s="1" t="s">
        <v>187</v>
      </c>
      <c r="H30" s="1" t="s">
        <v>187</v>
      </c>
      <c r="I30" t="s">
        <v>31</v>
      </c>
      <c r="J30" t="s">
        <v>32</v>
      </c>
      <c r="K30" t="s">
        <v>33</v>
      </c>
      <c r="L30" t="s">
        <v>181</v>
      </c>
      <c r="M30" t="s">
        <v>36</v>
      </c>
      <c r="N30">
        <v>2</v>
      </c>
      <c r="O30" t="s">
        <v>57</v>
      </c>
      <c r="S30" t="s">
        <v>58</v>
      </c>
    </row>
    <row r="31" spans="1:19" x14ac:dyDescent="0.25">
      <c r="A31">
        <v>114303</v>
      </c>
      <c r="B31">
        <v>2023</v>
      </c>
      <c r="C31" t="s">
        <v>24</v>
      </c>
      <c r="D31" t="s">
        <v>26</v>
      </c>
      <c r="E31" t="s">
        <v>177</v>
      </c>
      <c r="F31" t="s">
        <v>186</v>
      </c>
      <c r="G31" s="1" t="s">
        <v>187</v>
      </c>
      <c r="H31" s="1" t="s">
        <v>187</v>
      </c>
      <c r="I31" t="s">
        <v>31</v>
      </c>
      <c r="J31" t="s">
        <v>32</v>
      </c>
      <c r="K31" t="s">
        <v>33</v>
      </c>
      <c r="L31" t="s">
        <v>181</v>
      </c>
      <c r="M31" t="s">
        <v>36</v>
      </c>
      <c r="N31">
        <v>3</v>
      </c>
      <c r="O31" t="s">
        <v>57</v>
      </c>
      <c r="S31" t="s">
        <v>58</v>
      </c>
    </row>
    <row r="32" spans="1:19" x14ac:dyDescent="0.25">
      <c r="A32">
        <v>114303</v>
      </c>
      <c r="B32">
        <v>2023</v>
      </c>
      <c r="C32" t="s">
        <v>24</v>
      </c>
      <c r="D32" t="s">
        <v>26</v>
      </c>
      <c r="E32" t="s">
        <v>177</v>
      </c>
      <c r="F32" t="s">
        <v>186</v>
      </c>
      <c r="G32" s="1" t="s">
        <v>187</v>
      </c>
      <c r="H32" s="1" t="s">
        <v>187</v>
      </c>
      <c r="I32" t="s">
        <v>31</v>
      </c>
      <c r="J32" t="s">
        <v>32</v>
      </c>
      <c r="K32" t="s">
        <v>33</v>
      </c>
      <c r="L32" t="s">
        <v>181</v>
      </c>
      <c r="M32" t="s">
        <v>36</v>
      </c>
      <c r="N32">
        <v>4</v>
      </c>
      <c r="Q32" t="s">
        <v>72</v>
      </c>
    </row>
    <row r="33" spans="1:19" x14ac:dyDescent="0.25">
      <c r="A33">
        <v>114303</v>
      </c>
      <c r="B33">
        <v>2023</v>
      </c>
      <c r="C33" t="s">
        <v>24</v>
      </c>
      <c r="D33" t="s">
        <v>26</v>
      </c>
      <c r="E33" t="s">
        <v>177</v>
      </c>
      <c r="F33" t="s">
        <v>186</v>
      </c>
      <c r="G33" s="1" t="s">
        <v>187</v>
      </c>
      <c r="H33" s="1" t="s">
        <v>187</v>
      </c>
      <c r="I33" t="s">
        <v>31</v>
      </c>
      <c r="J33" t="s">
        <v>32</v>
      </c>
      <c r="K33" t="s">
        <v>33</v>
      </c>
      <c r="L33" t="s">
        <v>181</v>
      </c>
      <c r="M33" t="s">
        <v>36</v>
      </c>
      <c r="N33">
        <v>5</v>
      </c>
      <c r="O33" t="s">
        <v>68</v>
      </c>
      <c r="R33" t="s">
        <v>190</v>
      </c>
      <c r="S33" t="s">
        <v>69</v>
      </c>
    </row>
    <row r="34" spans="1:19" x14ac:dyDescent="0.25">
      <c r="A34">
        <v>114303</v>
      </c>
      <c r="B34">
        <v>2023</v>
      </c>
      <c r="C34" t="s">
        <v>24</v>
      </c>
      <c r="D34" t="s">
        <v>26</v>
      </c>
      <c r="E34" t="s">
        <v>177</v>
      </c>
      <c r="F34" t="s">
        <v>186</v>
      </c>
      <c r="G34" s="1" t="s">
        <v>187</v>
      </c>
      <c r="H34" s="1" t="s">
        <v>187</v>
      </c>
      <c r="I34" t="s">
        <v>31</v>
      </c>
      <c r="J34" t="s">
        <v>32</v>
      </c>
      <c r="K34" t="s">
        <v>33</v>
      </c>
      <c r="L34" t="s">
        <v>181</v>
      </c>
      <c r="M34" t="s">
        <v>36</v>
      </c>
      <c r="N34">
        <v>6</v>
      </c>
      <c r="O34" t="s">
        <v>57</v>
      </c>
      <c r="S34" t="s">
        <v>58</v>
      </c>
    </row>
    <row r="35" spans="1:19" x14ac:dyDescent="0.25">
      <c r="A35">
        <v>114303</v>
      </c>
      <c r="B35">
        <v>2023</v>
      </c>
      <c r="C35" t="s">
        <v>24</v>
      </c>
      <c r="D35" t="s">
        <v>26</v>
      </c>
      <c r="E35" t="s">
        <v>177</v>
      </c>
      <c r="F35" t="s">
        <v>186</v>
      </c>
      <c r="G35" s="1" t="s">
        <v>187</v>
      </c>
      <c r="H35" s="1" t="s">
        <v>187</v>
      </c>
      <c r="I35" t="s">
        <v>31</v>
      </c>
      <c r="J35" t="s">
        <v>32</v>
      </c>
      <c r="K35" t="s">
        <v>33</v>
      </c>
      <c r="L35" t="s">
        <v>181</v>
      </c>
      <c r="M35" t="s">
        <v>36</v>
      </c>
      <c r="N35">
        <v>7</v>
      </c>
      <c r="P35" t="s">
        <v>60</v>
      </c>
      <c r="Q35" t="s">
        <v>130</v>
      </c>
      <c r="S35" t="s">
        <v>61</v>
      </c>
    </row>
    <row r="36" spans="1:19" x14ac:dyDescent="0.25">
      <c r="A36">
        <v>114303</v>
      </c>
      <c r="B36">
        <v>2023</v>
      </c>
      <c r="C36" t="s">
        <v>24</v>
      </c>
      <c r="D36" t="s">
        <v>26</v>
      </c>
      <c r="E36" t="s">
        <v>177</v>
      </c>
      <c r="F36" t="s">
        <v>188</v>
      </c>
      <c r="G36" s="1" t="s">
        <v>189</v>
      </c>
      <c r="H36" s="1" t="s">
        <v>179</v>
      </c>
      <c r="I36" t="s">
        <v>31</v>
      </c>
      <c r="J36" t="s">
        <v>32</v>
      </c>
      <c r="K36" t="s">
        <v>33</v>
      </c>
      <c r="L36" t="s">
        <v>181</v>
      </c>
      <c r="M36" t="s">
        <v>36</v>
      </c>
      <c r="N36">
        <v>1</v>
      </c>
      <c r="Q36" t="s">
        <v>151</v>
      </c>
    </row>
    <row r="37" spans="1:19" x14ac:dyDescent="0.25">
      <c r="A37">
        <v>114303</v>
      </c>
      <c r="B37">
        <v>2023</v>
      </c>
      <c r="C37" t="s">
        <v>24</v>
      </c>
      <c r="D37" t="s">
        <v>26</v>
      </c>
      <c r="E37" t="s">
        <v>177</v>
      </c>
      <c r="F37" t="s">
        <v>188</v>
      </c>
      <c r="G37" s="1" t="s">
        <v>189</v>
      </c>
      <c r="H37" s="1" t="s">
        <v>179</v>
      </c>
      <c r="I37" t="s">
        <v>31</v>
      </c>
      <c r="J37" t="s">
        <v>32</v>
      </c>
      <c r="K37" t="s">
        <v>33</v>
      </c>
      <c r="L37" t="s">
        <v>181</v>
      </c>
      <c r="M37" t="s">
        <v>36</v>
      </c>
      <c r="N37">
        <v>2</v>
      </c>
      <c r="Q37" t="s">
        <v>151</v>
      </c>
    </row>
    <row r="38" spans="1:19" x14ac:dyDescent="0.25">
      <c r="A38">
        <v>114303</v>
      </c>
      <c r="B38">
        <v>2023</v>
      </c>
      <c r="C38" t="s">
        <v>24</v>
      </c>
      <c r="D38" t="s">
        <v>26</v>
      </c>
      <c r="E38" t="s">
        <v>177</v>
      </c>
      <c r="F38" t="s">
        <v>188</v>
      </c>
      <c r="G38" s="1" t="s">
        <v>189</v>
      </c>
      <c r="H38" s="1" t="s">
        <v>179</v>
      </c>
      <c r="I38" t="s">
        <v>31</v>
      </c>
      <c r="J38" t="s">
        <v>32</v>
      </c>
      <c r="K38" t="s">
        <v>33</v>
      </c>
      <c r="L38" t="s">
        <v>181</v>
      </c>
      <c r="M38" t="s">
        <v>36</v>
      </c>
      <c r="N38">
        <v>3</v>
      </c>
      <c r="O38" t="s">
        <v>57</v>
      </c>
      <c r="S38" t="s">
        <v>58</v>
      </c>
    </row>
    <row r="39" spans="1:19" x14ac:dyDescent="0.25">
      <c r="A39">
        <v>114303</v>
      </c>
      <c r="B39">
        <v>2023</v>
      </c>
      <c r="C39" t="s">
        <v>24</v>
      </c>
      <c r="D39" t="s">
        <v>26</v>
      </c>
      <c r="E39" t="s">
        <v>177</v>
      </c>
      <c r="F39" t="s">
        <v>188</v>
      </c>
      <c r="G39" s="1" t="s">
        <v>189</v>
      </c>
      <c r="H39" s="1" t="s">
        <v>179</v>
      </c>
      <c r="I39" t="s">
        <v>31</v>
      </c>
      <c r="J39" t="s">
        <v>32</v>
      </c>
      <c r="K39" t="s">
        <v>33</v>
      </c>
      <c r="L39" t="s">
        <v>181</v>
      </c>
      <c r="M39" t="s">
        <v>36</v>
      </c>
      <c r="N39">
        <v>4</v>
      </c>
      <c r="Q39" t="s">
        <v>72</v>
      </c>
    </row>
    <row r="40" spans="1:19" x14ac:dyDescent="0.25">
      <c r="A40">
        <v>114303</v>
      </c>
      <c r="B40">
        <v>2023</v>
      </c>
      <c r="C40" t="s">
        <v>24</v>
      </c>
      <c r="D40" t="s">
        <v>26</v>
      </c>
      <c r="E40" t="s">
        <v>177</v>
      </c>
      <c r="F40" t="s">
        <v>188</v>
      </c>
      <c r="G40" s="1" t="s">
        <v>189</v>
      </c>
      <c r="H40" s="1" t="s">
        <v>179</v>
      </c>
      <c r="I40" t="s">
        <v>31</v>
      </c>
      <c r="J40" t="s">
        <v>32</v>
      </c>
      <c r="K40" t="s">
        <v>33</v>
      </c>
      <c r="L40" t="s">
        <v>181</v>
      </c>
      <c r="M40" t="s">
        <v>36</v>
      </c>
      <c r="N40">
        <v>5</v>
      </c>
      <c r="Q40" t="s">
        <v>72</v>
      </c>
    </row>
    <row r="41" spans="1:19" x14ac:dyDescent="0.25">
      <c r="A41">
        <v>114303</v>
      </c>
      <c r="B41">
        <v>2023</v>
      </c>
      <c r="C41" t="s">
        <v>24</v>
      </c>
      <c r="D41" t="s">
        <v>26</v>
      </c>
      <c r="E41" t="s">
        <v>177</v>
      </c>
      <c r="F41" t="s">
        <v>188</v>
      </c>
      <c r="G41" s="1" t="s">
        <v>189</v>
      </c>
      <c r="H41" s="1" t="s">
        <v>179</v>
      </c>
      <c r="I41" t="s">
        <v>31</v>
      </c>
      <c r="J41" t="s">
        <v>32</v>
      </c>
      <c r="K41" t="s">
        <v>33</v>
      </c>
      <c r="L41" t="s">
        <v>181</v>
      </c>
      <c r="M41" t="s">
        <v>36</v>
      </c>
      <c r="N41">
        <v>6</v>
      </c>
      <c r="O41" t="s">
        <v>57</v>
      </c>
      <c r="S41" t="s">
        <v>58</v>
      </c>
    </row>
    <row r="42" spans="1:19" x14ac:dyDescent="0.25">
      <c r="A42">
        <v>114303</v>
      </c>
      <c r="B42">
        <v>2023</v>
      </c>
      <c r="C42" t="s">
        <v>24</v>
      </c>
      <c r="D42" t="s">
        <v>26</v>
      </c>
      <c r="E42" t="s">
        <v>177</v>
      </c>
      <c r="F42" t="s">
        <v>184</v>
      </c>
      <c r="G42" s="1" t="s">
        <v>178</v>
      </c>
      <c r="H42" s="1" t="s">
        <v>185</v>
      </c>
      <c r="I42" t="s">
        <v>31</v>
      </c>
      <c r="J42" t="s">
        <v>32</v>
      </c>
      <c r="K42" t="s">
        <v>33</v>
      </c>
      <c r="L42" t="s">
        <v>181</v>
      </c>
      <c r="M42" t="s">
        <v>36</v>
      </c>
      <c r="N42">
        <v>1</v>
      </c>
      <c r="P42" t="s">
        <v>70</v>
      </c>
      <c r="Q42" t="s">
        <v>59</v>
      </c>
      <c r="S42" t="s">
        <v>71</v>
      </c>
    </row>
    <row r="43" spans="1:19" x14ac:dyDescent="0.25">
      <c r="A43">
        <v>114303</v>
      </c>
      <c r="B43">
        <v>2023</v>
      </c>
      <c r="C43" t="s">
        <v>24</v>
      </c>
      <c r="D43" t="s">
        <v>26</v>
      </c>
      <c r="E43" t="s">
        <v>177</v>
      </c>
      <c r="F43" t="s">
        <v>184</v>
      </c>
      <c r="G43" s="1" t="s">
        <v>178</v>
      </c>
      <c r="H43" s="1" t="s">
        <v>185</v>
      </c>
      <c r="I43" t="s">
        <v>31</v>
      </c>
      <c r="J43" t="s">
        <v>32</v>
      </c>
      <c r="K43" t="s">
        <v>33</v>
      </c>
      <c r="L43" t="s">
        <v>181</v>
      </c>
      <c r="M43" t="s">
        <v>36</v>
      </c>
      <c r="N43">
        <v>2</v>
      </c>
      <c r="Q43" t="s">
        <v>72</v>
      </c>
    </row>
    <row r="44" spans="1:19" x14ac:dyDescent="0.25">
      <c r="A44">
        <v>114303</v>
      </c>
      <c r="B44">
        <v>2023</v>
      </c>
      <c r="C44" t="s">
        <v>24</v>
      </c>
      <c r="D44" t="s">
        <v>26</v>
      </c>
      <c r="E44" t="s">
        <v>177</v>
      </c>
      <c r="F44" t="s">
        <v>184</v>
      </c>
      <c r="G44" s="1" t="s">
        <v>178</v>
      </c>
      <c r="H44" s="1" t="s">
        <v>185</v>
      </c>
      <c r="I44" t="s">
        <v>31</v>
      </c>
      <c r="J44" t="s">
        <v>32</v>
      </c>
      <c r="K44" t="s">
        <v>33</v>
      </c>
      <c r="L44" t="s">
        <v>181</v>
      </c>
      <c r="M44" t="s">
        <v>36</v>
      </c>
      <c r="N44">
        <v>3</v>
      </c>
      <c r="P44" t="s">
        <v>70</v>
      </c>
      <c r="Q44" t="s">
        <v>59</v>
      </c>
      <c r="S44" t="s">
        <v>71</v>
      </c>
    </row>
    <row r="45" spans="1:19" x14ac:dyDescent="0.25">
      <c r="A45">
        <v>114303</v>
      </c>
      <c r="B45">
        <v>2023</v>
      </c>
      <c r="C45" t="s">
        <v>24</v>
      </c>
      <c r="D45" t="s">
        <v>26</v>
      </c>
      <c r="E45" t="s">
        <v>177</v>
      </c>
      <c r="F45" t="s">
        <v>184</v>
      </c>
      <c r="G45" s="1" t="s">
        <v>178</v>
      </c>
      <c r="H45" s="1" t="s">
        <v>185</v>
      </c>
      <c r="I45" t="s">
        <v>31</v>
      </c>
      <c r="J45" t="s">
        <v>32</v>
      </c>
      <c r="K45" t="s">
        <v>33</v>
      </c>
      <c r="L45" t="s">
        <v>181</v>
      </c>
      <c r="M45" t="s">
        <v>36</v>
      </c>
      <c r="N45">
        <v>4</v>
      </c>
      <c r="O45" t="s">
        <v>57</v>
      </c>
      <c r="S45" t="s">
        <v>58</v>
      </c>
    </row>
    <row r="46" spans="1:19" x14ac:dyDescent="0.25">
      <c r="A46">
        <v>128623</v>
      </c>
      <c r="B46">
        <v>2024</v>
      </c>
      <c r="C46" t="s">
        <v>24</v>
      </c>
      <c r="D46" t="s">
        <v>26</v>
      </c>
      <c r="E46" t="s">
        <v>177</v>
      </c>
      <c r="F46" t="s">
        <v>196</v>
      </c>
      <c r="G46" s="1" t="s">
        <v>192</v>
      </c>
      <c r="H46" s="1" t="s">
        <v>193</v>
      </c>
      <c r="I46" t="s">
        <v>31</v>
      </c>
      <c r="J46" t="s">
        <v>32</v>
      </c>
      <c r="K46" t="s">
        <v>33</v>
      </c>
      <c r="L46" t="s">
        <v>34</v>
      </c>
      <c r="M46" t="s">
        <v>36</v>
      </c>
      <c r="N46">
        <v>1</v>
      </c>
      <c r="P46" t="s">
        <v>70</v>
      </c>
      <c r="S46" t="s">
        <v>71</v>
      </c>
    </row>
    <row r="47" spans="1:19" x14ac:dyDescent="0.25">
      <c r="A47">
        <v>128623</v>
      </c>
      <c r="B47">
        <v>2024</v>
      </c>
      <c r="C47" t="s">
        <v>24</v>
      </c>
      <c r="D47" t="s">
        <v>26</v>
      </c>
      <c r="E47" t="s">
        <v>177</v>
      </c>
      <c r="F47" t="s">
        <v>196</v>
      </c>
      <c r="G47" s="1" t="s">
        <v>192</v>
      </c>
      <c r="H47" s="1" t="s">
        <v>193</v>
      </c>
      <c r="I47" t="s">
        <v>31</v>
      </c>
      <c r="J47" t="s">
        <v>32</v>
      </c>
      <c r="K47" t="s">
        <v>33</v>
      </c>
      <c r="L47" t="s">
        <v>34</v>
      </c>
      <c r="M47" t="s">
        <v>36</v>
      </c>
      <c r="N47">
        <v>2</v>
      </c>
      <c r="O47" t="s">
        <v>68</v>
      </c>
      <c r="S47" t="s">
        <v>69</v>
      </c>
    </row>
    <row r="48" spans="1:19" x14ac:dyDescent="0.25">
      <c r="A48">
        <v>128623</v>
      </c>
      <c r="B48">
        <v>2024</v>
      </c>
      <c r="C48" t="s">
        <v>24</v>
      </c>
      <c r="D48" t="s">
        <v>26</v>
      </c>
      <c r="E48" t="s">
        <v>177</v>
      </c>
      <c r="F48" t="s">
        <v>196</v>
      </c>
      <c r="G48" s="1" t="s">
        <v>192</v>
      </c>
      <c r="H48" s="1" t="s">
        <v>193</v>
      </c>
      <c r="I48" t="s">
        <v>31</v>
      </c>
      <c r="J48" t="s">
        <v>32</v>
      </c>
      <c r="K48" t="s">
        <v>33</v>
      </c>
      <c r="L48" t="s">
        <v>34</v>
      </c>
      <c r="M48" t="s">
        <v>36</v>
      </c>
      <c r="N48">
        <v>3</v>
      </c>
      <c r="O48" t="s">
        <v>57</v>
      </c>
      <c r="R48" t="s">
        <v>190</v>
      </c>
      <c r="S48" t="s">
        <v>58</v>
      </c>
    </row>
    <row r="49" spans="1:19" x14ac:dyDescent="0.25">
      <c r="A49">
        <v>128623</v>
      </c>
      <c r="B49">
        <v>2024</v>
      </c>
      <c r="C49" t="s">
        <v>24</v>
      </c>
      <c r="D49" t="s">
        <v>26</v>
      </c>
      <c r="E49" t="s">
        <v>177</v>
      </c>
      <c r="F49" t="s">
        <v>196</v>
      </c>
      <c r="G49" s="1" t="s">
        <v>192</v>
      </c>
      <c r="H49" s="1" t="s">
        <v>193</v>
      </c>
      <c r="I49" t="s">
        <v>31</v>
      </c>
      <c r="J49" t="s">
        <v>32</v>
      </c>
      <c r="K49" t="s">
        <v>33</v>
      </c>
      <c r="L49" t="s">
        <v>34</v>
      </c>
      <c r="M49" t="s">
        <v>36</v>
      </c>
      <c r="N49">
        <v>4</v>
      </c>
      <c r="Q49" t="s">
        <v>65</v>
      </c>
    </row>
    <row r="50" spans="1:19" x14ac:dyDescent="0.25">
      <c r="A50">
        <v>128623</v>
      </c>
      <c r="B50">
        <v>2024</v>
      </c>
      <c r="C50" t="s">
        <v>24</v>
      </c>
      <c r="D50" t="s">
        <v>26</v>
      </c>
      <c r="E50" t="s">
        <v>177</v>
      </c>
      <c r="F50" t="s">
        <v>196</v>
      </c>
      <c r="G50" s="1" t="s">
        <v>192</v>
      </c>
      <c r="H50" s="1" t="s">
        <v>193</v>
      </c>
      <c r="I50" t="s">
        <v>31</v>
      </c>
      <c r="J50" t="s">
        <v>32</v>
      </c>
      <c r="K50" t="s">
        <v>33</v>
      </c>
      <c r="L50" t="s">
        <v>34</v>
      </c>
      <c r="M50" t="s">
        <v>36</v>
      </c>
      <c r="N50">
        <v>5</v>
      </c>
      <c r="O50" t="s">
        <v>57</v>
      </c>
      <c r="R50" t="s">
        <v>190</v>
      </c>
      <c r="S50" t="s">
        <v>58</v>
      </c>
    </row>
    <row r="51" spans="1:19" x14ac:dyDescent="0.25">
      <c r="A51">
        <v>128623</v>
      </c>
      <c r="B51">
        <v>2024</v>
      </c>
      <c r="C51" t="s">
        <v>24</v>
      </c>
      <c r="D51" t="s">
        <v>26</v>
      </c>
      <c r="E51" t="s">
        <v>177</v>
      </c>
      <c r="F51" t="s">
        <v>196</v>
      </c>
      <c r="G51" s="1" t="s">
        <v>192</v>
      </c>
      <c r="H51" s="1" t="s">
        <v>193</v>
      </c>
      <c r="I51" t="s">
        <v>31</v>
      </c>
      <c r="J51" t="s">
        <v>32</v>
      </c>
      <c r="K51" t="s">
        <v>33</v>
      </c>
      <c r="L51" t="s">
        <v>34</v>
      </c>
      <c r="M51" t="s">
        <v>36</v>
      </c>
      <c r="N51">
        <v>6</v>
      </c>
      <c r="O51" t="s">
        <v>197</v>
      </c>
      <c r="R51" t="s">
        <v>190</v>
      </c>
      <c r="S51" t="s">
        <v>198</v>
      </c>
    </row>
    <row r="52" spans="1:19" x14ac:dyDescent="0.25">
      <c r="A52">
        <v>128623</v>
      </c>
      <c r="B52">
        <v>2024</v>
      </c>
      <c r="C52" t="s">
        <v>24</v>
      </c>
      <c r="D52" t="s">
        <v>26</v>
      </c>
      <c r="E52" t="s">
        <v>177</v>
      </c>
      <c r="F52" t="s">
        <v>196</v>
      </c>
      <c r="G52" s="1" t="s">
        <v>192</v>
      </c>
      <c r="H52" s="1" t="s">
        <v>193</v>
      </c>
      <c r="I52" t="s">
        <v>31</v>
      </c>
      <c r="J52" t="s">
        <v>32</v>
      </c>
      <c r="K52" t="s">
        <v>33</v>
      </c>
      <c r="L52" t="s">
        <v>34</v>
      </c>
      <c r="M52" t="s">
        <v>36</v>
      </c>
      <c r="N52">
        <v>7</v>
      </c>
      <c r="O52" t="s">
        <v>57</v>
      </c>
      <c r="R52" t="s">
        <v>190</v>
      </c>
      <c r="S52" t="s">
        <v>58</v>
      </c>
    </row>
    <row r="53" spans="1:19" x14ac:dyDescent="0.25">
      <c r="A53">
        <v>128623</v>
      </c>
      <c r="B53">
        <v>2024</v>
      </c>
      <c r="C53" t="s">
        <v>24</v>
      </c>
      <c r="D53" t="s">
        <v>26</v>
      </c>
      <c r="E53" t="s">
        <v>177</v>
      </c>
      <c r="F53" t="s">
        <v>196</v>
      </c>
      <c r="G53" s="1" t="s">
        <v>192</v>
      </c>
      <c r="H53" s="1" t="s">
        <v>193</v>
      </c>
      <c r="I53" t="s">
        <v>31</v>
      </c>
      <c r="J53" t="s">
        <v>32</v>
      </c>
      <c r="K53" t="s">
        <v>33</v>
      </c>
      <c r="L53" t="s">
        <v>34</v>
      </c>
      <c r="M53" t="s">
        <v>36</v>
      </c>
      <c r="N53">
        <v>8</v>
      </c>
      <c r="O53" t="s">
        <v>197</v>
      </c>
      <c r="R53" t="s">
        <v>190</v>
      </c>
      <c r="S53" t="s">
        <v>198</v>
      </c>
    </row>
    <row r="54" spans="1:19" x14ac:dyDescent="0.25">
      <c r="A54">
        <v>128623</v>
      </c>
      <c r="B54">
        <v>2024</v>
      </c>
      <c r="C54" t="s">
        <v>24</v>
      </c>
      <c r="D54" t="s">
        <v>26</v>
      </c>
      <c r="E54" t="s">
        <v>177</v>
      </c>
      <c r="F54" t="s">
        <v>196</v>
      </c>
      <c r="G54" s="1" t="s">
        <v>192</v>
      </c>
      <c r="H54" s="1" t="s">
        <v>193</v>
      </c>
      <c r="I54" t="s">
        <v>31</v>
      </c>
      <c r="J54" t="s">
        <v>32</v>
      </c>
      <c r="K54" t="s">
        <v>33</v>
      </c>
      <c r="L54" t="s">
        <v>34</v>
      </c>
      <c r="M54" t="s">
        <v>36</v>
      </c>
      <c r="N54">
        <v>9</v>
      </c>
      <c r="O54" t="s">
        <v>57</v>
      </c>
      <c r="R54" t="s">
        <v>190</v>
      </c>
      <c r="S54" t="s">
        <v>58</v>
      </c>
    </row>
    <row r="55" spans="1:19" x14ac:dyDescent="0.25">
      <c r="A55">
        <v>128623</v>
      </c>
      <c r="B55">
        <v>2024</v>
      </c>
      <c r="C55" t="s">
        <v>24</v>
      </c>
      <c r="D55" t="s">
        <v>26</v>
      </c>
      <c r="E55" t="s">
        <v>177</v>
      </c>
      <c r="F55" t="s">
        <v>196</v>
      </c>
      <c r="G55" s="1" t="s">
        <v>192</v>
      </c>
      <c r="H55" s="1" t="s">
        <v>193</v>
      </c>
      <c r="I55" t="s">
        <v>31</v>
      </c>
      <c r="J55" t="s">
        <v>32</v>
      </c>
      <c r="K55" t="s">
        <v>33</v>
      </c>
      <c r="L55" t="s">
        <v>34</v>
      </c>
      <c r="M55" t="s">
        <v>36</v>
      </c>
      <c r="N55">
        <v>10</v>
      </c>
      <c r="O55" t="s">
        <v>57</v>
      </c>
      <c r="R55" t="s">
        <v>190</v>
      </c>
      <c r="S55" t="s">
        <v>58</v>
      </c>
    </row>
    <row r="56" spans="1:19" x14ac:dyDescent="0.25">
      <c r="A56">
        <v>128623</v>
      </c>
      <c r="B56">
        <v>2024</v>
      </c>
      <c r="C56" t="s">
        <v>24</v>
      </c>
      <c r="D56" t="s">
        <v>26</v>
      </c>
      <c r="E56" t="s">
        <v>177</v>
      </c>
      <c r="F56" t="s">
        <v>196</v>
      </c>
      <c r="G56" s="1" t="s">
        <v>192</v>
      </c>
      <c r="H56" s="1" t="s">
        <v>193</v>
      </c>
      <c r="I56" t="s">
        <v>31</v>
      </c>
      <c r="J56" t="s">
        <v>32</v>
      </c>
      <c r="K56" t="s">
        <v>33</v>
      </c>
      <c r="L56" t="s">
        <v>34</v>
      </c>
      <c r="M56" t="s">
        <v>36</v>
      </c>
      <c r="N56">
        <v>11</v>
      </c>
      <c r="Q56" t="s">
        <v>59</v>
      </c>
    </row>
    <row r="57" spans="1:19" x14ac:dyDescent="0.25">
      <c r="A57">
        <v>128623</v>
      </c>
      <c r="B57">
        <v>2024</v>
      </c>
      <c r="C57" t="s">
        <v>24</v>
      </c>
      <c r="D57" t="s">
        <v>26</v>
      </c>
      <c r="E57" t="s">
        <v>177</v>
      </c>
      <c r="F57" t="s">
        <v>196</v>
      </c>
      <c r="G57" s="1" t="s">
        <v>192</v>
      </c>
      <c r="H57" s="1" t="s">
        <v>193</v>
      </c>
      <c r="I57" t="s">
        <v>31</v>
      </c>
      <c r="J57" t="s">
        <v>32</v>
      </c>
      <c r="K57" t="s">
        <v>33</v>
      </c>
      <c r="L57" t="s">
        <v>34</v>
      </c>
      <c r="M57" t="s">
        <v>36</v>
      </c>
      <c r="N57">
        <v>12</v>
      </c>
      <c r="O57" t="s">
        <v>57</v>
      </c>
      <c r="R57" t="s">
        <v>190</v>
      </c>
      <c r="S57" t="s">
        <v>58</v>
      </c>
    </row>
    <row r="58" spans="1:19" x14ac:dyDescent="0.25">
      <c r="A58">
        <v>101623</v>
      </c>
      <c r="B58">
        <v>2022</v>
      </c>
      <c r="C58" t="s">
        <v>200</v>
      </c>
      <c r="D58" t="s">
        <v>26</v>
      </c>
      <c r="E58" t="s">
        <v>201</v>
      </c>
      <c r="F58" t="s">
        <v>210</v>
      </c>
      <c r="G58" s="1" t="s">
        <v>202</v>
      </c>
      <c r="H58" s="1" t="s">
        <v>202</v>
      </c>
      <c r="I58" t="s">
        <v>31</v>
      </c>
      <c r="J58" t="s">
        <v>32</v>
      </c>
      <c r="K58" t="s">
        <v>203</v>
      </c>
      <c r="L58" t="s">
        <v>204</v>
      </c>
      <c r="M58" t="s">
        <v>206</v>
      </c>
      <c r="N58">
        <v>1</v>
      </c>
      <c r="O58" t="s">
        <v>68</v>
      </c>
      <c r="S58" t="s">
        <v>69</v>
      </c>
    </row>
    <row r="59" spans="1:19" x14ac:dyDescent="0.25">
      <c r="A59">
        <v>101623</v>
      </c>
      <c r="B59">
        <v>2022</v>
      </c>
      <c r="C59" t="s">
        <v>200</v>
      </c>
      <c r="D59" t="s">
        <v>26</v>
      </c>
      <c r="E59" t="s">
        <v>201</v>
      </c>
      <c r="F59" t="s">
        <v>210</v>
      </c>
      <c r="G59" s="1" t="s">
        <v>202</v>
      </c>
      <c r="H59" s="1" t="s">
        <v>202</v>
      </c>
      <c r="I59" t="s">
        <v>31</v>
      </c>
      <c r="J59" t="s">
        <v>32</v>
      </c>
      <c r="K59" t="s">
        <v>203</v>
      </c>
      <c r="L59" t="s">
        <v>204</v>
      </c>
      <c r="M59" t="s">
        <v>206</v>
      </c>
      <c r="N59">
        <v>2</v>
      </c>
      <c r="O59" t="s">
        <v>57</v>
      </c>
      <c r="R59" t="s">
        <v>190</v>
      </c>
      <c r="S59" t="s">
        <v>58</v>
      </c>
    </row>
    <row r="60" spans="1:19" x14ac:dyDescent="0.25">
      <c r="A60">
        <v>101623</v>
      </c>
      <c r="B60">
        <v>2022</v>
      </c>
      <c r="C60" t="s">
        <v>200</v>
      </c>
      <c r="D60" t="s">
        <v>26</v>
      </c>
      <c r="E60" t="s">
        <v>201</v>
      </c>
      <c r="F60" t="s">
        <v>210</v>
      </c>
      <c r="G60" s="1" t="s">
        <v>202</v>
      </c>
      <c r="H60" s="1" t="s">
        <v>202</v>
      </c>
      <c r="I60" t="s">
        <v>31</v>
      </c>
      <c r="J60" t="s">
        <v>32</v>
      </c>
      <c r="K60" t="s">
        <v>203</v>
      </c>
      <c r="L60" t="s">
        <v>204</v>
      </c>
      <c r="M60" t="s">
        <v>206</v>
      </c>
      <c r="N60">
        <v>3</v>
      </c>
      <c r="O60" t="s">
        <v>57</v>
      </c>
      <c r="S60" t="s">
        <v>58</v>
      </c>
    </row>
    <row r="61" spans="1:19" x14ac:dyDescent="0.25">
      <c r="A61">
        <v>101623</v>
      </c>
      <c r="B61">
        <v>2022</v>
      </c>
      <c r="C61" t="s">
        <v>200</v>
      </c>
      <c r="D61" t="s">
        <v>26</v>
      </c>
      <c r="E61" t="s">
        <v>201</v>
      </c>
      <c r="F61" t="s">
        <v>210</v>
      </c>
      <c r="G61" s="1" t="s">
        <v>202</v>
      </c>
      <c r="H61" s="1" t="s">
        <v>202</v>
      </c>
      <c r="I61" t="s">
        <v>31</v>
      </c>
      <c r="J61" t="s">
        <v>32</v>
      </c>
      <c r="K61" t="s">
        <v>203</v>
      </c>
      <c r="L61" t="s">
        <v>204</v>
      </c>
      <c r="M61" t="s">
        <v>206</v>
      </c>
      <c r="N61">
        <v>4</v>
      </c>
      <c r="O61" t="s">
        <v>57</v>
      </c>
      <c r="S61" t="s">
        <v>58</v>
      </c>
    </row>
    <row r="62" spans="1:19" x14ac:dyDescent="0.25">
      <c r="A62">
        <v>101623</v>
      </c>
      <c r="B62">
        <v>2022</v>
      </c>
      <c r="C62" t="s">
        <v>200</v>
      </c>
      <c r="D62" t="s">
        <v>26</v>
      </c>
      <c r="E62" t="s">
        <v>201</v>
      </c>
      <c r="F62" t="s">
        <v>210</v>
      </c>
      <c r="G62" s="1" t="s">
        <v>202</v>
      </c>
      <c r="H62" s="1" t="s">
        <v>202</v>
      </c>
      <c r="I62" t="s">
        <v>31</v>
      </c>
      <c r="J62" t="s">
        <v>32</v>
      </c>
      <c r="K62" t="s">
        <v>203</v>
      </c>
      <c r="L62" t="s">
        <v>204</v>
      </c>
      <c r="M62" t="s">
        <v>206</v>
      </c>
      <c r="N62">
        <v>5</v>
      </c>
      <c r="O62" t="s">
        <v>57</v>
      </c>
      <c r="S62" t="s">
        <v>58</v>
      </c>
    </row>
    <row r="63" spans="1:19" x14ac:dyDescent="0.25">
      <c r="A63">
        <v>101623</v>
      </c>
      <c r="B63">
        <v>2022</v>
      </c>
      <c r="C63" t="s">
        <v>200</v>
      </c>
      <c r="D63" t="s">
        <v>26</v>
      </c>
      <c r="E63" t="s">
        <v>201</v>
      </c>
      <c r="F63" t="s">
        <v>210</v>
      </c>
      <c r="G63" s="1" t="s">
        <v>202</v>
      </c>
      <c r="H63" s="1" t="s">
        <v>202</v>
      </c>
      <c r="I63" t="s">
        <v>31</v>
      </c>
      <c r="J63" t="s">
        <v>32</v>
      </c>
      <c r="K63" t="s">
        <v>203</v>
      </c>
      <c r="L63" t="s">
        <v>204</v>
      </c>
      <c r="M63" t="s">
        <v>206</v>
      </c>
      <c r="N63">
        <v>6</v>
      </c>
      <c r="Q63" t="s">
        <v>169</v>
      </c>
    </row>
    <row r="64" spans="1:19" x14ac:dyDescent="0.25">
      <c r="A64">
        <v>101623</v>
      </c>
      <c r="B64">
        <v>2022</v>
      </c>
      <c r="C64" t="s">
        <v>200</v>
      </c>
      <c r="D64" t="s">
        <v>26</v>
      </c>
      <c r="E64" t="s">
        <v>201</v>
      </c>
      <c r="F64" t="s">
        <v>210</v>
      </c>
      <c r="G64" s="1" t="s">
        <v>202</v>
      </c>
      <c r="H64" s="1" t="s">
        <v>202</v>
      </c>
      <c r="I64" t="s">
        <v>31</v>
      </c>
      <c r="J64" t="s">
        <v>32</v>
      </c>
      <c r="K64" t="s">
        <v>203</v>
      </c>
      <c r="L64" t="s">
        <v>204</v>
      </c>
      <c r="M64" t="s">
        <v>206</v>
      </c>
      <c r="N64">
        <v>7</v>
      </c>
      <c r="O64" t="s">
        <v>57</v>
      </c>
      <c r="S64" t="s">
        <v>58</v>
      </c>
    </row>
    <row r="65" spans="1:19" x14ac:dyDescent="0.25">
      <c r="A65">
        <v>101623</v>
      </c>
      <c r="B65">
        <v>2022</v>
      </c>
      <c r="C65" t="s">
        <v>200</v>
      </c>
      <c r="D65" t="s">
        <v>26</v>
      </c>
      <c r="E65" t="s">
        <v>201</v>
      </c>
      <c r="F65" t="s">
        <v>210</v>
      </c>
      <c r="G65" s="1" t="s">
        <v>202</v>
      </c>
      <c r="H65" s="1" t="s">
        <v>202</v>
      </c>
      <c r="I65" t="s">
        <v>31</v>
      </c>
      <c r="J65" t="s">
        <v>32</v>
      </c>
      <c r="K65" t="s">
        <v>203</v>
      </c>
      <c r="L65" t="s">
        <v>204</v>
      </c>
      <c r="M65" t="s">
        <v>206</v>
      </c>
      <c r="N65">
        <v>8</v>
      </c>
      <c r="O65" t="s">
        <v>57</v>
      </c>
      <c r="S65" t="s">
        <v>58</v>
      </c>
    </row>
    <row r="66" spans="1:19" x14ac:dyDescent="0.25">
      <c r="A66">
        <v>101623</v>
      </c>
      <c r="B66">
        <v>2022</v>
      </c>
      <c r="C66" t="s">
        <v>200</v>
      </c>
      <c r="D66" t="s">
        <v>26</v>
      </c>
      <c r="E66" t="s">
        <v>201</v>
      </c>
      <c r="F66" t="s">
        <v>210</v>
      </c>
      <c r="G66" s="1" t="s">
        <v>202</v>
      </c>
      <c r="H66" s="1" t="s">
        <v>202</v>
      </c>
      <c r="I66" t="s">
        <v>31</v>
      </c>
      <c r="J66" t="s">
        <v>32</v>
      </c>
      <c r="K66" t="s">
        <v>203</v>
      </c>
      <c r="L66" t="s">
        <v>204</v>
      </c>
      <c r="M66" t="s">
        <v>206</v>
      </c>
      <c r="N66">
        <v>9</v>
      </c>
      <c r="O66" t="s">
        <v>68</v>
      </c>
      <c r="S66" t="s">
        <v>69</v>
      </c>
    </row>
    <row r="67" spans="1:19" x14ac:dyDescent="0.25">
      <c r="A67">
        <v>101623</v>
      </c>
      <c r="B67">
        <v>2022</v>
      </c>
      <c r="C67" t="s">
        <v>200</v>
      </c>
      <c r="D67" t="s">
        <v>26</v>
      </c>
      <c r="E67" t="s">
        <v>201</v>
      </c>
      <c r="F67" t="s">
        <v>210</v>
      </c>
      <c r="G67" s="1" t="s">
        <v>202</v>
      </c>
      <c r="H67" s="1" t="s">
        <v>202</v>
      </c>
      <c r="I67" t="s">
        <v>31</v>
      </c>
      <c r="J67" t="s">
        <v>32</v>
      </c>
      <c r="K67" t="s">
        <v>203</v>
      </c>
      <c r="L67" t="s">
        <v>204</v>
      </c>
      <c r="M67" t="s">
        <v>206</v>
      </c>
      <c r="N67">
        <v>10</v>
      </c>
      <c r="O67" t="s">
        <v>57</v>
      </c>
      <c r="S67" t="s">
        <v>58</v>
      </c>
    </row>
    <row r="68" spans="1:19" x14ac:dyDescent="0.25">
      <c r="A68">
        <v>101623</v>
      </c>
      <c r="B68">
        <v>2022</v>
      </c>
      <c r="C68" t="s">
        <v>200</v>
      </c>
      <c r="D68" t="s">
        <v>26</v>
      </c>
      <c r="E68" t="s">
        <v>201</v>
      </c>
      <c r="F68" t="s">
        <v>210</v>
      </c>
      <c r="G68" s="1" t="s">
        <v>202</v>
      </c>
      <c r="H68" s="1" t="s">
        <v>202</v>
      </c>
      <c r="I68" t="s">
        <v>31</v>
      </c>
      <c r="J68" t="s">
        <v>32</v>
      </c>
      <c r="K68" t="s">
        <v>203</v>
      </c>
      <c r="L68" t="s">
        <v>204</v>
      </c>
      <c r="M68" t="s">
        <v>206</v>
      </c>
      <c r="N68">
        <v>11</v>
      </c>
      <c r="O68" t="s">
        <v>57</v>
      </c>
      <c r="S68" t="s">
        <v>58</v>
      </c>
    </row>
    <row r="69" spans="1:19" x14ac:dyDescent="0.25">
      <c r="A69">
        <v>101623</v>
      </c>
      <c r="B69">
        <v>2022</v>
      </c>
      <c r="C69" t="s">
        <v>200</v>
      </c>
      <c r="D69" t="s">
        <v>26</v>
      </c>
      <c r="E69" t="s">
        <v>201</v>
      </c>
      <c r="F69" t="s">
        <v>210</v>
      </c>
      <c r="G69" s="1" t="s">
        <v>202</v>
      </c>
      <c r="H69" s="1" t="s">
        <v>202</v>
      </c>
      <c r="I69" t="s">
        <v>31</v>
      </c>
      <c r="J69" t="s">
        <v>32</v>
      </c>
      <c r="K69" t="s">
        <v>203</v>
      </c>
      <c r="L69" t="s">
        <v>204</v>
      </c>
      <c r="M69" t="s">
        <v>206</v>
      </c>
      <c r="N69">
        <v>12</v>
      </c>
      <c r="O69" t="s">
        <v>57</v>
      </c>
      <c r="S69" t="s">
        <v>58</v>
      </c>
    </row>
    <row r="70" spans="1:19" x14ac:dyDescent="0.25">
      <c r="A70">
        <v>101623</v>
      </c>
      <c r="B70">
        <v>2022</v>
      </c>
      <c r="C70" t="s">
        <v>200</v>
      </c>
      <c r="D70" t="s">
        <v>26</v>
      </c>
      <c r="E70" t="s">
        <v>201</v>
      </c>
      <c r="F70" t="s">
        <v>210</v>
      </c>
      <c r="G70" s="1" t="s">
        <v>202</v>
      </c>
      <c r="H70" s="1" t="s">
        <v>202</v>
      </c>
      <c r="I70" t="s">
        <v>31</v>
      </c>
      <c r="J70" t="s">
        <v>32</v>
      </c>
      <c r="K70" t="s">
        <v>203</v>
      </c>
      <c r="L70" t="s">
        <v>204</v>
      </c>
      <c r="M70" t="s">
        <v>206</v>
      </c>
      <c r="N70">
        <v>13</v>
      </c>
      <c r="O70" t="s">
        <v>57</v>
      </c>
      <c r="S70" t="s">
        <v>58</v>
      </c>
    </row>
    <row r="71" spans="1:19" x14ac:dyDescent="0.25">
      <c r="A71">
        <v>101623</v>
      </c>
      <c r="B71">
        <v>2022</v>
      </c>
      <c r="C71" t="s">
        <v>200</v>
      </c>
      <c r="D71" t="s">
        <v>26</v>
      </c>
      <c r="E71" t="s">
        <v>201</v>
      </c>
      <c r="F71" t="s">
        <v>210</v>
      </c>
      <c r="G71" s="1" t="s">
        <v>202</v>
      </c>
      <c r="H71" s="1" t="s">
        <v>202</v>
      </c>
      <c r="I71" t="s">
        <v>31</v>
      </c>
      <c r="J71" t="s">
        <v>32</v>
      </c>
      <c r="K71" t="s">
        <v>203</v>
      </c>
      <c r="L71" t="s">
        <v>204</v>
      </c>
      <c r="M71" t="s">
        <v>206</v>
      </c>
      <c r="N71">
        <v>14</v>
      </c>
      <c r="O71" t="s">
        <v>57</v>
      </c>
      <c r="R71" t="s">
        <v>190</v>
      </c>
      <c r="S71" t="s">
        <v>58</v>
      </c>
    </row>
    <row r="72" spans="1:19" x14ac:dyDescent="0.25">
      <c r="A72">
        <v>101625</v>
      </c>
      <c r="B72">
        <v>2022</v>
      </c>
      <c r="C72" t="s">
        <v>200</v>
      </c>
      <c r="D72" t="s">
        <v>26</v>
      </c>
      <c r="E72" t="s">
        <v>201</v>
      </c>
      <c r="F72" t="s">
        <v>222</v>
      </c>
      <c r="G72" s="1" t="s">
        <v>219</v>
      </c>
      <c r="H72" s="1" t="s">
        <v>220</v>
      </c>
      <c r="I72" t="s">
        <v>31</v>
      </c>
      <c r="J72" t="s">
        <v>32</v>
      </c>
      <c r="K72" t="s">
        <v>203</v>
      </c>
      <c r="L72" t="s">
        <v>204</v>
      </c>
      <c r="M72" t="s">
        <v>206</v>
      </c>
      <c r="N72">
        <v>1</v>
      </c>
      <c r="P72" t="s">
        <v>99</v>
      </c>
      <c r="S72" t="s">
        <v>100</v>
      </c>
    </row>
    <row r="73" spans="1:19" x14ac:dyDescent="0.25">
      <c r="A73">
        <v>101625</v>
      </c>
      <c r="B73">
        <v>2022</v>
      </c>
      <c r="C73" t="s">
        <v>200</v>
      </c>
      <c r="D73" t="s">
        <v>26</v>
      </c>
      <c r="E73" t="s">
        <v>201</v>
      </c>
      <c r="F73" t="s">
        <v>222</v>
      </c>
      <c r="G73" s="1" t="s">
        <v>219</v>
      </c>
      <c r="H73" s="1" t="s">
        <v>220</v>
      </c>
      <c r="I73" t="s">
        <v>31</v>
      </c>
      <c r="J73" t="s">
        <v>32</v>
      </c>
      <c r="K73" t="s">
        <v>203</v>
      </c>
      <c r="L73" t="s">
        <v>204</v>
      </c>
      <c r="M73" t="s">
        <v>206</v>
      </c>
      <c r="N73">
        <v>2</v>
      </c>
      <c r="O73" t="s">
        <v>57</v>
      </c>
      <c r="S73" t="s">
        <v>58</v>
      </c>
    </row>
    <row r="74" spans="1:19" x14ac:dyDescent="0.25">
      <c r="A74">
        <v>101625</v>
      </c>
      <c r="B74">
        <v>2022</v>
      </c>
      <c r="C74" t="s">
        <v>200</v>
      </c>
      <c r="D74" t="s">
        <v>26</v>
      </c>
      <c r="E74" t="s">
        <v>201</v>
      </c>
      <c r="F74" t="s">
        <v>222</v>
      </c>
      <c r="G74" s="1" t="s">
        <v>219</v>
      </c>
      <c r="H74" s="1" t="s">
        <v>220</v>
      </c>
      <c r="I74" t="s">
        <v>31</v>
      </c>
      <c r="J74" t="s">
        <v>32</v>
      </c>
      <c r="K74" t="s">
        <v>203</v>
      </c>
      <c r="L74" t="s">
        <v>204</v>
      </c>
      <c r="M74" t="s">
        <v>206</v>
      </c>
      <c r="N74">
        <v>3</v>
      </c>
      <c r="O74" t="s">
        <v>57</v>
      </c>
      <c r="S74" t="s">
        <v>58</v>
      </c>
    </row>
    <row r="75" spans="1:19" x14ac:dyDescent="0.25">
      <c r="A75">
        <v>101625</v>
      </c>
      <c r="B75">
        <v>2022</v>
      </c>
      <c r="C75" t="s">
        <v>200</v>
      </c>
      <c r="D75" t="s">
        <v>26</v>
      </c>
      <c r="E75" t="s">
        <v>201</v>
      </c>
      <c r="F75" t="s">
        <v>222</v>
      </c>
      <c r="G75" s="1" t="s">
        <v>219</v>
      </c>
      <c r="H75" s="1" t="s">
        <v>220</v>
      </c>
      <c r="I75" t="s">
        <v>31</v>
      </c>
      <c r="J75" t="s">
        <v>32</v>
      </c>
      <c r="K75" t="s">
        <v>203</v>
      </c>
      <c r="L75" t="s">
        <v>204</v>
      </c>
      <c r="M75" t="s">
        <v>206</v>
      </c>
      <c r="N75">
        <v>4</v>
      </c>
      <c r="O75" t="s">
        <v>57</v>
      </c>
      <c r="S75" t="s">
        <v>58</v>
      </c>
    </row>
    <row r="76" spans="1:19" x14ac:dyDescent="0.25">
      <c r="A76">
        <v>101625</v>
      </c>
      <c r="B76">
        <v>2022</v>
      </c>
      <c r="C76" t="s">
        <v>200</v>
      </c>
      <c r="D76" t="s">
        <v>26</v>
      </c>
      <c r="E76" t="s">
        <v>201</v>
      </c>
      <c r="F76" t="s">
        <v>222</v>
      </c>
      <c r="G76" s="1" t="s">
        <v>219</v>
      </c>
      <c r="H76" s="1" t="s">
        <v>220</v>
      </c>
      <c r="I76" t="s">
        <v>31</v>
      </c>
      <c r="J76" t="s">
        <v>32</v>
      </c>
      <c r="K76" t="s">
        <v>203</v>
      </c>
      <c r="L76" t="s">
        <v>204</v>
      </c>
      <c r="M76" t="s">
        <v>206</v>
      </c>
      <c r="N76">
        <v>5</v>
      </c>
      <c r="O76" t="s">
        <v>57</v>
      </c>
      <c r="S76" t="s">
        <v>58</v>
      </c>
    </row>
    <row r="77" spans="1:19" x14ac:dyDescent="0.25">
      <c r="A77">
        <v>101625</v>
      </c>
      <c r="B77">
        <v>2022</v>
      </c>
      <c r="C77" t="s">
        <v>200</v>
      </c>
      <c r="D77" t="s">
        <v>26</v>
      </c>
      <c r="E77" t="s">
        <v>201</v>
      </c>
      <c r="F77" t="s">
        <v>222</v>
      </c>
      <c r="G77" s="1" t="s">
        <v>219</v>
      </c>
      <c r="H77" s="1" t="s">
        <v>220</v>
      </c>
      <c r="I77" t="s">
        <v>31</v>
      </c>
      <c r="J77" t="s">
        <v>32</v>
      </c>
      <c r="K77" t="s">
        <v>203</v>
      </c>
      <c r="L77" t="s">
        <v>204</v>
      </c>
      <c r="M77" t="s">
        <v>206</v>
      </c>
      <c r="N77">
        <v>6</v>
      </c>
      <c r="O77" t="s">
        <v>57</v>
      </c>
      <c r="R77" t="s">
        <v>190</v>
      </c>
      <c r="S77" t="s">
        <v>58</v>
      </c>
    </row>
    <row r="78" spans="1:19" x14ac:dyDescent="0.25">
      <c r="A78">
        <v>101625</v>
      </c>
      <c r="B78">
        <v>2022</v>
      </c>
      <c r="C78" t="s">
        <v>200</v>
      </c>
      <c r="D78" t="s">
        <v>26</v>
      </c>
      <c r="E78" t="s">
        <v>201</v>
      </c>
      <c r="F78" t="s">
        <v>222</v>
      </c>
      <c r="G78" s="1" t="s">
        <v>219</v>
      </c>
      <c r="H78" s="1" t="s">
        <v>220</v>
      </c>
      <c r="I78" t="s">
        <v>31</v>
      </c>
      <c r="J78" t="s">
        <v>32</v>
      </c>
      <c r="K78" t="s">
        <v>203</v>
      </c>
      <c r="L78" t="s">
        <v>204</v>
      </c>
      <c r="M78" t="s">
        <v>206</v>
      </c>
      <c r="N78">
        <v>7</v>
      </c>
      <c r="O78" t="s">
        <v>57</v>
      </c>
      <c r="S78" t="s">
        <v>58</v>
      </c>
    </row>
    <row r="79" spans="1:19" x14ac:dyDescent="0.25">
      <c r="A79">
        <v>101625</v>
      </c>
      <c r="B79">
        <v>2022</v>
      </c>
      <c r="C79" t="s">
        <v>200</v>
      </c>
      <c r="D79" t="s">
        <v>26</v>
      </c>
      <c r="E79" t="s">
        <v>201</v>
      </c>
      <c r="F79" t="s">
        <v>222</v>
      </c>
      <c r="G79" s="1" t="s">
        <v>219</v>
      </c>
      <c r="H79" s="1" t="s">
        <v>220</v>
      </c>
      <c r="I79" t="s">
        <v>31</v>
      </c>
      <c r="J79" t="s">
        <v>32</v>
      </c>
      <c r="K79" t="s">
        <v>203</v>
      </c>
      <c r="L79" t="s">
        <v>204</v>
      </c>
      <c r="M79" t="s">
        <v>206</v>
      </c>
      <c r="N79">
        <v>8</v>
      </c>
      <c r="O79" t="s">
        <v>57</v>
      </c>
      <c r="R79" t="s">
        <v>190</v>
      </c>
      <c r="S79" t="s">
        <v>58</v>
      </c>
    </row>
    <row r="80" spans="1:19" x14ac:dyDescent="0.25">
      <c r="A80">
        <v>101625</v>
      </c>
      <c r="B80">
        <v>2022</v>
      </c>
      <c r="C80" t="s">
        <v>200</v>
      </c>
      <c r="D80" t="s">
        <v>26</v>
      </c>
      <c r="E80" t="s">
        <v>201</v>
      </c>
      <c r="F80" t="s">
        <v>222</v>
      </c>
      <c r="G80" s="1" t="s">
        <v>219</v>
      </c>
      <c r="H80" s="1" t="s">
        <v>220</v>
      </c>
      <c r="I80" t="s">
        <v>31</v>
      </c>
      <c r="J80" t="s">
        <v>32</v>
      </c>
      <c r="K80" t="s">
        <v>203</v>
      </c>
      <c r="L80" t="s">
        <v>204</v>
      </c>
      <c r="M80" t="s">
        <v>206</v>
      </c>
      <c r="N80">
        <v>9</v>
      </c>
      <c r="O80" t="s">
        <v>57</v>
      </c>
      <c r="S80" t="s">
        <v>58</v>
      </c>
    </row>
    <row r="81" spans="1:19" x14ac:dyDescent="0.25">
      <c r="A81">
        <v>101625</v>
      </c>
      <c r="B81">
        <v>2022</v>
      </c>
      <c r="C81" t="s">
        <v>200</v>
      </c>
      <c r="D81" t="s">
        <v>26</v>
      </c>
      <c r="E81" t="s">
        <v>201</v>
      </c>
      <c r="F81" t="s">
        <v>222</v>
      </c>
      <c r="G81" s="1" t="s">
        <v>219</v>
      </c>
      <c r="H81" s="1" t="s">
        <v>220</v>
      </c>
      <c r="I81" t="s">
        <v>31</v>
      </c>
      <c r="J81" t="s">
        <v>32</v>
      </c>
      <c r="K81" t="s">
        <v>203</v>
      </c>
      <c r="L81" t="s">
        <v>204</v>
      </c>
      <c r="M81" t="s">
        <v>206</v>
      </c>
      <c r="N81">
        <v>10</v>
      </c>
      <c r="P81" t="s">
        <v>99</v>
      </c>
      <c r="S81" t="s">
        <v>100</v>
      </c>
    </row>
    <row r="82" spans="1:19" x14ac:dyDescent="0.25">
      <c r="A82">
        <v>101625</v>
      </c>
      <c r="B82">
        <v>2022</v>
      </c>
      <c r="C82" t="s">
        <v>200</v>
      </c>
      <c r="D82" t="s">
        <v>26</v>
      </c>
      <c r="E82" t="s">
        <v>201</v>
      </c>
      <c r="F82" t="s">
        <v>222</v>
      </c>
      <c r="G82" s="1" t="s">
        <v>219</v>
      </c>
      <c r="H82" s="1" t="s">
        <v>220</v>
      </c>
      <c r="I82" t="s">
        <v>31</v>
      </c>
      <c r="J82" t="s">
        <v>32</v>
      </c>
      <c r="K82" t="s">
        <v>203</v>
      </c>
      <c r="L82" t="s">
        <v>204</v>
      </c>
      <c r="M82" t="s">
        <v>206</v>
      </c>
      <c r="N82">
        <v>11</v>
      </c>
      <c r="O82" t="s">
        <v>68</v>
      </c>
      <c r="S82" t="s">
        <v>69</v>
      </c>
    </row>
    <row r="83" spans="1:19" x14ac:dyDescent="0.25">
      <c r="A83">
        <v>101625</v>
      </c>
      <c r="B83">
        <v>2022</v>
      </c>
      <c r="C83" t="s">
        <v>200</v>
      </c>
      <c r="D83" t="s">
        <v>26</v>
      </c>
      <c r="E83" t="s">
        <v>201</v>
      </c>
      <c r="F83" t="s">
        <v>222</v>
      </c>
      <c r="G83" s="1" t="s">
        <v>219</v>
      </c>
      <c r="H83" s="1" t="s">
        <v>220</v>
      </c>
      <c r="I83" t="s">
        <v>31</v>
      </c>
      <c r="J83" t="s">
        <v>32</v>
      </c>
      <c r="K83" t="s">
        <v>203</v>
      </c>
      <c r="L83" t="s">
        <v>204</v>
      </c>
      <c r="M83" t="s">
        <v>206</v>
      </c>
      <c r="N83">
        <v>12</v>
      </c>
      <c r="O83" t="s">
        <v>57</v>
      </c>
      <c r="S83" t="s">
        <v>58</v>
      </c>
    </row>
    <row r="84" spans="1:19" x14ac:dyDescent="0.25">
      <c r="A84">
        <v>101625</v>
      </c>
      <c r="B84">
        <v>2022</v>
      </c>
      <c r="C84" t="s">
        <v>200</v>
      </c>
      <c r="D84" t="s">
        <v>26</v>
      </c>
      <c r="E84" t="s">
        <v>201</v>
      </c>
      <c r="F84" t="s">
        <v>222</v>
      </c>
      <c r="G84" s="1" t="s">
        <v>219</v>
      </c>
      <c r="H84" s="1" t="s">
        <v>220</v>
      </c>
      <c r="I84" t="s">
        <v>31</v>
      </c>
      <c r="J84" t="s">
        <v>32</v>
      </c>
      <c r="K84" t="s">
        <v>203</v>
      </c>
      <c r="L84" t="s">
        <v>204</v>
      </c>
      <c r="M84" t="s">
        <v>206</v>
      </c>
      <c r="N84">
        <v>13</v>
      </c>
      <c r="O84" t="s">
        <v>68</v>
      </c>
      <c r="R84" t="s">
        <v>190</v>
      </c>
      <c r="S84" t="s">
        <v>69</v>
      </c>
    </row>
    <row r="85" spans="1:19" x14ac:dyDescent="0.25">
      <c r="A85">
        <v>101625</v>
      </c>
      <c r="B85">
        <v>2022</v>
      </c>
      <c r="C85" t="s">
        <v>200</v>
      </c>
      <c r="D85" t="s">
        <v>26</v>
      </c>
      <c r="E85" t="s">
        <v>201</v>
      </c>
      <c r="F85" t="s">
        <v>222</v>
      </c>
      <c r="G85" s="1" t="s">
        <v>219</v>
      </c>
      <c r="H85" s="1" t="s">
        <v>220</v>
      </c>
      <c r="I85" t="s">
        <v>31</v>
      </c>
      <c r="J85" t="s">
        <v>32</v>
      </c>
      <c r="K85" t="s">
        <v>203</v>
      </c>
      <c r="L85" t="s">
        <v>204</v>
      </c>
      <c r="M85" t="s">
        <v>206</v>
      </c>
      <c r="N85">
        <v>14</v>
      </c>
      <c r="O85" t="s">
        <v>57</v>
      </c>
      <c r="R85" t="s">
        <v>190</v>
      </c>
      <c r="S85" t="s">
        <v>58</v>
      </c>
    </row>
    <row r="86" spans="1:19" x14ac:dyDescent="0.25">
      <c r="A86">
        <v>101625</v>
      </c>
      <c r="B86">
        <v>2022</v>
      </c>
      <c r="C86" t="s">
        <v>200</v>
      </c>
      <c r="D86" t="s">
        <v>26</v>
      </c>
      <c r="E86" t="s">
        <v>201</v>
      </c>
      <c r="F86" t="s">
        <v>222</v>
      </c>
      <c r="G86" s="1" t="s">
        <v>219</v>
      </c>
      <c r="H86" s="1" t="s">
        <v>220</v>
      </c>
      <c r="I86" t="s">
        <v>31</v>
      </c>
      <c r="J86" t="s">
        <v>32</v>
      </c>
      <c r="K86" t="s">
        <v>203</v>
      </c>
      <c r="L86" t="s">
        <v>204</v>
      </c>
      <c r="M86" t="s">
        <v>206</v>
      </c>
      <c r="N86">
        <v>15</v>
      </c>
      <c r="O86" t="s">
        <v>57</v>
      </c>
      <c r="S86" t="s">
        <v>58</v>
      </c>
    </row>
    <row r="87" spans="1:19" x14ac:dyDescent="0.25">
      <c r="A87">
        <v>101625</v>
      </c>
      <c r="B87">
        <v>2022</v>
      </c>
      <c r="C87" t="s">
        <v>200</v>
      </c>
      <c r="D87" t="s">
        <v>26</v>
      </c>
      <c r="E87" t="s">
        <v>201</v>
      </c>
      <c r="F87" t="s">
        <v>225</v>
      </c>
      <c r="G87" s="1" t="s">
        <v>219</v>
      </c>
      <c r="H87" s="1" t="s">
        <v>220</v>
      </c>
      <c r="I87" t="s">
        <v>31</v>
      </c>
      <c r="J87" t="s">
        <v>32</v>
      </c>
      <c r="K87" t="s">
        <v>203</v>
      </c>
      <c r="L87" t="s">
        <v>204</v>
      </c>
      <c r="M87" t="s">
        <v>206</v>
      </c>
      <c r="N87">
        <v>1</v>
      </c>
      <c r="O87" t="s">
        <v>57</v>
      </c>
      <c r="S87" t="s">
        <v>58</v>
      </c>
    </row>
    <row r="88" spans="1:19" x14ac:dyDescent="0.25">
      <c r="A88">
        <v>101625</v>
      </c>
      <c r="B88">
        <v>2022</v>
      </c>
      <c r="C88" t="s">
        <v>200</v>
      </c>
      <c r="D88" t="s">
        <v>26</v>
      </c>
      <c r="E88" t="s">
        <v>201</v>
      </c>
      <c r="F88" t="s">
        <v>225</v>
      </c>
      <c r="G88" s="1" t="s">
        <v>219</v>
      </c>
      <c r="H88" s="1" t="s">
        <v>220</v>
      </c>
      <c r="I88" t="s">
        <v>31</v>
      </c>
      <c r="J88" t="s">
        <v>32</v>
      </c>
      <c r="K88" t="s">
        <v>203</v>
      </c>
      <c r="L88" t="s">
        <v>204</v>
      </c>
      <c r="M88" t="s">
        <v>206</v>
      </c>
      <c r="N88">
        <v>2</v>
      </c>
      <c r="P88" t="s">
        <v>99</v>
      </c>
      <c r="S88" t="s">
        <v>100</v>
      </c>
    </row>
    <row r="89" spans="1:19" x14ac:dyDescent="0.25">
      <c r="A89">
        <v>101625</v>
      </c>
      <c r="B89">
        <v>2022</v>
      </c>
      <c r="C89" t="s">
        <v>200</v>
      </c>
      <c r="D89" t="s">
        <v>26</v>
      </c>
      <c r="E89" t="s">
        <v>201</v>
      </c>
      <c r="F89" t="s">
        <v>225</v>
      </c>
      <c r="G89" s="1" t="s">
        <v>219</v>
      </c>
      <c r="H89" s="1" t="s">
        <v>220</v>
      </c>
      <c r="I89" t="s">
        <v>31</v>
      </c>
      <c r="J89" t="s">
        <v>32</v>
      </c>
      <c r="K89" t="s">
        <v>203</v>
      </c>
      <c r="L89" t="s">
        <v>204</v>
      </c>
      <c r="M89" t="s">
        <v>206</v>
      </c>
      <c r="N89">
        <v>3</v>
      </c>
      <c r="P89" t="s">
        <v>99</v>
      </c>
      <c r="S89" t="s">
        <v>100</v>
      </c>
    </row>
    <row r="90" spans="1:19" x14ac:dyDescent="0.25">
      <c r="A90">
        <v>101627</v>
      </c>
      <c r="B90">
        <v>2022</v>
      </c>
      <c r="C90" t="s">
        <v>200</v>
      </c>
      <c r="D90" t="s">
        <v>26</v>
      </c>
      <c r="E90" t="s">
        <v>201</v>
      </c>
      <c r="F90" t="s">
        <v>233</v>
      </c>
      <c r="G90" s="1" t="s">
        <v>232</v>
      </c>
      <c r="H90" s="1" t="s">
        <v>232</v>
      </c>
      <c r="I90" t="s">
        <v>31</v>
      </c>
      <c r="J90" t="s">
        <v>32</v>
      </c>
      <c r="K90" t="s">
        <v>203</v>
      </c>
      <c r="L90" t="s">
        <v>204</v>
      </c>
      <c r="M90" t="s">
        <v>206</v>
      </c>
      <c r="N90">
        <v>1</v>
      </c>
      <c r="O90" t="s">
        <v>57</v>
      </c>
      <c r="S90" t="s">
        <v>58</v>
      </c>
    </row>
    <row r="91" spans="1:19" x14ac:dyDescent="0.25">
      <c r="A91">
        <v>101627</v>
      </c>
      <c r="B91">
        <v>2022</v>
      </c>
      <c r="C91" t="s">
        <v>200</v>
      </c>
      <c r="D91" t="s">
        <v>26</v>
      </c>
      <c r="E91" t="s">
        <v>201</v>
      </c>
      <c r="F91" t="s">
        <v>233</v>
      </c>
      <c r="G91" s="1" t="s">
        <v>232</v>
      </c>
      <c r="H91" s="1" t="s">
        <v>232</v>
      </c>
      <c r="I91" t="s">
        <v>31</v>
      </c>
      <c r="J91" t="s">
        <v>32</v>
      </c>
      <c r="K91" t="s">
        <v>203</v>
      </c>
      <c r="L91" t="s">
        <v>204</v>
      </c>
      <c r="M91" t="s">
        <v>206</v>
      </c>
      <c r="N91">
        <v>2</v>
      </c>
      <c r="O91" t="s">
        <v>68</v>
      </c>
      <c r="S91" t="s">
        <v>69</v>
      </c>
    </row>
    <row r="92" spans="1:19" x14ac:dyDescent="0.25">
      <c r="A92">
        <v>101629</v>
      </c>
      <c r="B92">
        <v>2022</v>
      </c>
      <c r="C92" t="s">
        <v>200</v>
      </c>
      <c r="D92" t="s">
        <v>26</v>
      </c>
      <c r="E92" t="s">
        <v>201</v>
      </c>
      <c r="F92" t="s">
        <v>244</v>
      </c>
      <c r="G92" s="1" t="s">
        <v>243</v>
      </c>
      <c r="H92" s="1" t="s">
        <v>232</v>
      </c>
      <c r="I92" t="s">
        <v>31</v>
      </c>
      <c r="J92" t="s">
        <v>32</v>
      </c>
      <c r="K92" t="s">
        <v>203</v>
      </c>
      <c r="L92" t="s">
        <v>34</v>
      </c>
      <c r="M92" t="s">
        <v>36</v>
      </c>
      <c r="N92">
        <v>1</v>
      </c>
      <c r="P92" t="s">
        <v>99</v>
      </c>
      <c r="Q92" t="s">
        <v>149</v>
      </c>
      <c r="R92" t="s">
        <v>248</v>
      </c>
      <c r="S92" t="s">
        <v>100</v>
      </c>
    </row>
    <row r="93" spans="1:19" x14ac:dyDescent="0.25">
      <c r="A93">
        <v>101629</v>
      </c>
      <c r="B93">
        <v>2022</v>
      </c>
      <c r="C93" t="s">
        <v>200</v>
      </c>
      <c r="D93" t="s">
        <v>26</v>
      </c>
      <c r="E93" t="s">
        <v>201</v>
      </c>
      <c r="F93" t="s">
        <v>244</v>
      </c>
      <c r="G93" s="1" t="s">
        <v>243</v>
      </c>
      <c r="H93" s="1" t="s">
        <v>232</v>
      </c>
      <c r="I93" t="s">
        <v>31</v>
      </c>
      <c r="J93" t="s">
        <v>32</v>
      </c>
      <c r="K93" t="s">
        <v>203</v>
      </c>
      <c r="L93" t="s">
        <v>34</v>
      </c>
      <c r="M93" t="s">
        <v>36</v>
      </c>
      <c r="N93">
        <v>2</v>
      </c>
      <c r="P93" t="s">
        <v>60</v>
      </c>
      <c r="Q93" t="s">
        <v>59</v>
      </c>
      <c r="R93" t="s">
        <v>249</v>
      </c>
      <c r="S93" t="s">
        <v>61</v>
      </c>
    </row>
    <row r="94" spans="1:19" x14ac:dyDescent="0.25">
      <c r="A94">
        <v>101629</v>
      </c>
      <c r="B94">
        <v>2022</v>
      </c>
      <c r="C94" t="s">
        <v>200</v>
      </c>
      <c r="D94" t="s">
        <v>26</v>
      </c>
      <c r="E94" t="s">
        <v>201</v>
      </c>
      <c r="F94" t="s">
        <v>244</v>
      </c>
      <c r="G94" s="1" t="s">
        <v>243</v>
      </c>
      <c r="H94" s="1" t="s">
        <v>232</v>
      </c>
      <c r="I94" t="s">
        <v>31</v>
      </c>
      <c r="J94" t="s">
        <v>32</v>
      </c>
      <c r="K94" t="s">
        <v>203</v>
      </c>
      <c r="L94" t="s">
        <v>34</v>
      </c>
      <c r="M94" t="s">
        <v>36</v>
      </c>
      <c r="N94">
        <v>3</v>
      </c>
      <c r="P94" t="s">
        <v>60</v>
      </c>
      <c r="Q94" t="s">
        <v>59</v>
      </c>
      <c r="R94" t="s">
        <v>249</v>
      </c>
      <c r="S94" t="s">
        <v>61</v>
      </c>
    </row>
    <row r="95" spans="1:19" x14ac:dyDescent="0.25">
      <c r="A95">
        <v>101629</v>
      </c>
      <c r="B95">
        <v>2022</v>
      </c>
      <c r="C95" t="s">
        <v>200</v>
      </c>
      <c r="D95" t="s">
        <v>26</v>
      </c>
      <c r="E95" t="s">
        <v>201</v>
      </c>
      <c r="F95" t="s">
        <v>244</v>
      </c>
      <c r="G95" s="1" t="s">
        <v>243</v>
      </c>
      <c r="H95" s="1" t="s">
        <v>232</v>
      </c>
      <c r="I95" t="s">
        <v>31</v>
      </c>
      <c r="J95" t="s">
        <v>32</v>
      </c>
      <c r="K95" t="s">
        <v>203</v>
      </c>
      <c r="L95" t="s">
        <v>34</v>
      </c>
      <c r="M95" t="s">
        <v>36</v>
      </c>
      <c r="N95">
        <v>4</v>
      </c>
      <c r="P95" t="s">
        <v>99</v>
      </c>
      <c r="Q95" t="s">
        <v>149</v>
      </c>
      <c r="R95" t="s">
        <v>248</v>
      </c>
      <c r="S95" t="s">
        <v>100</v>
      </c>
    </row>
    <row r="96" spans="1:19" x14ac:dyDescent="0.25">
      <c r="A96">
        <v>101629</v>
      </c>
      <c r="B96">
        <v>2022</v>
      </c>
      <c r="C96" t="s">
        <v>200</v>
      </c>
      <c r="D96" t="s">
        <v>26</v>
      </c>
      <c r="E96" t="s">
        <v>201</v>
      </c>
      <c r="F96" t="s">
        <v>244</v>
      </c>
      <c r="G96" s="1" t="s">
        <v>243</v>
      </c>
      <c r="H96" s="1" t="s">
        <v>232</v>
      </c>
      <c r="I96" t="s">
        <v>31</v>
      </c>
      <c r="J96" t="s">
        <v>32</v>
      </c>
      <c r="K96" t="s">
        <v>203</v>
      </c>
      <c r="L96" t="s">
        <v>34</v>
      </c>
      <c r="M96" t="s">
        <v>36</v>
      </c>
      <c r="N96">
        <v>5</v>
      </c>
      <c r="O96" t="s">
        <v>57</v>
      </c>
      <c r="R96" t="s">
        <v>249</v>
      </c>
      <c r="S96" t="s">
        <v>58</v>
      </c>
    </row>
    <row r="97" spans="1:19" x14ac:dyDescent="0.25">
      <c r="A97">
        <v>101629</v>
      </c>
      <c r="B97">
        <v>2022</v>
      </c>
      <c r="C97" t="s">
        <v>200</v>
      </c>
      <c r="D97" t="s">
        <v>26</v>
      </c>
      <c r="E97" t="s">
        <v>201</v>
      </c>
      <c r="F97" t="s">
        <v>244</v>
      </c>
      <c r="G97" s="1" t="s">
        <v>243</v>
      </c>
      <c r="H97" s="1" t="s">
        <v>232</v>
      </c>
      <c r="I97" t="s">
        <v>31</v>
      </c>
      <c r="J97" t="s">
        <v>32</v>
      </c>
      <c r="K97" t="s">
        <v>203</v>
      </c>
      <c r="L97" t="s">
        <v>34</v>
      </c>
      <c r="M97" t="s">
        <v>36</v>
      </c>
      <c r="N97">
        <v>6</v>
      </c>
      <c r="P97" t="s">
        <v>99</v>
      </c>
      <c r="Q97" t="s">
        <v>149</v>
      </c>
      <c r="R97" t="s">
        <v>248</v>
      </c>
      <c r="S97" t="s">
        <v>100</v>
      </c>
    </row>
    <row r="98" spans="1:19" x14ac:dyDescent="0.25">
      <c r="A98">
        <v>101629</v>
      </c>
      <c r="B98">
        <v>2022</v>
      </c>
      <c r="C98" t="s">
        <v>200</v>
      </c>
      <c r="D98" t="s">
        <v>26</v>
      </c>
      <c r="E98" t="s">
        <v>201</v>
      </c>
      <c r="F98" t="s">
        <v>244</v>
      </c>
      <c r="G98" s="1" t="s">
        <v>243</v>
      </c>
      <c r="H98" s="1" t="s">
        <v>232</v>
      </c>
      <c r="I98" t="s">
        <v>31</v>
      </c>
      <c r="J98" t="s">
        <v>32</v>
      </c>
      <c r="K98" t="s">
        <v>203</v>
      </c>
      <c r="L98" t="s">
        <v>34</v>
      </c>
      <c r="M98" t="s">
        <v>36</v>
      </c>
      <c r="N98">
        <v>7</v>
      </c>
      <c r="O98" t="s">
        <v>57</v>
      </c>
      <c r="R98" t="s">
        <v>249</v>
      </c>
      <c r="S98" t="s">
        <v>58</v>
      </c>
    </row>
    <row r="99" spans="1:19" x14ac:dyDescent="0.25">
      <c r="A99">
        <v>101629</v>
      </c>
      <c r="B99">
        <v>2022</v>
      </c>
      <c r="C99" t="s">
        <v>200</v>
      </c>
      <c r="D99" t="s">
        <v>26</v>
      </c>
      <c r="E99" t="s">
        <v>201</v>
      </c>
      <c r="F99" t="s">
        <v>244</v>
      </c>
      <c r="G99" s="1" t="s">
        <v>243</v>
      </c>
      <c r="H99" s="1" t="s">
        <v>232</v>
      </c>
      <c r="I99" t="s">
        <v>31</v>
      </c>
      <c r="J99" t="s">
        <v>32</v>
      </c>
      <c r="K99" t="s">
        <v>203</v>
      </c>
      <c r="L99" t="s">
        <v>34</v>
      </c>
      <c r="M99" t="s">
        <v>36</v>
      </c>
      <c r="N99">
        <v>8</v>
      </c>
      <c r="P99" t="s">
        <v>99</v>
      </c>
      <c r="Q99" t="s">
        <v>149</v>
      </c>
      <c r="R99" t="s">
        <v>248</v>
      </c>
      <c r="S99" t="s">
        <v>100</v>
      </c>
    </row>
    <row r="100" spans="1:19" x14ac:dyDescent="0.25">
      <c r="A100">
        <v>101629</v>
      </c>
      <c r="B100">
        <v>2022</v>
      </c>
      <c r="C100" t="s">
        <v>200</v>
      </c>
      <c r="D100" t="s">
        <v>26</v>
      </c>
      <c r="E100" t="s">
        <v>201</v>
      </c>
      <c r="F100" t="s">
        <v>244</v>
      </c>
      <c r="G100" s="1" t="s">
        <v>243</v>
      </c>
      <c r="H100" s="1" t="s">
        <v>232</v>
      </c>
      <c r="I100" t="s">
        <v>31</v>
      </c>
      <c r="J100" t="s">
        <v>32</v>
      </c>
      <c r="K100" t="s">
        <v>203</v>
      </c>
      <c r="L100" t="s">
        <v>34</v>
      </c>
      <c r="M100" t="s">
        <v>36</v>
      </c>
      <c r="N100">
        <v>9</v>
      </c>
      <c r="O100" t="s">
        <v>57</v>
      </c>
      <c r="R100" t="s">
        <v>249</v>
      </c>
      <c r="S100" t="s">
        <v>58</v>
      </c>
    </row>
    <row r="101" spans="1:19" x14ac:dyDescent="0.25">
      <c r="A101">
        <v>101629</v>
      </c>
      <c r="B101">
        <v>2022</v>
      </c>
      <c r="C101" t="s">
        <v>200</v>
      </c>
      <c r="D101" t="s">
        <v>26</v>
      </c>
      <c r="E101" t="s">
        <v>201</v>
      </c>
      <c r="F101" t="s">
        <v>244</v>
      </c>
      <c r="G101" s="1" t="s">
        <v>243</v>
      </c>
      <c r="H101" s="1" t="s">
        <v>232</v>
      </c>
      <c r="I101" t="s">
        <v>31</v>
      </c>
      <c r="J101" t="s">
        <v>32</v>
      </c>
      <c r="K101" t="s">
        <v>203</v>
      </c>
      <c r="L101" t="s">
        <v>34</v>
      </c>
      <c r="M101" t="s">
        <v>36</v>
      </c>
      <c r="N101">
        <v>10</v>
      </c>
      <c r="P101" t="s">
        <v>99</v>
      </c>
      <c r="Q101" t="s">
        <v>149</v>
      </c>
      <c r="R101" t="s">
        <v>248</v>
      </c>
      <c r="S101" t="s">
        <v>100</v>
      </c>
    </row>
    <row r="102" spans="1:19" x14ac:dyDescent="0.25">
      <c r="A102">
        <v>101629</v>
      </c>
      <c r="B102">
        <v>2022</v>
      </c>
      <c r="C102" t="s">
        <v>200</v>
      </c>
      <c r="D102" t="s">
        <v>26</v>
      </c>
      <c r="E102" t="s">
        <v>201</v>
      </c>
      <c r="F102" t="s">
        <v>241</v>
      </c>
      <c r="G102" s="1" t="s">
        <v>240</v>
      </c>
      <c r="H102" s="1" t="s">
        <v>243</v>
      </c>
      <c r="I102" t="s">
        <v>31</v>
      </c>
      <c r="J102" t="s">
        <v>32</v>
      </c>
      <c r="K102" t="s">
        <v>203</v>
      </c>
      <c r="L102" t="s">
        <v>34</v>
      </c>
      <c r="M102" t="s">
        <v>36</v>
      </c>
      <c r="N102">
        <v>1</v>
      </c>
      <c r="O102" t="s">
        <v>68</v>
      </c>
      <c r="R102" t="s">
        <v>190</v>
      </c>
      <c r="S102" t="s">
        <v>69</v>
      </c>
    </row>
    <row r="103" spans="1:19" x14ac:dyDescent="0.25">
      <c r="A103">
        <v>101629</v>
      </c>
      <c r="B103">
        <v>2022</v>
      </c>
      <c r="C103" t="s">
        <v>200</v>
      </c>
      <c r="D103" t="s">
        <v>26</v>
      </c>
      <c r="E103" t="s">
        <v>201</v>
      </c>
      <c r="F103" t="s">
        <v>241</v>
      </c>
      <c r="G103" s="1" t="s">
        <v>240</v>
      </c>
      <c r="H103" s="1" t="s">
        <v>243</v>
      </c>
      <c r="I103" t="s">
        <v>31</v>
      </c>
      <c r="J103" t="s">
        <v>32</v>
      </c>
      <c r="K103" t="s">
        <v>203</v>
      </c>
      <c r="L103" t="s">
        <v>34</v>
      </c>
      <c r="M103" t="s">
        <v>36</v>
      </c>
      <c r="N103">
        <v>2</v>
      </c>
      <c r="O103" t="s">
        <v>63</v>
      </c>
      <c r="R103" t="s">
        <v>249</v>
      </c>
      <c r="S103" t="s">
        <v>64</v>
      </c>
    </row>
    <row r="104" spans="1:19" x14ac:dyDescent="0.25">
      <c r="A104">
        <v>101629</v>
      </c>
      <c r="B104">
        <v>2022</v>
      </c>
      <c r="C104" t="s">
        <v>200</v>
      </c>
      <c r="D104" t="s">
        <v>26</v>
      </c>
      <c r="E104" t="s">
        <v>201</v>
      </c>
      <c r="F104" t="s">
        <v>241</v>
      </c>
      <c r="G104" s="1" t="s">
        <v>240</v>
      </c>
      <c r="H104" s="1" t="s">
        <v>243</v>
      </c>
      <c r="I104" t="s">
        <v>31</v>
      </c>
      <c r="J104" t="s">
        <v>32</v>
      </c>
      <c r="K104" t="s">
        <v>203</v>
      </c>
      <c r="L104" t="s">
        <v>34</v>
      </c>
      <c r="M104" t="s">
        <v>36</v>
      </c>
      <c r="N104">
        <v>3</v>
      </c>
      <c r="P104" t="s">
        <v>99</v>
      </c>
      <c r="Q104" t="s">
        <v>149</v>
      </c>
      <c r="R104" t="s">
        <v>248</v>
      </c>
      <c r="S104" t="s">
        <v>100</v>
      </c>
    </row>
    <row r="105" spans="1:19" x14ac:dyDescent="0.25">
      <c r="A105">
        <v>101629</v>
      </c>
      <c r="B105">
        <v>2022</v>
      </c>
      <c r="C105" t="s">
        <v>200</v>
      </c>
      <c r="D105" t="s">
        <v>26</v>
      </c>
      <c r="E105" t="s">
        <v>201</v>
      </c>
      <c r="F105" t="s">
        <v>241</v>
      </c>
      <c r="G105" s="1" t="s">
        <v>240</v>
      </c>
      <c r="H105" s="1" t="s">
        <v>243</v>
      </c>
      <c r="I105" t="s">
        <v>31</v>
      </c>
      <c r="J105" t="s">
        <v>32</v>
      </c>
      <c r="K105" t="s">
        <v>203</v>
      </c>
      <c r="L105" t="s">
        <v>34</v>
      </c>
      <c r="M105" t="s">
        <v>36</v>
      </c>
      <c r="N105">
        <v>4</v>
      </c>
      <c r="O105" t="s">
        <v>68</v>
      </c>
      <c r="R105" t="s">
        <v>190</v>
      </c>
      <c r="S105" t="s">
        <v>69</v>
      </c>
    </row>
    <row r="106" spans="1:19" x14ac:dyDescent="0.25">
      <c r="A106">
        <v>101629</v>
      </c>
      <c r="B106">
        <v>2022</v>
      </c>
      <c r="C106" t="s">
        <v>200</v>
      </c>
      <c r="D106" t="s">
        <v>26</v>
      </c>
      <c r="E106" t="s">
        <v>201</v>
      </c>
      <c r="F106" t="s">
        <v>241</v>
      </c>
      <c r="G106" s="1" t="s">
        <v>240</v>
      </c>
      <c r="H106" s="1" t="s">
        <v>243</v>
      </c>
      <c r="I106" t="s">
        <v>31</v>
      </c>
      <c r="J106" t="s">
        <v>32</v>
      </c>
      <c r="K106" t="s">
        <v>203</v>
      </c>
      <c r="L106" t="s">
        <v>34</v>
      </c>
      <c r="M106" t="s">
        <v>36</v>
      </c>
      <c r="N106">
        <v>5</v>
      </c>
      <c r="P106" t="s">
        <v>99</v>
      </c>
      <c r="Q106" t="s">
        <v>149</v>
      </c>
      <c r="R106" t="s">
        <v>248</v>
      </c>
      <c r="S106" t="s">
        <v>100</v>
      </c>
    </row>
    <row r="107" spans="1:19" x14ac:dyDescent="0.25">
      <c r="A107">
        <v>101629</v>
      </c>
      <c r="B107">
        <v>2022</v>
      </c>
      <c r="C107" t="s">
        <v>200</v>
      </c>
      <c r="D107" t="s">
        <v>26</v>
      </c>
      <c r="E107" t="s">
        <v>201</v>
      </c>
      <c r="F107" t="s">
        <v>241</v>
      </c>
      <c r="G107" s="1" t="s">
        <v>240</v>
      </c>
      <c r="H107" s="1" t="s">
        <v>243</v>
      </c>
      <c r="I107" t="s">
        <v>31</v>
      </c>
      <c r="J107" t="s">
        <v>32</v>
      </c>
      <c r="K107" t="s">
        <v>203</v>
      </c>
      <c r="L107" t="s">
        <v>34</v>
      </c>
      <c r="M107" t="s">
        <v>36</v>
      </c>
      <c r="N107">
        <v>6</v>
      </c>
      <c r="O107" t="s">
        <v>57</v>
      </c>
      <c r="R107" t="s">
        <v>249</v>
      </c>
      <c r="S107" t="s">
        <v>58</v>
      </c>
    </row>
    <row r="108" spans="1:19" x14ac:dyDescent="0.25">
      <c r="A108">
        <v>101629</v>
      </c>
      <c r="B108">
        <v>2022</v>
      </c>
      <c r="C108" t="s">
        <v>200</v>
      </c>
      <c r="D108" t="s">
        <v>26</v>
      </c>
      <c r="E108" t="s">
        <v>201</v>
      </c>
      <c r="F108" t="s">
        <v>241</v>
      </c>
      <c r="G108" s="1" t="s">
        <v>240</v>
      </c>
      <c r="H108" s="1" t="s">
        <v>243</v>
      </c>
      <c r="I108" t="s">
        <v>31</v>
      </c>
      <c r="J108" t="s">
        <v>32</v>
      </c>
      <c r="K108" t="s">
        <v>203</v>
      </c>
      <c r="L108" t="s">
        <v>34</v>
      </c>
      <c r="M108" t="s">
        <v>36</v>
      </c>
      <c r="N108">
        <v>7</v>
      </c>
      <c r="O108" t="s">
        <v>57</v>
      </c>
      <c r="R108" t="s">
        <v>249</v>
      </c>
      <c r="S108" t="s">
        <v>58</v>
      </c>
    </row>
    <row r="109" spans="1:19" x14ac:dyDescent="0.25">
      <c r="A109">
        <v>101629</v>
      </c>
      <c r="B109">
        <v>2022</v>
      </c>
      <c r="C109" t="s">
        <v>200</v>
      </c>
      <c r="D109" t="s">
        <v>26</v>
      </c>
      <c r="E109" t="s">
        <v>201</v>
      </c>
      <c r="F109" t="s">
        <v>241</v>
      </c>
      <c r="G109" s="1" t="s">
        <v>240</v>
      </c>
      <c r="H109" s="1" t="s">
        <v>243</v>
      </c>
      <c r="I109" t="s">
        <v>31</v>
      </c>
      <c r="J109" t="s">
        <v>32</v>
      </c>
      <c r="K109" t="s">
        <v>203</v>
      </c>
      <c r="L109" t="s">
        <v>34</v>
      </c>
      <c r="M109" t="s">
        <v>36</v>
      </c>
      <c r="N109">
        <v>8</v>
      </c>
      <c r="O109" t="s">
        <v>57</v>
      </c>
      <c r="R109" t="s">
        <v>249</v>
      </c>
      <c r="S109" t="s">
        <v>58</v>
      </c>
    </row>
    <row r="110" spans="1:19" x14ac:dyDescent="0.25">
      <c r="A110">
        <v>101629</v>
      </c>
      <c r="B110">
        <v>2022</v>
      </c>
      <c r="C110" t="s">
        <v>200</v>
      </c>
      <c r="D110" t="s">
        <v>26</v>
      </c>
      <c r="E110" t="s">
        <v>201</v>
      </c>
      <c r="F110" t="s">
        <v>241</v>
      </c>
      <c r="G110" s="1" t="s">
        <v>240</v>
      </c>
      <c r="H110" s="1" t="s">
        <v>243</v>
      </c>
      <c r="I110" t="s">
        <v>31</v>
      </c>
      <c r="J110" t="s">
        <v>32</v>
      </c>
      <c r="K110" t="s">
        <v>203</v>
      </c>
      <c r="L110" t="s">
        <v>34</v>
      </c>
      <c r="M110" t="s">
        <v>36</v>
      </c>
      <c r="N110">
        <v>9</v>
      </c>
      <c r="Q110" t="s">
        <v>59</v>
      </c>
      <c r="R110" t="s">
        <v>248</v>
      </c>
    </row>
    <row r="111" spans="1:19" x14ac:dyDescent="0.25">
      <c r="A111">
        <v>101629</v>
      </c>
      <c r="B111">
        <v>2022</v>
      </c>
      <c r="C111" t="s">
        <v>200</v>
      </c>
      <c r="D111" t="s">
        <v>26</v>
      </c>
      <c r="E111" t="s">
        <v>201</v>
      </c>
      <c r="F111" t="s">
        <v>241</v>
      </c>
      <c r="G111" s="1" t="s">
        <v>240</v>
      </c>
      <c r="H111" s="1" t="s">
        <v>243</v>
      </c>
      <c r="I111" t="s">
        <v>31</v>
      </c>
      <c r="J111" t="s">
        <v>32</v>
      </c>
      <c r="K111" t="s">
        <v>203</v>
      </c>
      <c r="L111" t="s">
        <v>34</v>
      </c>
      <c r="M111" t="s">
        <v>36</v>
      </c>
      <c r="N111">
        <v>10</v>
      </c>
      <c r="P111" t="s">
        <v>99</v>
      </c>
      <c r="Q111" t="s">
        <v>149</v>
      </c>
      <c r="R111" t="s">
        <v>248</v>
      </c>
      <c r="S111" t="s">
        <v>100</v>
      </c>
    </row>
    <row r="112" spans="1:19" x14ac:dyDescent="0.25">
      <c r="A112">
        <v>101629</v>
      </c>
      <c r="B112">
        <v>2022</v>
      </c>
      <c r="C112" t="s">
        <v>200</v>
      </c>
      <c r="D112" t="s">
        <v>26</v>
      </c>
      <c r="E112" t="s">
        <v>201</v>
      </c>
      <c r="F112" t="s">
        <v>246</v>
      </c>
      <c r="G112" s="1" t="s">
        <v>202</v>
      </c>
      <c r="H112" s="1" t="s">
        <v>232</v>
      </c>
      <c r="I112" t="s">
        <v>31</v>
      </c>
      <c r="J112" t="s">
        <v>32</v>
      </c>
      <c r="K112" t="s">
        <v>203</v>
      </c>
      <c r="L112" t="s">
        <v>34</v>
      </c>
      <c r="M112" t="s">
        <v>36</v>
      </c>
      <c r="N112">
        <v>1</v>
      </c>
      <c r="O112" t="s">
        <v>57</v>
      </c>
      <c r="R112" t="s">
        <v>249</v>
      </c>
      <c r="S112" t="s">
        <v>58</v>
      </c>
    </row>
    <row r="113" spans="1:19" x14ac:dyDescent="0.25">
      <c r="A113">
        <v>101629</v>
      </c>
      <c r="B113">
        <v>2022</v>
      </c>
      <c r="C113" t="s">
        <v>200</v>
      </c>
      <c r="D113" t="s">
        <v>26</v>
      </c>
      <c r="E113" t="s">
        <v>201</v>
      </c>
      <c r="F113" t="s">
        <v>246</v>
      </c>
      <c r="G113" s="1" t="s">
        <v>202</v>
      </c>
      <c r="H113" s="1" t="s">
        <v>232</v>
      </c>
      <c r="I113" t="s">
        <v>31</v>
      </c>
      <c r="J113" t="s">
        <v>32</v>
      </c>
      <c r="K113" t="s">
        <v>203</v>
      </c>
      <c r="L113" t="s">
        <v>34</v>
      </c>
      <c r="M113" t="s">
        <v>36</v>
      </c>
      <c r="N113">
        <v>2</v>
      </c>
      <c r="O113" t="s">
        <v>57</v>
      </c>
      <c r="R113" t="s">
        <v>249</v>
      </c>
      <c r="S113" t="s">
        <v>58</v>
      </c>
    </row>
    <row r="114" spans="1:19" x14ac:dyDescent="0.25">
      <c r="A114">
        <v>101629</v>
      </c>
      <c r="B114">
        <v>2022</v>
      </c>
      <c r="C114" t="s">
        <v>200</v>
      </c>
      <c r="D114" t="s">
        <v>26</v>
      </c>
      <c r="E114" t="s">
        <v>201</v>
      </c>
      <c r="F114" t="s">
        <v>246</v>
      </c>
      <c r="G114" s="1" t="s">
        <v>202</v>
      </c>
      <c r="H114" s="1" t="s">
        <v>232</v>
      </c>
      <c r="I114" t="s">
        <v>31</v>
      </c>
      <c r="J114" t="s">
        <v>32</v>
      </c>
      <c r="K114" t="s">
        <v>203</v>
      </c>
      <c r="L114" t="s">
        <v>34</v>
      </c>
      <c r="M114" t="s">
        <v>36</v>
      </c>
      <c r="N114">
        <v>3</v>
      </c>
      <c r="P114" t="s">
        <v>99</v>
      </c>
      <c r="Q114" t="s">
        <v>149</v>
      </c>
      <c r="R114" t="s">
        <v>248</v>
      </c>
      <c r="S114" t="s">
        <v>100</v>
      </c>
    </row>
    <row r="115" spans="1:19" x14ac:dyDescent="0.25">
      <c r="A115">
        <v>101629</v>
      </c>
      <c r="B115">
        <v>2022</v>
      </c>
      <c r="C115" t="s">
        <v>200</v>
      </c>
      <c r="D115" t="s">
        <v>26</v>
      </c>
      <c r="E115" t="s">
        <v>201</v>
      </c>
      <c r="F115" t="s">
        <v>246</v>
      </c>
      <c r="G115" s="1" t="s">
        <v>202</v>
      </c>
      <c r="H115" s="1" t="s">
        <v>232</v>
      </c>
      <c r="I115" t="s">
        <v>31</v>
      </c>
      <c r="J115" t="s">
        <v>32</v>
      </c>
      <c r="K115" t="s">
        <v>203</v>
      </c>
      <c r="L115" t="s">
        <v>34</v>
      </c>
      <c r="M115" t="s">
        <v>36</v>
      </c>
      <c r="N115">
        <v>4</v>
      </c>
      <c r="O115" t="s">
        <v>57</v>
      </c>
      <c r="R115" t="s">
        <v>190</v>
      </c>
      <c r="S115" t="s">
        <v>58</v>
      </c>
    </row>
    <row r="116" spans="1:19" x14ac:dyDescent="0.25">
      <c r="A116">
        <v>101629</v>
      </c>
      <c r="B116">
        <v>2022</v>
      </c>
      <c r="C116" t="s">
        <v>200</v>
      </c>
      <c r="D116" t="s">
        <v>26</v>
      </c>
      <c r="E116" t="s">
        <v>201</v>
      </c>
      <c r="F116" t="s">
        <v>246</v>
      </c>
      <c r="G116" s="1" t="s">
        <v>202</v>
      </c>
      <c r="H116" s="1" t="s">
        <v>232</v>
      </c>
      <c r="I116" t="s">
        <v>31</v>
      </c>
      <c r="J116" t="s">
        <v>32</v>
      </c>
      <c r="K116" t="s">
        <v>203</v>
      </c>
      <c r="L116" t="s">
        <v>34</v>
      </c>
      <c r="M116" t="s">
        <v>36</v>
      </c>
      <c r="N116">
        <v>5</v>
      </c>
      <c r="P116" t="s">
        <v>99</v>
      </c>
      <c r="Q116" t="s">
        <v>149</v>
      </c>
      <c r="R116" t="s">
        <v>248</v>
      </c>
      <c r="S116" t="s">
        <v>100</v>
      </c>
    </row>
    <row r="117" spans="1:19" x14ac:dyDescent="0.25">
      <c r="A117">
        <v>101629</v>
      </c>
      <c r="B117">
        <v>2022</v>
      </c>
      <c r="C117" t="s">
        <v>200</v>
      </c>
      <c r="D117" t="s">
        <v>26</v>
      </c>
      <c r="E117" t="s">
        <v>201</v>
      </c>
      <c r="F117" t="s">
        <v>246</v>
      </c>
      <c r="G117" s="1" t="s">
        <v>202</v>
      </c>
      <c r="H117" s="1" t="s">
        <v>232</v>
      </c>
      <c r="I117" t="s">
        <v>31</v>
      </c>
      <c r="J117" t="s">
        <v>32</v>
      </c>
      <c r="K117" t="s">
        <v>203</v>
      </c>
      <c r="L117" t="s">
        <v>34</v>
      </c>
      <c r="M117" t="s">
        <v>36</v>
      </c>
      <c r="N117">
        <v>6</v>
      </c>
      <c r="O117" t="s">
        <v>57</v>
      </c>
      <c r="R117" t="s">
        <v>249</v>
      </c>
      <c r="S117" t="s">
        <v>58</v>
      </c>
    </row>
    <row r="118" spans="1:19" x14ac:dyDescent="0.25">
      <c r="A118">
        <v>101629</v>
      </c>
      <c r="B118">
        <v>2022</v>
      </c>
      <c r="C118" t="s">
        <v>200</v>
      </c>
      <c r="D118" t="s">
        <v>26</v>
      </c>
      <c r="E118" t="s">
        <v>201</v>
      </c>
      <c r="F118" t="s">
        <v>246</v>
      </c>
      <c r="G118" s="1" t="s">
        <v>202</v>
      </c>
      <c r="H118" s="1" t="s">
        <v>232</v>
      </c>
      <c r="I118" t="s">
        <v>31</v>
      </c>
      <c r="J118" t="s">
        <v>32</v>
      </c>
      <c r="K118" t="s">
        <v>203</v>
      </c>
      <c r="L118" t="s">
        <v>34</v>
      </c>
      <c r="M118" t="s">
        <v>36</v>
      </c>
      <c r="N118">
        <v>7</v>
      </c>
      <c r="O118" t="s">
        <v>57</v>
      </c>
      <c r="R118" t="s">
        <v>249</v>
      </c>
      <c r="S118" t="s">
        <v>58</v>
      </c>
    </row>
    <row r="119" spans="1:19" x14ac:dyDescent="0.25">
      <c r="A119">
        <v>101629</v>
      </c>
      <c r="B119">
        <v>2022</v>
      </c>
      <c r="C119" t="s">
        <v>200</v>
      </c>
      <c r="D119" t="s">
        <v>26</v>
      </c>
      <c r="E119" t="s">
        <v>201</v>
      </c>
      <c r="F119" t="s">
        <v>246</v>
      </c>
      <c r="G119" s="1" t="s">
        <v>202</v>
      </c>
      <c r="H119" s="1" t="s">
        <v>232</v>
      </c>
      <c r="I119" t="s">
        <v>31</v>
      </c>
      <c r="J119" t="s">
        <v>32</v>
      </c>
      <c r="K119" t="s">
        <v>203</v>
      </c>
      <c r="L119" t="s">
        <v>34</v>
      </c>
      <c r="M119" t="s">
        <v>36</v>
      </c>
      <c r="N119">
        <v>8</v>
      </c>
      <c r="O119" t="s">
        <v>57</v>
      </c>
      <c r="R119" t="s">
        <v>249</v>
      </c>
      <c r="S119" t="s">
        <v>58</v>
      </c>
    </row>
    <row r="120" spans="1:19" x14ac:dyDescent="0.25">
      <c r="A120">
        <v>101629</v>
      </c>
      <c r="B120">
        <v>2022</v>
      </c>
      <c r="C120" t="s">
        <v>200</v>
      </c>
      <c r="D120" t="s">
        <v>26</v>
      </c>
      <c r="E120" t="s">
        <v>201</v>
      </c>
      <c r="F120" t="s">
        <v>246</v>
      </c>
      <c r="G120" s="1" t="s">
        <v>202</v>
      </c>
      <c r="H120" s="1" t="s">
        <v>232</v>
      </c>
      <c r="I120" t="s">
        <v>31</v>
      </c>
      <c r="J120" t="s">
        <v>32</v>
      </c>
      <c r="K120" t="s">
        <v>203</v>
      </c>
      <c r="L120" t="s">
        <v>34</v>
      </c>
      <c r="M120" t="s">
        <v>36</v>
      </c>
      <c r="N120">
        <v>9</v>
      </c>
      <c r="P120" t="s">
        <v>99</v>
      </c>
      <c r="Q120" t="s">
        <v>149</v>
      </c>
      <c r="R120" t="s">
        <v>248</v>
      </c>
      <c r="S120" t="s">
        <v>100</v>
      </c>
    </row>
    <row r="121" spans="1:19" x14ac:dyDescent="0.25">
      <c r="A121">
        <v>101631</v>
      </c>
      <c r="B121">
        <v>2022</v>
      </c>
      <c r="C121" t="s">
        <v>200</v>
      </c>
      <c r="D121" t="s">
        <v>26</v>
      </c>
      <c r="E121" t="s">
        <v>201</v>
      </c>
      <c r="F121" t="s">
        <v>250</v>
      </c>
      <c r="G121" s="1" t="s">
        <v>202</v>
      </c>
      <c r="H121" s="1" t="s">
        <v>232</v>
      </c>
      <c r="I121" t="s">
        <v>31</v>
      </c>
      <c r="J121" t="s">
        <v>32</v>
      </c>
      <c r="K121" t="s">
        <v>203</v>
      </c>
      <c r="L121" t="s">
        <v>204</v>
      </c>
      <c r="M121" t="s">
        <v>206</v>
      </c>
      <c r="N121">
        <v>1</v>
      </c>
      <c r="O121" t="s">
        <v>68</v>
      </c>
      <c r="S121" t="s">
        <v>69</v>
      </c>
    </row>
    <row r="122" spans="1:19" x14ac:dyDescent="0.25">
      <c r="A122">
        <v>101631</v>
      </c>
      <c r="B122">
        <v>2022</v>
      </c>
      <c r="C122" t="s">
        <v>200</v>
      </c>
      <c r="D122" t="s">
        <v>26</v>
      </c>
      <c r="E122" t="s">
        <v>201</v>
      </c>
      <c r="F122" t="s">
        <v>250</v>
      </c>
      <c r="G122" s="1" t="s">
        <v>202</v>
      </c>
      <c r="H122" s="1" t="s">
        <v>232</v>
      </c>
      <c r="I122" t="s">
        <v>31</v>
      </c>
      <c r="J122" t="s">
        <v>32</v>
      </c>
      <c r="K122" t="s">
        <v>203</v>
      </c>
      <c r="L122" t="s">
        <v>204</v>
      </c>
      <c r="M122" t="s">
        <v>206</v>
      </c>
      <c r="N122">
        <v>2</v>
      </c>
      <c r="O122" t="s">
        <v>57</v>
      </c>
      <c r="S122" t="s">
        <v>58</v>
      </c>
    </row>
    <row r="123" spans="1:19" x14ac:dyDescent="0.25">
      <c r="A123">
        <v>101631</v>
      </c>
      <c r="B123">
        <v>2022</v>
      </c>
      <c r="C123" t="s">
        <v>200</v>
      </c>
      <c r="D123" t="s">
        <v>26</v>
      </c>
      <c r="E123" t="s">
        <v>201</v>
      </c>
      <c r="F123" t="s">
        <v>250</v>
      </c>
      <c r="G123" s="1" t="s">
        <v>202</v>
      </c>
      <c r="H123" s="1" t="s">
        <v>232</v>
      </c>
      <c r="I123" t="s">
        <v>31</v>
      </c>
      <c r="J123" t="s">
        <v>32</v>
      </c>
      <c r="K123" t="s">
        <v>203</v>
      </c>
      <c r="L123" t="s">
        <v>204</v>
      </c>
      <c r="M123" t="s">
        <v>206</v>
      </c>
      <c r="N123">
        <v>3</v>
      </c>
      <c r="O123" t="s">
        <v>57</v>
      </c>
      <c r="S123" t="s">
        <v>58</v>
      </c>
    </row>
    <row r="124" spans="1:19" x14ac:dyDescent="0.25">
      <c r="A124">
        <v>101631</v>
      </c>
      <c r="B124">
        <v>2022</v>
      </c>
      <c r="C124" t="s">
        <v>200</v>
      </c>
      <c r="D124" t="s">
        <v>26</v>
      </c>
      <c r="E124" t="s">
        <v>201</v>
      </c>
      <c r="F124" t="s">
        <v>250</v>
      </c>
      <c r="G124" s="1" t="s">
        <v>202</v>
      </c>
      <c r="H124" s="1" t="s">
        <v>232</v>
      </c>
      <c r="I124" t="s">
        <v>31</v>
      </c>
      <c r="J124" t="s">
        <v>32</v>
      </c>
      <c r="K124" t="s">
        <v>203</v>
      </c>
      <c r="L124" t="s">
        <v>204</v>
      </c>
      <c r="M124" t="s">
        <v>206</v>
      </c>
      <c r="N124">
        <v>4</v>
      </c>
      <c r="O124" t="s">
        <v>68</v>
      </c>
      <c r="S124" t="s">
        <v>69</v>
      </c>
    </row>
    <row r="125" spans="1:19" x14ac:dyDescent="0.25">
      <c r="A125">
        <v>101631</v>
      </c>
      <c r="B125">
        <v>2022</v>
      </c>
      <c r="C125" t="s">
        <v>200</v>
      </c>
      <c r="D125" t="s">
        <v>26</v>
      </c>
      <c r="E125" t="s">
        <v>201</v>
      </c>
      <c r="F125" t="s">
        <v>250</v>
      </c>
      <c r="G125" s="1" t="s">
        <v>202</v>
      </c>
      <c r="H125" s="1" t="s">
        <v>232</v>
      </c>
      <c r="I125" t="s">
        <v>31</v>
      </c>
      <c r="J125" t="s">
        <v>32</v>
      </c>
      <c r="K125" t="s">
        <v>203</v>
      </c>
      <c r="L125" t="s">
        <v>204</v>
      </c>
      <c r="M125" t="s">
        <v>206</v>
      </c>
      <c r="N125">
        <v>5</v>
      </c>
      <c r="O125" t="s">
        <v>197</v>
      </c>
      <c r="S125" t="s">
        <v>198</v>
      </c>
    </row>
    <row r="126" spans="1:19" x14ac:dyDescent="0.25">
      <c r="A126">
        <v>101633</v>
      </c>
      <c r="B126">
        <v>2022</v>
      </c>
      <c r="C126" t="s">
        <v>200</v>
      </c>
      <c r="D126" t="s">
        <v>26</v>
      </c>
      <c r="E126" t="s">
        <v>201</v>
      </c>
      <c r="F126" t="s">
        <v>257</v>
      </c>
      <c r="G126" s="1" t="s">
        <v>243</v>
      </c>
      <c r="H126" s="1" t="s">
        <v>243</v>
      </c>
      <c r="I126" t="s">
        <v>31</v>
      </c>
      <c r="J126" t="s">
        <v>32</v>
      </c>
      <c r="K126" t="s">
        <v>203</v>
      </c>
      <c r="L126" t="s">
        <v>34</v>
      </c>
      <c r="M126" t="s">
        <v>36</v>
      </c>
      <c r="N126">
        <v>1</v>
      </c>
      <c r="O126" t="s">
        <v>57</v>
      </c>
      <c r="R126" t="s">
        <v>249</v>
      </c>
      <c r="S126" t="s">
        <v>58</v>
      </c>
    </row>
    <row r="127" spans="1:19" x14ac:dyDescent="0.25">
      <c r="A127">
        <v>101633</v>
      </c>
      <c r="B127">
        <v>2022</v>
      </c>
      <c r="C127" t="s">
        <v>200</v>
      </c>
      <c r="D127" t="s">
        <v>26</v>
      </c>
      <c r="E127" t="s">
        <v>201</v>
      </c>
      <c r="F127" t="s">
        <v>257</v>
      </c>
      <c r="G127" s="1" t="s">
        <v>243</v>
      </c>
      <c r="H127" s="1" t="s">
        <v>243</v>
      </c>
      <c r="I127" t="s">
        <v>31</v>
      </c>
      <c r="J127" t="s">
        <v>32</v>
      </c>
      <c r="K127" t="s">
        <v>203</v>
      </c>
      <c r="L127" t="s">
        <v>34</v>
      </c>
      <c r="M127" t="s">
        <v>36</v>
      </c>
      <c r="N127">
        <v>2</v>
      </c>
      <c r="O127" t="s">
        <v>57</v>
      </c>
      <c r="R127" t="s">
        <v>249</v>
      </c>
      <c r="S127" t="s">
        <v>58</v>
      </c>
    </row>
    <row r="128" spans="1:19" x14ac:dyDescent="0.25">
      <c r="A128">
        <v>101633</v>
      </c>
      <c r="B128">
        <v>2022</v>
      </c>
      <c r="C128" t="s">
        <v>200</v>
      </c>
      <c r="D128" t="s">
        <v>26</v>
      </c>
      <c r="E128" t="s">
        <v>201</v>
      </c>
      <c r="F128" t="s">
        <v>257</v>
      </c>
      <c r="G128" s="1" t="s">
        <v>243</v>
      </c>
      <c r="H128" s="1" t="s">
        <v>243</v>
      </c>
      <c r="I128" t="s">
        <v>31</v>
      </c>
      <c r="J128" t="s">
        <v>32</v>
      </c>
      <c r="K128" t="s">
        <v>203</v>
      </c>
      <c r="L128" t="s">
        <v>34</v>
      </c>
      <c r="M128" t="s">
        <v>36</v>
      </c>
      <c r="N128">
        <v>3</v>
      </c>
      <c r="P128" t="s">
        <v>99</v>
      </c>
      <c r="Q128" t="s">
        <v>149</v>
      </c>
      <c r="R128" t="s">
        <v>248</v>
      </c>
      <c r="S128" t="s">
        <v>100</v>
      </c>
    </row>
    <row r="129" spans="1:19" x14ac:dyDescent="0.25">
      <c r="A129">
        <v>101633</v>
      </c>
      <c r="B129">
        <v>2022</v>
      </c>
      <c r="C129" t="s">
        <v>200</v>
      </c>
      <c r="D129" t="s">
        <v>26</v>
      </c>
      <c r="E129" t="s">
        <v>201</v>
      </c>
      <c r="F129" t="s">
        <v>257</v>
      </c>
      <c r="G129" s="1" t="s">
        <v>243</v>
      </c>
      <c r="H129" s="1" t="s">
        <v>243</v>
      </c>
      <c r="I129" t="s">
        <v>31</v>
      </c>
      <c r="J129" t="s">
        <v>32</v>
      </c>
      <c r="K129" t="s">
        <v>203</v>
      </c>
      <c r="L129" t="s">
        <v>34</v>
      </c>
      <c r="M129" t="s">
        <v>36</v>
      </c>
      <c r="N129">
        <v>4</v>
      </c>
      <c r="O129" t="s">
        <v>68</v>
      </c>
      <c r="R129" t="s">
        <v>190</v>
      </c>
      <c r="S129" t="s">
        <v>69</v>
      </c>
    </row>
    <row r="130" spans="1:19" x14ac:dyDescent="0.25">
      <c r="A130">
        <v>101633</v>
      </c>
      <c r="B130">
        <v>2022</v>
      </c>
      <c r="C130" t="s">
        <v>200</v>
      </c>
      <c r="D130" t="s">
        <v>26</v>
      </c>
      <c r="E130" t="s">
        <v>201</v>
      </c>
      <c r="F130" t="s">
        <v>257</v>
      </c>
      <c r="G130" s="1" t="s">
        <v>243</v>
      </c>
      <c r="H130" s="1" t="s">
        <v>243</v>
      </c>
      <c r="I130" t="s">
        <v>31</v>
      </c>
      <c r="J130" t="s">
        <v>32</v>
      </c>
      <c r="K130" t="s">
        <v>203</v>
      </c>
      <c r="L130" t="s">
        <v>34</v>
      </c>
      <c r="M130" t="s">
        <v>36</v>
      </c>
      <c r="N130">
        <v>5</v>
      </c>
      <c r="O130" t="s">
        <v>57</v>
      </c>
      <c r="R130" t="s">
        <v>249</v>
      </c>
      <c r="S130" t="s">
        <v>58</v>
      </c>
    </row>
    <row r="131" spans="1:19" x14ac:dyDescent="0.25">
      <c r="A131">
        <v>101633</v>
      </c>
      <c r="B131">
        <v>2022</v>
      </c>
      <c r="C131" t="s">
        <v>200</v>
      </c>
      <c r="D131" t="s">
        <v>26</v>
      </c>
      <c r="E131" t="s">
        <v>201</v>
      </c>
      <c r="F131" t="s">
        <v>257</v>
      </c>
      <c r="G131" s="1" t="s">
        <v>243</v>
      </c>
      <c r="H131" s="1" t="s">
        <v>243</v>
      </c>
      <c r="I131" t="s">
        <v>31</v>
      </c>
      <c r="J131" t="s">
        <v>32</v>
      </c>
      <c r="K131" t="s">
        <v>203</v>
      </c>
      <c r="L131" t="s">
        <v>34</v>
      </c>
      <c r="M131" t="s">
        <v>36</v>
      </c>
      <c r="N131">
        <v>6</v>
      </c>
      <c r="O131" t="s">
        <v>68</v>
      </c>
      <c r="R131" t="s">
        <v>190</v>
      </c>
      <c r="S131" t="s">
        <v>69</v>
      </c>
    </row>
    <row r="132" spans="1:19" x14ac:dyDescent="0.25">
      <c r="A132">
        <v>101633</v>
      </c>
      <c r="B132">
        <v>2022</v>
      </c>
      <c r="C132" t="s">
        <v>200</v>
      </c>
      <c r="D132" t="s">
        <v>26</v>
      </c>
      <c r="E132" t="s">
        <v>201</v>
      </c>
      <c r="F132" t="s">
        <v>257</v>
      </c>
      <c r="G132" s="1" t="s">
        <v>243</v>
      </c>
      <c r="H132" s="1" t="s">
        <v>243</v>
      </c>
      <c r="I132" t="s">
        <v>31</v>
      </c>
      <c r="J132" t="s">
        <v>32</v>
      </c>
      <c r="K132" t="s">
        <v>203</v>
      </c>
      <c r="L132" t="s">
        <v>34</v>
      </c>
      <c r="M132" t="s">
        <v>36</v>
      </c>
      <c r="N132">
        <v>7</v>
      </c>
      <c r="O132" t="s">
        <v>68</v>
      </c>
      <c r="R132" t="s">
        <v>249</v>
      </c>
      <c r="S132" t="s">
        <v>69</v>
      </c>
    </row>
    <row r="133" spans="1:19" x14ac:dyDescent="0.25">
      <c r="A133">
        <v>101633</v>
      </c>
      <c r="B133">
        <v>2022</v>
      </c>
      <c r="C133" t="s">
        <v>200</v>
      </c>
      <c r="D133" t="s">
        <v>26</v>
      </c>
      <c r="E133" t="s">
        <v>201</v>
      </c>
      <c r="F133" t="s">
        <v>259</v>
      </c>
      <c r="G133" s="1" t="s">
        <v>243</v>
      </c>
      <c r="H133" s="1" t="s">
        <v>232</v>
      </c>
      <c r="I133" t="s">
        <v>31</v>
      </c>
      <c r="J133" t="s">
        <v>32</v>
      </c>
      <c r="K133" t="s">
        <v>203</v>
      </c>
      <c r="L133" t="s">
        <v>34</v>
      </c>
      <c r="M133" t="s">
        <v>36</v>
      </c>
      <c r="N133">
        <v>1</v>
      </c>
      <c r="P133" t="s">
        <v>99</v>
      </c>
      <c r="Q133" t="s">
        <v>149</v>
      </c>
      <c r="R133" t="s">
        <v>248</v>
      </c>
      <c r="S133" t="s">
        <v>100</v>
      </c>
    </row>
    <row r="134" spans="1:19" x14ac:dyDescent="0.25">
      <c r="A134">
        <v>101633</v>
      </c>
      <c r="B134">
        <v>2022</v>
      </c>
      <c r="C134" t="s">
        <v>200</v>
      </c>
      <c r="D134" t="s">
        <v>26</v>
      </c>
      <c r="E134" t="s">
        <v>201</v>
      </c>
      <c r="F134" t="s">
        <v>259</v>
      </c>
      <c r="G134" s="1" t="s">
        <v>243</v>
      </c>
      <c r="H134" s="1" t="s">
        <v>232</v>
      </c>
      <c r="I134" t="s">
        <v>31</v>
      </c>
      <c r="J134" t="s">
        <v>32</v>
      </c>
      <c r="K134" t="s">
        <v>203</v>
      </c>
      <c r="L134" t="s">
        <v>34</v>
      </c>
      <c r="M134" t="s">
        <v>36</v>
      </c>
      <c r="N134">
        <v>2</v>
      </c>
      <c r="P134" t="s">
        <v>99</v>
      </c>
      <c r="Q134" t="s">
        <v>149</v>
      </c>
      <c r="R134" t="s">
        <v>248</v>
      </c>
      <c r="S134" t="s">
        <v>100</v>
      </c>
    </row>
    <row r="135" spans="1:19" x14ac:dyDescent="0.25">
      <c r="A135">
        <v>101633</v>
      </c>
      <c r="B135">
        <v>2022</v>
      </c>
      <c r="C135" t="s">
        <v>200</v>
      </c>
      <c r="D135" t="s">
        <v>26</v>
      </c>
      <c r="E135" t="s">
        <v>201</v>
      </c>
      <c r="F135" t="s">
        <v>259</v>
      </c>
      <c r="G135" s="1" t="s">
        <v>243</v>
      </c>
      <c r="H135" s="1" t="s">
        <v>232</v>
      </c>
      <c r="I135" t="s">
        <v>31</v>
      </c>
      <c r="J135" t="s">
        <v>32</v>
      </c>
      <c r="K135" t="s">
        <v>203</v>
      </c>
      <c r="L135" t="s">
        <v>34</v>
      </c>
      <c r="M135" t="s">
        <v>36</v>
      </c>
      <c r="N135">
        <v>3</v>
      </c>
      <c r="O135" t="s">
        <v>57</v>
      </c>
      <c r="R135" t="s">
        <v>249</v>
      </c>
      <c r="S135" t="s">
        <v>58</v>
      </c>
    </row>
    <row r="136" spans="1:19" x14ac:dyDescent="0.25">
      <c r="A136">
        <v>101633</v>
      </c>
      <c r="B136">
        <v>2022</v>
      </c>
      <c r="C136" t="s">
        <v>200</v>
      </c>
      <c r="D136" t="s">
        <v>26</v>
      </c>
      <c r="E136" t="s">
        <v>201</v>
      </c>
      <c r="F136" t="s">
        <v>259</v>
      </c>
      <c r="G136" s="1" t="s">
        <v>243</v>
      </c>
      <c r="H136" s="1" t="s">
        <v>232</v>
      </c>
      <c r="I136" t="s">
        <v>31</v>
      </c>
      <c r="J136" t="s">
        <v>32</v>
      </c>
      <c r="K136" t="s">
        <v>203</v>
      </c>
      <c r="L136" t="s">
        <v>34</v>
      </c>
      <c r="M136" t="s">
        <v>36</v>
      </c>
      <c r="N136">
        <v>4</v>
      </c>
      <c r="O136" t="s">
        <v>57</v>
      </c>
      <c r="R136" t="s">
        <v>249</v>
      </c>
      <c r="S136" t="s">
        <v>58</v>
      </c>
    </row>
    <row r="137" spans="1:19" x14ac:dyDescent="0.25">
      <c r="A137">
        <v>101633</v>
      </c>
      <c r="B137">
        <v>2022</v>
      </c>
      <c r="C137" t="s">
        <v>200</v>
      </c>
      <c r="D137" t="s">
        <v>26</v>
      </c>
      <c r="E137" t="s">
        <v>201</v>
      </c>
      <c r="F137" t="s">
        <v>259</v>
      </c>
      <c r="G137" s="1" t="s">
        <v>243</v>
      </c>
      <c r="H137" s="1" t="s">
        <v>232</v>
      </c>
      <c r="I137" t="s">
        <v>31</v>
      </c>
      <c r="J137" t="s">
        <v>32</v>
      </c>
      <c r="K137" t="s">
        <v>203</v>
      </c>
      <c r="L137" t="s">
        <v>34</v>
      </c>
      <c r="M137" t="s">
        <v>36</v>
      </c>
      <c r="N137">
        <v>5</v>
      </c>
      <c r="P137" t="s">
        <v>99</v>
      </c>
      <c r="Q137" t="s">
        <v>149</v>
      </c>
      <c r="R137" t="s">
        <v>248</v>
      </c>
      <c r="S137" t="s">
        <v>100</v>
      </c>
    </row>
    <row r="138" spans="1:19" x14ac:dyDescent="0.25">
      <c r="A138">
        <v>101633</v>
      </c>
      <c r="B138">
        <v>2022</v>
      </c>
      <c r="C138" t="s">
        <v>200</v>
      </c>
      <c r="D138" t="s">
        <v>26</v>
      </c>
      <c r="E138" t="s">
        <v>201</v>
      </c>
      <c r="F138" t="s">
        <v>259</v>
      </c>
      <c r="G138" s="1" t="s">
        <v>243</v>
      </c>
      <c r="H138" s="1" t="s">
        <v>232</v>
      </c>
      <c r="I138" t="s">
        <v>31</v>
      </c>
      <c r="J138" t="s">
        <v>32</v>
      </c>
      <c r="K138" t="s">
        <v>203</v>
      </c>
      <c r="L138" t="s">
        <v>34</v>
      </c>
      <c r="M138" t="s">
        <v>36</v>
      </c>
      <c r="N138">
        <v>6</v>
      </c>
      <c r="O138" t="s">
        <v>57</v>
      </c>
      <c r="R138" t="s">
        <v>190</v>
      </c>
      <c r="S138" t="s">
        <v>58</v>
      </c>
    </row>
    <row r="139" spans="1:19" x14ac:dyDescent="0.25">
      <c r="A139">
        <v>101633</v>
      </c>
      <c r="B139">
        <v>2022</v>
      </c>
      <c r="C139" t="s">
        <v>200</v>
      </c>
      <c r="D139" t="s">
        <v>26</v>
      </c>
      <c r="E139" t="s">
        <v>201</v>
      </c>
      <c r="F139" t="s">
        <v>259</v>
      </c>
      <c r="G139" s="1" t="s">
        <v>243</v>
      </c>
      <c r="H139" s="1" t="s">
        <v>232</v>
      </c>
      <c r="I139" t="s">
        <v>31</v>
      </c>
      <c r="J139" t="s">
        <v>32</v>
      </c>
      <c r="K139" t="s">
        <v>203</v>
      </c>
      <c r="L139" t="s">
        <v>34</v>
      </c>
      <c r="M139" t="s">
        <v>36</v>
      </c>
      <c r="N139">
        <v>7</v>
      </c>
      <c r="O139" t="s">
        <v>68</v>
      </c>
      <c r="R139" t="s">
        <v>190</v>
      </c>
      <c r="S139" t="s">
        <v>69</v>
      </c>
    </row>
    <row r="140" spans="1:19" x14ac:dyDescent="0.25">
      <c r="A140">
        <v>101633</v>
      </c>
      <c r="B140">
        <v>2022</v>
      </c>
      <c r="C140" t="s">
        <v>200</v>
      </c>
      <c r="D140" t="s">
        <v>26</v>
      </c>
      <c r="E140" t="s">
        <v>201</v>
      </c>
      <c r="F140" t="s">
        <v>259</v>
      </c>
      <c r="G140" s="1" t="s">
        <v>243</v>
      </c>
      <c r="H140" s="1" t="s">
        <v>232</v>
      </c>
      <c r="I140" t="s">
        <v>31</v>
      </c>
      <c r="J140" t="s">
        <v>32</v>
      </c>
      <c r="K140" t="s">
        <v>203</v>
      </c>
      <c r="L140" t="s">
        <v>34</v>
      </c>
      <c r="M140" t="s">
        <v>36</v>
      </c>
      <c r="N140">
        <v>8</v>
      </c>
      <c r="P140" t="s">
        <v>99</v>
      </c>
      <c r="Q140" t="s">
        <v>149</v>
      </c>
      <c r="R140" t="s">
        <v>248</v>
      </c>
      <c r="S140" t="s">
        <v>100</v>
      </c>
    </row>
    <row r="141" spans="1:19" x14ac:dyDescent="0.25">
      <c r="A141">
        <v>101635</v>
      </c>
      <c r="B141">
        <v>2022</v>
      </c>
      <c r="C141" t="s">
        <v>200</v>
      </c>
      <c r="D141" t="s">
        <v>26</v>
      </c>
      <c r="E141" t="s">
        <v>201</v>
      </c>
      <c r="F141" t="s">
        <v>262</v>
      </c>
      <c r="G141" s="1" t="s">
        <v>202</v>
      </c>
      <c r="H141" s="1" t="s">
        <v>202</v>
      </c>
      <c r="I141" t="s">
        <v>31</v>
      </c>
      <c r="J141" t="s">
        <v>32</v>
      </c>
      <c r="K141" t="s">
        <v>203</v>
      </c>
      <c r="L141" t="s">
        <v>204</v>
      </c>
      <c r="M141" t="s">
        <v>206</v>
      </c>
      <c r="N141">
        <v>1</v>
      </c>
      <c r="Q141" t="s">
        <v>151</v>
      </c>
    </row>
    <row r="142" spans="1:19" x14ac:dyDescent="0.25">
      <c r="A142">
        <v>101635</v>
      </c>
      <c r="B142">
        <v>2022</v>
      </c>
      <c r="C142" t="s">
        <v>200</v>
      </c>
      <c r="D142" t="s">
        <v>26</v>
      </c>
      <c r="E142" t="s">
        <v>201</v>
      </c>
      <c r="F142" t="s">
        <v>262</v>
      </c>
      <c r="G142" s="1" t="s">
        <v>202</v>
      </c>
      <c r="H142" s="1" t="s">
        <v>202</v>
      </c>
      <c r="I142" t="s">
        <v>31</v>
      </c>
      <c r="J142" t="s">
        <v>32</v>
      </c>
      <c r="K142" t="s">
        <v>203</v>
      </c>
      <c r="L142" t="s">
        <v>204</v>
      </c>
      <c r="M142" t="s">
        <v>206</v>
      </c>
      <c r="N142">
        <v>2</v>
      </c>
      <c r="O142" t="s">
        <v>57</v>
      </c>
      <c r="S142" t="s">
        <v>58</v>
      </c>
    </row>
    <row r="143" spans="1:19" x14ac:dyDescent="0.25">
      <c r="A143">
        <v>101635</v>
      </c>
      <c r="B143">
        <v>2022</v>
      </c>
      <c r="C143" t="s">
        <v>200</v>
      </c>
      <c r="D143" t="s">
        <v>26</v>
      </c>
      <c r="E143" t="s">
        <v>201</v>
      </c>
      <c r="F143" t="s">
        <v>262</v>
      </c>
      <c r="G143" s="1" t="s">
        <v>202</v>
      </c>
      <c r="H143" s="1" t="s">
        <v>202</v>
      </c>
      <c r="I143" t="s">
        <v>31</v>
      </c>
      <c r="J143" t="s">
        <v>32</v>
      </c>
      <c r="K143" t="s">
        <v>203</v>
      </c>
      <c r="L143" t="s">
        <v>204</v>
      </c>
      <c r="M143" t="s">
        <v>206</v>
      </c>
      <c r="N143">
        <v>3</v>
      </c>
      <c r="O143" t="s">
        <v>68</v>
      </c>
      <c r="S143" t="s">
        <v>69</v>
      </c>
    </row>
    <row r="144" spans="1:19" x14ac:dyDescent="0.25">
      <c r="A144">
        <v>102641</v>
      </c>
      <c r="B144">
        <v>2022</v>
      </c>
      <c r="C144" t="s">
        <v>200</v>
      </c>
      <c r="D144" t="s">
        <v>26</v>
      </c>
      <c r="E144" t="s">
        <v>265</v>
      </c>
      <c r="F144" t="s">
        <v>271</v>
      </c>
      <c r="G144" s="1" t="s">
        <v>266</v>
      </c>
      <c r="H144" s="1" t="s">
        <v>267</v>
      </c>
      <c r="I144" t="s">
        <v>31</v>
      </c>
      <c r="J144" t="s">
        <v>32</v>
      </c>
      <c r="K144" t="s">
        <v>203</v>
      </c>
      <c r="L144" t="s">
        <v>34</v>
      </c>
      <c r="M144" t="s">
        <v>206</v>
      </c>
      <c r="N144">
        <v>1</v>
      </c>
      <c r="O144" t="s">
        <v>57</v>
      </c>
      <c r="S144" t="s">
        <v>58</v>
      </c>
    </row>
    <row r="145" spans="1:19" x14ac:dyDescent="0.25">
      <c r="A145">
        <v>102641</v>
      </c>
      <c r="B145">
        <v>2022</v>
      </c>
      <c r="C145" t="s">
        <v>200</v>
      </c>
      <c r="D145" t="s">
        <v>26</v>
      </c>
      <c r="E145" t="s">
        <v>265</v>
      </c>
      <c r="F145" t="s">
        <v>271</v>
      </c>
      <c r="G145" s="1" t="s">
        <v>266</v>
      </c>
      <c r="H145" s="1" t="s">
        <v>267</v>
      </c>
      <c r="I145" t="s">
        <v>31</v>
      </c>
      <c r="J145" t="s">
        <v>32</v>
      </c>
      <c r="K145" t="s">
        <v>203</v>
      </c>
      <c r="L145" t="s">
        <v>34</v>
      </c>
      <c r="M145" t="s">
        <v>206</v>
      </c>
      <c r="N145">
        <v>2</v>
      </c>
      <c r="O145" t="s">
        <v>57</v>
      </c>
      <c r="S145" t="s">
        <v>58</v>
      </c>
    </row>
    <row r="146" spans="1:19" x14ac:dyDescent="0.25">
      <c r="A146">
        <v>102641</v>
      </c>
      <c r="B146">
        <v>2022</v>
      </c>
      <c r="C146" t="s">
        <v>200</v>
      </c>
      <c r="D146" t="s">
        <v>26</v>
      </c>
      <c r="E146" t="s">
        <v>265</v>
      </c>
      <c r="F146" t="s">
        <v>271</v>
      </c>
      <c r="G146" s="1" t="s">
        <v>266</v>
      </c>
      <c r="H146" s="1" t="s">
        <v>267</v>
      </c>
      <c r="I146" t="s">
        <v>31</v>
      </c>
      <c r="J146" t="s">
        <v>32</v>
      </c>
      <c r="K146" t="s">
        <v>203</v>
      </c>
      <c r="L146" t="s">
        <v>34</v>
      </c>
      <c r="M146" t="s">
        <v>206</v>
      </c>
      <c r="N146">
        <v>3</v>
      </c>
      <c r="O146" t="s">
        <v>57</v>
      </c>
      <c r="S146" t="s">
        <v>58</v>
      </c>
    </row>
    <row r="147" spans="1:19" x14ac:dyDescent="0.25">
      <c r="A147">
        <v>102641</v>
      </c>
      <c r="B147">
        <v>2022</v>
      </c>
      <c r="C147" t="s">
        <v>200</v>
      </c>
      <c r="D147" t="s">
        <v>26</v>
      </c>
      <c r="E147" t="s">
        <v>265</v>
      </c>
      <c r="F147" t="s">
        <v>271</v>
      </c>
      <c r="G147" s="1" t="s">
        <v>266</v>
      </c>
      <c r="H147" s="1" t="s">
        <v>267</v>
      </c>
      <c r="I147" t="s">
        <v>31</v>
      </c>
      <c r="J147" t="s">
        <v>32</v>
      </c>
      <c r="K147" t="s">
        <v>203</v>
      </c>
      <c r="L147" t="s">
        <v>34</v>
      </c>
      <c r="M147" t="s">
        <v>206</v>
      </c>
      <c r="N147">
        <v>4</v>
      </c>
      <c r="O147" t="s">
        <v>57</v>
      </c>
      <c r="S147" t="s">
        <v>58</v>
      </c>
    </row>
    <row r="148" spans="1:19" x14ac:dyDescent="0.25">
      <c r="A148">
        <v>102641</v>
      </c>
      <c r="B148">
        <v>2022</v>
      </c>
      <c r="C148" t="s">
        <v>200</v>
      </c>
      <c r="D148" t="s">
        <v>26</v>
      </c>
      <c r="E148" t="s">
        <v>265</v>
      </c>
      <c r="F148" t="s">
        <v>271</v>
      </c>
      <c r="G148" s="1" t="s">
        <v>266</v>
      </c>
      <c r="H148" s="1" t="s">
        <v>267</v>
      </c>
      <c r="I148" t="s">
        <v>31</v>
      </c>
      <c r="J148" t="s">
        <v>32</v>
      </c>
      <c r="K148" t="s">
        <v>203</v>
      </c>
      <c r="L148" t="s">
        <v>34</v>
      </c>
      <c r="M148" t="s">
        <v>206</v>
      </c>
      <c r="N148">
        <v>5</v>
      </c>
      <c r="O148" t="s">
        <v>57</v>
      </c>
      <c r="S148" t="s">
        <v>58</v>
      </c>
    </row>
    <row r="149" spans="1:19" x14ac:dyDescent="0.25">
      <c r="A149">
        <v>102641</v>
      </c>
      <c r="B149">
        <v>2022</v>
      </c>
      <c r="C149" t="s">
        <v>200</v>
      </c>
      <c r="D149" t="s">
        <v>26</v>
      </c>
      <c r="E149" t="s">
        <v>265</v>
      </c>
      <c r="F149" t="s">
        <v>271</v>
      </c>
      <c r="G149" s="1" t="s">
        <v>266</v>
      </c>
      <c r="H149" s="1" t="s">
        <v>267</v>
      </c>
      <c r="I149" t="s">
        <v>31</v>
      </c>
      <c r="J149" t="s">
        <v>32</v>
      </c>
      <c r="K149" t="s">
        <v>203</v>
      </c>
      <c r="L149" t="s">
        <v>34</v>
      </c>
      <c r="M149" t="s">
        <v>206</v>
      </c>
      <c r="N149">
        <v>6</v>
      </c>
      <c r="O149" t="s">
        <v>275</v>
      </c>
      <c r="S149" t="s">
        <v>276</v>
      </c>
    </row>
    <row r="150" spans="1:19" x14ac:dyDescent="0.25">
      <c r="A150">
        <v>102641</v>
      </c>
      <c r="B150">
        <v>2022</v>
      </c>
      <c r="C150" t="s">
        <v>200</v>
      </c>
      <c r="D150" t="s">
        <v>26</v>
      </c>
      <c r="E150" t="s">
        <v>265</v>
      </c>
      <c r="F150" t="s">
        <v>271</v>
      </c>
      <c r="G150" s="1" t="s">
        <v>266</v>
      </c>
      <c r="H150" s="1" t="s">
        <v>267</v>
      </c>
      <c r="I150" t="s">
        <v>31</v>
      </c>
      <c r="J150" t="s">
        <v>32</v>
      </c>
      <c r="K150" t="s">
        <v>203</v>
      </c>
      <c r="L150" t="s">
        <v>34</v>
      </c>
      <c r="M150" t="s">
        <v>206</v>
      </c>
      <c r="N150">
        <v>7</v>
      </c>
      <c r="O150" t="s">
        <v>68</v>
      </c>
      <c r="S150" t="s">
        <v>69</v>
      </c>
    </row>
    <row r="151" spans="1:19" x14ac:dyDescent="0.25">
      <c r="A151">
        <v>102641</v>
      </c>
      <c r="B151">
        <v>2022</v>
      </c>
      <c r="C151" t="s">
        <v>200</v>
      </c>
      <c r="D151" t="s">
        <v>26</v>
      </c>
      <c r="E151" t="s">
        <v>265</v>
      </c>
      <c r="F151" t="s">
        <v>271</v>
      </c>
      <c r="G151" s="1" t="s">
        <v>266</v>
      </c>
      <c r="H151" s="1" t="s">
        <v>267</v>
      </c>
      <c r="I151" t="s">
        <v>31</v>
      </c>
      <c r="J151" t="s">
        <v>32</v>
      </c>
      <c r="K151" t="s">
        <v>203</v>
      </c>
      <c r="L151" t="s">
        <v>34</v>
      </c>
      <c r="M151" t="s">
        <v>206</v>
      </c>
      <c r="N151">
        <v>8</v>
      </c>
      <c r="O151" t="s">
        <v>57</v>
      </c>
      <c r="S151" t="s">
        <v>58</v>
      </c>
    </row>
    <row r="152" spans="1:19" x14ac:dyDescent="0.25">
      <c r="A152">
        <v>102641</v>
      </c>
      <c r="B152">
        <v>2022</v>
      </c>
      <c r="C152" t="s">
        <v>200</v>
      </c>
      <c r="D152" t="s">
        <v>26</v>
      </c>
      <c r="E152" t="s">
        <v>265</v>
      </c>
      <c r="F152" t="s">
        <v>271</v>
      </c>
      <c r="G152" s="1" t="s">
        <v>266</v>
      </c>
      <c r="H152" s="1" t="s">
        <v>267</v>
      </c>
      <c r="I152" t="s">
        <v>31</v>
      </c>
      <c r="J152" t="s">
        <v>32</v>
      </c>
      <c r="K152" t="s">
        <v>203</v>
      </c>
      <c r="L152" t="s">
        <v>34</v>
      </c>
      <c r="M152" t="s">
        <v>206</v>
      </c>
      <c r="N152">
        <v>9</v>
      </c>
      <c r="O152" t="s">
        <v>68</v>
      </c>
      <c r="S152" t="s">
        <v>69</v>
      </c>
    </row>
    <row r="153" spans="1:19" x14ac:dyDescent="0.25">
      <c r="A153">
        <v>102641</v>
      </c>
      <c r="B153">
        <v>2022</v>
      </c>
      <c r="C153" t="s">
        <v>200</v>
      </c>
      <c r="D153" t="s">
        <v>26</v>
      </c>
      <c r="E153" t="s">
        <v>265</v>
      </c>
      <c r="F153" t="s">
        <v>271</v>
      </c>
      <c r="G153" s="1" t="s">
        <v>266</v>
      </c>
      <c r="H153" s="1" t="s">
        <v>267</v>
      </c>
      <c r="I153" t="s">
        <v>31</v>
      </c>
      <c r="J153" t="s">
        <v>32</v>
      </c>
      <c r="K153" t="s">
        <v>203</v>
      </c>
      <c r="L153" t="s">
        <v>34</v>
      </c>
      <c r="M153" t="s">
        <v>206</v>
      </c>
      <c r="N153">
        <v>10</v>
      </c>
      <c r="O153" t="s">
        <v>57</v>
      </c>
      <c r="S153" t="s">
        <v>58</v>
      </c>
    </row>
    <row r="154" spans="1:19" x14ac:dyDescent="0.25">
      <c r="A154">
        <v>102641</v>
      </c>
      <c r="B154">
        <v>2022</v>
      </c>
      <c r="C154" t="s">
        <v>200</v>
      </c>
      <c r="D154" t="s">
        <v>26</v>
      </c>
      <c r="E154" t="s">
        <v>265</v>
      </c>
      <c r="F154" t="s">
        <v>271</v>
      </c>
      <c r="G154" s="1" t="s">
        <v>266</v>
      </c>
      <c r="H154" s="1" t="s">
        <v>267</v>
      </c>
      <c r="I154" t="s">
        <v>31</v>
      </c>
      <c r="J154" t="s">
        <v>32</v>
      </c>
      <c r="K154" t="s">
        <v>203</v>
      </c>
      <c r="L154" t="s">
        <v>34</v>
      </c>
      <c r="M154" t="s">
        <v>206</v>
      </c>
      <c r="N154">
        <v>11</v>
      </c>
      <c r="O154" t="s">
        <v>68</v>
      </c>
      <c r="S154" t="s">
        <v>69</v>
      </c>
    </row>
    <row r="155" spans="1:19" x14ac:dyDescent="0.25">
      <c r="A155">
        <v>102641</v>
      </c>
      <c r="B155">
        <v>2022</v>
      </c>
      <c r="C155" t="s">
        <v>200</v>
      </c>
      <c r="D155" t="s">
        <v>26</v>
      </c>
      <c r="E155" t="s">
        <v>265</v>
      </c>
      <c r="F155" t="s">
        <v>271</v>
      </c>
      <c r="G155" s="1" t="s">
        <v>266</v>
      </c>
      <c r="H155" s="1" t="s">
        <v>267</v>
      </c>
      <c r="I155" t="s">
        <v>31</v>
      </c>
      <c r="J155" t="s">
        <v>32</v>
      </c>
      <c r="K155" t="s">
        <v>203</v>
      </c>
      <c r="L155" t="s">
        <v>34</v>
      </c>
      <c r="M155" t="s">
        <v>206</v>
      </c>
      <c r="N155">
        <v>12</v>
      </c>
      <c r="O155" t="s">
        <v>68</v>
      </c>
      <c r="S155" t="s">
        <v>69</v>
      </c>
    </row>
    <row r="156" spans="1:19" x14ac:dyDescent="0.25">
      <c r="A156">
        <v>102641</v>
      </c>
      <c r="B156">
        <v>2022</v>
      </c>
      <c r="C156" t="s">
        <v>200</v>
      </c>
      <c r="D156" t="s">
        <v>26</v>
      </c>
      <c r="E156" t="s">
        <v>265</v>
      </c>
      <c r="F156" t="s">
        <v>271</v>
      </c>
      <c r="G156" s="1" t="s">
        <v>266</v>
      </c>
      <c r="H156" s="1" t="s">
        <v>267</v>
      </c>
      <c r="I156" t="s">
        <v>31</v>
      </c>
      <c r="J156" t="s">
        <v>32</v>
      </c>
      <c r="K156" t="s">
        <v>203</v>
      </c>
      <c r="L156" t="s">
        <v>34</v>
      </c>
      <c r="M156" t="s">
        <v>206</v>
      </c>
      <c r="N156">
        <v>13</v>
      </c>
      <c r="O156" t="s">
        <v>57</v>
      </c>
      <c r="S156" t="s">
        <v>58</v>
      </c>
    </row>
    <row r="157" spans="1:19" x14ac:dyDescent="0.25">
      <c r="A157">
        <v>102641</v>
      </c>
      <c r="B157">
        <v>2022</v>
      </c>
      <c r="C157" t="s">
        <v>200</v>
      </c>
      <c r="D157" t="s">
        <v>26</v>
      </c>
      <c r="E157" t="s">
        <v>265</v>
      </c>
      <c r="F157" t="s">
        <v>271</v>
      </c>
      <c r="G157" s="1" t="s">
        <v>266</v>
      </c>
      <c r="H157" s="1" t="s">
        <v>267</v>
      </c>
      <c r="I157" t="s">
        <v>31</v>
      </c>
      <c r="J157" t="s">
        <v>32</v>
      </c>
      <c r="K157" t="s">
        <v>203</v>
      </c>
      <c r="L157" t="s">
        <v>34</v>
      </c>
      <c r="M157" t="s">
        <v>206</v>
      </c>
      <c r="N157">
        <v>14</v>
      </c>
      <c r="O157" t="s">
        <v>57</v>
      </c>
      <c r="S157" t="s">
        <v>58</v>
      </c>
    </row>
    <row r="158" spans="1:19" x14ac:dyDescent="0.25">
      <c r="A158">
        <v>102641</v>
      </c>
      <c r="B158">
        <v>2022</v>
      </c>
      <c r="C158" t="s">
        <v>200</v>
      </c>
      <c r="D158" t="s">
        <v>26</v>
      </c>
      <c r="E158" t="s">
        <v>265</v>
      </c>
      <c r="F158" t="s">
        <v>271</v>
      </c>
      <c r="G158" s="1" t="s">
        <v>266</v>
      </c>
      <c r="H158" s="1" t="s">
        <v>267</v>
      </c>
      <c r="I158" t="s">
        <v>31</v>
      </c>
      <c r="J158" t="s">
        <v>32</v>
      </c>
      <c r="K158" t="s">
        <v>203</v>
      </c>
      <c r="L158" t="s">
        <v>34</v>
      </c>
      <c r="M158" t="s">
        <v>206</v>
      </c>
      <c r="N158">
        <v>15</v>
      </c>
      <c r="O158" t="s">
        <v>57</v>
      </c>
      <c r="S158" t="s">
        <v>58</v>
      </c>
    </row>
    <row r="159" spans="1:19" x14ac:dyDescent="0.25">
      <c r="A159">
        <v>102641</v>
      </c>
      <c r="B159">
        <v>2022</v>
      </c>
      <c r="C159" t="s">
        <v>200</v>
      </c>
      <c r="D159" t="s">
        <v>26</v>
      </c>
      <c r="E159" t="s">
        <v>265</v>
      </c>
      <c r="F159" t="s">
        <v>271</v>
      </c>
      <c r="G159" s="1" t="s">
        <v>266</v>
      </c>
      <c r="H159" s="1" t="s">
        <v>267</v>
      </c>
      <c r="I159" t="s">
        <v>31</v>
      </c>
      <c r="J159" t="s">
        <v>32</v>
      </c>
      <c r="K159" t="s">
        <v>203</v>
      </c>
      <c r="L159" t="s">
        <v>34</v>
      </c>
      <c r="M159" t="s">
        <v>206</v>
      </c>
      <c r="N159">
        <v>16</v>
      </c>
      <c r="O159" t="s">
        <v>57</v>
      </c>
      <c r="S159" t="s">
        <v>58</v>
      </c>
    </row>
    <row r="160" spans="1:19" x14ac:dyDescent="0.25">
      <c r="A160">
        <v>102641</v>
      </c>
      <c r="B160">
        <v>2022</v>
      </c>
      <c r="C160" t="s">
        <v>200</v>
      </c>
      <c r="D160" t="s">
        <v>26</v>
      </c>
      <c r="E160" t="s">
        <v>265</v>
      </c>
      <c r="F160" t="s">
        <v>271</v>
      </c>
      <c r="G160" s="1" t="s">
        <v>266</v>
      </c>
      <c r="H160" s="1" t="s">
        <v>267</v>
      </c>
      <c r="I160" t="s">
        <v>31</v>
      </c>
      <c r="J160" t="s">
        <v>32</v>
      </c>
      <c r="K160" t="s">
        <v>203</v>
      </c>
      <c r="L160" t="s">
        <v>34</v>
      </c>
      <c r="M160" t="s">
        <v>206</v>
      </c>
      <c r="N160">
        <v>17</v>
      </c>
      <c r="O160" t="s">
        <v>275</v>
      </c>
      <c r="S160" t="s">
        <v>276</v>
      </c>
    </row>
    <row r="161" spans="1:19" x14ac:dyDescent="0.25">
      <c r="A161">
        <v>102641</v>
      </c>
      <c r="B161">
        <v>2022</v>
      </c>
      <c r="C161" t="s">
        <v>200</v>
      </c>
      <c r="D161" t="s">
        <v>26</v>
      </c>
      <c r="E161" t="s">
        <v>265</v>
      </c>
      <c r="F161" t="s">
        <v>271</v>
      </c>
      <c r="G161" s="1" t="s">
        <v>266</v>
      </c>
      <c r="H161" s="1" t="s">
        <v>267</v>
      </c>
      <c r="I161" t="s">
        <v>31</v>
      </c>
      <c r="J161" t="s">
        <v>32</v>
      </c>
      <c r="K161" t="s">
        <v>203</v>
      </c>
      <c r="L161" t="s">
        <v>34</v>
      </c>
      <c r="M161" t="s">
        <v>206</v>
      </c>
      <c r="N161">
        <v>18</v>
      </c>
      <c r="Q161" t="s">
        <v>151</v>
      </c>
    </row>
    <row r="162" spans="1:19" x14ac:dyDescent="0.25">
      <c r="A162">
        <v>102641</v>
      </c>
      <c r="B162">
        <v>2022</v>
      </c>
      <c r="C162" t="s">
        <v>200</v>
      </c>
      <c r="D162" t="s">
        <v>26</v>
      </c>
      <c r="E162" t="s">
        <v>265</v>
      </c>
      <c r="F162" t="s">
        <v>271</v>
      </c>
      <c r="G162" s="1" t="s">
        <v>266</v>
      </c>
      <c r="H162" s="1" t="s">
        <v>267</v>
      </c>
      <c r="I162" t="s">
        <v>31</v>
      </c>
      <c r="J162" t="s">
        <v>32</v>
      </c>
      <c r="K162" t="s">
        <v>203</v>
      </c>
      <c r="L162" t="s">
        <v>34</v>
      </c>
      <c r="M162" t="s">
        <v>206</v>
      </c>
      <c r="N162">
        <v>19</v>
      </c>
      <c r="P162" t="s">
        <v>60</v>
      </c>
      <c r="Q162" t="s">
        <v>135</v>
      </c>
      <c r="S162" t="s">
        <v>61</v>
      </c>
    </row>
    <row r="163" spans="1:19" x14ac:dyDescent="0.25">
      <c r="A163">
        <v>102641</v>
      </c>
      <c r="B163">
        <v>2022</v>
      </c>
      <c r="C163" t="s">
        <v>200</v>
      </c>
      <c r="D163" t="s">
        <v>26</v>
      </c>
      <c r="E163" t="s">
        <v>265</v>
      </c>
      <c r="F163" t="s">
        <v>271</v>
      </c>
      <c r="G163" s="1" t="s">
        <v>266</v>
      </c>
      <c r="H163" s="1" t="s">
        <v>267</v>
      </c>
      <c r="I163" t="s">
        <v>31</v>
      </c>
      <c r="J163" t="s">
        <v>32</v>
      </c>
      <c r="K163" t="s">
        <v>203</v>
      </c>
      <c r="L163" t="s">
        <v>34</v>
      </c>
      <c r="M163" t="s">
        <v>206</v>
      </c>
      <c r="N163">
        <v>20</v>
      </c>
      <c r="O163" t="s">
        <v>57</v>
      </c>
      <c r="S163" t="s">
        <v>58</v>
      </c>
    </row>
    <row r="164" spans="1:19" x14ac:dyDescent="0.25">
      <c r="A164">
        <v>102641</v>
      </c>
      <c r="B164">
        <v>2022</v>
      </c>
      <c r="C164" t="s">
        <v>200</v>
      </c>
      <c r="D164" t="s">
        <v>26</v>
      </c>
      <c r="E164" t="s">
        <v>265</v>
      </c>
      <c r="F164" t="s">
        <v>271</v>
      </c>
      <c r="G164" s="1" t="s">
        <v>266</v>
      </c>
      <c r="H164" s="1" t="s">
        <v>267</v>
      </c>
      <c r="I164" t="s">
        <v>31</v>
      </c>
      <c r="J164" t="s">
        <v>32</v>
      </c>
      <c r="K164" t="s">
        <v>203</v>
      </c>
      <c r="L164" t="s">
        <v>34</v>
      </c>
      <c r="M164" t="s">
        <v>206</v>
      </c>
      <c r="N164">
        <v>21</v>
      </c>
      <c r="O164" t="s">
        <v>68</v>
      </c>
      <c r="S164" t="s">
        <v>69</v>
      </c>
    </row>
    <row r="165" spans="1:19" x14ac:dyDescent="0.25">
      <c r="A165">
        <v>102641</v>
      </c>
      <c r="B165">
        <v>2022</v>
      </c>
      <c r="C165" t="s">
        <v>200</v>
      </c>
      <c r="D165" t="s">
        <v>26</v>
      </c>
      <c r="E165" t="s">
        <v>265</v>
      </c>
      <c r="F165" t="s">
        <v>271</v>
      </c>
      <c r="G165" s="1" t="s">
        <v>266</v>
      </c>
      <c r="H165" s="1" t="s">
        <v>267</v>
      </c>
      <c r="I165" t="s">
        <v>31</v>
      </c>
      <c r="J165" t="s">
        <v>32</v>
      </c>
      <c r="K165" t="s">
        <v>203</v>
      </c>
      <c r="L165" t="s">
        <v>34</v>
      </c>
      <c r="M165" t="s">
        <v>206</v>
      </c>
      <c r="N165">
        <v>22</v>
      </c>
      <c r="O165" t="s">
        <v>57</v>
      </c>
      <c r="S165" t="s">
        <v>58</v>
      </c>
    </row>
    <row r="166" spans="1:19" x14ac:dyDescent="0.25">
      <c r="A166">
        <v>102641</v>
      </c>
      <c r="B166">
        <v>2022</v>
      </c>
      <c r="C166" t="s">
        <v>200</v>
      </c>
      <c r="D166" t="s">
        <v>26</v>
      </c>
      <c r="E166" t="s">
        <v>265</v>
      </c>
      <c r="F166" t="s">
        <v>271</v>
      </c>
      <c r="G166" s="1" t="s">
        <v>266</v>
      </c>
      <c r="H166" s="1" t="s">
        <v>267</v>
      </c>
      <c r="I166" t="s">
        <v>31</v>
      </c>
      <c r="J166" t="s">
        <v>32</v>
      </c>
      <c r="K166" t="s">
        <v>203</v>
      </c>
      <c r="L166" t="s">
        <v>34</v>
      </c>
      <c r="M166" t="s">
        <v>206</v>
      </c>
      <c r="N166">
        <v>23</v>
      </c>
      <c r="O166" t="s">
        <v>57</v>
      </c>
      <c r="S166" t="s">
        <v>58</v>
      </c>
    </row>
    <row r="167" spans="1:19" x14ac:dyDescent="0.25">
      <c r="A167">
        <v>102641</v>
      </c>
      <c r="B167">
        <v>2022</v>
      </c>
      <c r="C167" t="s">
        <v>200</v>
      </c>
      <c r="D167" t="s">
        <v>26</v>
      </c>
      <c r="E167" t="s">
        <v>265</v>
      </c>
      <c r="F167" t="s">
        <v>271</v>
      </c>
      <c r="G167" s="1" t="s">
        <v>266</v>
      </c>
      <c r="H167" s="1" t="s">
        <v>267</v>
      </c>
      <c r="I167" t="s">
        <v>31</v>
      </c>
      <c r="J167" t="s">
        <v>32</v>
      </c>
      <c r="K167" t="s">
        <v>203</v>
      </c>
      <c r="L167" t="s">
        <v>34</v>
      </c>
      <c r="M167" t="s">
        <v>206</v>
      </c>
      <c r="N167">
        <v>24</v>
      </c>
      <c r="O167" t="s">
        <v>57</v>
      </c>
      <c r="S167" t="s">
        <v>58</v>
      </c>
    </row>
    <row r="168" spans="1:19" x14ac:dyDescent="0.25">
      <c r="A168">
        <v>102641</v>
      </c>
      <c r="B168">
        <v>2022</v>
      </c>
      <c r="C168" t="s">
        <v>200</v>
      </c>
      <c r="D168" t="s">
        <v>26</v>
      </c>
      <c r="E168" t="s">
        <v>265</v>
      </c>
      <c r="F168" t="s">
        <v>271</v>
      </c>
      <c r="G168" s="1" t="s">
        <v>266</v>
      </c>
      <c r="H168" s="1" t="s">
        <v>267</v>
      </c>
      <c r="I168" t="s">
        <v>31</v>
      </c>
      <c r="J168" t="s">
        <v>32</v>
      </c>
      <c r="K168" t="s">
        <v>203</v>
      </c>
      <c r="L168" t="s">
        <v>34</v>
      </c>
      <c r="M168" t="s">
        <v>206</v>
      </c>
      <c r="N168">
        <v>25</v>
      </c>
      <c r="O168" t="s">
        <v>57</v>
      </c>
      <c r="S168" t="s">
        <v>58</v>
      </c>
    </row>
    <row r="169" spans="1:19" x14ac:dyDescent="0.25">
      <c r="A169">
        <v>102641</v>
      </c>
      <c r="B169">
        <v>2022</v>
      </c>
      <c r="C169" t="s">
        <v>200</v>
      </c>
      <c r="D169" t="s">
        <v>26</v>
      </c>
      <c r="E169" t="s">
        <v>265</v>
      </c>
      <c r="F169" t="s">
        <v>271</v>
      </c>
      <c r="G169" s="1" t="s">
        <v>266</v>
      </c>
      <c r="H169" s="1" t="s">
        <v>267</v>
      </c>
      <c r="I169" t="s">
        <v>31</v>
      </c>
      <c r="J169" t="s">
        <v>32</v>
      </c>
      <c r="K169" t="s">
        <v>203</v>
      </c>
      <c r="L169" t="s">
        <v>34</v>
      </c>
      <c r="M169" t="s">
        <v>206</v>
      </c>
      <c r="N169">
        <v>26</v>
      </c>
      <c r="O169" t="s">
        <v>275</v>
      </c>
      <c r="S169" t="s">
        <v>276</v>
      </c>
    </row>
    <row r="170" spans="1:19" x14ac:dyDescent="0.25">
      <c r="A170">
        <v>102641</v>
      </c>
      <c r="B170">
        <v>2022</v>
      </c>
      <c r="C170" t="s">
        <v>200</v>
      </c>
      <c r="D170" t="s">
        <v>26</v>
      </c>
      <c r="E170" t="s">
        <v>265</v>
      </c>
      <c r="F170" t="s">
        <v>271</v>
      </c>
      <c r="G170" s="1" t="s">
        <v>266</v>
      </c>
      <c r="H170" s="1" t="s">
        <v>267</v>
      </c>
      <c r="I170" t="s">
        <v>31</v>
      </c>
      <c r="J170" t="s">
        <v>32</v>
      </c>
      <c r="K170" t="s">
        <v>203</v>
      </c>
      <c r="L170" t="s">
        <v>34</v>
      </c>
      <c r="M170" t="s">
        <v>206</v>
      </c>
      <c r="N170">
        <v>27</v>
      </c>
      <c r="O170" t="s">
        <v>57</v>
      </c>
      <c r="S170" t="s">
        <v>58</v>
      </c>
    </row>
    <row r="171" spans="1:19" x14ac:dyDescent="0.25">
      <c r="A171">
        <v>102641</v>
      </c>
      <c r="B171">
        <v>2022</v>
      </c>
      <c r="C171" t="s">
        <v>200</v>
      </c>
      <c r="D171" t="s">
        <v>26</v>
      </c>
      <c r="E171" t="s">
        <v>265</v>
      </c>
      <c r="F171" t="s">
        <v>271</v>
      </c>
      <c r="G171" s="1" t="s">
        <v>266</v>
      </c>
      <c r="H171" s="1" t="s">
        <v>267</v>
      </c>
      <c r="I171" t="s">
        <v>31</v>
      </c>
      <c r="J171" t="s">
        <v>32</v>
      </c>
      <c r="K171" t="s">
        <v>203</v>
      </c>
      <c r="L171" t="s">
        <v>34</v>
      </c>
      <c r="M171" t="s">
        <v>206</v>
      </c>
      <c r="N171">
        <v>28</v>
      </c>
      <c r="O171" t="s">
        <v>57</v>
      </c>
      <c r="S171" t="s">
        <v>58</v>
      </c>
    </row>
    <row r="172" spans="1:19" x14ac:dyDescent="0.25">
      <c r="A172">
        <v>102641</v>
      </c>
      <c r="B172">
        <v>2022</v>
      </c>
      <c r="C172" t="s">
        <v>200</v>
      </c>
      <c r="D172" t="s">
        <v>26</v>
      </c>
      <c r="E172" t="s">
        <v>265</v>
      </c>
      <c r="F172" t="s">
        <v>271</v>
      </c>
      <c r="G172" s="1" t="s">
        <v>266</v>
      </c>
      <c r="H172" s="1" t="s">
        <v>267</v>
      </c>
      <c r="I172" t="s">
        <v>31</v>
      </c>
      <c r="J172" t="s">
        <v>32</v>
      </c>
      <c r="K172" t="s">
        <v>203</v>
      </c>
      <c r="L172" t="s">
        <v>34</v>
      </c>
      <c r="M172" t="s">
        <v>206</v>
      </c>
      <c r="N172">
        <v>29</v>
      </c>
      <c r="O172" t="s">
        <v>57</v>
      </c>
      <c r="S172" t="s">
        <v>58</v>
      </c>
    </row>
    <row r="173" spans="1:19" x14ac:dyDescent="0.25">
      <c r="A173">
        <v>102641</v>
      </c>
      <c r="B173">
        <v>2022</v>
      </c>
      <c r="C173" t="s">
        <v>200</v>
      </c>
      <c r="D173" t="s">
        <v>26</v>
      </c>
      <c r="E173" t="s">
        <v>265</v>
      </c>
      <c r="F173" t="s">
        <v>271</v>
      </c>
      <c r="G173" s="1" t="s">
        <v>266</v>
      </c>
      <c r="H173" s="1" t="s">
        <v>267</v>
      </c>
      <c r="I173" t="s">
        <v>31</v>
      </c>
      <c r="J173" t="s">
        <v>32</v>
      </c>
      <c r="K173" t="s">
        <v>203</v>
      </c>
      <c r="L173" t="s">
        <v>34</v>
      </c>
      <c r="M173" t="s">
        <v>206</v>
      </c>
      <c r="N173">
        <v>30</v>
      </c>
      <c r="O173" t="s">
        <v>57</v>
      </c>
      <c r="S173" t="s">
        <v>58</v>
      </c>
    </row>
    <row r="174" spans="1:19" x14ac:dyDescent="0.25">
      <c r="A174">
        <v>102641</v>
      </c>
      <c r="B174">
        <v>2022</v>
      </c>
      <c r="C174" t="s">
        <v>200</v>
      </c>
      <c r="D174" t="s">
        <v>26</v>
      </c>
      <c r="E174" t="s">
        <v>265</v>
      </c>
      <c r="F174" t="s">
        <v>271</v>
      </c>
      <c r="G174" s="1" t="s">
        <v>266</v>
      </c>
      <c r="H174" s="1" t="s">
        <v>267</v>
      </c>
      <c r="I174" t="s">
        <v>31</v>
      </c>
      <c r="J174" t="s">
        <v>32</v>
      </c>
      <c r="K174" t="s">
        <v>203</v>
      </c>
      <c r="L174" t="s">
        <v>34</v>
      </c>
      <c r="M174" t="s">
        <v>206</v>
      </c>
      <c r="N174">
        <v>31</v>
      </c>
      <c r="O174" t="s">
        <v>57</v>
      </c>
      <c r="S174" t="s">
        <v>58</v>
      </c>
    </row>
    <row r="175" spans="1:19" x14ac:dyDescent="0.25">
      <c r="A175">
        <v>102641</v>
      </c>
      <c r="B175">
        <v>2022</v>
      </c>
      <c r="C175" t="s">
        <v>200</v>
      </c>
      <c r="D175" t="s">
        <v>26</v>
      </c>
      <c r="E175" t="s">
        <v>265</v>
      </c>
      <c r="F175" t="s">
        <v>271</v>
      </c>
      <c r="G175" s="1" t="s">
        <v>266</v>
      </c>
      <c r="H175" s="1" t="s">
        <v>267</v>
      </c>
      <c r="I175" t="s">
        <v>31</v>
      </c>
      <c r="J175" t="s">
        <v>32</v>
      </c>
      <c r="K175" t="s">
        <v>203</v>
      </c>
      <c r="L175" t="s">
        <v>34</v>
      </c>
      <c r="M175" t="s">
        <v>206</v>
      </c>
      <c r="N175">
        <v>32</v>
      </c>
      <c r="O175" t="s">
        <v>57</v>
      </c>
      <c r="S175" t="s">
        <v>58</v>
      </c>
    </row>
    <row r="176" spans="1:19" x14ac:dyDescent="0.25">
      <c r="A176">
        <v>102641</v>
      </c>
      <c r="B176">
        <v>2022</v>
      </c>
      <c r="C176" t="s">
        <v>200</v>
      </c>
      <c r="D176" t="s">
        <v>26</v>
      </c>
      <c r="E176" t="s">
        <v>265</v>
      </c>
      <c r="F176" t="s">
        <v>271</v>
      </c>
      <c r="G176" s="1" t="s">
        <v>266</v>
      </c>
      <c r="H176" s="1" t="s">
        <v>267</v>
      </c>
      <c r="I176" t="s">
        <v>31</v>
      </c>
      <c r="J176" t="s">
        <v>32</v>
      </c>
      <c r="K176" t="s">
        <v>203</v>
      </c>
      <c r="L176" t="s">
        <v>34</v>
      </c>
      <c r="M176" t="s">
        <v>206</v>
      </c>
      <c r="N176">
        <v>33</v>
      </c>
      <c r="O176" t="s">
        <v>57</v>
      </c>
      <c r="S176" t="s">
        <v>58</v>
      </c>
    </row>
    <row r="177" spans="1:19" x14ac:dyDescent="0.25">
      <c r="A177">
        <v>102641</v>
      </c>
      <c r="B177">
        <v>2022</v>
      </c>
      <c r="C177" t="s">
        <v>200</v>
      </c>
      <c r="D177" t="s">
        <v>26</v>
      </c>
      <c r="E177" t="s">
        <v>265</v>
      </c>
      <c r="F177" t="s">
        <v>271</v>
      </c>
      <c r="G177" s="1" t="s">
        <v>266</v>
      </c>
      <c r="H177" s="1" t="s">
        <v>267</v>
      </c>
      <c r="I177" t="s">
        <v>31</v>
      </c>
      <c r="J177" t="s">
        <v>32</v>
      </c>
      <c r="K177" t="s">
        <v>203</v>
      </c>
      <c r="L177" t="s">
        <v>34</v>
      </c>
      <c r="M177" t="s">
        <v>206</v>
      </c>
      <c r="N177">
        <v>34</v>
      </c>
      <c r="O177" t="s">
        <v>68</v>
      </c>
      <c r="S177" t="s">
        <v>69</v>
      </c>
    </row>
    <row r="178" spans="1:19" x14ac:dyDescent="0.25">
      <c r="A178">
        <v>102641</v>
      </c>
      <c r="B178">
        <v>2022</v>
      </c>
      <c r="C178" t="s">
        <v>200</v>
      </c>
      <c r="D178" t="s">
        <v>26</v>
      </c>
      <c r="E178" t="s">
        <v>265</v>
      </c>
      <c r="F178" t="s">
        <v>271</v>
      </c>
      <c r="G178" s="1" t="s">
        <v>266</v>
      </c>
      <c r="H178" s="1" t="s">
        <v>267</v>
      </c>
      <c r="I178" t="s">
        <v>31</v>
      </c>
      <c r="J178" t="s">
        <v>32</v>
      </c>
      <c r="K178" t="s">
        <v>203</v>
      </c>
      <c r="L178" t="s">
        <v>34</v>
      </c>
      <c r="M178" t="s">
        <v>206</v>
      </c>
      <c r="N178">
        <v>35</v>
      </c>
      <c r="O178" t="s">
        <v>68</v>
      </c>
      <c r="S178" t="s">
        <v>69</v>
      </c>
    </row>
    <row r="179" spans="1:19" x14ac:dyDescent="0.25">
      <c r="A179">
        <v>102641</v>
      </c>
      <c r="B179">
        <v>2022</v>
      </c>
      <c r="C179" t="s">
        <v>200</v>
      </c>
      <c r="D179" t="s">
        <v>26</v>
      </c>
      <c r="E179" t="s">
        <v>265</v>
      </c>
      <c r="F179" t="s">
        <v>271</v>
      </c>
      <c r="G179" s="1" t="s">
        <v>266</v>
      </c>
      <c r="H179" s="1" t="s">
        <v>267</v>
      </c>
      <c r="I179" t="s">
        <v>31</v>
      </c>
      <c r="J179" t="s">
        <v>32</v>
      </c>
      <c r="K179" t="s">
        <v>203</v>
      </c>
      <c r="L179" t="s">
        <v>34</v>
      </c>
      <c r="M179" t="s">
        <v>206</v>
      </c>
      <c r="N179">
        <v>36</v>
      </c>
      <c r="O179" t="s">
        <v>57</v>
      </c>
      <c r="S179" t="s">
        <v>58</v>
      </c>
    </row>
    <row r="180" spans="1:19" x14ac:dyDescent="0.25">
      <c r="A180">
        <v>102641</v>
      </c>
      <c r="B180">
        <v>2022</v>
      </c>
      <c r="C180" t="s">
        <v>200</v>
      </c>
      <c r="D180" t="s">
        <v>26</v>
      </c>
      <c r="E180" t="s">
        <v>265</v>
      </c>
      <c r="F180" t="s">
        <v>271</v>
      </c>
      <c r="G180" s="1" t="s">
        <v>266</v>
      </c>
      <c r="H180" s="1" t="s">
        <v>267</v>
      </c>
      <c r="I180" t="s">
        <v>31</v>
      </c>
      <c r="J180" t="s">
        <v>32</v>
      </c>
      <c r="K180" t="s">
        <v>203</v>
      </c>
      <c r="L180" t="s">
        <v>34</v>
      </c>
      <c r="M180" t="s">
        <v>206</v>
      </c>
      <c r="N180">
        <v>37</v>
      </c>
      <c r="O180" t="s">
        <v>68</v>
      </c>
      <c r="S180" t="s">
        <v>69</v>
      </c>
    </row>
    <row r="181" spans="1:19" x14ac:dyDescent="0.25">
      <c r="A181">
        <v>102641</v>
      </c>
      <c r="B181">
        <v>2022</v>
      </c>
      <c r="C181" t="s">
        <v>200</v>
      </c>
      <c r="D181" t="s">
        <v>26</v>
      </c>
      <c r="E181" t="s">
        <v>265</v>
      </c>
      <c r="F181" t="s">
        <v>271</v>
      </c>
      <c r="G181" s="1" t="s">
        <v>266</v>
      </c>
      <c r="H181" s="1" t="s">
        <v>267</v>
      </c>
      <c r="I181" t="s">
        <v>31</v>
      </c>
      <c r="J181" t="s">
        <v>32</v>
      </c>
      <c r="K181" t="s">
        <v>203</v>
      </c>
      <c r="L181" t="s">
        <v>34</v>
      </c>
      <c r="M181" t="s">
        <v>206</v>
      </c>
      <c r="N181">
        <v>38</v>
      </c>
      <c r="O181" t="s">
        <v>57</v>
      </c>
      <c r="R181" t="s">
        <v>249</v>
      </c>
      <c r="S181" t="s">
        <v>58</v>
      </c>
    </row>
    <row r="182" spans="1:19" x14ac:dyDescent="0.25">
      <c r="A182">
        <v>102641</v>
      </c>
      <c r="B182">
        <v>2022</v>
      </c>
      <c r="C182" t="s">
        <v>200</v>
      </c>
      <c r="D182" t="s">
        <v>26</v>
      </c>
      <c r="E182" t="s">
        <v>265</v>
      </c>
      <c r="F182" t="s">
        <v>271</v>
      </c>
      <c r="G182" s="1" t="s">
        <v>266</v>
      </c>
      <c r="H182" s="1" t="s">
        <v>267</v>
      </c>
      <c r="I182" t="s">
        <v>31</v>
      </c>
      <c r="J182" t="s">
        <v>32</v>
      </c>
      <c r="K182" t="s">
        <v>203</v>
      </c>
      <c r="L182" t="s">
        <v>34</v>
      </c>
      <c r="M182" t="s">
        <v>206</v>
      </c>
      <c r="N182">
        <v>39</v>
      </c>
      <c r="O182" t="s">
        <v>57</v>
      </c>
      <c r="S182" t="s">
        <v>58</v>
      </c>
    </row>
    <row r="183" spans="1:19" x14ac:dyDescent="0.25">
      <c r="A183">
        <v>102641</v>
      </c>
      <c r="B183">
        <v>2022</v>
      </c>
      <c r="C183" t="s">
        <v>200</v>
      </c>
      <c r="D183" t="s">
        <v>26</v>
      </c>
      <c r="E183" t="s">
        <v>265</v>
      </c>
      <c r="F183" t="s">
        <v>271</v>
      </c>
      <c r="G183" s="1" t="s">
        <v>266</v>
      </c>
      <c r="H183" s="1" t="s">
        <v>267</v>
      </c>
      <c r="I183" t="s">
        <v>31</v>
      </c>
      <c r="J183" t="s">
        <v>32</v>
      </c>
      <c r="K183" t="s">
        <v>203</v>
      </c>
      <c r="L183" t="s">
        <v>34</v>
      </c>
      <c r="M183" t="s">
        <v>206</v>
      </c>
      <c r="N183">
        <v>40</v>
      </c>
      <c r="O183" t="s">
        <v>277</v>
      </c>
      <c r="S183" t="s">
        <v>278</v>
      </c>
    </row>
    <row r="184" spans="1:19" x14ac:dyDescent="0.25">
      <c r="A184">
        <v>102641</v>
      </c>
      <c r="B184">
        <v>2022</v>
      </c>
      <c r="C184" t="s">
        <v>200</v>
      </c>
      <c r="D184" t="s">
        <v>26</v>
      </c>
      <c r="E184" t="s">
        <v>265</v>
      </c>
      <c r="F184" t="s">
        <v>271</v>
      </c>
      <c r="G184" s="1" t="s">
        <v>266</v>
      </c>
      <c r="H184" s="1" t="s">
        <v>267</v>
      </c>
      <c r="I184" t="s">
        <v>31</v>
      </c>
      <c r="J184" t="s">
        <v>32</v>
      </c>
      <c r="K184" t="s">
        <v>203</v>
      </c>
      <c r="L184" t="s">
        <v>34</v>
      </c>
      <c r="M184" t="s">
        <v>206</v>
      </c>
      <c r="N184">
        <v>41</v>
      </c>
      <c r="O184" t="s">
        <v>57</v>
      </c>
      <c r="S184" t="s">
        <v>58</v>
      </c>
    </row>
    <row r="185" spans="1:19" x14ac:dyDescent="0.25">
      <c r="A185">
        <v>102641</v>
      </c>
      <c r="B185">
        <v>2022</v>
      </c>
      <c r="C185" t="s">
        <v>200</v>
      </c>
      <c r="D185" t="s">
        <v>26</v>
      </c>
      <c r="E185" t="s">
        <v>265</v>
      </c>
      <c r="F185" t="s">
        <v>271</v>
      </c>
      <c r="G185" s="1" t="s">
        <v>266</v>
      </c>
      <c r="H185" s="1" t="s">
        <v>267</v>
      </c>
      <c r="I185" t="s">
        <v>31</v>
      </c>
      <c r="J185" t="s">
        <v>32</v>
      </c>
      <c r="K185" t="s">
        <v>203</v>
      </c>
      <c r="L185" t="s">
        <v>34</v>
      </c>
      <c r="M185" t="s">
        <v>206</v>
      </c>
      <c r="N185">
        <v>42</v>
      </c>
      <c r="O185" t="s">
        <v>57</v>
      </c>
      <c r="S185" t="s">
        <v>58</v>
      </c>
    </row>
    <row r="186" spans="1:19" x14ac:dyDescent="0.25">
      <c r="A186">
        <v>102641</v>
      </c>
      <c r="B186">
        <v>2022</v>
      </c>
      <c r="C186" t="s">
        <v>200</v>
      </c>
      <c r="D186" t="s">
        <v>26</v>
      </c>
      <c r="E186" t="s">
        <v>265</v>
      </c>
      <c r="F186" t="s">
        <v>271</v>
      </c>
      <c r="G186" s="1" t="s">
        <v>266</v>
      </c>
      <c r="H186" s="1" t="s">
        <v>267</v>
      </c>
      <c r="I186" t="s">
        <v>31</v>
      </c>
      <c r="J186" t="s">
        <v>32</v>
      </c>
      <c r="K186" t="s">
        <v>203</v>
      </c>
      <c r="L186" t="s">
        <v>34</v>
      </c>
      <c r="M186" t="s">
        <v>206</v>
      </c>
      <c r="N186">
        <v>43</v>
      </c>
      <c r="O186" t="s">
        <v>57</v>
      </c>
      <c r="S186" t="s">
        <v>58</v>
      </c>
    </row>
    <row r="187" spans="1:19" x14ac:dyDescent="0.25">
      <c r="A187">
        <v>102641</v>
      </c>
      <c r="B187">
        <v>2022</v>
      </c>
      <c r="C187" t="s">
        <v>200</v>
      </c>
      <c r="D187" t="s">
        <v>26</v>
      </c>
      <c r="E187" t="s">
        <v>265</v>
      </c>
      <c r="F187" t="s">
        <v>271</v>
      </c>
      <c r="G187" s="1" t="s">
        <v>266</v>
      </c>
      <c r="H187" s="1" t="s">
        <v>267</v>
      </c>
      <c r="I187" t="s">
        <v>31</v>
      </c>
      <c r="J187" t="s">
        <v>32</v>
      </c>
      <c r="K187" t="s">
        <v>203</v>
      </c>
      <c r="L187" t="s">
        <v>34</v>
      </c>
      <c r="M187" t="s">
        <v>206</v>
      </c>
      <c r="N187">
        <v>44</v>
      </c>
      <c r="Q187" t="s">
        <v>151</v>
      </c>
    </row>
    <row r="188" spans="1:19" x14ac:dyDescent="0.25">
      <c r="A188">
        <v>102641</v>
      </c>
      <c r="B188">
        <v>2022</v>
      </c>
      <c r="C188" t="s">
        <v>200</v>
      </c>
      <c r="D188" t="s">
        <v>26</v>
      </c>
      <c r="E188" t="s">
        <v>265</v>
      </c>
      <c r="F188" t="s">
        <v>271</v>
      </c>
      <c r="G188" s="1" t="s">
        <v>266</v>
      </c>
      <c r="H188" s="1" t="s">
        <v>267</v>
      </c>
      <c r="I188" t="s">
        <v>31</v>
      </c>
      <c r="J188" t="s">
        <v>32</v>
      </c>
      <c r="K188" t="s">
        <v>203</v>
      </c>
      <c r="L188" t="s">
        <v>34</v>
      </c>
      <c r="M188" t="s">
        <v>206</v>
      </c>
      <c r="N188">
        <v>45</v>
      </c>
      <c r="Q188" t="s">
        <v>151</v>
      </c>
    </row>
    <row r="189" spans="1:19" x14ac:dyDescent="0.25">
      <c r="A189">
        <v>102641</v>
      </c>
      <c r="B189">
        <v>2022</v>
      </c>
      <c r="C189" t="s">
        <v>200</v>
      </c>
      <c r="D189" t="s">
        <v>26</v>
      </c>
      <c r="E189" t="s">
        <v>265</v>
      </c>
      <c r="F189" t="s">
        <v>271</v>
      </c>
      <c r="G189" s="1" t="s">
        <v>266</v>
      </c>
      <c r="H189" s="1" t="s">
        <v>267</v>
      </c>
      <c r="I189" t="s">
        <v>31</v>
      </c>
      <c r="J189" t="s">
        <v>32</v>
      </c>
      <c r="K189" t="s">
        <v>203</v>
      </c>
      <c r="L189" t="s">
        <v>34</v>
      </c>
      <c r="M189" t="s">
        <v>206</v>
      </c>
      <c r="N189">
        <v>46</v>
      </c>
      <c r="Q189" t="s">
        <v>151</v>
      </c>
    </row>
    <row r="190" spans="1:19" x14ac:dyDescent="0.25">
      <c r="A190">
        <v>102641</v>
      </c>
      <c r="B190">
        <v>2022</v>
      </c>
      <c r="C190" t="s">
        <v>200</v>
      </c>
      <c r="D190" t="s">
        <v>26</v>
      </c>
      <c r="E190" t="s">
        <v>265</v>
      </c>
      <c r="F190" t="s">
        <v>271</v>
      </c>
      <c r="G190" s="1" t="s">
        <v>266</v>
      </c>
      <c r="H190" s="1" t="s">
        <v>267</v>
      </c>
      <c r="I190" t="s">
        <v>31</v>
      </c>
      <c r="J190" t="s">
        <v>32</v>
      </c>
      <c r="K190" t="s">
        <v>203</v>
      </c>
      <c r="L190" t="s">
        <v>34</v>
      </c>
      <c r="M190" t="s">
        <v>206</v>
      </c>
      <c r="N190">
        <v>47</v>
      </c>
      <c r="Q190" t="s">
        <v>151</v>
      </c>
    </row>
    <row r="191" spans="1:19" x14ac:dyDescent="0.25">
      <c r="A191">
        <v>102641</v>
      </c>
      <c r="B191">
        <v>2022</v>
      </c>
      <c r="C191" t="s">
        <v>200</v>
      </c>
      <c r="D191" t="s">
        <v>26</v>
      </c>
      <c r="E191" t="s">
        <v>265</v>
      </c>
      <c r="F191" t="s">
        <v>271</v>
      </c>
      <c r="G191" s="1" t="s">
        <v>266</v>
      </c>
      <c r="H191" s="1" t="s">
        <v>267</v>
      </c>
      <c r="I191" t="s">
        <v>31</v>
      </c>
      <c r="J191" t="s">
        <v>32</v>
      </c>
      <c r="K191" t="s">
        <v>203</v>
      </c>
      <c r="L191" t="s">
        <v>34</v>
      </c>
      <c r="M191" t="s">
        <v>206</v>
      </c>
      <c r="N191">
        <v>48</v>
      </c>
      <c r="Q191" t="s">
        <v>151</v>
      </c>
    </row>
    <row r="192" spans="1:19" x14ac:dyDescent="0.25">
      <c r="A192">
        <v>102641</v>
      </c>
      <c r="B192">
        <v>2022</v>
      </c>
      <c r="C192" t="s">
        <v>200</v>
      </c>
      <c r="D192" t="s">
        <v>26</v>
      </c>
      <c r="E192" t="s">
        <v>265</v>
      </c>
      <c r="F192" t="s">
        <v>271</v>
      </c>
      <c r="G192" s="1" t="s">
        <v>266</v>
      </c>
      <c r="H192" s="1" t="s">
        <v>267</v>
      </c>
      <c r="I192" t="s">
        <v>31</v>
      </c>
      <c r="J192" t="s">
        <v>32</v>
      </c>
      <c r="K192" t="s">
        <v>203</v>
      </c>
      <c r="L192" t="s">
        <v>34</v>
      </c>
      <c r="M192" t="s">
        <v>206</v>
      </c>
      <c r="N192">
        <v>49</v>
      </c>
      <c r="Q192" t="s">
        <v>151</v>
      </c>
    </row>
    <row r="193" spans="1:19" x14ac:dyDescent="0.25">
      <c r="A193">
        <v>102641</v>
      </c>
      <c r="B193">
        <v>2022</v>
      </c>
      <c r="C193" t="s">
        <v>200</v>
      </c>
      <c r="D193" t="s">
        <v>26</v>
      </c>
      <c r="E193" t="s">
        <v>265</v>
      </c>
      <c r="F193" t="s">
        <v>271</v>
      </c>
      <c r="G193" s="1" t="s">
        <v>266</v>
      </c>
      <c r="H193" s="1" t="s">
        <v>267</v>
      </c>
      <c r="I193" t="s">
        <v>31</v>
      </c>
      <c r="J193" t="s">
        <v>32</v>
      </c>
      <c r="K193" t="s">
        <v>203</v>
      </c>
      <c r="L193" t="s">
        <v>34</v>
      </c>
      <c r="M193" t="s">
        <v>206</v>
      </c>
      <c r="N193">
        <v>50</v>
      </c>
      <c r="Q193" t="s">
        <v>151</v>
      </c>
    </row>
    <row r="194" spans="1:19" x14ac:dyDescent="0.25">
      <c r="A194">
        <v>102641</v>
      </c>
      <c r="B194">
        <v>2022</v>
      </c>
      <c r="C194" t="s">
        <v>200</v>
      </c>
      <c r="D194" t="s">
        <v>26</v>
      </c>
      <c r="E194" t="s">
        <v>265</v>
      </c>
      <c r="F194" t="s">
        <v>271</v>
      </c>
      <c r="G194" s="1" t="s">
        <v>266</v>
      </c>
      <c r="H194" s="1" t="s">
        <v>267</v>
      </c>
      <c r="I194" t="s">
        <v>31</v>
      </c>
      <c r="J194" t="s">
        <v>32</v>
      </c>
      <c r="K194" t="s">
        <v>203</v>
      </c>
      <c r="L194" t="s">
        <v>34</v>
      </c>
      <c r="M194" t="s">
        <v>206</v>
      </c>
      <c r="N194">
        <v>51</v>
      </c>
      <c r="O194" t="s">
        <v>57</v>
      </c>
      <c r="S194" t="s">
        <v>58</v>
      </c>
    </row>
    <row r="195" spans="1:19" x14ac:dyDescent="0.25">
      <c r="A195">
        <v>102641</v>
      </c>
      <c r="B195">
        <v>2022</v>
      </c>
      <c r="C195" t="s">
        <v>200</v>
      </c>
      <c r="D195" t="s">
        <v>26</v>
      </c>
      <c r="E195" t="s">
        <v>265</v>
      </c>
      <c r="F195" t="s">
        <v>271</v>
      </c>
      <c r="G195" s="1" t="s">
        <v>266</v>
      </c>
      <c r="H195" s="1" t="s">
        <v>267</v>
      </c>
      <c r="I195" t="s">
        <v>31</v>
      </c>
      <c r="J195" t="s">
        <v>32</v>
      </c>
      <c r="K195" t="s">
        <v>203</v>
      </c>
      <c r="L195" t="s">
        <v>34</v>
      </c>
      <c r="M195" t="s">
        <v>206</v>
      </c>
      <c r="N195">
        <v>52</v>
      </c>
      <c r="O195" t="s">
        <v>68</v>
      </c>
      <c r="S195" t="s">
        <v>69</v>
      </c>
    </row>
    <row r="196" spans="1:19" x14ac:dyDescent="0.25">
      <c r="A196">
        <v>102641</v>
      </c>
      <c r="B196">
        <v>2022</v>
      </c>
      <c r="C196" t="s">
        <v>200</v>
      </c>
      <c r="D196" t="s">
        <v>26</v>
      </c>
      <c r="E196" t="s">
        <v>265</v>
      </c>
      <c r="F196" t="s">
        <v>271</v>
      </c>
      <c r="G196" s="1" t="s">
        <v>266</v>
      </c>
      <c r="H196" s="1" t="s">
        <v>267</v>
      </c>
      <c r="I196" t="s">
        <v>31</v>
      </c>
      <c r="J196" t="s">
        <v>32</v>
      </c>
      <c r="K196" t="s">
        <v>203</v>
      </c>
      <c r="L196" t="s">
        <v>34</v>
      </c>
      <c r="M196" t="s">
        <v>206</v>
      </c>
      <c r="N196">
        <v>53</v>
      </c>
      <c r="O196" t="s">
        <v>57</v>
      </c>
      <c r="S196" t="s">
        <v>58</v>
      </c>
    </row>
    <row r="197" spans="1:19" x14ac:dyDescent="0.25">
      <c r="A197">
        <v>102641</v>
      </c>
      <c r="B197">
        <v>2022</v>
      </c>
      <c r="C197" t="s">
        <v>200</v>
      </c>
      <c r="D197" t="s">
        <v>26</v>
      </c>
      <c r="E197" t="s">
        <v>265</v>
      </c>
      <c r="F197" t="s">
        <v>271</v>
      </c>
      <c r="G197" s="1" t="s">
        <v>266</v>
      </c>
      <c r="H197" s="1" t="s">
        <v>267</v>
      </c>
      <c r="I197" t="s">
        <v>31</v>
      </c>
      <c r="J197" t="s">
        <v>32</v>
      </c>
      <c r="K197" t="s">
        <v>203</v>
      </c>
      <c r="L197" t="s">
        <v>34</v>
      </c>
      <c r="M197" t="s">
        <v>206</v>
      </c>
      <c r="N197">
        <v>54</v>
      </c>
      <c r="O197" t="s">
        <v>57</v>
      </c>
      <c r="S197" t="s">
        <v>58</v>
      </c>
    </row>
    <row r="198" spans="1:19" x14ac:dyDescent="0.25">
      <c r="A198">
        <v>102641</v>
      </c>
      <c r="B198">
        <v>2022</v>
      </c>
      <c r="C198" t="s">
        <v>200</v>
      </c>
      <c r="D198" t="s">
        <v>26</v>
      </c>
      <c r="E198" t="s">
        <v>265</v>
      </c>
      <c r="F198" t="s">
        <v>271</v>
      </c>
      <c r="G198" s="1" t="s">
        <v>266</v>
      </c>
      <c r="H198" s="1" t="s">
        <v>267</v>
      </c>
      <c r="I198" t="s">
        <v>31</v>
      </c>
      <c r="J198" t="s">
        <v>32</v>
      </c>
      <c r="K198" t="s">
        <v>203</v>
      </c>
      <c r="L198" t="s">
        <v>34</v>
      </c>
      <c r="M198" t="s">
        <v>206</v>
      </c>
      <c r="N198">
        <v>55</v>
      </c>
      <c r="O198" t="s">
        <v>68</v>
      </c>
      <c r="S198" t="s">
        <v>69</v>
      </c>
    </row>
    <row r="199" spans="1:19" x14ac:dyDescent="0.25">
      <c r="A199">
        <v>102641</v>
      </c>
      <c r="B199">
        <v>2022</v>
      </c>
      <c r="C199" t="s">
        <v>200</v>
      </c>
      <c r="D199" t="s">
        <v>26</v>
      </c>
      <c r="E199" t="s">
        <v>265</v>
      </c>
      <c r="F199" t="s">
        <v>271</v>
      </c>
      <c r="G199" s="1" t="s">
        <v>266</v>
      </c>
      <c r="H199" s="1" t="s">
        <v>267</v>
      </c>
      <c r="I199" t="s">
        <v>31</v>
      </c>
      <c r="J199" t="s">
        <v>32</v>
      </c>
      <c r="K199" t="s">
        <v>203</v>
      </c>
      <c r="L199" t="s">
        <v>34</v>
      </c>
      <c r="M199" t="s">
        <v>206</v>
      </c>
      <c r="N199">
        <v>56</v>
      </c>
      <c r="O199" t="s">
        <v>57</v>
      </c>
      <c r="S199" t="s">
        <v>58</v>
      </c>
    </row>
    <row r="200" spans="1:19" x14ac:dyDescent="0.25">
      <c r="A200">
        <v>102641</v>
      </c>
      <c r="B200">
        <v>2022</v>
      </c>
      <c r="C200" t="s">
        <v>200</v>
      </c>
      <c r="D200" t="s">
        <v>26</v>
      </c>
      <c r="E200" t="s">
        <v>265</v>
      </c>
      <c r="F200" t="s">
        <v>271</v>
      </c>
      <c r="G200" s="1" t="s">
        <v>266</v>
      </c>
      <c r="H200" s="1" t="s">
        <v>267</v>
      </c>
      <c r="I200" t="s">
        <v>31</v>
      </c>
      <c r="J200" t="s">
        <v>32</v>
      </c>
      <c r="K200" t="s">
        <v>203</v>
      </c>
      <c r="L200" t="s">
        <v>34</v>
      </c>
      <c r="M200" t="s">
        <v>206</v>
      </c>
      <c r="N200">
        <v>57</v>
      </c>
      <c r="O200" t="s">
        <v>68</v>
      </c>
      <c r="S200" t="s">
        <v>69</v>
      </c>
    </row>
    <row r="201" spans="1:19" x14ac:dyDescent="0.25">
      <c r="A201">
        <v>102641</v>
      </c>
      <c r="B201">
        <v>2022</v>
      </c>
      <c r="C201" t="s">
        <v>200</v>
      </c>
      <c r="D201" t="s">
        <v>26</v>
      </c>
      <c r="E201" t="s">
        <v>265</v>
      </c>
      <c r="F201" t="s">
        <v>271</v>
      </c>
      <c r="G201" s="1" t="s">
        <v>266</v>
      </c>
      <c r="H201" s="1" t="s">
        <v>267</v>
      </c>
      <c r="I201" t="s">
        <v>31</v>
      </c>
      <c r="J201" t="s">
        <v>32</v>
      </c>
      <c r="K201" t="s">
        <v>203</v>
      </c>
      <c r="L201" t="s">
        <v>34</v>
      </c>
      <c r="M201" t="s">
        <v>206</v>
      </c>
      <c r="N201">
        <v>58</v>
      </c>
      <c r="O201" t="s">
        <v>57</v>
      </c>
      <c r="S201" t="s">
        <v>58</v>
      </c>
    </row>
    <row r="202" spans="1:19" x14ac:dyDescent="0.25">
      <c r="A202">
        <v>102641</v>
      </c>
      <c r="B202">
        <v>2022</v>
      </c>
      <c r="C202" t="s">
        <v>200</v>
      </c>
      <c r="D202" t="s">
        <v>26</v>
      </c>
      <c r="E202" t="s">
        <v>265</v>
      </c>
      <c r="F202" t="s">
        <v>271</v>
      </c>
      <c r="G202" s="1" t="s">
        <v>266</v>
      </c>
      <c r="H202" s="1" t="s">
        <v>267</v>
      </c>
      <c r="I202" t="s">
        <v>31</v>
      </c>
      <c r="J202" t="s">
        <v>32</v>
      </c>
      <c r="K202" t="s">
        <v>203</v>
      </c>
      <c r="L202" t="s">
        <v>34</v>
      </c>
      <c r="M202" t="s">
        <v>206</v>
      </c>
      <c r="N202">
        <v>59</v>
      </c>
      <c r="O202" t="s">
        <v>68</v>
      </c>
      <c r="S202" t="s">
        <v>69</v>
      </c>
    </row>
    <row r="203" spans="1:19" x14ac:dyDescent="0.25">
      <c r="A203">
        <v>102641</v>
      </c>
      <c r="B203">
        <v>2022</v>
      </c>
      <c r="C203" t="s">
        <v>200</v>
      </c>
      <c r="D203" t="s">
        <v>26</v>
      </c>
      <c r="E203" t="s">
        <v>265</v>
      </c>
      <c r="F203" t="s">
        <v>271</v>
      </c>
      <c r="G203" s="1" t="s">
        <v>266</v>
      </c>
      <c r="H203" s="1" t="s">
        <v>267</v>
      </c>
      <c r="I203" t="s">
        <v>31</v>
      </c>
      <c r="J203" t="s">
        <v>32</v>
      </c>
      <c r="K203" t="s">
        <v>203</v>
      </c>
      <c r="L203" t="s">
        <v>34</v>
      </c>
      <c r="M203" t="s">
        <v>206</v>
      </c>
      <c r="N203">
        <v>60</v>
      </c>
      <c r="O203" t="s">
        <v>57</v>
      </c>
      <c r="S203" t="s">
        <v>58</v>
      </c>
    </row>
    <row r="204" spans="1:19" x14ac:dyDescent="0.25">
      <c r="A204">
        <v>102641</v>
      </c>
      <c r="B204">
        <v>2022</v>
      </c>
      <c r="C204" t="s">
        <v>200</v>
      </c>
      <c r="D204" t="s">
        <v>26</v>
      </c>
      <c r="E204" t="s">
        <v>265</v>
      </c>
      <c r="F204" t="s">
        <v>271</v>
      </c>
      <c r="G204" s="1" t="s">
        <v>266</v>
      </c>
      <c r="H204" s="1" t="s">
        <v>267</v>
      </c>
      <c r="I204" t="s">
        <v>31</v>
      </c>
      <c r="J204" t="s">
        <v>32</v>
      </c>
      <c r="K204" t="s">
        <v>203</v>
      </c>
      <c r="L204" t="s">
        <v>34</v>
      </c>
      <c r="M204" t="s">
        <v>206</v>
      </c>
      <c r="N204">
        <v>61</v>
      </c>
      <c r="O204" t="s">
        <v>68</v>
      </c>
      <c r="S204" t="s">
        <v>69</v>
      </c>
    </row>
    <row r="205" spans="1:19" x14ac:dyDescent="0.25">
      <c r="A205">
        <v>102641</v>
      </c>
      <c r="B205">
        <v>2022</v>
      </c>
      <c r="C205" t="s">
        <v>200</v>
      </c>
      <c r="D205" t="s">
        <v>26</v>
      </c>
      <c r="E205" t="s">
        <v>265</v>
      </c>
      <c r="F205" t="s">
        <v>271</v>
      </c>
      <c r="G205" s="1" t="s">
        <v>266</v>
      </c>
      <c r="H205" s="1" t="s">
        <v>267</v>
      </c>
      <c r="I205" t="s">
        <v>31</v>
      </c>
      <c r="J205" t="s">
        <v>32</v>
      </c>
      <c r="K205" t="s">
        <v>203</v>
      </c>
      <c r="L205" t="s">
        <v>34</v>
      </c>
      <c r="M205" t="s">
        <v>206</v>
      </c>
      <c r="N205">
        <v>62</v>
      </c>
      <c r="O205" t="s">
        <v>57</v>
      </c>
      <c r="S205" t="s">
        <v>58</v>
      </c>
    </row>
    <row r="206" spans="1:19" x14ac:dyDescent="0.25">
      <c r="A206">
        <v>102641</v>
      </c>
      <c r="B206">
        <v>2022</v>
      </c>
      <c r="C206" t="s">
        <v>200</v>
      </c>
      <c r="D206" t="s">
        <v>26</v>
      </c>
      <c r="E206" t="s">
        <v>265</v>
      </c>
      <c r="F206" t="s">
        <v>271</v>
      </c>
      <c r="G206" s="1" t="s">
        <v>266</v>
      </c>
      <c r="H206" s="1" t="s">
        <v>267</v>
      </c>
      <c r="I206" t="s">
        <v>31</v>
      </c>
      <c r="J206" t="s">
        <v>32</v>
      </c>
      <c r="K206" t="s">
        <v>203</v>
      </c>
      <c r="L206" t="s">
        <v>34</v>
      </c>
      <c r="M206" t="s">
        <v>206</v>
      </c>
      <c r="N206">
        <v>63</v>
      </c>
      <c r="O206" t="s">
        <v>57</v>
      </c>
      <c r="S206" t="s">
        <v>58</v>
      </c>
    </row>
    <row r="207" spans="1:19" x14ac:dyDescent="0.25">
      <c r="A207">
        <v>102641</v>
      </c>
      <c r="B207">
        <v>2022</v>
      </c>
      <c r="C207" t="s">
        <v>200</v>
      </c>
      <c r="D207" t="s">
        <v>26</v>
      </c>
      <c r="E207" t="s">
        <v>265</v>
      </c>
      <c r="F207" t="s">
        <v>271</v>
      </c>
      <c r="G207" s="1" t="s">
        <v>266</v>
      </c>
      <c r="H207" s="1" t="s">
        <v>267</v>
      </c>
      <c r="I207" t="s">
        <v>31</v>
      </c>
      <c r="J207" t="s">
        <v>32</v>
      </c>
      <c r="K207" t="s">
        <v>203</v>
      </c>
      <c r="L207" t="s">
        <v>34</v>
      </c>
      <c r="M207" t="s">
        <v>206</v>
      </c>
      <c r="N207">
        <v>64</v>
      </c>
      <c r="O207" t="s">
        <v>57</v>
      </c>
      <c r="S207" t="s">
        <v>58</v>
      </c>
    </row>
    <row r="208" spans="1:19" x14ac:dyDescent="0.25">
      <c r="A208">
        <v>102641</v>
      </c>
      <c r="B208">
        <v>2022</v>
      </c>
      <c r="C208" t="s">
        <v>200</v>
      </c>
      <c r="D208" t="s">
        <v>26</v>
      </c>
      <c r="E208" t="s">
        <v>265</v>
      </c>
      <c r="F208" t="s">
        <v>271</v>
      </c>
      <c r="G208" s="1" t="s">
        <v>266</v>
      </c>
      <c r="H208" s="1" t="s">
        <v>267</v>
      </c>
      <c r="I208" t="s">
        <v>31</v>
      </c>
      <c r="J208" t="s">
        <v>32</v>
      </c>
      <c r="K208" t="s">
        <v>203</v>
      </c>
      <c r="L208" t="s">
        <v>34</v>
      </c>
      <c r="M208" t="s">
        <v>206</v>
      </c>
      <c r="N208">
        <v>65</v>
      </c>
      <c r="O208" t="s">
        <v>68</v>
      </c>
      <c r="S208" t="s">
        <v>69</v>
      </c>
    </row>
    <row r="209" spans="1:19" x14ac:dyDescent="0.25">
      <c r="A209">
        <v>102641</v>
      </c>
      <c r="B209">
        <v>2022</v>
      </c>
      <c r="C209" t="s">
        <v>200</v>
      </c>
      <c r="D209" t="s">
        <v>26</v>
      </c>
      <c r="E209" t="s">
        <v>265</v>
      </c>
      <c r="F209" t="s">
        <v>271</v>
      </c>
      <c r="G209" s="1" t="s">
        <v>266</v>
      </c>
      <c r="H209" s="1" t="s">
        <v>267</v>
      </c>
      <c r="I209" t="s">
        <v>31</v>
      </c>
      <c r="J209" t="s">
        <v>32</v>
      </c>
      <c r="K209" t="s">
        <v>203</v>
      </c>
      <c r="L209" t="s">
        <v>34</v>
      </c>
      <c r="M209" t="s">
        <v>206</v>
      </c>
      <c r="N209">
        <v>66</v>
      </c>
      <c r="O209" t="s">
        <v>68</v>
      </c>
      <c r="S209" t="s">
        <v>69</v>
      </c>
    </row>
    <row r="210" spans="1:19" x14ac:dyDescent="0.25">
      <c r="A210">
        <v>102641</v>
      </c>
      <c r="B210">
        <v>2022</v>
      </c>
      <c r="C210" t="s">
        <v>200</v>
      </c>
      <c r="D210" t="s">
        <v>26</v>
      </c>
      <c r="E210" t="s">
        <v>265</v>
      </c>
      <c r="F210" t="s">
        <v>271</v>
      </c>
      <c r="G210" s="1" t="s">
        <v>266</v>
      </c>
      <c r="H210" s="1" t="s">
        <v>267</v>
      </c>
      <c r="I210" t="s">
        <v>31</v>
      </c>
      <c r="J210" t="s">
        <v>32</v>
      </c>
      <c r="K210" t="s">
        <v>203</v>
      </c>
      <c r="L210" t="s">
        <v>34</v>
      </c>
      <c r="M210" t="s">
        <v>206</v>
      </c>
      <c r="N210">
        <v>67</v>
      </c>
      <c r="O210" t="s">
        <v>57</v>
      </c>
      <c r="S210" t="s">
        <v>58</v>
      </c>
    </row>
    <row r="211" spans="1:19" x14ac:dyDescent="0.25">
      <c r="A211">
        <v>102641</v>
      </c>
      <c r="B211">
        <v>2022</v>
      </c>
      <c r="C211" t="s">
        <v>200</v>
      </c>
      <c r="D211" t="s">
        <v>26</v>
      </c>
      <c r="E211" t="s">
        <v>265</v>
      </c>
      <c r="F211" t="s">
        <v>271</v>
      </c>
      <c r="G211" s="1" t="s">
        <v>266</v>
      </c>
      <c r="H211" s="1" t="s">
        <v>267</v>
      </c>
      <c r="I211" t="s">
        <v>31</v>
      </c>
      <c r="J211" t="s">
        <v>32</v>
      </c>
      <c r="K211" t="s">
        <v>203</v>
      </c>
      <c r="L211" t="s">
        <v>34</v>
      </c>
      <c r="M211" t="s">
        <v>206</v>
      </c>
      <c r="N211">
        <v>68</v>
      </c>
      <c r="O211" t="s">
        <v>197</v>
      </c>
      <c r="S211" t="s">
        <v>198</v>
      </c>
    </row>
    <row r="212" spans="1:19" x14ac:dyDescent="0.25">
      <c r="A212">
        <v>102641</v>
      </c>
      <c r="B212">
        <v>2022</v>
      </c>
      <c r="C212" t="s">
        <v>200</v>
      </c>
      <c r="D212" t="s">
        <v>26</v>
      </c>
      <c r="E212" t="s">
        <v>265</v>
      </c>
      <c r="F212" t="s">
        <v>271</v>
      </c>
      <c r="G212" s="1" t="s">
        <v>266</v>
      </c>
      <c r="H212" s="1" t="s">
        <v>267</v>
      </c>
      <c r="I212" t="s">
        <v>31</v>
      </c>
      <c r="J212" t="s">
        <v>32</v>
      </c>
      <c r="K212" t="s">
        <v>203</v>
      </c>
      <c r="L212" t="s">
        <v>34</v>
      </c>
      <c r="M212" t="s">
        <v>206</v>
      </c>
      <c r="N212">
        <v>69</v>
      </c>
      <c r="O212" t="s">
        <v>57</v>
      </c>
      <c r="S212" t="s">
        <v>58</v>
      </c>
    </row>
    <row r="213" spans="1:19" x14ac:dyDescent="0.25">
      <c r="A213">
        <v>102641</v>
      </c>
      <c r="B213">
        <v>2022</v>
      </c>
      <c r="C213" t="s">
        <v>200</v>
      </c>
      <c r="D213" t="s">
        <v>26</v>
      </c>
      <c r="E213" t="s">
        <v>265</v>
      </c>
      <c r="F213" t="s">
        <v>271</v>
      </c>
      <c r="G213" s="1" t="s">
        <v>266</v>
      </c>
      <c r="H213" s="1" t="s">
        <v>267</v>
      </c>
      <c r="I213" t="s">
        <v>31</v>
      </c>
      <c r="J213" t="s">
        <v>32</v>
      </c>
      <c r="K213" t="s">
        <v>203</v>
      </c>
      <c r="L213" t="s">
        <v>34</v>
      </c>
      <c r="M213" t="s">
        <v>206</v>
      </c>
      <c r="N213">
        <v>70</v>
      </c>
      <c r="O213" t="s">
        <v>57</v>
      </c>
      <c r="S213" t="s">
        <v>58</v>
      </c>
    </row>
    <row r="214" spans="1:19" x14ac:dyDescent="0.25">
      <c r="A214">
        <v>102641</v>
      </c>
      <c r="B214">
        <v>2022</v>
      </c>
      <c r="C214" t="s">
        <v>200</v>
      </c>
      <c r="D214" t="s">
        <v>26</v>
      </c>
      <c r="E214" t="s">
        <v>265</v>
      </c>
      <c r="F214" t="s">
        <v>271</v>
      </c>
      <c r="G214" s="1" t="s">
        <v>266</v>
      </c>
      <c r="H214" s="1" t="s">
        <v>267</v>
      </c>
      <c r="I214" t="s">
        <v>31</v>
      </c>
      <c r="J214" t="s">
        <v>32</v>
      </c>
      <c r="K214" t="s">
        <v>203</v>
      </c>
      <c r="L214" t="s">
        <v>34</v>
      </c>
      <c r="M214" t="s">
        <v>206</v>
      </c>
      <c r="N214">
        <v>71</v>
      </c>
      <c r="O214" t="s">
        <v>68</v>
      </c>
      <c r="S214" t="s">
        <v>69</v>
      </c>
    </row>
    <row r="215" spans="1:19" x14ac:dyDescent="0.25">
      <c r="A215">
        <v>102641</v>
      </c>
      <c r="B215">
        <v>2022</v>
      </c>
      <c r="C215" t="s">
        <v>200</v>
      </c>
      <c r="D215" t="s">
        <v>26</v>
      </c>
      <c r="E215" t="s">
        <v>265</v>
      </c>
      <c r="F215" t="s">
        <v>271</v>
      </c>
      <c r="G215" s="1" t="s">
        <v>266</v>
      </c>
      <c r="H215" s="1" t="s">
        <v>267</v>
      </c>
      <c r="I215" t="s">
        <v>31</v>
      </c>
      <c r="J215" t="s">
        <v>32</v>
      </c>
      <c r="K215" t="s">
        <v>203</v>
      </c>
      <c r="L215" t="s">
        <v>34</v>
      </c>
      <c r="M215" t="s">
        <v>206</v>
      </c>
      <c r="N215">
        <v>72</v>
      </c>
      <c r="O215" t="s">
        <v>68</v>
      </c>
      <c r="S215" t="s">
        <v>69</v>
      </c>
    </row>
    <row r="216" spans="1:19" x14ac:dyDescent="0.25">
      <c r="A216">
        <v>102641</v>
      </c>
      <c r="B216">
        <v>2022</v>
      </c>
      <c r="C216" t="s">
        <v>200</v>
      </c>
      <c r="D216" t="s">
        <v>26</v>
      </c>
      <c r="E216" t="s">
        <v>265</v>
      </c>
      <c r="F216" t="s">
        <v>271</v>
      </c>
      <c r="G216" s="1" t="s">
        <v>266</v>
      </c>
      <c r="H216" s="1" t="s">
        <v>267</v>
      </c>
      <c r="I216" t="s">
        <v>31</v>
      </c>
      <c r="J216" t="s">
        <v>32</v>
      </c>
      <c r="K216" t="s">
        <v>203</v>
      </c>
      <c r="L216" t="s">
        <v>34</v>
      </c>
      <c r="M216" t="s">
        <v>206</v>
      </c>
      <c r="N216">
        <v>73</v>
      </c>
      <c r="O216" t="s">
        <v>68</v>
      </c>
      <c r="S216" t="s">
        <v>69</v>
      </c>
    </row>
    <row r="217" spans="1:19" x14ac:dyDescent="0.25">
      <c r="A217">
        <v>102641</v>
      </c>
      <c r="B217">
        <v>2022</v>
      </c>
      <c r="C217" t="s">
        <v>200</v>
      </c>
      <c r="D217" t="s">
        <v>26</v>
      </c>
      <c r="E217" t="s">
        <v>265</v>
      </c>
      <c r="F217" t="s">
        <v>271</v>
      </c>
      <c r="G217" s="1" t="s">
        <v>266</v>
      </c>
      <c r="H217" s="1" t="s">
        <v>267</v>
      </c>
      <c r="I217" t="s">
        <v>31</v>
      </c>
      <c r="J217" t="s">
        <v>32</v>
      </c>
      <c r="K217" t="s">
        <v>203</v>
      </c>
      <c r="L217" t="s">
        <v>34</v>
      </c>
      <c r="M217" t="s">
        <v>206</v>
      </c>
      <c r="N217">
        <v>74</v>
      </c>
      <c r="O217" t="s">
        <v>68</v>
      </c>
      <c r="S217" t="s">
        <v>69</v>
      </c>
    </row>
    <row r="218" spans="1:19" x14ac:dyDescent="0.25">
      <c r="A218">
        <v>102641</v>
      </c>
      <c r="B218">
        <v>2022</v>
      </c>
      <c r="C218" t="s">
        <v>200</v>
      </c>
      <c r="D218" t="s">
        <v>26</v>
      </c>
      <c r="E218" t="s">
        <v>265</v>
      </c>
      <c r="F218" t="s">
        <v>271</v>
      </c>
      <c r="G218" s="1" t="s">
        <v>266</v>
      </c>
      <c r="H218" s="1" t="s">
        <v>267</v>
      </c>
      <c r="I218" t="s">
        <v>31</v>
      </c>
      <c r="J218" t="s">
        <v>32</v>
      </c>
      <c r="K218" t="s">
        <v>203</v>
      </c>
      <c r="L218" t="s">
        <v>34</v>
      </c>
      <c r="M218" t="s">
        <v>206</v>
      </c>
      <c r="N218">
        <v>75</v>
      </c>
      <c r="O218" t="s">
        <v>57</v>
      </c>
      <c r="S218" t="s">
        <v>58</v>
      </c>
    </row>
    <row r="219" spans="1:19" x14ac:dyDescent="0.25">
      <c r="A219">
        <v>102641</v>
      </c>
      <c r="B219">
        <v>2022</v>
      </c>
      <c r="C219" t="s">
        <v>200</v>
      </c>
      <c r="D219" t="s">
        <v>26</v>
      </c>
      <c r="E219" t="s">
        <v>265</v>
      </c>
      <c r="F219" t="s">
        <v>271</v>
      </c>
      <c r="G219" s="1" t="s">
        <v>266</v>
      </c>
      <c r="H219" s="1" t="s">
        <v>267</v>
      </c>
      <c r="I219" t="s">
        <v>31</v>
      </c>
      <c r="J219" t="s">
        <v>32</v>
      </c>
      <c r="K219" t="s">
        <v>203</v>
      </c>
      <c r="L219" t="s">
        <v>34</v>
      </c>
      <c r="M219" t="s">
        <v>206</v>
      </c>
      <c r="N219">
        <v>76</v>
      </c>
      <c r="O219" t="s">
        <v>68</v>
      </c>
      <c r="S219" t="s">
        <v>69</v>
      </c>
    </row>
    <row r="220" spans="1:19" x14ac:dyDescent="0.25">
      <c r="A220">
        <v>102641</v>
      </c>
      <c r="B220">
        <v>2022</v>
      </c>
      <c r="C220" t="s">
        <v>200</v>
      </c>
      <c r="D220" t="s">
        <v>26</v>
      </c>
      <c r="E220" t="s">
        <v>265</v>
      </c>
      <c r="F220" t="s">
        <v>271</v>
      </c>
      <c r="G220" s="1" t="s">
        <v>266</v>
      </c>
      <c r="H220" s="1" t="s">
        <v>267</v>
      </c>
      <c r="I220" t="s">
        <v>31</v>
      </c>
      <c r="J220" t="s">
        <v>32</v>
      </c>
      <c r="K220" t="s">
        <v>203</v>
      </c>
      <c r="L220" t="s">
        <v>34</v>
      </c>
      <c r="M220" t="s">
        <v>206</v>
      </c>
      <c r="N220">
        <v>77</v>
      </c>
      <c r="O220" t="s">
        <v>57</v>
      </c>
      <c r="S220" t="s">
        <v>58</v>
      </c>
    </row>
    <row r="221" spans="1:19" x14ac:dyDescent="0.25">
      <c r="A221">
        <v>102641</v>
      </c>
      <c r="B221">
        <v>2022</v>
      </c>
      <c r="C221" t="s">
        <v>200</v>
      </c>
      <c r="D221" t="s">
        <v>26</v>
      </c>
      <c r="E221" t="s">
        <v>265</v>
      </c>
      <c r="F221" t="s">
        <v>271</v>
      </c>
      <c r="G221" s="1" t="s">
        <v>266</v>
      </c>
      <c r="H221" s="1" t="s">
        <v>267</v>
      </c>
      <c r="I221" t="s">
        <v>31</v>
      </c>
      <c r="J221" t="s">
        <v>32</v>
      </c>
      <c r="K221" t="s">
        <v>203</v>
      </c>
      <c r="L221" t="s">
        <v>34</v>
      </c>
      <c r="M221" t="s">
        <v>206</v>
      </c>
      <c r="N221">
        <v>78</v>
      </c>
      <c r="O221" t="s">
        <v>57</v>
      </c>
      <c r="S221" t="s">
        <v>58</v>
      </c>
    </row>
    <row r="222" spans="1:19" x14ac:dyDescent="0.25">
      <c r="A222">
        <v>102641</v>
      </c>
      <c r="B222">
        <v>2022</v>
      </c>
      <c r="C222" t="s">
        <v>200</v>
      </c>
      <c r="D222" t="s">
        <v>26</v>
      </c>
      <c r="E222" t="s">
        <v>265</v>
      </c>
      <c r="F222" t="s">
        <v>271</v>
      </c>
      <c r="G222" s="1" t="s">
        <v>266</v>
      </c>
      <c r="H222" s="1" t="s">
        <v>267</v>
      </c>
      <c r="I222" t="s">
        <v>31</v>
      </c>
      <c r="J222" t="s">
        <v>32</v>
      </c>
      <c r="K222" t="s">
        <v>203</v>
      </c>
      <c r="L222" t="s">
        <v>34</v>
      </c>
      <c r="M222" t="s">
        <v>206</v>
      </c>
      <c r="N222">
        <v>79</v>
      </c>
      <c r="O222" t="s">
        <v>57</v>
      </c>
      <c r="S222" t="s">
        <v>58</v>
      </c>
    </row>
    <row r="223" spans="1:19" x14ac:dyDescent="0.25">
      <c r="A223">
        <v>102641</v>
      </c>
      <c r="B223">
        <v>2022</v>
      </c>
      <c r="C223" t="s">
        <v>200</v>
      </c>
      <c r="D223" t="s">
        <v>26</v>
      </c>
      <c r="E223" t="s">
        <v>265</v>
      </c>
      <c r="F223" t="s">
        <v>271</v>
      </c>
      <c r="G223" s="1" t="s">
        <v>266</v>
      </c>
      <c r="H223" s="1" t="s">
        <v>267</v>
      </c>
      <c r="I223" t="s">
        <v>31</v>
      </c>
      <c r="J223" t="s">
        <v>32</v>
      </c>
      <c r="K223" t="s">
        <v>203</v>
      </c>
      <c r="L223" t="s">
        <v>34</v>
      </c>
      <c r="M223" t="s">
        <v>206</v>
      </c>
      <c r="N223">
        <v>80</v>
      </c>
      <c r="O223" t="s">
        <v>277</v>
      </c>
      <c r="S223" t="s">
        <v>278</v>
      </c>
    </row>
    <row r="224" spans="1:19" x14ac:dyDescent="0.25">
      <c r="A224">
        <v>102641</v>
      </c>
      <c r="B224">
        <v>2022</v>
      </c>
      <c r="C224" t="s">
        <v>200</v>
      </c>
      <c r="D224" t="s">
        <v>26</v>
      </c>
      <c r="E224" t="s">
        <v>265</v>
      </c>
      <c r="F224" t="s">
        <v>271</v>
      </c>
      <c r="G224" s="1" t="s">
        <v>266</v>
      </c>
      <c r="H224" s="1" t="s">
        <v>267</v>
      </c>
      <c r="I224" t="s">
        <v>31</v>
      </c>
      <c r="J224" t="s">
        <v>32</v>
      </c>
      <c r="K224" t="s">
        <v>203</v>
      </c>
      <c r="L224" t="s">
        <v>34</v>
      </c>
      <c r="M224" t="s">
        <v>206</v>
      </c>
      <c r="N224">
        <v>81</v>
      </c>
      <c r="O224" t="s">
        <v>57</v>
      </c>
      <c r="S224" t="s">
        <v>58</v>
      </c>
    </row>
    <row r="225" spans="1:19" x14ac:dyDescent="0.25">
      <c r="A225">
        <v>102641</v>
      </c>
      <c r="B225">
        <v>2022</v>
      </c>
      <c r="C225" t="s">
        <v>200</v>
      </c>
      <c r="D225" t="s">
        <v>26</v>
      </c>
      <c r="E225" t="s">
        <v>265</v>
      </c>
      <c r="F225" t="s">
        <v>271</v>
      </c>
      <c r="G225" s="1" t="s">
        <v>266</v>
      </c>
      <c r="H225" s="1" t="s">
        <v>267</v>
      </c>
      <c r="I225" t="s">
        <v>31</v>
      </c>
      <c r="J225" t="s">
        <v>32</v>
      </c>
      <c r="K225" t="s">
        <v>203</v>
      </c>
      <c r="L225" t="s">
        <v>34</v>
      </c>
      <c r="M225" t="s">
        <v>206</v>
      </c>
      <c r="N225">
        <v>82</v>
      </c>
      <c r="O225" t="s">
        <v>57</v>
      </c>
      <c r="S225" t="s">
        <v>58</v>
      </c>
    </row>
    <row r="226" spans="1:19" x14ac:dyDescent="0.25">
      <c r="A226">
        <v>102641</v>
      </c>
      <c r="B226">
        <v>2022</v>
      </c>
      <c r="C226" t="s">
        <v>200</v>
      </c>
      <c r="D226" t="s">
        <v>26</v>
      </c>
      <c r="E226" t="s">
        <v>265</v>
      </c>
      <c r="F226" t="s">
        <v>271</v>
      </c>
      <c r="G226" s="1" t="s">
        <v>266</v>
      </c>
      <c r="H226" s="1" t="s">
        <v>267</v>
      </c>
      <c r="I226" t="s">
        <v>31</v>
      </c>
      <c r="J226" t="s">
        <v>32</v>
      </c>
      <c r="K226" t="s">
        <v>203</v>
      </c>
      <c r="L226" t="s">
        <v>34</v>
      </c>
      <c r="M226" t="s">
        <v>206</v>
      </c>
      <c r="N226">
        <v>83</v>
      </c>
      <c r="P226" t="s">
        <v>99</v>
      </c>
      <c r="Q226" t="s">
        <v>149</v>
      </c>
      <c r="R226" t="s">
        <v>248</v>
      </c>
      <c r="S226" t="s">
        <v>100</v>
      </c>
    </row>
    <row r="227" spans="1:19" x14ac:dyDescent="0.25">
      <c r="A227">
        <v>102641</v>
      </c>
      <c r="B227">
        <v>2022</v>
      </c>
      <c r="C227" t="s">
        <v>200</v>
      </c>
      <c r="D227" t="s">
        <v>26</v>
      </c>
      <c r="E227" t="s">
        <v>265</v>
      </c>
      <c r="F227" t="s">
        <v>271</v>
      </c>
      <c r="G227" s="1" t="s">
        <v>266</v>
      </c>
      <c r="H227" s="1" t="s">
        <v>267</v>
      </c>
      <c r="I227" t="s">
        <v>31</v>
      </c>
      <c r="J227" t="s">
        <v>32</v>
      </c>
      <c r="K227" t="s">
        <v>203</v>
      </c>
      <c r="L227" t="s">
        <v>34</v>
      </c>
      <c r="M227" t="s">
        <v>206</v>
      </c>
      <c r="N227">
        <v>84</v>
      </c>
      <c r="O227" t="s">
        <v>68</v>
      </c>
      <c r="S227" t="s">
        <v>69</v>
      </c>
    </row>
    <row r="228" spans="1:19" x14ac:dyDescent="0.25">
      <c r="A228">
        <v>102641</v>
      </c>
      <c r="B228">
        <v>2022</v>
      </c>
      <c r="C228" t="s">
        <v>200</v>
      </c>
      <c r="D228" t="s">
        <v>26</v>
      </c>
      <c r="E228" t="s">
        <v>265</v>
      </c>
      <c r="F228" t="s">
        <v>271</v>
      </c>
      <c r="G228" s="1" t="s">
        <v>266</v>
      </c>
      <c r="H228" s="1" t="s">
        <v>267</v>
      </c>
      <c r="I228" t="s">
        <v>31</v>
      </c>
      <c r="J228" t="s">
        <v>32</v>
      </c>
      <c r="K228" t="s">
        <v>203</v>
      </c>
      <c r="L228" t="s">
        <v>34</v>
      </c>
      <c r="M228" t="s">
        <v>206</v>
      </c>
      <c r="N228">
        <v>85</v>
      </c>
      <c r="O228" t="s">
        <v>57</v>
      </c>
      <c r="S228" t="s">
        <v>58</v>
      </c>
    </row>
    <row r="229" spans="1:19" x14ac:dyDescent="0.25">
      <c r="A229">
        <v>102641</v>
      </c>
      <c r="B229">
        <v>2022</v>
      </c>
      <c r="C229" t="s">
        <v>200</v>
      </c>
      <c r="D229" t="s">
        <v>26</v>
      </c>
      <c r="E229" t="s">
        <v>265</v>
      </c>
      <c r="F229" t="s">
        <v>271</v>
      </c>
      <c r="G229" s="1" t="s">
        <v>266</v>
      </c>
      <c r="H229" s="1" t="s">
        <v>267</v>
      </c>
      <c r="I229" t="s">
        <v>31</v>
      </c>
      <c r="J229" t="s">
        <v>32</v>
      </c>
      <c r="K229" t="s">
        <v>203</v>
      </c>
      <c r="L229" t="s">
        <v>34</v>
      </c>
      <c r="M229" t="s">
        <v>206</v>
      </c>
      <c r="N229">
        <v>86</v>
      </c>
      <c r="O229" t="s">
        <v>57</v>
      </c>
      <c r="S229" t="s">
        <v>58</v>
      </c>
    </row>
    <row r="230" spans="1:19" x14ac:dyDescent="0.25">
      <c r="A230">
        <v>102641</v>
      </c>
      <c r="B230">
        <v>2022</v>
      </c>
      <c r="C230" t="s">
        <v>200</v>
      </c>
      <c r="D230" t="s">
        <v>26</v>
      </c>
      <c r="E230" t="s">
        <v>265</v>
      </c>
      <c r="F230" t="s">
        <v>271</v>
      </c>
      <c r="G230" s="1" t="s">
        <v>266</v>
      </c>
      <c r="H230" s="1" t="s">
        <v>267</v>
      </c>
      <c r="I230" t="s">
        <v>31</v>
      </c>
      <c r="J230" t="s">
        <v>32</v>
      </c>
      <c r="K230" t="s">
        <v>203</v>
      </c>
      <c r="L230" t="s">
        <v>34</v>
      </c>
      <c r="M230" t="s">
        <v>206</v>
      </c>
      <c r="N230">
        <v>87</v>
      </c>
      <c r="O230" t="s">
        <v>68</v>
      </c>
      <c r="S230" t="s">
        <v>69</v>
      </c>
    </row>
    <row r="231" spans="1:19" x14ac:dyDescent="0.25">
      <c r="A231">
        <v>102641</v>
      </c>
      <c r="B231">
        <v>2022</v>
      </c>
      <c r="C231" t="s">
        <v>200</v>
      </c>
      <c r="D231" t="s">
        <v>26</v>
      </c>
      <c r="E231" t="s">
        <v>265</v>
      </c>
      <c r="F231" t="s">
        <v>271</v>
      </c>
      <c r="G231" s="1" t="s">
        <v>266</v>
      </c>
      <c r="H231" s="1" t="s">
        <v>267</v>
      </c>
      <c r="I231" t="s">
        <v>31</v>
      </c>
      <c r="J231" t="s">
        <v>32</v>
      </c>
      <c r="K231" t="s">
        <v>203</v>
      </c>
      <c r="L231" t="s">
        <v>34</v>
      </c>
      <c r="M231" t="s">
        <v>206</v>
      </c>
      <c r="N231">
        <v>88</v>
      </c>
      <c r="O231" t="s">
        <v>57</v>
      </c>
      <c r="S231" t="s">
        <v>58</v>
      </c>
    </row>
    <row r="232" spans="1:19" x14ac:dyDescent="0.25">
      <c r="A232">
        <v>102641</v>
      </c>
      <c r="B232">
        <v>2022</v>
      </c>
      <c r="C232" t="s">
        <v>200</v>
      </c>
      <c r="D232" t="s">
        <v>26</v>
      </c>
      <c r="E232" t="s">
        <v>265</v>
      </c>
      <c r="F232" t="s">
        <v>271</v>
      </c>
      <c r="G232" s="1" t="s">
        <v>266</v>
      </c>
      <c r="H232" s="1" t="s">
        <v>267</v>
      </c>
      <c r="I232" t="s">
        <v>31</v>
      </c>
      <c r="J232" t="s">
        <v>32</v>
      </c>
      <c r="K232" t="s">
        <v>203</v>
      </c>
      <c r="L232" t="s">
        <v>34</v>
      </c>
      <c r="M232" t="s">
        <v>206</v>
      </c>
      <c r="N232">
        <v>89</v>
      </c>
      <c r="O232" t="s">
        <v>68</v>
      </c>
      <c r="S232" t="s">
        <v>69</v>
      </c>
    </row>
    <row r="233" spans="1:19" x14ac:dyDescent="0.25">
      <c r="A233">
        <v>102641</v>
      </c>
      <c r="B233">
        <v>2022</v>
      </c>
      <c r="C233" t="s">
        <v>200</v>
      </c>
      <c r="D233" t="s">
        <v>26</v>
      </c>
      <c r="E233" t="s">
        <v>265</v>
      </c>
      <c r="F233" t="s">
        <v>271</v>
      </c>
      <c r="G233" s="1" t="s">
        <v>266</v>
      </c>
      <c r="H233" s="1" t="s">
        <v>267</v>
      </c>
      <c r="I233" t="s">
        <v>31</v>
      </c>
      <c r="J233" t="s">
        <v>32</v>
      </c>
      <c r="K233" t="s">
        <v>203</v>
      </c>
      <c r="L233" t="s">
        <v>34</v>
      </c>
      <c r="M233" t="s">
        <v>206</v>
      </c>
      <c r="N233">
        <v>90</v>
      </c>
      <c r="O233" t="s">
        <v>57</v>
      </c>
      <c r="S233" t="s">
        <v>58</v>
      </c>
    </row>
    <row r="234" spans="1:19" x14ac:dyDescent="0.25">
      <c r="A234">
        <v>102641</v>
      </c>
      <c r="B234">
        <v>2022</v>
      </c>
      <c r="C234" t="s">
        <v>200</v>
      </c>
      <c r="D234" t="s">
        <v>26</v>
      </c>
      <c r="E234" t="s">
        <v>265</v>
      </c>
      <c r="F234" t="s">
        <v>271</v>
      </c>
      <c r="G234" s="1" t="s">
        <v>266</v>
      </c>
      <c r="H234" s="1" t="s">
        <v>267</v>
      </c>
      <c r="I234" t="s">
        <v>31</v>
      </c>
      <c r="J234" t="s">
        <v>32</v>
      </c>
      <c r="K234" t="s">
        <v>203</v>
      </c>
      <c r="L234" t="s">
        <v>34</v>
      </c>
      <c r="M234" t="s">
        <v>206</v>
      </c>
      <c r="N234">
        <v>91</v>
      </c>
      <c r="O234" t="s">
        <v>57</v>
      </c>
      <c r="S234" t="s">
        <v>58</v>
      </c>
    </row>
    <row r="235" spans="1:19" x14ac:dyDescent="0.25">
      <c r="A235">
        <v>102641</v>
      </c>
      <c r="B235">
        <v>2022</v>
      </c>
      <c r="C235" t="s">
        <v>200</v>
      </c>
      <c r="D235" t="s">
        <v>26</v>
      </c>
      <c r="E235" t="s">
        <v>265</v>
      </c>
      <c r="F235" t="s">
        <v>271</v>
      </c>
      <c r="G235" s="1" t="s">
        <v>266</v>
      </c>
      <c r="H235" s="1" t="s">
        <v>267</v>
      </c>
      <c r="I235" t="s">
        <v>31</v>
      </c>
      <c r="J235" t="s">
        <v>32</v>
      </c>
      <c r="K235" t="s">
        <v>203</v>
      </c>
      <c r="L235" t="s">
        <v>34</v>
      </c>
      <c r="M235" t="s">
        <v>206</v>
      </c>
      <c r="N235">
        <v>92</v>
      </c>
      <c r="O235" t="s">
        <v>57</v>
      </c>
      <c r="S235" t="s">
        <v>58</v>
      </c>
    </row>
    <row r="236" spans="1:19" x14ac:dyDescent="0.25">
      <c r="A236">
        <v>102641</v>
      </c>
      <c r="B236">
        <v>2022</v>
      </c>
      <c r="C236" t="s">
        <v>200</v>
      </c>
      <c r="D236" t="s">
        <v>26</v>
      </c>
      <c r="E236" t="s">
        <v>265</v>
      </c>
      <c r="F236" t="s">
        <v>271</v>
      </c>
      <c r="G236" s="1" t="s">
        <v>266</v>
      </c>
      <c r="H236" s="1" t="s">
        <v>267</v>
      </c>
      <c r="I236" t="s">
        <v>31</v>
      </c>
      <c r="J236" t="s">
        <v>32</v>
      </c>
      <c r="K236" t="s">
        <v>203</v>
      </c>
      <c r="L236" t="s">
        <v>34</v>
      </c>
      <c r="M236" t="s">
        <v>206</v>
      </c>
      <c r="N236">
        <v>93</v>
      </c>
      <c r="O236" t="s">
        <v>68</v>
      </c>
      <c r="S236" t="s">
        <v>69</v>
      </c>
    </row>
    <row r="237" spans="1:19" x14ac:dyDescent="0.25">
      <c r="A237">
        <v>102661</v>
      </c>
      <c r="B237">
        <v>2022</v>
      </c>
      <c r="C237" t="s">
        <v>200</v>
      </c>
      <c r="D237" t="s">
        <v>26</v>
      </c>
      <c r="E237" t="s">
        <v>279</v>
      </c>
      <c r="F237" t="s">
        <v>283</v>
      </c>
      <c r="G237" s="1" t="s">
        <v>243</v>
      </c>
      <c r="H237" s="1" t="s">
        <v>284</v>
      </c>
      <c r="I237" t="s">
        <v>31</v>
      </c>
      <c r="J237" t="s">
        <v>32</v>
      </c>
      <c r="K237" t="s">
        <v>203</v>
      </c>
      <c r="L237" t="s">
        <v>34</v>
      </c>
      <c r="M237" t="s">
        <v>206</v>
      </c>
      <c r="N237">
        <v>1</v>
      </c>
      <c r="O237" t="s">
        <v>197</v>
      </c>
      <c r="R237" t="s">
        <v>190</v>
      </c>
      <c r="S237" t="s">
        <v>198</v>
      </c>
    </row>
    <row r="238" spans="1:19" x14ac:dyDescent="0.25">
      <c r="A238">
        <v>102661</v>
      </c>
      <c r="B238">
        <v>2022</v>
      </c>
      <c r="C238" t="s">
        <v>200</v>
      </c>
      <c r="D238" t="s">
        <v>26</v>
      </c>
      <c r="E238" t="s">
        <v>279</v>
      </c>
      <c r="F238" t="s">
        <v>283</v>
      </c>
      <c r="G238" s="1" t="s">
        <v>243</v>
      </c>
      <c r="H238" s="1" t="s">
        <v>284</v>
      </c>
      <c r="I238" t="s">
        <v>31</v>
      </c>
      <c r="J238" t="s">
        <v>32</v>
      </c>
      <c r="K238" t="s">
        <v>203</v>
      </c>
      <c r="L238" t="s">
        <v>34</v>
      </c>
      <c r="M238" t="s">
        <v>206</v>
      </c>
      <c r="N238">
        <v>2</v>
      </c>
      <c r="O238" t="s">
        <v>57</v>
      </c>
      <c r="R238" t="s">
        <v>190</v>
      </c>
      <c r="S238" t="s">
        <v>58</v>
      </c>
    </row>
    <row r="239" spans="1:19" x14ac:dyDescent="0.25">
      <c r="A239">
        <v>102661</v>
      </c>
      <c r="B239">
        <v>2022</v>
      </c>
      <c r="C239" t="s">
        <v>200</v>
      </c>
      <c r="D239" t="s">
        <v>26</v>
      </c>
      <c r="E239" t="s">
        <v>279</v>
      </c>
      <c r="F239" t="s">
        <v>283</v>
      </c>
      <c r="G239" s="1" t="s">
        <v>243</v>
      </c>
      <c r="H239" s="1" t="s">
        <v>284</v>
      </c>
      <c r="I239" t="s">
        <v>31</v>
      </c>
      <c r="J239" t="s">
        <v>32</v>
      </c>
      <c r="K239" t="s">
        <v>203</v>
      </c>
      <c r="L239" t="s">
        <v>34</v>
      </c>
      <c r="M239" t="s">
        <v>206</v>
      </c>
      <c r="N239">
        <v>3</v>
      </c>
      <c r="O239" t="s">
        <v>57</v>
      </c>
      <c r="S239" t="s">
        <v>58</v>
      </c>
    </row>
    <row r="240" spans="1:19" x14ac:dyDescent="0.25">
      <c r="A240">
        <v>102661</v>
      </c>
      <c r="B240">
        <v>2022</v>
      </c>
      <c r="C240" t="s">
        <v>200</v>
      </c>
      <c r="D240" t="s">
        <v>26</v>
      </c>
      <c r="E240" t="s">
        <v>279</v>
      </c>
      <c r="F240" t="s">
        <v>283</v>
      </c>
      <c r="G240" s="1" t="s">
        <v>243</v>
      </c>
      <c r="H240" s="1" t="s">
        <v>284</v>
      </c>
      <c r="I240" t="s">
        <v>31</v>
      </c>
      <c r="J240" t="s">
        <v>32</v>
      </c>
      <c r="K240" t="s">
        <v>203</v>
      </c>
      <c r="L240" t="s">
        <v>34</v>
      </c>
      <c r="M240" t="s">
        <v>206</v>
      </c>
      <c r="N240">
        <v>4</v>
      </c>
      <c r="O240" t="s">
        <v>57</v>
      </c>
      <c r="S240" t="s">
        <v>58</v>
      </c>
    </row>
    <row r="241" spans="1:19" x14ac:dyDescent="0.25">
      <c r="A241">
        <v>102661</v>
      </c>
      <c r="B241">
        <v>2022</v>
      </c>
      <c r="C241" t="s">
        <v>200</v>
      </c>
      <c r="D241" t="s">
        <v>26</v>
      </c>
      <c r="E241" t="s">
        <v>279</v>
      </c>
      <c r="F241" t="s">
        <v>283</v>
      </c>
      <c r="G241" s="1" t="s">
        <v>243</v>
      </c>
      <c r="H241" s="1" t="s">
        <v>284</v>
      </c>
      <c r="I241" t="s">
        <v>31</v>
      </c>
      <c r="J241" t="s">
        <v>32</v>
      </c>
      <c r="K241" t="s">
        <v>203</v>
      </c>
      <c r="L241" t="s">
        <v>34</v>
      </c>
      <c r="M241" t="s">
        <v>206</v>
      </c>
      <c r="N241">
        <v>5</v>
      </c>
      <c r="O241" t="s">
        <v>57</v>
      </c>
      <c r="S241" t="s">
        <v>58</v>
      </c>
    </row>
    <row r="242" spans="1:19" x14ac:dyDescent="0.25">
      <c r="A242">
        <v>102661</v>
      </c>
      <c r="B242">
        <v>2022</v>
      </c>
      <c r="C242" t="s">
        <v>200</v>
      </c>
      <c r="D242" t="s">
        <v>26</v>
      </c>
      <c r="E242" t="s">
        <v>279</v>
      </c>
      <c r="F242" t="s">
        <v>283</v>
      </c>
      <c r="G242" s="1" t="s">
        <v>243</v>
      </c>
      <c r="H242" s="1" t="s">
        <v>284</v>
      </c>
      <c r="I242" t="s">
        <v>31</v>
      </c>
      <c r="J242" t="s">
        <v>32</v>
      </c>
      <c r="K242" t="s">
        <v>203</v>
      </c>
      <c r="L242" t="s">
        <v>34</v>
      </c>
      <c r="M242" t="s">
        <v>206</v>
      </c>
      <c r="N242">
        <v>6</v>
      </c>
      <c r="O242" t="s">
        <v>57</v>
      </c>
      <c r="S242" t="s">
        <v>58</v>
      </c>
    </row>
    <row r="243" spans="1:19" x14ac:dyDescent="0.25">
      <c r="A243">
        <v>102661</v>
      </c>
      <c r="B243">
        <v>2022</v>
      </c>
      <c r="C243" t="s">
        <v>200</v>
      </c>
      <c r="D243" t="s">
        <v>26</v>
      </c>
      <c r="E243" t="s">
        <v>279</v>
      </c>
      <c r="F243" t="s">
        <v>283</v>
      </c>
      <c r="G243" s="1" t="s">
        <v>243</v>
      </c>
      <c r="H243" s="1" t="s">
        <v>284</v>
      </c>
      <c r="I243" t="s">
        <v>31</v>
      </c>
      <c r="J243" t="s">
        <v>32</v>
      </c>
      <c r="K243" t="s">
        <v>203</v>
      </c>
      <c r="L243" t="s">
        <v>34</v>
      </c>
      <c r="M243" t="s">
        <v>206</v>
      </c>
      <c r="N243">
        <v>7</v>
      </c>
      <c r="O243" t="s">
        <v>57</v>
      </c>
      <c r="S243" t="s">
        <v>58</v>
      </c>
    </row>
    <row r="244" spans="1:19" x14ac:dyDescent="0.25">
      <c r="A244">
        <v>102661</v>
      </c>
      <c r="B244">
        <v>2022</v>
      </c>
      <c r="C244" t="s">
        <v>200</v>
      </c>
      <c r="D244" t="s">
        <v>26</v>
      </c>
      <c r="E244" t="s">
        <v>279</v>
      </c>
      <c r="F244" t="s">
        <v>283</v>
      </c>
      <c r="G244" s="1" t="s">
        <v>243</v>
      </c>
      <c r="H244" s="1" t="s">
        <v>284</v>
      </c>
      <c r="I244" t="s">
        <v>31</v>
      </c>
      <c r="J244" t="s">
        <v>32</v>
      </c>
      <c r="K244" t="s">
        <v>203</v>
      </c>
      <c r="L244" t="s">
        <v>34</v>
      </c>
      <c r="M244" t="s">
        <v>206</v>
      </c>
      <c r="N244">
        <v>8</v>
      </c>
      <c r="O244" t="s">
        <v>68</v>
      </c>
      <c r="S244" t="s">
        <v>69</v>
      </c>
    </row>
    <row r="245" spans="1:19" x14ac:dyDescent="0.25">
      <c r="A245">
        <v>102661</v>
      </c>
      <c r="B245">
        <v>2022</v>
      </c>
      <c r="C245" t="s">
        <v>200</v>
      </c>
      <c r="D245" t="s">
        <v>26</v>
      </c>
      <c r="E245" t="s">
        <v>279</v>
      </c>
      <c r="F245" t="s">
        <v>283</v>
      </c>
      <c r="G245" s="1" t="s">
        <v>243</v>
      </c>
      <c r="H245" s="1" t="s">
        <v>284</v>
      </c>
      <c r="I245" t="s">
        <v>31</v>
      </c>
      <c r="J245" t="s">
        <v>32</v>
      </c>
      <c r="K245" t="s">
        <v>203</v>
      </c>
      <c r="L245" t="s">
        <v>34</v>
      </c>
      <c r="M245" t="s">
        <v>206</v>
      </c>
      <c r="N245">
        <v>9</v>
      </c>
      <c r="O245" t="s">
        <v>57</v>
      </c>
      <c r="R245" t="s">
        <v>190</v>
      </c>
      <c r="S245" t="s">
        <v>58</v>
      </c>
    </row>
    <row r="246" spans="1:19" x14ac:dyDescent="0.25">
      <c r="A246">
        <v>102661</v>
      </c>
      <c r="B246">
        <v>2022</v>
      </c>
      <c r="C246" t="s">
        <v>200</v>
      </c>
      <c r="D246" t="s">
        <v>26</v>
      </c>
      <c r="E246" t="s">
        <v>279</v>
      </c>
      <c r="F246" t="s">
        <v>283</v>
      </c>
      <c r="G246" s="1" t="s">
        <v>243</v>
      </c>
      <c r="H246" s="1" t="s">
        <v>284</v>
      </c>
      <c r="I246" t="s">
        <v>31</v>
      </c>
      <c r="J246" t="s">
        <v>32</v>
      </c>
      <c r="K246" t="s">
        <v>203</v>
      </c>
      <c r="L246" t="s">
        <v>34</v>
      </c>
      <c r="M246" t="s">
        <v>206</v>
      </c>
      <c r="N246">
        <v>10</v>
      </c>
      <c r="O246" t="s">
        <v>57</v>
      </c>
      <c r="S246" t="s">
        <v>58</v>
      </c>
    </row>
    <row r="247" spans="1:19" x14ac:dyDescent="0.25">
      <c r="A247">
        <v>102661</v>
      </c>
      <c r="B247">
        <v>2022</v>
      </c>
      <c r="C247" t="s">
        <v>200</v>
      </c>
      <c r="D247" t="s">
        <v>26</v>
      </c>
      <c r="E247" t="s">
        <v>279</v>
      </c>
      <c r="F247" t="s">
        <v>283</v>
      </c>
      <c r="G247" s="1" t="s">
        <v>243</v>
      </c>
      <c r="H247" s="1" t="s">
        <v>284</v>
      </c>
      <c r="I247" t="s">
        <v>31</v>
      </c>
      <c r="J247" t="s">
        <v>32</v>
      </c>
      <c r="K247" t="s">
        <v>203</v>
      </c>
      <c r="L247" t="s">
        <v>34</v>
      </c>
      <c r="M247" t="s">
        <v>206</v>
      </c>
      <c r="N247">
        <v>11</v>
      </c>
      <c r="O247" t="s">
        <v>57</v>
      </c>
      <c r="S247" t="s">
        <v>58</v>
      </c>
    </row>
    <row r="248" spans="1:19" x14ac:dyDescent="0.25">
      <c r="A248">
        <v>102661</v>
      </c>
      <c r="B248">
        <v>2022</v>
      </c>
      <c r="C248" t="s">
        <v>200</v>
      </c>
      <c r="D248" t="s">
        <v>26</v>
      </c>
      <c r="E248" t="s">
        <v>279</v>
      </c>
      <c r="F248" t="s">
        <v>283</v>
      </c>
      <c r="G248" s="1" t="s">
        <v>243</v>
      </c>
      <c r="H248" s="1" t="s">
        <v>284</v>
      </c>
      <c r="I248" t="s">
        <v>31</v>
      </c>
      <c r="J248" t="s">
        <v>32</v>
      </c>
      <c r="K248" t="s">
        <v>203</v>
      </c>
      <c r="L248" t="s">
        <v>34</v>
      </c>
      <c r="M248" t="s">
        <v>206</v>
      </c>
      <c r="N248">
        <v>12</v>
      </c>
      <c r="O248" t="s">
        <v>57</v>
      </c>
      <c r="S248" t="s">
        <v>58</v>
      </c>
    </row>
    <row r="249" spans="1:19" x14ac:dyDescent="0.25">
      <c r="A249">
        <v>102661</v>
      </c>
      <c r="B249">
        <v>2022</v>
      </c>
      <c r="C249" t="s">
        <v>200</v>
      </c>
      <c r="D249" t="s">
        <v>26</v>
      </c>
      <c r="E249" t="s">
        <v>279</v>
      </c>
      <c r="F249" t="s">
        <v>283</v>
      </c>
      <c r="G249" s="1" t="s">
        <v>243</v>
      </c>
      <c r="H249" s="1" t="s">
        <v>284</v>
      </c>
      <c r="I249" t="s">
        <v>31</v>
      </c>
      <c r="J249" t="s">
        <v>32</v>
      </c>
      <c r="K249" t="s">
        <v>203</v>
      </c>
      <c r="L249" t="s">
        <v>34</v>
      </c>
      <c r="M249" t="s">
        <v>206</v>
      </c>
      <c r="N249">
        <v>13</v>
      </c>
      <c r="O249" t="s">
        <v>68</v>
      </c>
      <c r="R249" t="s">
        <v>190</v>
      </c>
      <c r="S249" t="s">
        <v>69</v>
      </c>
    </row>
    <row r="250" spans="1:19" x14ac:dyDescent="0.25">
      <c r="A250">
        <v>102661</v>
      </c>
      <c r="B250">
        <v>2022</v>
      </c>
      <c r="C250" t="s">
        <v>200</v>
      </c>
      <c r="D250" t="s">
        <v>26</v>
      </c>
      <c r="E250" t="s">
        <v>279</v>
      </c>
      <c r="F250" t="s">
        <v>283</v>
      </c>
      <c r="G250" s="1" t="s">
        <v>243</v>
      </c>
      <c r="H250" s="1" t="s">
        <v>284</v>
      </c>
      <c r="I250" t="s">
        <v>31</v>
      </c>
      <c r="J250" t="s">
        <v>32</v>
      </c>
      <c r="K250" t="s">
        <v>203</v>
      </c>
      <c r="L250" t="s">
        <v>34</v>
      </c>
      <c r="M250" t="s">
        <v>206</v>
      </c>
      <c r="N250">
        <v>14</v>
      </c>
      <c r="O250" t="s">
        <v>57</v>
      </c>
      <c r="S250" t="s">
        <v>58</v>
      </c>
    </row>
    <row r="251" spans="1:19" x14ac:dyDescent="0.25">
      <c r="A251">
        <v>102661</v>
      </c>
      <c r="B251">
        <v>2022</v>
      </c>
      <c r="C251" t="s">
        <v>200</v>
      </c>
      <c r="D251" t="s">
        <v>26</v>
      </c>
      <c r="E251" t="s">
        <v>279</v>
      </c>
      <c r="F251" t="s">
        <v>283</v>
      </c>
      <c r="G251" s="1" t="s">
        <v>243</v>
      </c>
      <c r="H251" s="1" t="s">
        <v>284</v>
      </c>
      <c r="I251" t="s">
        <v>31</v>
      </c>
      <c r="J251" t="s">
        <v>32</v>
      </c>
      <c r="K251" t="s">
        <v>203</v>
      </c>
      <c r="L251" t="s">
        <v>34</v>
      </c>
      <c r="M251" t="s">
        <v>206</v>
      </c>
      <c r="N251">
        <v>15</v>
      </c>
      <c r="O251" t="s">
        <v>68</v>
      </c>
      <c r="S251" t="s">
        <v>69</v>
      </c>
    </row>
    <row r="252" spans="1:19" x14ac:dyDescent="0.25">
      <c r="A252">
        <v>102661</v>
      </c>
      <c r="B252">
        <v>2022</v>
      </c>
      <c r="C252" t="s">
        <v>200</v>
      </c>
      <c r="D252" t="s">
        <v>26</v>
      </c>
      <c r="E252" t="s">
        <v>279</v>
      </c>
      <c r="F252" t="s">
        <v>283</v>
      </c>
      <c r="G252" s="1" t="s">
        <v>243</v>
      </c>
      <c r="H252" s="1" t="s">
        <v>284</v>
      </c>
      <c r="I252" t="s">
        <v>31</v>
      </c>
      <c r="J252" t="s">
        <v>32</v>
      </c>
      <c r="K252" t="s">
        <v>203</v>
      </c>
      <c r="L252" t="s">
        <v>34</v>
      </c>
      <c r="M252" t="s">
        <v>206</v>
      </c>
      <c r="N252">
        <v>16</v>
      </c>
      <c r="O252" t="s">
        <v>68</v>
      </c>
      <c r="S252" t="s">
        <v>69</v>
      </c>
    </row>
    <row r="253" spans="1:19" x14ac:dyDescent="0.25">
      <c r="A253">
        <v>102661</v>
      </c>
      <c r="B253">
        <v>2022</v>
      </c>
      <c r="C253" t="s">
        <v>200</v>
      </c>
      <c r="D253" t="s">
        <v>26</v>
      </c>
      <c r="E253" t="s">
        <v>279</v>
      </c>
      <c r="F253" t="s">
        <v>283</v>
      </c>
      <c r="G253" s="1" t="s">
        <v>243</v>
      </c>
      <c r="H253" s="1" t="s">
        <v>284</v>
      </c>
      <c r="I253" t="s">
        <v>31</v>
      </c>
      <c r="J253" t="s">
        <v>32</v>
      </c>
      <c r="K253" t="s">
        <v>203</v>
      </c>
      <c r="L253" t="s">
        <v>34</v>
      </c>
      <c r="M253" t="s">
        <v>206</v>
      </c>
      <c r="N253">
        <v>17</v>
      </c>
      <c r="O253" t="s">
        <v>68</v>
      </c>
      <c r="R253" t="s">
        <v>190</v>
      </c>
      <c r="S253" t="s">
        <v>69</v>
      </c>
    </row>
    <row r="254" spans="1:19" x14ac:dyDescent="0.25">
      <c r="A254">
        <v>102661</v>
      </c>
      <c r="B254">
        <v>2022</v>
      </c>
      <c r="C254" t="s">
        <v>200</v>
      </c>
      <c r="D254" t="s">
        <v>26</v>
      </c>
      <c r="E254" t="s">
        <v>279</v>
      </c>
      <c r="F254" t="s">
        <v>283</v>
      </c>
      <c r="G254" s="1" t="s">
        <v>243</v>
      </c>
      <c r="H254" s="1" t="s">
        <v>284</v>
      </c>
      <c r="I254" t="s">
        <v>31</v>
      </c>
      <c r="J254" t="s">
        <v>32</v>
      </c>
      <c r="K254" t="s">
        <v>203</v>
      </c>
      <c r="L254" t="s">
        <v>34</v>
      </c>
      <c r="M254" t="s">
        <v>206</v>
      </c>
      <c r="N254">
        <v>18</v>
      </c>
      <c r="O254" t="s">
        <v>57</v>
      </c>
      <c r="S254" t="s">
        <v>58</v>
      </c>
    </row>
    <row r="255" spans="1:19" x14ac:dyDescent="0.25">
      <c r="A255">
        <v>102661</v>
      </c>
      <c r="B255">
        <v>2022</v>
      </c>
      <c r="C255" t="s">
        <v>200</v>
      </c>
      <c r="D255" t="s">
        <v>26</v>
      </c>
      <c r="E255" t="s">
        <v>279</v>
      </c>
      <c r="F255" t="s">
        <v>283</v>
      </c>
      <c r="G255" s="1" t="s">
        <v>243</v>
      </c>
      <c r="H255" s="1" t="s">
        <v>284</v>
      </c>
      <c r="I255" t="s">
        <v>31</v>
      </c>
      <c r="J255" t="s">
        <v>32</v>
      </c>
      <c r="K255" t="s">
        <v>203</v>
      </c>
      <c r="L255" t="s">
        <v>34</v>
      </c>
      <c r="M255" t="s">
        <v>206</v>
      </c>
      <c r="N255">
        <v>19</v>
      </c>
      <c r="O255" t="s">
        <v>197</v>
      </c>
      <c r="S255" t="s">
        <v>198</v>
      </c>
    </row>
    <row r="256" spans="1:19" x14ac:dyDescent="0.25">
      <c r="A256">
        <v>102661</v>
      </c>
      <c r="B256">
        <v>2022</v>
      </c>
      <c r="C256" t="s">
        <v>200</v>
      </c>
      <c r="D256" t="s">
        <v>26</v>
      </c>
      <c r="E256" t="s">
        <v>279</v>
      </c>
      <c r="F256" t="s">
        <v>283</v>
      </c>
      <c r="G256" s="1" t="s">
        <v>243</v>
      </c>
      <c r="H256" s="1" t="s">
        <v>284</v>
      </c>
      <c r="I256" t="s">
        <v>31</v>
      </c>
      <c r="J256" t="s">
        <v>32</v>
      </c>
      <c r="K256" t="s">
        <v>203</v>
      </c>
      <c r="L256" t="s">
        <v>34</v>
      </c>
      <c r="M256" t="s">
        <v>206</v>
      </c>
      <c r="N256">
        <v>20</v>
      </c>
      <c r="O256" t="s">
        <v>57</v>
      </c>
      <c r="S256" t="s">
        <v>58</v>
      </c>
    </row>
    <row r="257" spans="1:19" x14ac:dyDescent="0.25">
      <c r="A257">
        <v>102661</v>
      </c>
      <c r="B257">
        <v>2022</v>
      </c>
      <c r="C257" t="s">
        <v>200</v>
      </c>
      <c r="D257" t="s">
        <v>26</v>
      </c>
      <c r="E257" t="s">
        <v>279</v>
      </c>
      <c r="F257" t="s">
        <v>283</v>
      </c>
      <c r="G257" s="1" t="s">
        <v>243</v>
      </c>
      <c r="H257" s="1" t="s">
        <v>284</v>
      </c>
      <c r="I257" t="s">
        <v>31</v>
      </c>
      <c r="J257" t="s">
        <v>32</v>
      </c>
      <c r="K257" t="s">
        <v>203</v>
      </c>
      <c r="L257" t="s">
        <v>34</v>
      </c>
      <c r="M257" t="s">
        <v>206</v>
      </c>
      <c r="N257">
        <v>21</v>
      </c>
      <c r="O257" t="s">
        <v>57</v>
      </c>
      <c r="S257" t="s">
        <v>58</v>
      </c>
    </row>
    <row r="258" spans="1:19" x14ac:dyDescent="0.25">
      <c r="A258">
        <v>102661</v>
      </c>
      <c r="B258">
        <v>2022</v>
      </c>
      <c r="C258" t="s">
        <v>200</v>
      </c>
      <c r="D258" t="s">
        <v>26</v>
      </c>
      <c r="E258" t="s">
        <v>279</v>
      </c>
      <c r="F258" t="s">
        <v>283</v>
      </c>
      <c r="G258" s="1" t="s">
        <v>243</v>
      </c>
      <c r="H258" s="1" t="s">
        <v>284</v>
      </c>
      <c r="I258" t="s">
        <v>31</v>
      </c>
      <c r="J258" t="s">
        <v>32</v>
      </c>
      <c r="K258" t="s">
        <v>203</v>
      </c>
      <c r="L258" t="s">
        <v>34</v>
      </c>
      <c r="M258" t="s">
        <v>206</v>
      </c>
      <c r="N258">
        <v>22</v>
      </c>
      <c r="O258" t="s">
        <v>57</v>
      </c>
      <c r="S258" t="s">
        <v>58</v>
      </c>
    </row>
    <row r="259" spans="1:19" x14ac:dyDescent="0.25">
      <c r="A259">
        <v>102661</v>
      </c>
      <c r="B259">
        <v>2022</v>
      </c>
      <c r="C259" t="s">
        <v>200</v>
      </c>
      <c r="D259" t="s">
        <v>26</v>
      </c>
      <c r="E259" t="s">
        <v>279</v>
      </c>
      <c r="F259" t="s">
        <v>283</v>
      </c>
      <c r="G259" s="1" t="s">
        <v>243</v>
      </c>
      <c r="H259" s="1" t="s">
        <v>284</v>
      </c>
      <c r="I259" t="s">
        <v>31</v>
      </c>
      <c r="J259" t="s">
        <v>32</v>
      </c>
      <c r="K259" t="s">
        <v>203</v>
      </c>
      <c r="L259" t="s">
        <v>34</v>
      </c>
      <c r="M259" t="s">
        <v>206</v>
      </c>
      <c r="N259">
        <v>23</v>
      </c>
      <c r="O259" t="s">
        <v>57</v>
      </c>
      <c r="S259" t="s">
        <v>58</v>
      </c>
    </row>
    <row r="260" spans="1:19" x14ac:dyDescent="0.25">
      <c r="A260">
        <v>102661</v>
      </c>
      <c r="B260">
        <v>2022</v>
      </c>
      <c r="C260" t="s">
        <v>200</v>
      </c>
      <c r="D260" t="s">
        <v>26</v>
      </c>
      <c r="E260" t="s">
        <v>279</v>
      </c>
      <c r="F260" t="s">
        <v>283</v>
      </c>
      <c r="G260" s="1" t="s">
        <v>243</v>
      </c>
      <c r="H260" s="1" t="s">
        <v>284</v>
      </c>
      <c r="I260" t="s">
        <v>31</v>
      </c>
      <c r="J260" t="s">
        <v>32</v>
      </c>
      <c r="K260" t="s">
        <v>203</v>
      </c>
      <c r="L260" t="s">
        <v>34</v>
      </c>
      <c r="M260" t="s">
        <v>206</v>
      </c>
      <c r="N260">
        <v>24</v>
      </c>
      <c r="O260" t="s">
        <v>57</v>
      </c>
      <c r="S260" t="s">
        <v>58</v>
      </c>
    </row>
    <row r="261" spans="1:19" x14ac:dyDescent="0.25">
      <c r="A261">
        <v>102661</v>
      </c>
      <c r="B261">
        <v>2022</v>
      </c>
      <c r="C261" t="s">
        <v>200</v>
      </c>
      <c r="D261" t="s">
        <v>26</v>
      </c>
      <c r="E261" t="s">
        <v>279</v>
      </c>
      <c r="F261" t="s">
        <v>283</v>
      </c>
      <c r="G261" s="1" t="s">
        <v>243</v>
      </c>
      <c r="H261" s="1" t="s">
        <v>284</v>
      </c>
      <c r="I261" t="s">
        <v>31</v>
      </c>
      <c r="J261" t="s">
        <v>32</v>
      </c>
      <c r="K261" t="s">
        <v>203</v>
      </c>
      <c r="L261" t="s">
        <v>34</v>
      </c>
      <c r="M261" t="s">
        <v>206</v>
      </c>
      <c r="N261">
        <v>25</v>
      </c>
      <c r="O261" t="s">
        <v>57</v>
      </c>
      <c r="R261" t="s">
        <v>190</v>
      </c>
      <c r="S261" t="s">
        <v>58</v>
      </c>
    </row>
    <row r="262" spans="1:19" x14ac:dyDescent="0.25">
      <c r="A262">
        <v>102661</v>
      </c>
      <c r="B262">
        <v>2022</v>
      </c>
      <c r="C262" t="s">
        <v>200</v>
      </c>
      <c r="D262" t="s">
        <v>26</v>
      </c>
      <c r="E262" t="s">
        <v>279</v>
      </c>
      <c r="F262" t="s">
        <v>283</v>
      </c>
      <c r="G262" s="1" t="s">
        <v>243</v>
      </c>
      <c r="H262" s="1" t="s">
        <v>284</v>
      </c>
      <c r="I262" t="s">
        <v>31</v>
      </c>
      <c r="J262" t="s">
        <v>32</v>
      </c>
      <c r="K262" t="s">
        <v>203</v>
      </c>
      <c r="L262" t="s">
        <v>34</v>
      </c>
      <c r="M262" t="s">
        <v>206</v>
      </c>
      <c r="N262">
        <v>26</v>
      </c>
      <c r="O262" t="s">
        <v>68</v>
      </c>
      <c r="S262" t="s">
        <v>69</v>
      </c>
    </row>
    <row r="263" spans="1:19" x14ac:dyDescent="0.25">
      <c r="A263">
        <v>102661</v>
      </c>
      <c r="B263">
        <v>2022</v>
      </c>
      <c r="C263" t="s">
        <v>200</v>
      </c>
      <c r="D263" t="s">
        <v>26</v>
      </c>
      <c r="E263" t="s">
        <v>279</v>
      </c>
      <c r="F263" t="s">
        <v>283</v>
      </c>
      <c r="G263" s="1" t="s">
        <v>243</v>
      </c>
      <c r="H263" s="1" t="s">
        <v>284</v>
      </c>
      <c r="I263" t="s">
        <v>31</v>
      </c>
      <c r="J263" t="s">
        <v>32</v>
      </c>
      <c r="K263" t="s">
        <v>203</v>
      </c>
      <c r="L263" t="s">
        <v>34</v>
      </c>
      <c r="M263" t="s">
        <v>206</v>
      </c>
      <c r="N263">
        <v>27</v>
      </c>
      <c r="O263" t="s">
        <v>57</v>
      </c>
      <c r="R263" t="s">
        <v>190</v>
      </c>
      <c r="S263" t="s">
        <v>58</v>
      </c>
    </row>
    <row r="264" spans="1:19" x14ac:dyDescent="0.25">
      <c r="A264">
        <v>102661</v>
      </c>
      <c r="B264">
        <v>2022</v>
      </c>
      <c r="C264" t="s">
        <v>200</v>
      </c>
      <c r="D264" t="s">
        <v>26</v>
      </c>
      <c r="E264" t="s">
        <v>279</v>
      </c>
      <c r="F264" t="s">
        <v>283</v>
      </c>
      <c r="G264" s="1" t="s">
        <v>243</v>
      </c>
      <c r="H264" s="1" t="s">
        <v>284</v>
      </c>
      <c r="I264" t="s">
        <v>31</v>
      </c>
      <c r="J264" t="s">
        <v>32</v>
      </c>
      <c r="K264" t="s">
        <v>203</v>
      </c>
      <c r="L264" t="s">
        <v>34</v>
      </c>
      <c r="M264" t="s">
        <v>206</v>
      </c>
      <c r="N264">
        <v>28</v>
      </c>
      <c r="O264" t="s">
        <v>68</v>
      </c>
      <c r="R264" t="s">
        <v>190</v>
      </c>
      <c r="S264" t="s">
        <v>69</v>
      </c>
    </row>
    <row r="265" spans="1:19" x14ac:dyDescent="0.25">
      <c r="A265">
        <v>102661</v>
      </c>
      <c r="B265">
        <v>2022</v>
      </c>
      <c r="C265" t="s">
        <v>200</v>
      </c>
      <c r="D265" t="s">
        <v>26</v>
      </c>
      <c r="E265" t="s">
        <v>279</v>
      </c>
      <c r="F265" t="s">
        <v>283</v>
      </c>
      <c r="G265" s="1" t="s">
        <v>243</v>
      </c>
      <c r="H265" s="1" t="s">
        <v>284</v>
      </c>
      <c r="I265" t="s">
        <v>31</v>
      </c>
      <c r="J265" t="s">
        <v>32</v>
      </c>
      <c r="K265" t="s">
        <v>203</v>
      </c>
      <c r="L265" t="s">
        <v>34</v>
      </c>
      <c r="M265" t="s">
        <v>206</v>
      </c>
      <c r="N265">
        <v>29</v>
      </c>
      <c r="O265" t="s">
        <v>57</v>
      </c>
      <c r="S265" t="s">
        <v>58</v>
      </c>
    </row>
    <row r="266" spans="1:19" x14ac:dyDescent="0.25">
      <c r="A266">
        <v>102661</v>
      </c>
      <c r="B266">
        <v>2022</v>
      </c>
      <c r="C266" t="s">
        <v>200</v>
      </c>
      <c r="D266" t="s">
        <v>26</v>
      </c>
      <c r="E266" t="s">
        <v>279</v>
      </c>
      <c r="F266" t="s">
        <v>283</v>
      </c>
      <c r="G266" s="1" t="s">
        <v>243</v>
      </c>
      <c r="H266" s="1" t="s">
        <v>284</v>
      </c>
      <c r="I266" t="s">
        <v>31</v>
      </c>
      <c r="J266" t="s">
        <v>32</v>
      </c>
      <c r="K266" t="s">
        <v>203</v>
      </c>
      <c r="L266" t="s">
        <v>34</v>
      </c>
      <c r="M266" t="s">
        <v>206</v>
      </c>
      <c r="N266">
        <v>30</v>
      </c>
      <c r="O266" t="s">
        <v>57</v>
      </c>
      <c r="R266" t="s">
        <v>190</v>
      </c>
      <c r="S266" t="s">
        <v>58</v>
      </c>
    </row>
    <row r="267" spans="1:19" x14ac:dyDescent="0.25">
      <c r="A267">
        <v>102661</v>
      </c>
      <c r="B267">
        <v>2022</v>
      </c>
      <c r="C267" t="s">
        <v>200</v>
      </c>
      <c r="D267" t="s">
        <v>26</v>
      </c>
      <c r="E267" t="s">
        <v>279</v>
      </c>
      <c r="F267" t="s">
        <v>283</v>
      </c>
      <c r="G267" s="1" t="s">
        <v>243</v>
      </c>
      <c r="H267" s="1" t="s">
        <v>284</v>
      </c>
      <c r="I267" t="s">
        <v>31</v>
      </c>
      <c r="J267" t="s">
        <v>32</v>
      </c>
      <c r="K267" t="s">
        <v>203</v>
      </c>
      <c r="L267" t="s">
        <v>34</v>
      </c>
      <c r="M267" t="s">
        <v>206</v>
      </c>
      <c r="N267">
        <v>31</v>
      </c>
      <c r="O267" t="s">
        <v>57</v>
      </c>
      <c r="R267" t="s">
        <v>190</v>
      </c>
      <c r="S267" t="s">
        <v>58</v>
      </c>
    </row>
    <row r="268" spans="1:19" x14ac:dyDescent="0.25">
      <c r="A268">
        <v>102661</v>
      </c>
      <c r="B268">
        <v>2022</v>
      </c>
      <c r="C268" t="s">
        <v>200</v>
      </c>
      <c r="D268" t="s">
        <v>26</v>
      </c>
      <c r="E268" t="s">
        <v>279</v>
      </c>
      <c r="F268" t="s">
        <v>283</v>
      </c>
      <c r="G268" s="1" t="s">
        <v>243</v>
      </c>
      <c r="H268" s="1" t="s">
        <v>284</v>
      </c>
      <c r="I268" t="s">
        <v>31</v>
      </c>
      <c r="J268" t="s">
        <v>32</v>
      </c>
      <c r="K268" t="s">
        <v>203</v>
      </c>
      <c r="L268" t="s">
        <v>34</v>
      </c>
      <c r="M268" t="s">
        <v>206</v>
      </c>
      <c r="N268">
        <v>32</v>
      </c>
      <c r="O268" t="s">
        <v>57</v>
      </c>
      <c r="S268" t="s">
        <v>58</v>
      </c>
    </row>
    <row r="269" spans="1:19" x14ac:dyDescent="0.25">
      <c r="A269">
        <v>102661</v>
      </c>
      <c r="B269">
        <v>2022</v>
      </c>
      <c r="C269" t="s">
        <v>200</v>
      </c>
      <c r="D269" t="s">
        <v>26</v>
      </c>
      <c r="E269" t="s">
        <v>279</v>
      </c>
      <c r="F269" t="s">
        <v>283</v>
      </c>
      <c r="G269" s="1" t="s">
        <v>243</v>
      </c>
      <c r="H269" s="1" t="s">
        <v>284</v>
      </c>
      <c r="I269" t="s">
        <v>31</v>
      </c>
      <c r="J269" t="s">
        <v>32</v>
      </c>
      <c r="K269" t="s">
        <v>203</v>
      </c>
      <c r="L269" t="s">
        <v>34</v>
      </c>
      <c r="M269" t="s">
        <v>206</v>
      </c>
      <c r="N269">
        <v>33</v>
      </c>
      <c r="O269" t="s">
        <v>57</v>
      </c>
      <c r="S269" t="s">
        <v>58</v>
      </c>
    </row>
    <row r="270" spans="1:19" x14ac:dyDescent="0.25">
      <c r="A270">
        <v>102661</v>
      </c>
      <c r="B270">
        <v>2022</v>
      </c>
      <c r="C270" t="s">
        <v>200</v>
      </c>
      <c r="D270" t="s">
        <v>26</v>
      </c>
      <c r="E270" t="s">
        <v>279</v>
      </c>
      <c r="F270" t="s">
        <v>283</v>
      </c>
      <c r="G270" s="1" t="s">
        <v>243</v>
      </c>
      <c r="H270" s="1" t="s">
        <v>284</v>
      </c>
      <c r="I270" t="s">
        <v>31</v>
      </c>
      <c r="J270" t="s">
        <v>32</v>
      </c>
      <c r="K270" t="s">
        <v>203</v>
      </c>
      <c r="L270" t="s">
        <v>34</v>
      </c>
      <c r="M270" t="s">
        <v>206</v>
      </c>
      <c r="N270">
        <v>34</v>
      </c>
      <c r="O270" t="s">
        <v>57</v>
      </c>
      <c r="S270" t="s">
        <v>58</v>
      </c>
    </row>
    <row r="271" spans="1:19" x14ac:dyDescent="0.25">
      <c r="A271">
        <v>102661</v>
      </c>
      <c r="B271">
        <v>2022</v>
      </c>
      <c r="C271" t="s">
        <v>200</v>
      </c>
      <c r="D271" t="s">
        <v>26</v>
      </c>
      <c r="E271" t="s">
        <v>279</v>
      </c>
      <c r="F271" t="s">
        <v>283</v>
      </c>
      <c r="G271" s="1" t="s">
        <v>243</v>
      </c>
      <c r="H271" s="1" t="s">
        <v>284</v>
      </c>
      <c r="I271" t="s">
        <v>31</v>
      </c>
      <c r="J271" t="s">
        <v>32</v>
      </c>
      <c r="K271" t="s">
        <v>203</v>
      </c>
      <c r="L271" t="s">
        <v>34</v>
      </c>
      <c r="M271" t="s">
        <v>206</v>
      </c>
      <c r="N271">
        <v>35</v>
      </c>
      <c r="O271" t="s">
        <v>57</v>
      </c>
      <c r="S271" t="s">
        <v>58</v>
      </c>
    </row>
    <row r="272" spans="1:19" x14ac:dyDescent="0.25">
      <c r="A272">
        <v>102661</v>
      </c>
      <c r="B272">
        <v>2022</v>
      </c>
      <c r="C272" t="s">
        <v>200</v>
      </c>
      <c r="D272" t="s">
        <v>26</v>
      </c>
      <c r="E272" t="s">
        <v>279</v>
      </c>
      <c r="F272" t="s">
        <v>283</v>
      </c>
      <c r="G272" s="1" t="s">
        <v>243</v>
      </c>
      <c r="H272" s="1" t="s">
        <v>284</v>
      </c>
      <c r="I272" t="s">
        <v>31</v>
      </c>
      <c r="J272" t="s">
        <v>32</v>
      </c>
      <c r="K272" t="s">
        <v>203</v>
      </c>
      <c r="L272" t="s">
        <v>34</v>
      </c>
      <c r="M272" t="s">
        <v>206</v>
      </c>
      <c r="N272">
        <v>36</v>
      </c>
      <c r="O272" t="s">
        <v>57</v>
      </c>
      <c r="S272" t="s">
        <v>58</v>
      </c>
    </row>
    <row r="273" spans="1:19" x14ac:dyDescent="0.25">
      <c r="A273">
        <v>102661</v>
      </c>
      <c r="B273">
        <v>2022</v>
      </c>
      <c r="C273" t="s">
        <v>200</v>
      </c>
      <c r="D273" t="s">
        <v>26</v>
      </c>
      <c r="E273" t="s">
        <v>279</v>
      </c>
      <c r="F273" t="s">
        <v>283</v>
      </c>
      <c r="G273" s="1" t="s">
        <v>243</v>
      </c>
      <c r="H273" s="1" t="s">
        <v>284</v>
      </c>
      <c r="I273" t="s">
        <v>31</v>
      </c>
      <c r="J273" t="s">
        <v>32</v>
      </c>
      <c r="K273" t="s">
        <v>203</v>
      </c>
      <c r="L273" t="s">
        <v>34</v>
      </c>
      <c r="M273" t="s">
        <v>206</v>
      </c>
      <c r="N273">
        <v>37</v>
      </c>
      <c r="O273" t="s">
        <v>68</v>
      </c>
      <c r="R273" t="s">
        <v>190</v>
      </c>
      <c r="S273" t="s">
        <v>69</v>
      </c>
    </row>
    <row r="274" spans="1:19" x14ac:dyDescent="0.25">
      <c r="A274">
        <v>102661</v>
      </c>
      <c r="B274">
        <v>2022</v>
      </c>
      <c r="C274" t="s">
        <v>200</v>
      </c>
      <c r="D274" t="s">
        <v>26</v>
      </c>
      <c r="E274" t="s">
        <v>279</v>
      </c>
      <c r="F274" t="s">
        <v>283</v>
      </c>
      <c r="G274" s="1" t="s">
        <v>243</v>
      </c>
      <c r="H274" s="1" t="s">
        <v>284</v>
      </c>
      <c r="I274" t="s">
        <v>31</v>
      </c>
      <c r="J274" t="s">
        <v>32</v>
      </c>
      <c r="K274" t="s">
        <v>203</v>
      </c>
      <c r="L274" t="s">
        <v>34</v>
      </c>
      <c r="M274" t="s">
        <v>206</v>
      </c>
      <c r="N274">
        <v>38</v>
      </c>
      <c r="O274" t="s">
        <v>57</v>
      </c>
      <c r="S274" t="s">
        <v>58</v>
      </c>
    </row>
    <row r="275" spans="1:19" x14ac:dyDescent="0.25">
      <c r="A275">
        <v>102661</v>
      </c>
      <c r="B275">
        <v>2022</v>
      </c>
      <c r="C275" t="s">
        <v>200</v>
      </c>
      <c r="D275" t="s">
        <v>26</v>
      </c>
      <c r="E275" t="s">
        <v>279</v>
      </c>
      <c r="F275" t="s">
        <v>283</v>
      </c>
      <c r="G275" s="1" t="s">
        <v>243</v>
      </c>
      <c r="H275" s="1" t="s">
        <v>284</v>
      </c>
      <c r="I275" t="s">
        <v>31</v>
      </c>
      <c r="J275" t="s">
        <v>32</v>
      </c>
      <c r="K275" t="s">
        <v>203</v>
      </c>
      <c r="L275" t="s">
        <v>34</v>
      </c>
      <c r="M275" t="s">
        <v>206</v>
      </c>
      <c r="N275">
        <v>39</v>
      </c>
      <c r="O275" t="s">
        <v>68</v>
      </c>
      <c r="S275" t="s">
        <v>69</v>
      </c>
    </row>
    <row r="276" spans="1:19" x14ac:dyDescent="0.25">
      <c r="A276">
        <v>102661</v>
      </c>
      <c r="B276">
        <v>2022</v>
      </c>
      <c r="C276" t="s">
        <v>200</v>
      </c>
      <c r="D276" t="s">
        <v>26</v>
      </c>
      <c r="E276" t="s">
        <v>279</v>
      </c>
      <c r="F276" t="s">
        <v>283</v>
      </c>
      <c r="G276" s="1" t="s">
        <v>243</v>
      </c>
      <c r="H276" s="1" t="s">
        <v>284</v>
      </c>
      <c r="I276" t="s">
        <v>31</v>
      </c>
      <c r="J276" t="s">
        <v>32</v>
      </c>
      <c r="K276" t="s">
        <v>203</v>
      </c>
      <c r="L276" t="s">
        <v>34</v>
      </c>
      <c r="M276" t="s">
        <v>206</v>
      </c>
      <c r="N276">
        <v>40</v>
      </c>
      <c r="O276" t="s">
        <v>197</v>
      </c>
      <c r="S276" t="s">
        <v>198</v>
      </c>
    </row>
    <row r="277" spans="1:19" x14ac:dyDescent="0.25">
      <c r="A277">
        <v>102661</v>
      </c>
      <c r="B277">
        <v>2022</v>
      </c>
      <c r="C277" t="s">
        <v>200</v>
      </c>
      <c r="D277" t="s">
        <v>26</v>
      </c>
      <c r="E277" t="s">
        <v>279</v>
      </c>
      <c r="F277" t="s">
        <v>283</v>
      </c>
      <c r="G277" s="1" t="s">
        <v>243</v>
      </c>
      <c r="H277" s="1" t="s">
        <v>284</v>
      </c>
      <c r="I277" t="s">
        <v>31</v>
      </c>
      <c r="J277" t="s">
        <v>32</v>
      </c>
      <c r="K277" t="s">
        <v>203</v>
      </c>
      <c r="L277" t="s">
        <v>34</v>
      </c>
      <c r="M277" t="s">
        <v>206</v>
      </c>
      <c r="N277">
        <v>41</v>
      </c>
      <c r="O277" t="s">
        <v>68</v>
      </c>
      <c r="S277" t="s">
        <v>69</v>
      </c>
    </row>
    <row r="278" spans="1:19" x14ac:dyDescent="0.25">
      <c r="A278">
        <v>102661</v>
      </c>
      <c r="B278">
        <v>2022</v>
      </c>
      <c r="C278" t="s">
        <v>200</v>
      </c>
      <c r="D278" t="s">
        <v>26</v>
      </c>
      <c r="E278" t="s">
        <v>279</v>
      </c>
      <c r="F278" t="s">
        <v>283</v>
      </c>
      <c r="G278" s="1" t="s">
        <v>243</v>
      </c>
      <c r="H278" s="1" t="s">
        <v>284</v>
      </c>
      <c r="I278" t="s">
        <v>31</v>
      </c>
      <c r="J278" t="s">
        <v>32</v>
      </c>
      <c r="K278" t="s">
        <v>203</v>
      </c>
      <c r="L278" t="s">
        <v>34</v>
      </c>
      <c r="M278" t="s">
        <v>206</v>
      </c>
      <c r="N278">
        <v>42</v>
      </c>
      <c r="O278" t="s">
        <v>57</v>
      </c>
      <c r="R278" t="s">
        <v>190</v>
      </c>
      <c r="S278" t="s">
        <v>58</v>
      </c>
    </row>
    <row r="279" spans="1:19" x14ac:dyDescent="0.25">
      <c r="A279">
        <v>102661</v>
      </c>
      <c r="B279">
        <v>2022</v>
      </c>
      <c r="C279" t="s">
        <v>200</v>
      </c>
      <c r="D279" t="s">
        <v>26</v>
      </c>
      <c r="E279" t="s">
        <v>279</v>
      </c>
      <c r="F279" t="s">
        <v>283</v>
      </c>
      <c r="G279" s="1" t="s">
        <v>243</v>
      </c>
      <c r="H279" s="1" t="s">
        <v>284</v>
      </c>
      <c r="I279" t="s">
        <v>31</v>
      </c>
      <c r="J279" t="s">
        <v>32</v>
      </c>
      <c r="K279" t="s">
        <v>203</v>
      </c>
      <c r="L279" t="s">
        <v>34</v>
      </c>
      <c r="M279" t="s">
        <v>206</v>
      </c>
      <c r="N279">
        <v>43</v>
      </c>
      <c r="Q279" t="s">
        <v>151</v>
      </c>
    </row>
    <row r="280" spans="1:19" x14ac:dyDescent="0.25">
      <c r="A280">
        <v>102661</v>
      </c>
      <c r="B280">
        <v>2022</v>
      </c>
      <c r="C280" t="s">
        <v>200</v>
      </c>
      <c r="D280" t="s">
        <v>26</v>
      </c>
      <c r="E280" t="s">
        <v>279</v>
      </c>
      <c r="F280" t="s">
        <v>283</v>
      </c>
      <c r="G280" s="1" t="s">
        <v>243</v>
      </c>
      <c r="H280" s="1" t="s">
        <v>284</v>
      </c>
      <c r="I280" t="s">
        <v>31</v>
      </c>
      <c r="J280" t="s">
        <v>32</v>
      </c>
      <c r="K280" t="s">
        <v>203</v>
      </c>
      <c r="L280" t="s">
        <v>34</v>
      </c>
      <c r="M280" t="s">
        <v>206</v>
      </c>
      <c r="N280">
        <v>44</v>
      </c>
      <c r="Q280" t="s">
        <v>151</v>
      </c>
    </row>
    <row r="281" spans="1:19" x14ac:dyDescent="0.25">
      <c r="A281">
        <v>102661</v>
      </c>
      <c r="B281">
        <v>2022</v>
      </c>
      <c r="C281" t="s">
        <v>200</v>
      </c>
      <c r="D281" t="s">
        <v>26</v>
      </c>
      <c r="E281" t="s">
        <v>279</v>
      </c>
      <c r="F281" t="s">
        <v>283</v>
      </c>
      <c r="G281" s="1" t="s">
        <v>243</v>
      </c>
      <c r="H281" s="1" t="s">
        <v>284</v>
      </c>
      <c r="I281" t="s">
        <v>31</v>
      </c>
      <c r="J281" t="s">
        <v>32</v>
      </c>
      <c r="K281" t="s">
        <v>203</v>
      </c>
      <c r="L281" t="s">
        <v>34</v>
      </c>
      <c r="M281" t="s">
        <v>206</v>
      </c>
      <c r="N281">
        <v>45</v>
      </c>
      <c r="Q281" t="s">
        <v>151</v>
      </c>
    </row>
    <row r="282" spans="1:19" x14ac:dyDescent="0.25">
      <c r="A282">
        <v>102661</v>
      </c>
      <c r="B282">
        <v>2022</v>
      </c>
      <c r="C282" t="s">
        <v>200</v>
      </c>
      <c r="D282" t="s">
        <v>26</v>
      </c>
      <c r="E282" t="s">
        <v>279</v>
      </c>
      <c r="F282" t="s">
        <v>283</v>
      </c>
      <c r="G282" s="1" t="s">
        <v>243</v>
      </c>
      <c r="H282" s="1" t="s">
        <v>284</v>
      </c>
      <c r="I282" t="s">
        <v>31</v>
      </c>
      <c r="J282" t="s">
        <v>32</v>
      </c>
      <c r="K282" t="s">
        <v>203</v>
      </c>
      <c r="L282" t="s">
        <v>34</v>
      </c>
      <c r="M282" t="s">
        <v>206</v>
      </c>
      <c r="N282">
        <v>46</v>
      </c>
      <c r="Q282" t="s">
        <v>151</v>
      </c>
    </row>
    <row r="283" spans="1:19" x14ac:dyDescent="0.25">
      <c r="A283">
        <v>102661</v>
      </c>
      <c r="B283">
        <v>2022</v>
      </c>
      <c r="C283" t="s">
        <v>200</v>
      </c>
      <c r="D283" t="s">
        <v>26</v>
      </c>
      <c r="E283" t="s">
        <v>279</v>
      </c>
      <c r="F283" t="s">
        <v>283</v>
      </c>
      <c r="G283" s="1" t="s">
        <v>243</v>
      </c>
      <c r="H283" s="1" t="s">
        <v>284</v>
      </c>
      <c r="I283" t="s">
        <v>31</v>
      </c>
      <c r="J283" t="s">
        <v>32</v>
      </c>
      <c r="K283" t="s">
        <v>203</v>
      </c>
      <c r="L283" t="s">
        <v>34</v>
      </c>
      <c r="M283" t="s">
        <v>206</v>
      </c>
      <c r="N283">
        <v>47</v>
      </c>
      <c r="Q283" t="s">
        <v>151</v>
      </c>
    </row>
    <row r="284" spans="1:19" x14ac:dyDescent="0.25">
      <c r="A284">
        <v>102661</v>
      </c>
      <c r="B284">
        <v>2022</v>
      </c>
      <c r="C284" t="s">
        <v>200</v>
      </c>
      <c r="D284" t="s">
        <v>26</v>
      </c>
      <c r="E284" t="s">
        <v>279</v>
      </c>
      <c r="F284" t="s">
        <v>283</v>
      </c>
      <c r="G284" s="1" t="s">
        <v>243</v>
      </c>
      <c r="H284" s="1" t="s">
        <v>284</v>
      </c>
      <c r="I284" t="s">
        <v>31</v>
      </c>
      <c r="J284" t="s">
        <v>32</v>
      </c>
      <c r="K284" t="s">
        <v>203</v>
      </c>
      <c r="L284" t="s">
        <v>34</v>
      </c>
      <c r="M284" t="s">
        <v>206</v>
      </c>
      <c r="N284">
        <v>48</v>
      </c>
      <c r="Q284" t="s">
        <v>151</v>
      </c>
    </row>
    <row r="285" spans="1:19" x14ac:dyDescent="0.25">
      <c r="A285">
        <v>102661</v>
      </c>
      <c r="B285">
        <v>2022</v>
      </c>
      <c r="C285" t="s">
        <v>200</v>
      </c>
      <c r="D285" t="s">
        <v>26</v>
      </c>
      <c r="E285" t="s">
        <v>279</v>
      </c>
      <c r="F285" t="s">
        <v>283</v>
      </c>
      <c r="G285" s="1" t="s">
        <v>243</v>
      </c>
      <c r="H285" s="1" t="s">
        <v>284</v>
      </c>
      <c r="I285" t="s">
        <v>31</v>
      </c>
      <c r="J285" t="s">
        <v>32</v>
      </c>
      <c r="K285" t="s">
        <v>203</v>
      </c>
      <c r="L285" t="s">
        <v>34</v>
      </c>
      <c r="M285" t="s">
        <v>206</v>
      </c>
      <c r="N285">
        <v>49</v>
      </c>
      <c r="Q285" t="s">
        <v>151</v>
      </c>
    </row>
    <row r="286" spans="1:19" x14ac:dyDescent="0.25">
      <c r="A286">
        <v>102661</v>
      </c>
      <c r="B286">
        <v>2022</v>
      </c>
      <c r="C286" t="s">
        <v>200</v>
      </c>
      <c r="D286" t="s">
        <v>26</v>
      </c>
      <c r="E286" t="s">
        <v>279</v>
      </c>
      <c r="F286" t="s">
        <v>283</v>
      </c>
      <c r="G286" s="1" t="s">
        <v>243</v>
      </c>
      <c r="H286" s="1" t="s">
        <v>284</v>
      </c>
      <c r="I286" t="s">
        <v>31</v>
      </c>
      <c r="J286" t="s">
        <v>32</v>
      </c>
      <c r="K286" t="s">
        <v>203</v>
      </c>
      <c r="L286" t="s">
        <v>34</v>
      </c>
      <c r="M286" t="s">
        <v>206</v>
      </c>
      <c r="N286">
        <v>50</v>
      </c>
      <c r="Q286" t="s">
        <v>151</v>
      </c>
    </row>
    <row r="287" spans="1:19" x14ac:dyDescent="0.25">
      <c r="A287">
        <v>102661</v>
      </c>
      <c r="B287">
        <v>2022</v>
      </c>
      <c r="C287" t="s">
        <v>200</v>
      </c>
      <c r="D287" t="s">
        <v>26</v>
      </c>
      <c r="E287" t="s">
        <v>279</v>
      </c>
      <c r="F287" t="s">
        <v>283</v>
      </c>
      <c r="G287" s="1" t="s">
        <v>243</v>
      </c>
      <c r="H287" s="1" t="s">
        <v>284</v>
      </c>
      <c r="I287" t="s">
        <v>31</v>
      </c>
      <c r="J287" t="s">
        <v>32</v>
      </c>
      <c r="K287" t="s">
        <v>203</v>
      </c>
      <c r="L287" t="s">
        <v>34</v>
      </c>
      <c r="M287" t="s">
        <v>206</v>
      </c>
      <c r="N287">
        <v>51</v>
      </c>
      <c r="O287" t="s">
        <v>57</v>
      </c>
      <c r="S287" t="s">
        <v>58</v>
      </c>
    </row>
    <row r="288" spans="1:19" x14ac:dyDescent="0.25">
      <c r="A288">
        <v>102661</v>
      </c>
      <c r="B288">
        <v>2022</v>
      </c>
      <c r="C288" t="s">
        <v>200</v>
      </c>
      <c r="D288" t="s">
        <v>26</v>
      </c>
      <c r="E288" t="s">
        <v>279</v>
      </c>
      <c r="F288" t="s">
        <v>283</v>
      </c>
      <c r="G288" s="1" t="s">
        <v>243</v>
      </c>
      <c r="H288" s="1" t="s">
        <v>284</v>
      </c>
      <c r="I288" t="s">
        <v>31</v>
      </c>
      <c r="J288" t="s">
        <v>32</v>
      </c>
      <c r="K288" t="s">
        <v>203</v>
      </c>
      <c r="L288" t="s">
        <v>34</v>
      </c>
      <c r="M288" t="s">
        <v>206</v>
      </c>
      <c r="N288">
        <v>52</v>
      </c>
      <c r="O288" t="s">
        <v>57</v>
      </c>
      <c r="R288" t="s">
        <v>190</v>
      </c>
      <c r="S288" t="s">
        <v>58</v>
      </c>
    </row>
    <row r="289" spans="1:19" x14ac:dyDescent="0.25">
      <c r="A289">
        <v>102661</v>
      </c>
      <c r="B289">
        <v>2022</v>
      </c>
      <c r="C289" t="s">
        <v>200</v>
      </c>
      <c r="D289" t="s">
        <v>26</v>
      </c>
      <c r="E289" t="s">
        <v>279</v>
      </c>
      <c r="F289" t="s">
        <v>283</v>
      </c>
      <c r="G289" s="1" t="s">
        <v>243</v>
      </c>
      <c r="H289" s="1" t="s">
        <v>284</v>
      </c>
      <c r="I289" t="s">
        <v>31</v>
      </c>
      <c r="J289" t="s">
        <v>32</v>
      </c>
      <c r="K289" t="s">
        <v>203</v>
      </c>
      <c r="L289" t="s">
        <v>34</v>
      </c>
      <c r="M289" t="s">
        <v>206</v>
      </c>
      <c r="N289">
        <v>53</v>
      </c>
      <c r="O289" t="s">
        <v>57</v>
      </c>
      <c r="S289" t="s">
        <v>58</v>
      </c>
    </row>
    <row r="290" spans="1:19" x14ac:dyDescent="0.25">
      <c r="A290">
        <v>102661</v>
      </c>
      <c r="B290">
        <v>2022</v>
      </c>
      <c r="C290" t="s">
        <v>200</v>
      </c>
      <c r="D290" t="s">
        <v>26</v>
      </c>
      <c r="E290" t="s">
        <v>279</v>
      </c>
      <c r="F290" t="s">
        <v>283</v>
      </c>
      <c r="G290" s="1" t="s">
        <v>243</v>
      </c>
      <c r="H290" s="1" t="s">
        <v>284</v>
      </c>
      <c r="I290" t="s">
        <v>31</v>
      </c>
      <c r="J290" t="s">
        <v>32</v>
      </c>
      <c r="K290" t="s">
        <v>203</v>
      </c>
      <c r="L290" t="s">
        <v>34</v>
      </c>
      <c r="M290" t="s">
        <v>206</v>
      </c>
      <c r="N290">
        <v>54</v>
      </c>
      <c r="O290" t="s">
        <v>57</v>
      </c>
      <c r="S290" t="s">
        <v>58</v>
      </c>
    </row>
    <row r="291" spans="1:19" x14ac:dyDescent="0.25">
      <c r="A291">
        <v>102661</v>
      </c>
      <c r="B291">
        <v>2022</v>
      </c>
      <c r="C291" t="s">
        <v>200</v>
      </c>
      <c r="D291" t="s">
        <v>26</v>
      </c>
      <c r="E291" t="s">
        <v>279</v>
      </c>
      <c r="F291" t="s">
        <v>283</v>
      </c>
      <c r="G291" s="1" t="s">
        <v>243</v>
      </c>
      <c r="H291" s="1" t="s">
        <v>284</v>
      </c>
      <c r="I291" t="s">
        <v>31</v>
      </c>
      <c r="J291" t="s">
        <v>32</v>
      </c>
      <c r="K291" t="s">
        <v>203</v>
      </c>
      <c r="L291" t="s">
        <v>34</v>
      </c>
      <c r="M291" t="s">
        <v>206</v>
      </c>
      <c r="N291">
        <v>55</v>
      </c>
      <c r="O291" t="s">
        <v>57</v>
      </c>
      <c r="R291" t="s">
        <v>190</v>
      </c>
      <c r="S291" t="s">
        <v>58</v>
      </c>
    </row>
    <row r="292" spans="1:19" x14ac:dyDescent="0.25">
      <c r="A292">
        <v>102661</v>
      </c>
      <c r="B292">
        <v>2022</v>
      </c>
      <c r="C292" t="s">
        <v>200</v>
      </c>
      <c r="D292" t="s">
        <v>26</v>
      </c>
      <c r="E292" t="s">
        <v>279</v>
      </c>
      <c r="F292" t="s">
        <v>283</v>
      </c>
      <c r="G292" s="1" t="s">
        <v>243</v>
      </c>
      <c r="H292" s="1" t="s">
        <v>284</v>
      </c>
      <c r="I292" t="s">
        <v>31</v>
      </c>
      <c r="J292" t="s">
        <v>32</v>
      </c>
      <c r="K292" t="s">
        <v>203</v>
      </c>
      <c r="L292" t="s">
        <v>34</v>
      </c>
      <c r="M292" t="s">
        <v>206</v>
      </c>
      <c r="N292">
        <v>56</v>
      </c>
      <c r="O292" t="s">
        <v>68</v>
      </c>
      <c r="S292" t="s">
        <v>69</v>
      </c>
    </row>
    <row r="293" spans="1:19" x14ac:dyDescent="0.25">
      <c r="A293">
        <v>102661</v>
      </c>
      <c r="B293">
        <v>2022</v>
      </c>
      <c r="C293" t="s">
        <v>200</v>
      </c>
      <c r="D293" t="s">
        <v>26</v>
      </c>
      <c r="E293" t="s">
        <v>279</v>
      </c>
      <c r="F293" t="s">
        <v>283</v>
      </c>
      <c r="G293" s="1" t="s">
        <v>243</v>
      </c>
      <c r="H293" s="1" t="s">
        <v>284</v>
      </c>
      <c r="I293" t="s">
        <v>31</v>
      </c>
      <c r="J293" t="s">
        <v>32</v>
      </c>
      <c r="K293" t="s">
        <v>203</v>
      </c>
      <c r="L293" t="s">
        <v>34</v>
      </c>
      <c r="M293" t="s">
        <v>206</v>
      </c>
      <c r="N293">
        <v>57</v>
      </c>
      <c r="O293" t="s">
        <v>57</v>
      </c>
      <c r="S293" t="s">
        <v>58</v>
      </c>
    </row>
    <row r="294" spans="1:19" x14ac:dyDescent="0.25">
      <c r="A294">
        <v>102661</v>
      </c>
      <c r="B294">
        <v>2022</v>
      </c>
      <c r="C294" t="s">
        <v>200</v>
      </c>
      <c r="D294" t="s">
        <v>26</v>
      </c>
      <c r="E294" t="s">
        <v>279</v>
      </c>
      <c r="F294" t="s">
        <v>283</v>
      </c>
      <c r="G294" s="1" t="s">
        <v>243</v>
      </c>
      <c r="H294" s="1" t="s">
        <v>284</v>
      </c>
      <c r="I294" t="s">
        <v>31</v>
      </c>
      <c r="J294" t="s">
        <v>32</v>
      </c>
      <c r="K294" t="s">
        <v>203</v>
      </c>
      <c r="L294" t="s">
        <v>34</v>
      </c>
      <c r="M294" t="s">
        <v>206</v>
      </c>
      <c r="N294">
        <v>58</v>
      </c>
      <c r="O294" t="s">
        <v>57</v>
      </c>
      <c r="R294" t="s">
        <v>190</v>
      </c>
      <c r="S294" t="s">
        <v>58</v>
      </c>
    </row>
    <row r="295" spans="1:19" x14ac:dyDescent="0.25">
      <c r="A295">
        <v>102661</v>
      </c>
      <c r="B295">
        <v>2022</v>
      </c>
      <c r="C295" t="s">
        <v>200</v>
      </c>
      <c r="D295" t="s">
        <v>26</v>
      </c>
      <c r="E295" t="s">
        <v>279</v>
      </c>
      <c r="F295" t="s">
        <v>283</v>
      </c>
      <c r="G295" s="1" t="s">
        <v>243</v>
      </c>
      <c r="H295" s="1" t="s">
        <v>284</v>
      </c>
      <c r="I295" t="s">
        <v>31</v>
      </c>
      <c r="J295" t="s">
        <v>32</v>
      </c>
      <c r="K295" t="s">
        <v>203</v>
      </c>
      <c r="L295" t="s">
        <v>34</v>
      </c>
      <c r="M295" t="s">
        <v>206</v>
      </c>
      <c r="N295">
        <v>59</v>
      </c>
      <c r="O295" t="s">
        <v>57</v>
      </c>
      <c r="S295" t="s">
        <v>58</v>
      </c>
    </row>
    <row r="296" spans="1:19" x14ac:dyDescent="0.25">
      <c r="A296">
        <v>102661</v>
      </c>
      <c r="B296">
        <v>2022</v>
      </c>
      <c r="C296" t="s">
        <v>200</v>
      </c>
      <c r="D296" t="s">
        <v>26</v>
      </c>
      <c r="E296" t="s">
        <v>279</v>
      </c>
      <c r="F296" t="s">
        <v>283</v>
      </c>
      <c r="G296" s="1" t="s">
        <v>243</v>
      </c>
      <c r="H296" s="1" t="s">
        <v>284</v>
      </c>
      <c r="I296" t="s">
        <v>31</v>
      </c>
      <c r="J296" t="s">
        <v>32</v>
      </c>
      <c r="K296" t="s">
        <v>203</v>
      </c>
      <c r="L296" t="s">
        <v>34</v>
      </c>
      <c r="M296" t="s">
        <v>206</v>
      </c>
      <c r="N296">
        <v>60</v>
      </c>
      <c r="O296" t="s">
        <v>57</v>
      </c>
      <c r="S296" t="s">
        <v>58</v>
      </c>
    </row>
    <row r="297" spans="1:19" x14ac:dyDescent="0.25">
      <c r="A297">
        <v>102661</v>
      </c>
      <c r="B297">
        <v>2022</v>
      </c>
      <c r="C297" t="s">
        <v>200</v>
      </c>
      <c r="D297" t="s">
        <v>26</v>
      </c>
      <c r="E297" t="s">
        <v>279</v>
      </c>
      <c r="F297" t="s">
        <v>283</v>
      </c>
      <c r="G297" s="1" t="s">
        <v>243</v>
      </c>
      <c r="H297" s="1" t="s">
        <v>284</v>
      </c>
      <c r="I297" t="s">
        <v>31</v>
      </c>
      <c r="J297" t="s">
        <v>32</v>
      </c>
      <c r="K297" t="s">
        <v>203</v>
      </c>
      <c r="L297" t="s">
        <v>34</v>
      </c>
      <c r="M297" t="s">
        <v>206</v>
      </c>
      <c r="N297">
        <v>61</v>
      </c>
      <c r="O297" t="s">
        <v>57</v>
      </c>
      <c r="R297" t="s">
        <v>190</v>
      </c>
      <c r="S297" t="s">
        <v>58</v>
      </c>
    </row>
    <row r="298" spans="1:19" x14ac:dyDescent="0.25">
      <c r="A298">
        <v>102661</v>
      </c>
      <c r="B298">
        <v>2022</v>
      </c>
      <c r="C298" t="s">
        <v>200</v>
      </c>
      <c r="D298" t="s">
        <v>26</v>
      </c>
      <c r="E298" t="s">
        <v>279</v>
      </c>
      <c r="F298" t="s">
        <v>283</v>
      </c>
      <c r="G298" s="1" t="s">
        <v>243</v>
      </c>
      <c r="H298" s="1" t="s">
        <v>284</v>
      </c>
      <c r="I298" t="s">
        <v>31</v>
      </c>
      <c r="J298" t="s">
        <v>32</v>
      </c>
      <c r="K298" t="s">
        <v>203</v>
      </c>
      <c r="L298" t="s">
        <v>34</v>
      </c>
      <c r="M298" t="s">
        <v>206</v>
      </c>
      <c r="N298">
        <v>62</v>
      </c>
      <c r="O298" t="s">
        <v>57</v>
      </c>
      <c r="S298" t="s">
        <v>58</v>
      </c>
    </row>
    <row r="299" spans="1:19" x14ac:dyDescent="0.25">
      <c r="A299">
        <v>102661</v>
      </c>
      <c r="B299">
        <v>2022</v>
      </c>
      <c r="C299" t="s">
        <v>200</v>
      </c>
      <c r="D299" t="s">
        <v>26</v>
      </c>
      <c r="E299" t="s">
        <v>279</v>
      </c>
      <c r="F299" t="s">
        <v>283</v>
      </c>
      <c r="G299" s="1" t="s">
        <v>243</v>
      </c>
      <c r="H299" s="1" t="s">
        <v>284</v>
      </c>
      <c r="I299" t="s">
        <v>31</v>
      </c>
      <c r="J299" t="s">
        <v>32</v>
      </c>
      <c r="K299" t="s">
        <v>203</v>
      </c>
      <c r="L299" t="s">
        <v>34</v>
      </c>
      <c r="M299" t="s">
        <v>206</v>
      </c>
      <c r="N299">
        <v>63</v>
      </c>
      <c r="O299" t="s">
        <v>57</v>
      </c>
      <c r="R299" t="s">
        <v>190</v>
      </c>
      <c r="S299" t="s">
        <v>58</v>
      </c>
    </row>
    <row r="300" spans="1:19" x14ac:dyDescent="0.25">
      <c r="A300">
        <v>102661</v>
      </c>
      <c r="B300">
        <v>2022</v>
      </c>
      <c r="C300" t="s">
        <v>200</v>
      </c>
      <c r="D300" t="s">
        <v>26</v>
      </c>
      <c r="E300" t="s">
        <v>279</v>
      </c>
      <c r="F300" t="s">
        <v>283</v>
      </c>
      <c r="G300" s="1" t="s">
        <v>243</v>
      </c>
      <c r="H300" s="1" t="s">
        <v>284</v>
      </c>
      <c r="I300" t="s">
        <v>31</v>
      </c>
      <c r="J300" t="s">
        <v>32</v>
      </c>
      <c r="K300" t="s">
        <v>203</v>
      </c>
      <c r="L300" t="s">
        <v>34</v>
      </c>
      <c r="M300" t="s">
        <v>206</v>
      </c>
      <c r="N300">
        <v>64</v>
      </c>
      <c r="O300" t="s">
        <v>68</v>
      </c>
      <c r="R300" t="s">
        <v>190</v>
      </c>
      <c r="S300" t="s">
        <v>69</v>
      </c>
    </row>
    <row r="301" spans="1:19" x14ac:dyDescent="0.25">
      <c r="A301">
        <v>102661</v>
      </c>
      <c r="B301">
        <v>2022</v>
      </c>
      <c r="C301" t="s">
        <v>200</v>
      </c>
      <c r="D301" t="s">
        <v>26</v>
      </c>
      <c r="E301" t="s">
        <v>279</v>
      </c>
      <c r="F301" t="s">
        <v>283</v>
      </c>
      <c r="G301" s="1" t="s">
        <v>243</v>
      </c>
      <c r="H301" s="1" t="s">
        <v>284</v>
      </c>
      <c r="I301" t="s">
        <v>31</v>
      </c>
      <c r="J301" t="s">
        <v>32</v>
      </c>
      <c r="K301" t="s">
        <v>203</v>
      </c>
      <c r="L301" t="s">
        <v>34</v>
      </c>
      <c r="M301" t="s">
        <v>206</v>
      </c>
      <c r="N301">
        <v>65</v>
      </c>
      <c r="O301" t="s">
        <v>57</v>
      </c>
      <c r="S301" t="s">
        <v>58</v>
      </c>
    </row>
    <row r="302" spans="1:19" x14ac:dyDescent="0.25">
      <c r="A302">
        <v>102661</v>
      </c>
      <c r="B302">
        <v>2022</v>
      </c>
      <c r="C302" t="s">
        <v>200</v>
      </c>
      <c r="D302" t="s">
        <v>26</v>
      </c>
      <c r="E302" t="s">
        <v>279</v>
      </c>
      <c r="F302" t="s">
        <v>283</v>
      </c>
      <c r="G302" s="1" t="s">
        <v>243</v>
      </c>
      <c r="H302" s="1" t="s">
        <v>284</v>
      </c>
      <c r="I302" t="s">
        <v>31</v>
      </c>
      <c r="J302" t="s">
        <v>32</v>
      </c>
      <c r="K302" t="s">
        <v>203</v>
      </c>
      <c r="L302" t="s">
        <v>34</v>
      </c>
      <c r="M302" t="s">
        <v>206</v>
      </c>
      <c r="N302">
        <v>66</v>
      </c>
      <c r="O302" t="s">
        <v>63</v>
      </c>
      <c r="S302" t="s">
        <v>64</v>
      </c>
    </row>
    <row r="303" spans="1:19" x14ac:dyDescent="0.25">
      <c r="A303">
        <v>102661</v>
      </c>
      <c r="B303">
        <v>2022</v>
      </c>
      <c r="C303" t="s">
        <v>200</v>
      </c>
      <c r="D303" t="s">
        <v>26</v>
      </c>
      <c r="E303" t="s">
        <v>279</v>
      </c>
      <c r="F303" t="s">
        <v>283</v>
      </c>
      <c r="G303" s="1" t="s">
        <v>243</v>
      </c>
      <c r="H303" s="1" t="s">
        <v>284</v>
      </c>
      <c r="I303" t="s">
        <v>31</v>
      </c>
      <c r="J303" t="s">
        <v>32</v>
      </c>
      <c r="K303" t="s">
        <v>203</v>
      </c>
      <c r="L303" t="s">
        <v>34</v>
      </c>
      <c r="M303" t="s">
        <v>206</v>
      </c>
      <c r="N303">
        <v>67</v>
      </c>
      <c r="O303" t="s">
        <v>197</v>
      </c>
      <c r="S303" t="s">
        <v>198</v>
      </c>
    </row>
    <row r="304" spans="1:19" x14ac:dyDescent="0.25">
      <c r="A304">
        <v>102661</v>
      </c>
      <c r="B304">
        <v>2022</v>
      </c>
      <c r="C304" t="s">
        <v>200</v>
      </c>
      <c r="D304" t="s">
        <v>26</v>
      </c>
      <c r="E304" t="s">
        <v>279</v>
      </c>
      <c r="F304" t="s">
        <v>283</v>
      </c>
      <c r="G304" s="1" t="s">
        <v>243</v>
      </c>
      <c r="H304" s="1" t="s">
        <v>284</v>
      </c>
      <c r="I304" t="s">
        <v>31</v>
      </c>
      <c r="J304" t="s">
        <v>32</v>
      </c>
      <c r="K304" t="s">
        <v>203</v>
      </c>
      <c r="L304" t="s">
        <v>34</v>
      </c>
      <c r="M304" t="s">
        <v>206</v>
      </c>
      <c r="N304">
        <v>68</v>
      </c>
      <c r="O304" t="s">
        <v>57</v>
      </c>
      <c r="S304" t="s">
        <v>58</v>
      </c>
    </row>
    <row r="305" spans="1:19" x14ac:dyDescent="0.25">
      <c r="A305">
        <v>102661</v>
      </c>
      <c r="B305">
        <v>2022</v>
      </c>
      <c r="C305" t="s">
        <v>200</v>
      </c>
      <c r="D305" t="s">
        <v>26</v>
      </c>
      <c r="E305" t="s">
        <v>279</v>
      </c>
      <c r="F305" t="s">
        <v>283</v>
      </c>
      <c r="G305" s="1" t="s">
        <v>243</v>
      </c>
      <c r="H305" s="1" t="s">
        <v>284</v>
      </c>
      <c r="I305" t="s">
        <v>31</v>
      </c>
      <c r="J305" t="s">
        <v>32</v>
      </c>
      <c r="K305" t="s">
        <v>203</v>
      </c>
      <c r="L305" t="s">
        <v>34</v>
      </c>
      <c r="M305" t="s">
        <v>206</v>
      </c>
      <c r="N305">
        <v>69</v>
      </c>
      <c r="O305" t="s">
        <v>68</v>
      </c>
      <c r="R305" t="s">
        <v>190</v>
      </c>
      <c r="S305" t="s">
        <v>69</v>
      </c>
    </row>
    <row r="306" spans="1:19" x14ac:dyDescent="0.25">
      <c r="A306">
        <v>102661</v>
      </c>
      <c r="B306">
        <v>2022</v>
      </c>
      <c r="C306" t="s">
        <v>200</v>
      </c>
      <c r="D306" t="s">
        <v>26</v>
      </c>
      <c r="E306" t="s">
        <v>279</v>
      </c>
      <c r="F306" t="s">
        <v>283</v>
      </c>
      <c r="G306" s="1" t="s">
        <v>243</v>
      </c>
      <c r="H306" s="1" t="s">
        <v>284</v>
      </c>
      <c r="I306" t="s">
        <v>31</v>
      </c>
      <c r="J306" t="s">
        <v>32</v>
      </c>
      <c r="K306" t="s">
        <v>203</v>
      </c>
      <c r="L306" t="s">
        <v>34</v>
      </c>
      <c r="M306" t="s">
        <v>206</v>
      </c>
      <c r="N306">
        <v>70</v>
      </c>
      <c r="O306" t="s">
        <v>68</v>
      </c>
      <c r="R306" t="s">
        <v>190</v>
      </c>
      <c r="S306" t="s">
        <v>69</v>
      </c>
    </row>
    <row r="307" spans="1:19" x14ac:dyDescent="0.25">
      <c r="A307">
        <v>102661</v>
      </c>
      <c r="B307">
        <v>2022</v>
      </c>
      <c r="C307" t="s">
        <v>200</v>
      </c>
      <c r="D307" t="s">
        <v>26</v>
      </c>
      <c r="E307" t="s">
        <v>279</v>
      </c>
      <c r="F307" t="s">
        <v>283</v>
      </c>
      <c r="G307" s="1" t="s">
        <v>243</v>
      </c>
      <c r="H307" s="1" t="s">
        <v>284</v>
      </c>
      <c r="I307" t="s">
        <v>31</v>
      </c>
      <c r="J307" t="s">
        <v>32</v>
      </c>
      <c r="K307" t="s">
        <v>203</v>
      </c>
      <c r="L307" t="s">
        <v>34</v>
      </c>
      <c r="M307" t="s">
        <v>206</v>
      </c>
      <c r="N307">
        <v>71</v>
      </c>
      <c r="O307" t="s">
        <v>57</v>
      </c>
      <c r="S307" t="s">
        <v>58</v>
      </c>
    </row>
    <row r="308" spans="1:19" x14ac:dyDescent="0.25">
      <c r="A308">
        <v>102661</v>
      </c>
      <c r="B308">
        <v>2022</v>
      </c>
      <c r="C308" t="s">
        <v>200</v>
      </c>
      <c r="D308" t="s">
        <v>26</v>
      </c>
      <c r="E308" t="s">
        <v>279</v>
      </c>
      <c r="F308" t="s">
        <v>283</v>
      </c>
      <c r="G308" s="1" t="s">
        <v>243</v>
      </c>
      <c r="H308" s="1" t="s">
        <v>284</v>
      </c>
      <c r="I308" t="s">
        <v>31</v>
      </c>
      <c r="J308" t="s">
        <v>32</v>
      </c>
      <c r="K308" t="s">
        <v>203</v>
      </c>
      <c r="L308" t="s">
        <v>34</v>
      </c>
      <c r="M308" t="s">
        <v>206</v>
      </c>
      <c r="N308">
        <v>72</v>
      </c>
      <c r="O308" t="s">
        <v>57</v>
      </c>
      <c r="S308" t="s">
        <v>58</v>
      </c>
    </row>
    <row r="309" spans="1:19" x14ac:dyDescent="0.25">
      <c r="A309">
        <v>102661</v>
      </c>
      <c r="B309">
        <v>2022</v>
      </c>
      <c r="C309" t="s">
        <v>200</v>
      </c>
      <c r="D309" t="s">
        <v>26</v>
      </c>
      <c r="E309" t="s">
        <v>279</v>
      </c>
      <c r="F309" t="s">
        <v>283</v>
      </c>
      <c r="G309" s="1" t="s">
        <v>243</v>
      </c>
      <c r="H309" s="1" t="s">
        <v>284</v>
      </c>
      <c r="I309" t="s">
        <v>31</v>
      </c>
      <c r="J309" t="s">
        <v>32</v>
      </c>
      <c r="K309" t="s">
        <v>203</v>
      </c>
      <c r="L309" t="s">
        <v>34</v>
      </c>
      <c r="M309" t="s">
        <v>206</v>
      </c>
      <c r="N309">
        <v>73</v>
      </c>
      <c r="O309" t="s">
        <v>57</v>
      </c>
      <c r="R309" t="s">
        <v>190</v>
      </c>
      <c r="S309" t="s">
        <v>58</v>
      </c>
    </row>
    <row r="310" spans="1:19" x14ac:dyDescent="0.25">
      <c r="A310">
        <v>102661</v>
      </c>
      <c r="B310">
        <v>2022</v>
      </c>
      <c r="C310" t="s">
        <v>200</v>
      </c>
      <c r="D310" t="s">
        <v>26</v>
      </c>
      <c r="E310" t="s">
        <v>279</v>
      </c>
      <c r="F310" t="s">
        <v>283</v>
      </c>
      <c r="G310" s="1" t="s">
        <v>243</v>
      </c>
      <c r="H310" s="1" t="s">
        <v>284</v>
      </c>
      <c r="I310" t="s">
        <v>31</v>
      </c>
      <c r="J310" t="s">
        <v>32</v>
      </c>
      <c r="K310" t="s">
        <v>203</v>
      </c>
      <c r="L310" t="s">
        <v>34</v>
      </c>
      <c r="M310" t="s">
        <v>206</v>
      </c>
      <c r="N310">
        <v>74</v>
      </c>
      <c r="O310" t="s">
        <v>57</v>
      </c>
      <c r="R310" t="s">
        <v>190</v>
      </c>
      <c r="S310" t="s">
        <v>58</v>
      </c>
    </row>
    <row r="311" spans="1:19" x14ac:dyDescent="0.25">
      <c r="A311">
        <v>102661</v>
      </c>
      <c r="B311">
        <v>2022</v>
      </c>
      <c r="C311" t="s">
        <v>200</v>
      </c>
      <c r="D311" t="s">
        <v>26</v>
      </c>
      <c r="E311" t="s">
        <v>279</v>
      </c>
      <c r="F311" t="s">
        <v>283</v>
      </c>
      <c r="G311" s="1" t="s">
        <v>243</v>
      </c>
      <c r="H311" s="1" t="s">
        <v>284</v>
      </c>
      <c r="I311" t="s">
        <v>31</v>
      </c>
      <c r="J311" t="s">
        <v>32</v>
      </c>
      <c r="K311" t="s">
        <v>203</v>
      </c>
      <c r="L311" t="s">
        <v>34</v>
      </c>
      <c r="M311" t="s">
        <v>206</v>
      </c>
      <c r="N311">
        <v>75</v>
      </c>
      <c r="O311" t="s">
        <v>57</v>
      </c>
      <c r="R311" t="s">
        <v>190</v>
      </c>
      <c r="S311" t="s">
        <v>58</v>
      </c>
    </row>
    <row r="312" spans="1:19" x14ac:dyDescent="0.25">
      <c r="A312">
        <v>102661</v>
      </c>
      <c r="B312">
        <v>2022</v>
      </c>
      <c r="C312" t="s">
        <v>200</v>
      </c>
      <c r="D312" t="s">
        <v>26</v>
      </c>
      <c r="E312" t="s">
        <v>279</v>
      </c>
      <c r="F312" t="s">
        <v>283</v>
      </c>
      <c r="G312" s="1" t="s">
        <v>243</v>
      </c>
      <c r="H312" s="1" t="s">
        <v>284</v>
      </c>
      <c r="I312" t="s">
        <v>31</v>
      </c>
      <c r="J312" t="s">
        <v>32</v>
      </c>
      <c r="K312" t="s">
        <v>203</v>
      </c>
      <c r="L312" t="s">
        <v>34</v>
      </c>
      <c r="M312" t="s">
        <v>206</v>
      </c>
      <c r="N312">
        <v>76</v>
      </c>
      <c r="O312" t="s">
        <v>57</v>
      </c>
      <c r="S312" t="s">
        <v>58</v>
      </c>
    </row>
    <row r="313" spans="1:19" x14ac:dyDescent="0.25">
      <c r="A313">
        <v>102661</v>
      </c>
      <c r="B313">
        <v>2022</v>
      </c>
      <c r="C313" t="s">
        <v>200</v>
      </c>
      <c r="D313" t="s">
        <v>26</v>
      </c>
      <c r="E313" t="s">
        <v>279</v>
      </c>
      <c r="F313" t="s">
        <v>283</v>
      </c>
      <c r="G313" s="1" t="s">
        <v>243</v>
      </c>
      <c r="H313" s="1" t="s">
        <v>284</v>
      </c>
      <c r="I313" t="s">
        <v>31</v>
      </c>
      <c r="J313" t="s">
        <v>32</v>
      </c>
      <c r="K313" t="s">
        <v>203</v>
      </c>
      <c r="L313" t="s">
        <v>34</v>
      </c>
      <c r="M313" t="s">
        <v>206</v>
      </c>
      <c r="N313">
        <v>77</v>
      </c>
      <c r="O313" t="s">
        <v>57</v>
      </c>
      <c r="S313" t="s">
        <v>58</v>
      </c>
    </row>
    <row r="314" spans="1:19" x14ac:dyDescent="0.25">
      <c r="A314">
        <v>102661</v>
      </c>
      <c r="B314">
        <v>2022</v>
      </c>
      <c r="C314" t="s">
        <v>200</v>
      </c>
      <c r="D314" t="s">
        <v>26</v>
      </c>
      <c r="E314" t="s">
        <v>279</v>
      </c>
      <c r="F314" t="s">
        <v>283</v>
      </c>
      <c r="G314" s="1" t="s">
        <v>243</v>
      </c>
      <c r="H314" s="1" t="s">
        <v>284</v>
      </c>
      <c r="I314" t="s">
        <v>31</v>
      </c>
      <c r="J314" t="s">
        <v>32</v>
      </c>
      <c r="K314" t="s">
        <v>203</v>
      </c>
      <c r="L314" t="s">
        <v>34</v>
      </c>
      <c r="M314" t="s">
        <v>206</v>
      </c>
      <c r="N314">
        <v>78</v>
      </c>
      <c r="O314" t="s">
        <v>57</v>
      </c>
      <c r="R314" t="s">
        <v>190</v>
      </c>
      <c r="S314" t="s">
        <v>58</v>
      </c>
    </row>
    <row r="315" spans="1:19" x14ac:dyDescent="0.25">
      <c r="A315">
        <v>102661</v>
      </c>
      <c r="B315">
        <v>2022</v>
      </c>
      <c r="C315" t="s">
        <v>200</v>
      </c>
      <c r="D315" t="s">
        <v>26</v>
      </c>
      <c r="E315" t="s">
        <v>279</v>
      </c>
      <c r="F315" t="s">
        <v>283</v>
      </c>
      <c r="G315" s="1" t="s">
        <v>243</v>
      </c>
      <c r="H315" s="1" t="s">
        <v>284</v>
      </c>
      <c r="I315" t="s">
        <v>31</v>
      </c>
      <c r="J315" t="s">
        <v>32</v>
      </c>
      <c r="K315" t="s">
        <v>203</v>
      </c>
      <c r="L315" t="s">
        <v>34</v>
      </c>
      <c r="M315" t="s">
        <v>206</v>
      </c>
      <c r="N315">
        <v>79</v>
      </c>
      <c r="O315" t="s">
        <v>57</v>
      </c>
      <c r="S315" t="s">
        <v>58</v>
      </c>
    </row>
    <row r="316" spans="1:19" x14ac:dyDescent="0.25">
      <c r="A316">
        <v>102661</v>
      </c>
      <c r="B316">
        <v>2022</v>
      </c>
      <c r="C316" t="s">
        <v>200</v>
      </c>
      <c r="D316" t="s">
        <v>26</v>
      </c>
      <c r="E316" t="s">
        <v>279</v>
      </c>
      <c r="F316" t="s">
        <v>283</v>
      </c>
      <c r="G316" s="1" t="s">
        <v>243</v>
      </c>
      <c r="H316" s="1" t="s">
        <v>284</v>
      </c>
      <c r="I316" t="s">
        <v>31</v>
      </c>
      <c r="J316" t="s">
        <v>32</v>
      </c>
      <c r="K316" t="s">
        <v>203</v>
      </c>
      <c r="L316" t="s">
        <v>34</v>
      </c>
      <c r="M316" t="s">
        <v>206</v>
      </c>
      <c r="N316">
        <v>80</v>
      </c>
      <c r="O316" t="s">
        <v>57</v>
      </c>
      <c r="S316" t="s">
        <v>58</v>
      </c>
    </row>
    <row r="317" spans="1:19" x14ac:dyDescent="0.25">
      <c r="A317">
        <v>102661</v>
      </c>
      <c r="B317">
        <v>2022</v>
      </c>
      <c r="C317" t="s">
        <v>200</v>
      </c>
      <c r="D317" t="s">
        <v>26</v>
      </c>
      <c r="E317" t="s">
        <v>279</v>
      </c>
      <c r="F317" t="s">
        <v>283</v>
      </c>
      <c r="G317" s="1" t="s">
        <v>243</v>
      </c>
      <c r="H317" s="1" t="s">
        <v>284</v>
      </c>
      <c r="I317" t="s">
        <v>31</v>
      </c>
      <c r="J317" t="s">
        <v>32</v>
      </c>
      <c r="K317" t="s">
        <v>203</v>
      </c>
      <c r="L317" t="s">
        <v>34</v>
      </c>
      <c r="M317" t="s">
        <v>206</v>
      </c>
      <c r="N317">
        <v>81</v>
      </c>
      <c r="O317" t="s">
        <v>57</v>
      </c>
      <c r="R317" t="s">
        <v>190</v>
      </c>
      <c r="S317" t="s">
        <v>58</v>
      </c>
    </row>
    <row r="318" spans="1:19" x14ac:dyDescent="0.25">
      <c r="A318">
        <v>102661</v>
      </c>
      <c r="B318">
        <v>2022</v>
      </c>
      <c r="C318" t="s">
        <v>200</v>
      </c>
      <c r="D318" t="s">
        <v>26</v>
      </c>
      <c r="E318" t="s">
        <v>279</v>
      </c>
      <c r="F318" t="s">
        <v>283</v>
      </c>
      <c r="G318" s="1" t="s">
        <v>243</v>
      </c>
      <c r="H318" s="1" t="s">
        <v>284</v>
      </c>
      <c r="I318" t="s">
        <v>31</v>
      </c>
      <c r="J318" t="s">
        <v>32</v>
      </c>
      <c r="K318" t="s">
        <v>203</v>
      </c>
      <c r="L318" t="s">
        <v>34</v>
      </c>
      <c r="M318" t="s">
        <v>206</v>
      </c>
      <c r="N318">
        <v>82</v>
      </c>
      <c r="O318" t="s">
        <v>68</v>
      </c>
      <c r="R318" t="s">
        <v>190</v>
      </c>
      <c r="S318" t="s">
        <v>69</v>
      </c>
    </row>
    <row r="319" spans="1:19" x14ac:dyDescent="0.25">
      <c r="A319">
        <v>102661</v>
      </c>
      <c r="B319">
        <v>2022</v>
      </c>
      <c r="C319" t="s">
        <v>200</v>
      </c>
      <c r="D319" t="s">
        <v>26</v>
      </c>
      <c r="E319" t="s">
        <v>279</v>
      </c>
      <c r="F319" t="s">
        <v>283</v>
      </c>
      <c r="G319" s="1" t="s">
        <v>243</v>
      </c>
      <c r="H319" s="1" t="s">
        <v>284</v>
      </c>
      <c r="I319" t="s">
        <v>31</v>
      </c>
      <c r="J319" t="s">
        <v>32</v>
      </c>
      <c r="K319" t="s">
        <v>203</v>
      </c>
      <c r="L319" t="s">
        <v>34</v>
      </c>
      <c r="M319" t="s">
        <v>206</v>
      </c>
      <c r="N319">
        <v>83</v>
      </c>
      <c r="O319" t="s">
        <v>57</v>
      </c>
      <c r="S319" t="s">
        <v>58</v>
      </c>
    </row>
    <row r="320" spans="1:19" x14ac:dyDescent="0.25">
      <c r="A320">
        <v>102661</v>
      </c>
      <c r="B320">
        <v>2022</v>
      </c>
      <c r="C320" t="s">
        <v>200</v>
      </c>
      <c r="D320" t="s">
        <v>26</v>
      </c>
      <c r="E320" t="s">
        <v>279</v>
      </c>
      <c r="F320" t="s">
        <v>283</v>
      </c>
      <c r="G320" s="1" t="s">
        <v>243</v>
      </c>
      <c r="H320" s="1" t="s">
        <v>284</v>
      </c>
      <c r="I320" t="s">
        <v>31</v>
      </c>
      <c r="J320" t="s">
        <v>32</v>
      </c>
      <c r="K320" t="s">
        <v>203</v>
      </c>
      <c r="L320" t="s">
        <v>34</v>
      </c>
      <c r="M320" t="s">
        <v>206</v>
      </c>
      <c r="N320">
        <v>84</v>
      </c>
      <c r="O320" t="s">
        <v>57</v>
      </c>
      <c r="R320" t="s">
        <v>190</v>
      </c>
      <c r="S320" t="s">
        <v>58</v>
      </c>
    </row>
    <row r="321" spans="1:19" x14ac:dyDescent="0.25">
      <c r="A321">
        <v>102661</v>
      </c>
      <c r="B321">
        <v>2022</v>
      </c>
      <c r="C321" t="s">
        <v>200</v>
      </c>
      <c r="D321" t="s">
        <v>26</v>
      </c>
      <c r="E321" t="s">
        <v>279</v>
      </c>
      <c r="F321" t="s">
        <v>283</v>
      </c>
      <c r="G321" s="1" t="s">
        <v>243</v>
      </c>
      <c r="H321" s="1" t="s">
        <v>284</v>
      </c>
      <c r="I321" t="s">
        <v>31</v>
      </c>
      <c r="J321" t="s">
        <v>32</v>
      </c>
      <c r="K321" t="s">
        <v>203</v>
      </c>
      <c r="L321" t="s">
        <v>34</v>
      </c>
      <c r="M321" t="s">
        <v>206</v>
      </c>
      <c r="N321">
        <v>85</v>
      </c>
      <c r="O321" t="s">
        <v>57</v>
      </c>
      <c r="R321" t="s">
        <v>190</v>
      </c>
      <c r="S321" t="s">
        <v>58</v>
      </c>
    </row>
    <row r="322" spans="1:19" x14ac:dyDescent="0.25">
      <c r="A322">
        <v>102661</v>
      </c>
      <c r="B322">
        <v>2022</v>
      </c>
      <c r="C322" t="s">
        <v>200</v>
      </c>
      <c r="D322" t="s">
        <v>26</v>
      </c>
      <c r="E322" t="s">
        <v>279</v>
      </c>
      <c r="F322" t="s">
        <v>283</v>
      </c>
      <c r="G322" s="1" t="s">
        <v>243</v>
      </c>
      <c r="H322" s="1" t="s">
        <v>284</v>
      </c>
      <c r="I322" t="s">
        <v>31</v>
      </c>
      <c r="J322" t="s">
        <v>32</v>
      </c>
      <c r="K322" t="s">
        <v>203</v>
      </c>
      <c r="L322" t="s">
        <v>34</v>
      </c>
      <c r="M322" t="s">
        <v>206</v>
      </c>
      <c r="N322">
        <v>86</v>
      </c>
      <c r="O322" t="s">
        <v>57</v>
      </c>
      <c r="S322" t="s">
        <v>58</v>
      </c>
    </row>
    <row r="323" spans="1:19" x14ac:dyDescent="0.25">
      <c r="A323">
        <v>102661</v>
      </c>
      <c r="B323">
        <v>2022</v>
      </c>
      <c r="C323" t="s">
        <v>200</v>
      </c>
      <c r="D323" t="s">
        <v>26</v>
      </c>
      <c r="E323" t="s">
        <v>279</v>
      </c>
      <c r="F323" t="s">
        <v>283</v>
      </c>
      <c r="G323" s="1" t="s">
        <v>243</v>
      </c>
      <c r="H323" s="1" t="s">
        <v>284</v>
      </c>
      <c r="I323" t="s">
        <v>31</v>
      </c>
      <c r="J323" t="s">
        <v>32</v>
      </c>
      <c r="K323" t="s">
        <v>203</v>
      </c>
      <c r="L323" t="s">
        <v>34</v>
      </c>
      <c r="M323" t="s">
        <v>206</v>
      </c>
      <c r="N323">
        <v>87</v>
      </c>
      <c r="O323" t="s">
        <v>57</v>
      </c>
      <c r="S323" t="s">
        <v>58</v>
      </c>
    </row>
    <row r="324" spans="1:19" x14ac:dyDescent="0.25">
      <c r="A324">
        <v>102661</v>
      </c>
      <c r="B324">
        <v>2022</v>
      </c>
      <c r="C324" t="s">
        <v>200</v>
      </c>
      <c r="D324" t="s">
        <v>26</v>
      </c>
      <c r="E324" t="s">
        <v>279</v>
      </c>
      <c r="F324" t="s">
        <v>283</v>
      </c>
      <c r="G324" s="1" t="s">
        <v>243</v>
      </c>
      <c r="H324" s="1" t="s">
        <v>284</v>
      </c>
      <c r="I324" t="s">
        <v>31</v>
      </c>
      <c r="J324" t="s">
        <v>32</v>
      </c>
      <c r="K324" t="s">
        <v>203</v>
      </c>
      <c r="L324" t="s">
        <v>34</v>
      </c>
      <c r="M324" t="s">
        <v>206</v>
      </c>
      <c r="N324">
        <v>88</v>
      </c>
      <c r="O324" t="s">
        <v>57</v>
      </c>
      <c r="R324" t="s">
        <v>190</v>
      </c>
      <c r="S324" t="s">
        <v>58</v>
      </c>
    </row>
    <row r="325" spans="1:19" x14ac:dyDescent="0.25">
      <c r="A325">
        <v>102661</v>
      </c>
      <c r="B325">
        <v>2022</v>
      </c>
      <c r="C325" t="s">
        <v>200</v>
      </c>
      <c r="D325" t="s">
        <v>26</v>
      </c>
      <c r="E325" t="s">
        <v>279</v>
      </c>
      <c r="F325" t="s">
        <v>283</v>
      </c>
      <c r="G325" s="1" t="s">
        <v>243</v>
      </c>
      <c r="H325" s="1" t="s">
        <v>284</v>
      </c>
      <c r="I325" t="s">
        <v>31</v>
      </c>
      <c r="J325" t="s">
        <v>32</v>
      </c>
      <c r="K325" t="s">
        <v>203</v>
      </c>
      <c r="L325" t="s">
        <v>34</v>
      </c>
      <c r="M325" t="s">
        <v>206</v>
      </c>
      <c r="N325">
        <v>89</v>
      </c>
      <c r="O325" t="s">
        <v>197</v>
      </c>
      <c r="R325" t="s">
        <v>190</v>
      </c>
      <c r="S325" t="s">
        <v>198</v>
      </c>
    </row>
    <row r="326" spans="1:19" x14ac:dyDescent="0.25">
      <c r="A326">
        <v>102661</v>
      </c>
      <c r="B326">
        <v>2022</v>
      </c>
      <c r="C326" t="s">
        <v>200</v>
      </c>
      <c r="D326" t="s">
        <v>26</v>
      </c>
      <c r="E326" t="s">
        <v>279</v>
      </c>
      <c r="F326" t="s">
        <v>283</v>
      </c>
      <c r="G326" s="1" t="s">
        <v>243</v>
      </c>
      <c r="H326" s="1" t="s">
        <v>284</v>
      </c>
      <c r="I326" t="s">
        <v>31</v>
      </c>
      <c r="J326" t="s">
        <v>32</v>
      </c>
      <c r="K326" t="s">
        <v>203</v>
      </c>
      <c r="L326" t="s">
        <v>34</v>
      </c>
      <c r="M326" t="s">
        <v>206</v>
      </c>
      <c r="N326">
        <v>90</v>
      </c>
      <c r="O326" t="s">
        <v>57</v>
      </c>
      <c r="S326" t="s">
        <v>58</v>
      </c>
    </row>
    <row r="327" spans="1:19" x14ac:dyDescent="0.25">
      <c r="A327">
        <v>102661</v>
      </c>
      <c r="B327">
        <v>2022</v>
      </c>
      <c r="C327" t="s">
        <v>200</v>
      </c>
      <c r="D327" t="s">
        <v>26</v>
      </c>
      <c r="E327" t="s">
        <v>279</v>
      </c>
      <c r="F327" t="s">
        <v>283</v>
      </c>
      <c r="G327" s="1" t="s">
        <v>243</v>
      </c>
      <c r="H327" s="1" t="s">
        <v>284</v>
      </c>
      <c r="I327" t="s">
        <v>31</v>
      </c>
      <c r="J327" t="s">
        <v>32</v>
      </c>
      <c r="K327" t="s">
        <v>203</v>
      </c>
      <c r="L327" t="s">
        <v>34</v>
      </c>
      <c r="M327" t="s">
        <v>206</v>
      </c>
      <c r="N327">
        <v>91</v>
      </c>
      <c r="O327" t="s">
        <v>57</v>
      </c>
      <c r="S327" t="s">
        <v>58</v>
      </c>
    </row>
    <row r="328" spans="1:19" x14ac:dyDescent="0.25">
      <c r="A328">
        <v>102661</v>
      </c>
      <c r="B328">
        <v>2022</v>
      </c>
      <c r="C328" t="s">
        <v>200</v>
      </c>
      <c r="D328" t="s">
        <v>26</v>
      </c>
      <c r="E328" t="s">
        <v>279</v>
      </c>
      <c r="F328" t="s">
        <v>283</v>
      </c>
      <c r="G328" s="1" t="s">
        <v>243</v>
      </c>
      <c r="H328" s="1" t="s">
        <v>284</v>
      </c>
      <c r="I328" t="s">
        <v>31</v>
      </c>
      <c r="J328" t="s">
        <v>32</v>
      </c>
      <c r="K328" t="s">
        <v>203</v>
      </c>
      <c r="L328" t="s">
        <v>34</v>
      </c>
      <c r="M328" t="s">
        <v>206</v>
      </c>
      <c r="N328">
        <v>92</v>
      </c>
      <c r="O328" t="s">
        <v>57</v>
      </c>
      <c r="R328" t="s">
        <v>190</v>
      </c>
      <c r="S328" t="s">
        <v>58</v>
      </c>
    </row>
    <row r="329" spans="1:19" x14ac:dyDescent="0.25">
      <c r="A329">
        <v>102661</v>
      </c>
      <c r="B329">
        <v>2022</v>
      </c>
      <c r="C329" t="s">
        <v>200</v>
      </c>
      <c r="D329" t="s">
        <v>26</v>
      </c>
      <c r="E329" t="s">
        <v>279</v>
      </c>
      <c r="F329" t="s">
        <v>283</v>
      </c>
      <c r="G329" s="1" t="s">
        <v>243</v>
      </c>
      <c r="H329" s="1" t="s">
        <v>284</v>
      </c>
      <c r="I329" t="s">
        <v>31</v>
      </c>
      <c r="J329" t="s">
        <v>32</v>
      </c>
      <c r="K329" t="s">
        <v>203</v>
      </c>
      <c r="L329" t="s">
        <v>34</v>
      </c>
      <c r="M329" t="s">
        <v>206</v>
      </c>
      <c r="N329">
        <v>93</v>
      </c>
      <c r="O329" t="s">
        <v>57</v>
      </c>
      <c r="S329" t="s">
        <v>58</v>
      </c>
    </row>
    <row r="330" spans="1:19" x14ac:dyDescent="0.25">
      <c r="A330">
        <v>102661</v>
      </c>
      <c r="B330">
        <v>2022</v>
      </c>
      <c r="C330" t="s">
        <v>200</v>
      </c>
      <c r="D330" t="s">
        <v>26</v>
      </c>
      <c r="E330" t="s">
        <v>279</v>
      </c>
      <c r="F330" t="s">
        <v>283</v>
      </c>
      <c r="G330" s="1" t="s">
        <v>243</v>
      </c>
      <c r="H330" s="1" t="s">
        <v>284</v>
      </c>
      <c r="I330" t="s">
        <v>31</v>
      </c>
      <c r="J330" t="s">
        <v>32</v>
      </c>
      <c r="K330" t="s">
        <v>203</v>
      </c>
      <c r="L330" t="s">
        <v>34</v>
      </c>
      <c r="M330" t="s">
        <v>206</v>
      </c>
      <c r="N330">
        <v>94</v>
      </c>
      <c r="O330" t="s">
        <v>197</v>
      </c>
      <c r="R330" t="s">
        <v>190</v>
      </c>
      <c r="S330" t="s">
        <v>198</v>
      </c>
    </row>
    <row r="331" spans="1:19" x14ac:dyDescent="0.25">
      <c r="A331">
        <v>113245</v>
      </c>
      <c r="B331">
        <v>2023</v>
      </c>
      <c r="C331" t="s">
        <v>200</v>
      </c>
      <c r="D331" t="s">
        <v>26</v>
      </c>
      <c r="E331" t="s">
        <v>290</v>
      </c>
      <c r="F331" t="s">
        <v>297</v>
      </c>
      <c r="G331" s="1" t="s">
        <v>299</v>
      </c>
      <c r="H331" s="1" t="s">
        <v>292</v>
      </c>
      <c r="I331" t="s">
        <v>31</v>
      </c>
      <c r="J331" t="s">
        <v>32</v>
      </c>
      <c r="K331" t="s">
        <v>203</v>
      </c>
      <c r="L331" t="s">
        <v>204</v>
      </c>
      <c r="M331" t="s">
        <v>206</v>
      </c>
      <c r="N331">
        <v>1</v>
      </c>
      <c r="O331" t="s">
        <v>68</v>
      </c>
      <c r="R331" t="s">
        <v>190</v>
      </c>
      <c r="S331" t="s">
        <v>69</v>
      </c>
    </row>
    <row r="332" spans="1:19" x14ac:dyDescent="0.25">
      <c r="A332">
        <v>113245</v>
      </c>
      <c r="B332">
        <v>2023</v>
      </c>
      <c r="C332" t="s">
        <v>200</v>
      </c>
      <c r="D332" t="s">
        <v>26</v>
      </c>
      <c r="E332" t="s">
        <v>290</v>
      </c>
      <c r="F332" t="s">
        <v>297</v>
      </c>
      <c r="G332" s="1" t="s">
        <v>299</v>
      </c>
      <c r="H332" s="1" t="s">
        <v>292</v>
      </c>
      <c r="I332" t="s">
        <v>31</v>
      </c>
      <c r="J332" t="s">
        <v>32</v>
      </c>
      <c r="K332" t="s">
        <v>203</v>
      </c>
      <c r="L332" t="s">
        <v>204</v>
      </c>
      <c r="M332" t="s">
        <v>206</v>
      </c>
      <c r="N332">
        <v>2</v>
      </c>
      <c r="O332" t="s">
        <v>68</v>
      </c>
      <c r="R332" t="s">
        <v>190</v>
      </c>
      <c r="S332" t="s">
        <v>69</v>
      </c>
    </row>
    <row r="333" spans="1:19" x14ac:dyDescent="0.25">
      <c r="A333">
        <v>113245</v>
      </c>
      <c r="B333">
        <v>2023</v>
      </c>
      <c r="C333" t="s">
        <v>200</v>
      </c>
      <c r="D333" t="s">
        <v>26</v>
      </c>
      <c r="E333" t="s">
        <v>290</v>
      </c>
      <c r="F333" t="s">
        <v>297</v>
      </c>
      <c r="G333" s="1" t="s">
        <v>299</v>
      </c>
      <c r="H333" s="1" t="s">
        <v>292</v>
      </c>
      <c r="I333" t="s">
        <v>31</v>
      </c>
      <c r="J333" t="s">
        <v>32</v>
      </c>
      <c r="K333" t="s">
        <v>203</v>
      </c>
      <c r="L333" t="s">
        <v>204</v>
      </c>
      <c r="M333" t="s">
        <v>206</v>
      </c>
      <c r="N333">
        <v>3</v>
      </c>
      <c r="O333" t="s">
        <v>68</v>
      </c>
      <c r="R333" t="s">
        <v>190</v>
      </c>
      <c r="S333" t="s">
        <v>69</v>
      </c>
    </row>
    <row r="334" spans="1:19" x14ac:dyDescent="0.25">
      <c r="A334">
        <v>113245</v>
      </c>
      <c r="B334">
        <v>2023</v>
      </c>
      <c r="C334" t="s">
        <v>200</v>
      </c>
      <c r="D334" t="s">
        <v>26</v>
      </c>
      <c r="E334" t="s">
        <v>290</v>
      </c>
      <c r="F334" t="s">
        <v>297</v>
      </c>
      <c r="G334" s="1" t="s">
        <v>299</v>
      </c>
      <c r="H334" s="1" t="s">
        <v>292</v>
      </c>
      <c r="I334" t="s">
        <v>31</v>
      </c>
      <c r="J334" t="s">
        <v>32</v>
      </c>
      <c r="K334" t="s">
        <v>203</v>
      </c>
      <c r="L334" t="s">
        <v>204</v>
      </c>
      <c r="M334" t="s">
        <v>206</v>
      </c>
      <c r="N334">
        <v>4</v>
      </c>
      <c r="O334" t="s">
        <v>68</v>
      </c>
      <c r="R334" t="s">
        <v>190</v>
      </c>
      <c r="S334" t="s">
        <v>69</v>
      </c>
    </row>
    <row r="335" spans="1:19" x14ac:dyDescent="0.25">
      <c r="A335">
        <v>113245</v>
      </c>
      <c r="B335">
        <v>2023</v>
      </c>
      <c r="C335" t="s">
        <v>200</v>
      </c>
      <c r="D335" t="s">
        <v>26</v>
      </c>
      <c r="E335" t="s">
        <v>290</v>
      </c>
      <c r="F335" t="s">
        <v>297</v>
      </c>
      <c r="G335" s="1" t="s">
        <v>299</v>
      </c>
      <c r="H335" s="1" t="s">
        <v>292</v>
      </c>
      <c r="I335" t="s">
        <v>31</v>
      </c>
      <c r="J335" t="s">
        <v>32</v>
      </c>
      <c r="K335" t="s">
        <v>203</v>
      </c>
      <c r="L335" t="s">
        <v>204</v>
      </c>
      <c r="M335" t="s">
        <v>206</v>
      </c>
      <c r="N335">
        <v>5</v>
      </c>
      <c r="O335" t="s">
        <v>68</v>
      </c>
      <c r="R335" t="s">
        <v>190</v>
      </c>
      <c r="S335" t="s">
        <v>69</v>
      </c>
    </row>
    <row r="336" spans="1:19" x14ac:dyDescent="0.25">
      <c r="A336">
        <v>113245</v>
      </c>
      <c r="B336">
        <v>2023</v>
      </c>
      <c r="C336" t="s">
        <v>200</v>
      </c>
      <c r="D336" t="s">
        <v>26</v>
      </c>
      <c r="E336" t="s">
        <v>290</v>
      </c>
      <c r="F336" t="s">
        <v>297</v>
      </c>
      <c r="G336" s="1" t="s">
        <v>299</v>
      </c>
      <c r="H336" s="1" t="s">
        <v>292</v>
      </c>
      <c r="I336" t="s">
        <v>31</v>
      </c>
      <c r="J336" t="s">
        <v>32</v>
      </c>
      <c r="K336" t="s">
        <v>203</v>
      </c>
      <c r="L336" t="s">
        <v>204</v>
      </c>
      <c r="M336" t="s">
        <v>206</v>
      </c>
      <c r="N336">
        <v>6</v>
      </c>
      <c r="O336" t="s">
        <v>57</v>
      </c>
      <c r="R336" t="s">
        <v>190</v>
      </c>
      <c r="S336" t="s">
        <v>58</v>
      </c>
    </row>
    <row r="337" spans="1:19" x14ac:dyDescent="0.25">
      <c r="A337">
        <v>113245</v>
      </c>
      <c r="B337">
        <v>2023</v>
      </c>
      <c r="C337" t="s">
        <v>200</v>
      </c>
      <c r="D337" t="s">
        <v>26</v>
      </c>
      <c r="E337" t="s">
        <v>290</v>
      </c>
      <c r="F337" t="s">
        <v>297</v>
      </c>
      <c r="G337" s="1" t="s">
        <v>299</v>
      </c>
      <c r="H337" s="1" t="s">
        <v>292</v>
      </c>
      <c r="I337" t="s">
        <v>31</v>
      </c>
      <c r="J337" t="s">
        <v>32</v>
      </c>
      <c r="K337" t="s">
        <v>203</v>
      </c>
      <c r="L337" t="s">
        <v>204</v>
      </c>
      <c r="M337" t="s">
        <v>206</v>
      </c>
      <c r="N337">
        <v>7</v>
      </c>
      <c r="O337" t="s">
        <v>68</v>
      </c>
      <c r="R337" t="s">
        <v>190</v>
      </c>
      <c r="S337" t="s">
        <v>69</v>
      </c>
    </row>
    <row r="338" spans="1:19" x14ac:dyDescent="0.25">
      <c r="A338">
        <v>113245</v>
      </c>
      <c r="B338">
        <v>2023</v>
      </c>
      <c r="C338" t="s">
        <v>200</v>
      </c>
      <c r="D338" t="s">
        <v>26</v>
      </c>
      <c r="E338" t="s">
        <v>290</v>
      </c>
      <c r="F338" t="s">
        <v>297</v>
      </c>
      <c r="G338" s="1" t="s">
        <v>299</v>
      </c>
      <c r="H338" s="1" t="s">
        <v>292</v>
      </c>
      <c r="I338" t="s">
        <v>31</v>
      </c>
      <c r="J338" t="s">
        <v>32</v>
      </c>
      <c r="K338" t="s">
        <v>203</v>
      </c>
      <c r="L338" t="s">
        <v>204</v>
      </c>
      <c r="M338" t="s">
        <v>206</v>
      </c>
      <c r="N338">
        <v>8</v>
      </c>
      <c r="O338" t="s">
        <v>57</v>
      </c>
      <c r="R338" t="s">
        <v>190</v>
      </c>
      <c r="S338" t="s">
        <v>58</v>
      </c>
    </row>
    <row r="339" spans="1:19" x14ac:dyDescent="0.25">
      <c r="A339">
        <v>113245</v>
      </c>
      <c r="B339">
        <v>2023</v>
      </c>
      <c r="C339" t="s">
        <v>200</v>
      </c>
      <c r="D339" t="s">
        <v>26</v>
      </c>
      <c r="E339" t="s">
        <v>290</v>
      </c>
      <c r="F339" t="s">
        <v>297</v>
      </c>
      <c r="G339" s="1" t="s">
        <v>299</v>
      </c>
      <c r="H339" s="1" t="s">
        <v>292</v>
      </c>
      <c r="I339" t="s">
        <v>31</v>
      </c>
      <c r="J339" t="s">
        <v>32</v>
      </c>
      <c r="K339" t="s">
        <v>203</v>
      </c>
      <c r="L339" t="s">
        <v>204</v>
      </c>
      <c r="M339" t="s">
        <v>206</v>
      </c>
      <c r="N339">
        <v>9</v>
      </c>
      <c r="O339" t="s">
        <v>68</v>
      </c>
      <c r="R339" t="s">
        <v>190</v>
      </c>
      <c r="S339" t="s">
        <v>69</v>
      </c>
    </row>
    <row r="340" spans="1:19" x14ac:dyDescent="0.25">
      <c r="A340">
        <v>113245</v>
      </c>
      <c r="B340">
        <v>2023</v>
      </c>
      <c r="C340" t="s">
        <v>200</v>
      </c>
      <c r="D340" t="s">
        <v>26</v>
      </c>
      <c r="E340" t="s">
        <v>290</v>
      </c>
      <c r="F340" t="s">
        <v>297</v>
      </c>
      <c r="G340" s="1" t="s">
        <v>299</v>
      </c>
      <c r="H340" s="1" t="s">
        <v>292</v>
      </c>
      <c r="I340" t="s">
        <v>31</v>
      </c>
      <c r="J340" t="s">
        <v>32</v>
      </c>
      <c r="K340" t="s">
        <v>203</v>
      </c>
      <c r="L340" t="s">
        <v>204</v>
      </c>
      <c r="M340" t="s">
        <v>206</v>
      </c>
      <c r="N340">
        <v>10</v>
      </c>
      <c r="O340" t="s">
        <v>63</v>
      </c>
      <c r="Q340" t="s">
        <v>167</v>
      </c>
      <c r="R340" t="s">
        <v>190</v>
      </c>
      <c r="S340" t="s">
        <v>64</v>
      </c>
    </row>
    <row r="341" spans="1:19" x14ac:dyDescent="0.25">
      <c r="A341">
        <v>113253</v>
      </c>
      <c r="B341">
        <v>2023</v>
      </c>
      <c r="C341" t="s">
        <v>200</v>
      </c>
      <c r="D341" t="s">
        <v>26</v>
      </c>
      <c r="E341" t="s">
        <v>265</v>
      </c>
      <c r="F341" t="s">
        <v>303</v>
      </c>
      <c r="G341" s="1" t="s">
        <v>299</v>
      </c>
      <c r="H341" s="1" t="s">
        <v>292</v>
      </c>
      <c r="I341" t="s">
        <v>31</v>
      </c>
      <c r="J341" t="s">
        <v>32</v>
      </c>
      <c r="K341" t="s">
        <v>203</v>
      </c>
      <c r="L341" t="s">
        <v>204</v>
      </c>
      <c r="M341" t="s">
        <v>206</v>
      </c>
      <c r="N341">
        <v>1</v>
      </c>
      <c r="O341" t="s">
        <v>57</v>
      </c>
      <c r="S341" t="s">
        <v>58</v>
      </c>
    </row>
    <row r="342" spans="1:19" x14ac:dyDescent="0.25">
      <c r="A342">
        <v>113281</v>
      </c>
      <c r="B342">
        <v>2023</v>
      </c>
      <c r="C342" t="s">
        <v>200</v>
      </c>
      <c r="D342" t="s">
        <v>26</v>
      </c>
      <c r="E342" t="s">
        <v>305</v>
      </c>
      <c r="F342" t="s">
        <v>306</v>
      </c>
      <c r="G342" s="1" t="s">
        <v>291</v>
      </c>
      <c r="H342" s="1" t="s">
        <v>299</v>
      </c>
      <c r="I342" t="s">
        <v>31</v>
      </c>
      <c r="J342" t="s">
        <v>32</v>
      </c>
      <c r="K342" t="s">
        <v>203</v>
      </c>
      <c r="L342" t="s">
        <v>34</v>
      </c>
      <c r="M342" t="s">
        <v>36</v>
      </c>
      <c r="N342">
        <v>1</v>
      </c>
      <c r="O342" t="s">
        <v>57</v>
      </c>
      <c r="R342" t="s">
        <v>190</v>
      </c>
      <c r="S342" t="s">
        <v>58</v>
      </c>
    </row>
    <row r="343" spans="1:19" x14ac:dyDescent="0.25">
      <c r="A343">
        <v>113281</v>
      </c>
      <c r="B343">
        <v>2023</v>
      </c>
      <c r="C343" t="s">
        <v>200</v>
      </c>
      <c r="D343" t="s">
        <v>26</v>
      </c>
      <c r="E343" t="s">
        <v>305</v>
      </c>
      <c r="F343" t="s">
        <v>306</v>
      </c>
      <c r="G343" s="1" t="s">
        <v>291</v>
      </c>
      <c r="H343" s="1" t="s">
        <v>299</v>
      </c>
      <c r="I343" t="s">
        <v>31</v>
      </c>
      <c r="J343" t="s">
        <v>32</v>
      </c>
      <c r="K343" t="s">
        <v>203</v>
      </c>
      <c r="L343" t="s">
        <v>34</v>
      </c>
      <c r="M343" t="s">
        <v>36</v>
      </c>
      <c r="N343">
        <v>2</v>
      </c>
      <c r="O343" t="s">
        <v>57</v>
      </c>
      <c r="R343" t="s">
        <v>249</v>
      </c>
      <c r="S343" t="s">
        <v>58</v>
      </c>
    </row>
    <row r="344" spans="1:19" x14ac:dyDescent="0.25">
      <c r="A344">
        <v>113281</v>
      </c>
      <c r="B344">
        <v>2023</v>
      </c>
      <c r="C344" t="s">
        <v>200</v>
      </c>
      <c r="D344" t="s">
        <v>26</v>
      </c>
      <c r="E344" t="s">
        <v>305</v>
      </c>
      <c r="F344" t="s">
        <v>306</v>
      </c>
      <c r="G344" s="1" t="s">
        <v>291</v>
      </c>
      <c r="H344" s="1" t="s">
        <v>299</v>
      </c>
      <c r="I344" t="s">
        <v>31</v>
      </c>
      <c r="J344" t="s">
        <v>32</v>
      </c>
      <c r="K344" t="s">
        <v>203</v>
      </c>
      <c r="L344" t="s">
        <v>34</v>
      </c>
      <c r="M344" t="s">
        <v>36</v>
      </c>
      <c r="N344">
        <v>3</v>
      </c>
      <c r="O344" t="s">
        <v>68</v>
      </c>
      <c r="R344" t="s">
        <v>249</v>
      </c>
      <c r="S344" t="s">
        <v>69</v>
      </c>
    </row>
    <row r="345" spans="1:19" x14ac:dyDescent="0.25">
      <c r="A345">
        <v>113281</v>
      </c>
      <c r="B345">
        <v>2023</v>
      </c>
      <c r="C345" t="s">
        <v>200</v>
      </c>
      <c r="D345" t="s">
        <v>26</v>
      </c>
      <c r="E345" t="s">
        <v>305</v>
      </c>
      <c r="F345" t="s">
        <v>306</v>
      </c>
      <c r="G345" s="1" t="s">
        <v>291</v>
      </c>
      <c r="H345" s="1" t="s">
        <v>299</v>
      </c>
      <c r="I345" t="s">
        <v>31</v>
      </c>
      <c r="J345" t="s">
        <v>32</v>
      </c>
      <c r="K345" t="s">
        <v>203</v>
      </c>
      <c r="L345" t="s">
        <v>34</v>
      </c>
      <c r="M345" t="s">
        <v>36</v>
      </c>
      <c r="N345">
        <v>4</v>
      </c>
      <c r="P345" t="s">
        <v>99</v>
      </c>
      <c r="Q345" t="s">
        <v>149</v>
      </c>
      <c r="R345" t="s">
        <v>248</v>
      </c>
      <c r="S345" t="s">
        <v>100</v>
      </c>
    </row>
    <row r="346" spans="1:19" x14ac:dyDescent="0.25">
      <c r="A346">
        <v>113281</v>
      </c>
      <c r="B346">
        <v>2023</v>
      </c>
      <c r="C346" t="s">
        <v>200</v>
      </c>
      <c r="D346" t="s">
        <v>26</v>
      </c>
      <c r="E346" t="s">
        <v>305</v>
      </c>
      <c r="F346" t="s">
        <v>306</v>
      </c>
      <c r="G346" s="1" t="s">
        <v>291</v>
      </c>
      <c r="H346" s="1" t="s">
        <v>299</v>
      </c>
      <c r="I346" t="s">
        <v>31</v>
      </c>
      <c r="J346" t="s">
        <v>32</v>
      </c>
      <c r="K346" t="s">
        <v>203</v>
      </c>
      <c r="L346" t="s">
        <v>34</v>
      </c>
      <c r="M346" t="s">
        <v>36</v>
      </c>
      <c r="N346">
        <v>5</v>
      </c>
      <c r="O346" t="s">
        <v>68</v>
      </c>
      <c r="R346" t="s">
        <v>249</v>
      </c>
      <c r="S346" t="s">
        <v>69</v>
      </c>
    </row>
    <row r="347" spans="1:19" x14ac:dyDescent="0.25">
      <c r="A347">
        <v>113281</v>
      </c>
      <c r="B347">
        <v>2023</v>
      </c>
      <c r="C347" t="s">
        <v>200</v>
      </c>
      <c r="D347" t="s">
        <v>26</v>
      </c>
      <c r="E347" t="s">
        <v>305</v>
      </c>
      <c r="F347" t="s">
        <v>306</v>
      </c>
      <c r="G347" s="1" t="s">
        <v>291</v>
      </c>
      <c r="H347" s="1" t="s">
        <v>299</v>
      </c>
      <c r="I347" t="s">
        <v>31</v>
      </c>
      <c r="J347" t="s">
        <v>32</v>
      </c>
      <c r="K347" t="s">
        <v>203</v>
      </c>
      <c r="L347" t="s">
        <v>34</v>
      </c>
      <c r="M347" t="s">
        <v>36</v>
      </c>
      <c r="N347">
        <v>6</v>
      </c>
      <c r="O347" t="s">
        <v>63</v>
      </c>
      <c r="R347" t="s">
        <v>190</v>
      </c>
      <c r="S347" t="s">
        <v>64</v>
      </c>
    </row>
    <row r="348" spans="1:19" x14ac:dyDescent="0.25">
      <c r="A348">
        <v>113281</v>
      </c>
      <c r="B348">
        <v>2023</v>
      </c>
      <c r="C348" t="s">
        <v>200</v>
      </c>
      <c r="D348" t="s">
        <v>26</v>
      </c>
      <c r="E348" t="s">
        <v>305</v>
      </c>
      <c r="F348" t="s">
        <v>306</v>
      </c>
      <c r="G348" s="1" t="s">
        <v>291</v>
      </c>
      <c r="H348" s="1" t="s">
        <v>299</v>
      </c>
      <c r="I348" t="s">
        <v>31</v>
      </c>
      <c r="J348" t="s">
        <v>32</v>
      </c>
      <c r="K348" t="s">
        <v>203</v>
      </c>
      <c r="L348" t="s">
        <v>34</v>
      </c>
      <c r="M348" t="s">
        <v>36</v>
      </c>
      <c r="N348">
        <v>7</v>
      </c>
      <c r="O348" t="s">
        <v>57</v>
      </c>
      <c r="R348" t="s">
        <v>190</v>
      </c>
      <c r="S348" t="s">
        <v>58</v>
      </c>
    </row>
    <row r="349" spans="1:19" x14ac:dyDescent="0.25">
      <c r="A349">
        <v>113281</v>
      </c>
      <c r="B349">
        <v>2023</v>
      </c>
      <c r="C349" t="s">
        <v>200</v>
      </c>
      <c r="D349" t="s">
        <v>26</v>
      </c>
      <c r="E349" t="s">
        <v>305</v>
      </c>
      <c r="F349" t="s">
        <v>306</v>
      </c>
      <c r="G349" s="1" t="s">
        <v>291</v>
      </c>
      <c r="H349" s="1" t="s">
        <v>299</v>
      </c>
      <c r="I349" t="s">
        <v>31</v>
      </c>
      <c r="J349" t="s">
        <v>32</v>
      </c>
      <c r="K349" t="s">
        <v>203</v>
      </c>
      <c r="L349" t="s">
        <v>34</v>
      </c>
      <c r="M349" t="s">
        <v>36</v>
      </c>
      <c r="N349">
        <v>8</v>
      </c>
      <c r="O349" t="s">
        <v>68</v>
      </c>
      <c r="R349" t="s">
        <v>249</v>
      </c>
      <c r="S349" t="s">
        <v>69</v>
      </c>
    </row>
    <row r="350" spans="1:19" x14ac:dyDescent="0.25">
      <c r="A350">
        <v>113281</v>
      </c>
      <c r="B350">
        <v>2023</v>
      </c>
      <c r="C350" t="s">
        <v>200</v>
      </c>
      <c r="D350" t="s">
        <v>26</v>
      </c>
      <c r="E350" t="s">
        <v>305</v>
      </c>
      <c r="F350" t="s">
        <v>306</v>
      </c>
      <c r="G350" s="1" t="s">
        <v>291</v>
      </c>
      <c r="H350" s="1" t="s">
        <v>299</v>
      </c>
      <c r="I350" t="s">
        <v>31</v>
      </c>
      <c r="J350" t="s">
        <v>32</v>
      </c>
      <c r="K350" t="s">
        <v>203</v>
      </c>
      <c r="L350" t="s">
        <v>34</v>
      </c>
      <c r="M350" t="s">
        <v>36</v>
      </c>
      <c r="N350">
        <v>9</v>
      </c>
      <c r="P350" t="s">
        <v>99</v>
      </c>
      <c r="Q350" t="s">
        <v>149</v>
      </c>
      <c r="R350" t="s">
        <v>248</v>
      </c>
      <c r="S350" t="s">
        <v>100</v>
      </c>
    </row>
    <row r="351" spans="1:19" x14ac:dyDescent="0.25">
      <c r="A351">
        <v>113281</v>
      </c>
      <c r="B351">
        <v>2023</v>
      </c>
      <c r="C351" t="s">
        <v>200</v>
      </c>
      <c r="D351" t="s">
        <v>26</v>
      </c>
      <c r="E351" t="s">
        <v>305</v>
      </c>
      <c r="F351" t="s">
        <v>306</v>
      </c>
      <c r="G351" s="1" t="s">
        <v>291</v>
      </c>
      <c r="H351" s="1" t="s">
        <v>299</v>
      </c>
      <c r="I351" t="s">
        <v>31</v>
      </c>
      <c r="J351" t="s">
        <v>32</v>
      </c>
      <c r="K351" t="s">
        <v>203</v>
      </c>
      <c r="L351" t="s">
        <v>34</v>
      </c>
      <c r="M351" t="s">
        <v>36</v>
      </c>
      <c r="N351">
        <v>10</v>
      </c>
      <c r="O351" t="s">
        <v>57</v>
      </c>
      <c r="R351" t="s">
        <v>249</v>
      </c>
      <c r="S351" t="s">
        <v>58</v>
      </c>
    </row>
    <row r="352" spans="1:19" x14ac:dyDescent="0.25">
      <c r="A352">
        <v>113281</v>
      </c>
      <c r="B352">
        <v>2023</v>
      </c>
      <c r="C352" t="s">
        <v>200</v>
      </c>
      <c r="D352" t="s">
        <v>26</v>
      </c>
      <c r="E352" t="s">
        <v>305</v>
      </c>
      <c r="F352" t="s">
        <v>306</v>
      </c>
      <c r="G352" s="1" t="s">
        <v>291</v>
      </c>
      <c r="H352" s="1" t="s">
        <v>299</v>
      </c>
      <c r="I352" t="s">
        <v>31</v>
      </c>
      <c r="J352" t="s">
        <v>32</v>
      </c>
      <c r="K352" t="s">
        <v>203</v>
      </c>
      <c r="L352" t="s">
        <v>34</v>
      </c>
      <c r="M352" t="s">
        <v>36</v>
      </c>
      <c r="N352">
        <v>11</v>
      </c>
      <c r="O352" t="s">
        <v>57</v>
      </c>
      <c r="R352" t="s">
        <v>249</v>
      </c>
      <c r="S352" t="s">
        <v>58</v>
      </c>
    </row>
    <row r="353" spans="1:19" x14ac:dyDescent="0.25">
      <c r="A353">
        <v>113281</v>
      </c>
      <c r="B353">
        <v>2023</v>
      </c>
      <c r="C353" t="s">
        <v>200</v>
      </c>
      <c r="D353" t="s">
        <v>26</v>
      </c>
      <c r="E353" t="s">
        <v>305</v>
      </c>
      <c r="F353" t="s">
        <v>306</v>
      </c>
      <c r="G353" s="1" t="s">
        <v>291</v>
      </c>
      <c r="H353" s="1" t="s">
        <v>299</v>
      </c>
      <c r="I353" t="s">
        <v>31</v>
      </c>
      <c r="J353" t="s">
        <v>32</v>
      </c>
      <c r="K353" t="s">
        <v>203</v>
      </c>
      <c r="L353" t="s">
        <v>34</v>
      </c>
      <c r="M353" t="s">
        <v>36</v>
      </c>
      <c r="N353">
        <v>12</v>
      </c>
      <c r="P353" t="s">
        <v>70</v>
      </c>
      <c r="Q353" t="s">
        <v>59</v>
      </c>
      <c r="R353" t="s">
        <v>190</v>
      </c>
      <c r="S353" t="s">
        <v>71</v>
      </c>
    </row>
    <row r="354" spans="1:19" x14ac:dyDescent="0.25">
      <c r="A354">
        <v>113281</v>
      </c>
      <c r="B354">
        <v>2023</v>
      </c>
      <c r="C354" t="s">
        <v>200</v>
      </c>
      <c r="D354" t="s">
        <v>26</v>
      </c>
      <c r="E354" t="s">
        <v>305</v>
      </c>
      <c r="F354" t="s">
        <v>306</v>
      </c>
      <c r="G354" s="1" t="s">
        <v>291</v>
      </c>
      <c r="H354" s="1" t="s">
        <v>299</v>
      </c>
      <c r="I354" t="s">
        <v>31</v>
      </c>
      <c r="J354" t="s">
        <v>32</v>
      </c>
      <c r="K354" t="s">
        <v>203</v>
      </c>
      <c r="L354" t="s">
        <v>34</v>
      </c>
      <c r="M354" t="s">
        <v>36</v>
      </c>
      <c r="N354">
        <v>13</v>
      </c>
      <c r="O354" t="s">
        <v>57</v>
      </c>
      <c r="R354" t="s">
        <v>190</v>
      </c>
      <c r="S354" t="s">
        <v>58</v>
      </c>
    </row>
    <row r="355" spans="1:19" x14ac:dyDescent="0.25">
      <c r="A355">
        <v>113281</v>
      </c>
      <c r="B355">
        <v>2023</v>
      </c>
      <c r="C355" t="s">
        <v>200</v>
      </c>
      <c r="D355" t="s">
        <v>26</v>
      </c>
      <c r="E355" t="s">
        <v>305</v>
      </c>
      <c r="F355" t="s">
        <v>306</v>
      </c>
      <c r="G355" s="1" t="s">
        <v>291</v>
      </c>
      <c r="H355" s="1" t="s">
        <v>299</v>
      </c>
      <c r="I355" t="s">
        <v>31</v>
      </c>
      <c r="J355" t="s">
        <v>32</v>
      </c>
      <c r="K355" t="s">
        <v>203</v>
      </c>
      <c r="L355" t="s">
        <v>34</v>
      </c>
      <c r="M355" t="s">
        <v>36</v>
      </c>
      <c r="N355">
        <v>14</v>
      </c>
      <c r="P355" t="s">
        <v>99</v>
      </c>
      <c r="Q355" t="s">
        <v>149</v>
      </c>
      <c r="R355" t="s">
        <v>248</v>
      </c>
      <c r="S355" t="s">
        <v>100</v>
      </c>
    </row>
    <row r="356" spans="1:19" x14ac:dyDescent="0.25">
      <c r="A356">
        <v>131261</v>
      </c>
      <c r="B356">
        <v>2024</v>
      </c>
      <c r="C356" t="s">
        <v>200</v>
      </c>
      <c r="D356" t="s">
        <v>26</v>
      </c>
      <c r="E356" t="s">
        <v>279</v>
      </c>
      <c r="F356" t="s">
        <v>314</v>
      </c>
      <c r="G356" s="1" t="s">
        <v>315</v>
      </c>
      <c r="H356" s="1" t="s">
        <v>308</v>
      </c>
      <c r="I356" t="s">
        <v>31</v>
      </c>
      <c r="J356" t="s">
        <v>32</v>
      </c>
      <c r="K356" t="s">
        <v>203</v>
      </c>
      <c r="L356" t="s">
        <v>204</v>
      </c>
      <c r="M356" t="s">
        <v>206</v>
      </c>
      <c r="N356">
        <v>1</v>
      </c>
      <c r="O356" t="s">
        <v>68</v>
      </c>
      <c r="R356" t="s">
        <v>190</v>
      </c>
      <c r="S356" t="s">
        <v>69</v>
      </c>
    </row>
    <row r="357" spans="1:19" x14ac:dyDescent="0.25">
      <c r="A357">
        <v>131261</v>
      </c>
      <c r="B357">
        <v>2024</v>
      </c>
      <c r="C357" t="s">
        <v>200</v>
      </c>
      <c r="D357" t="s">
        <v>26</v>
      </c>
      <c r="E357" t="s">
        <v>279</v>
      </c>
      <c r="F357" t="s">
        <v>314</v>
      </c>
      <c r="G357" s="1" t="s">
        <v>315</v>
      </c>
      <c r="H357" s="1" t="s">
        <v>308</v>
      </c>
      <c r="I357" t="s">
        <v>31</v>
      </c>
      <c r="J357" t="s">
        <v>32</v>
      </c>
      <c r="K357" t="s">
        <v>203</v>
      </c>
      <c r="L357" t="s">
        <v>204</v>
      </c>
      <c r="M357" t="s">
        <v>206</v>
      </c>
      <c r="N357">
        <v>2</v>
      </c>
      <c r="O357" t="s">
        <v>57</v>
      </c>
      <c r="R357" t="s">
        <v>190</v>
      </c>
      <c r="S357" t="s">
        <v>58</v>
      </c>
    </row>
    <row r="358" spans="1:19" x14ac:dyDescent="0.25">
      <c r="A358">
        <v>131261</v>
      </c>
      <c r="B358">
        <v>2024</v>
      </c>
      <c r="C358" t="s">
        <v>200</v>
      </c>
      <c r="D358" t="s">
        <v>26</v>
      </c>
      <c r="E358" t="s">
        <v>279</v>
      </c>
      <c r="F358" t="s">
        <v>314</v>
      </c>
      <c r="G358" s="1" t="s">
        <v>315</v>
      </c>
      <c r="H358" s="1" t="s">
        <v>308</v>
      </c>
      <c r="I358" t="s">
        <v>31</v>
      </c>
      <c r="J358" t="s">
        <v>32</v>
      </c>
      <c r="K358" t="s">
        <v>203</v>
      </c>
      <c r="L358" t="s">
        <v>204</v>
      </c>
      <c r="M358" t="s">
        <v>206</v>
      </c>
      <c r="N358">
        <v>3</v>
      </c>
      <c r="O358" t="s">
        <v>57</v>
      </c>
      <c r="R358" t="s">
        <v>190</v>
      </c>
      <c r="S358" t="s">
        <v>58</v>
      </c>
    </row>
    <row r="359" spans="1:19" x14ac:dyDescent="0.25">
      <c r="A359">
        <v>131261</v>
      </c>
      <c r="B359">
        <v>2024</v>
      </c>
      <c r="C359" t="s">
        <v>200</v>
      </c>
      <c r="D359" t="s">
        <v>26</v>
      </c>
      <c r="E359" t="s">
        <v>279</v>
      </c>
      <c r="F359" t="s">
        <v>314</v>
      </c>
      <c r="G359" s="1" t="s">
        <v>315</v>
      </c>
      <c r="H359" s="1" t="s">
        <v>308</v>
      </c>
      <c r="I359" t="s">
        <v>31</v>
      </c>
      <c r="J359" t="s">
        <v>32</v>
      </c>
      <c r="K359" t="s">
        <v>203</v>
      </c>
      <c r="L359" t="s">
        <v>204</v>
      </c>
      <c r="M359" t="s">
        <v>206</v>
      </c>
      <c r="N359">
        <v>4</v>
      </c>
      <c r="O359" t="s">
        <v>57</v>
      </c>
      <c r="S359" t="s">
        <v>58</v>
      </c>
    </row>
    <row r="360" spans="1:19" x14ac:dyDescent="0.25">
      <c r="A360">
        <v>131261</v>
      </c>
      <c r="B360">
        <v>2024</v>
      </c>
      <c r="C360" t="s">
        <v>200</v>
      </c>
      <c r="D360" t="s">
        <v>26</v>
      </c>
      <c r="E360" t="s">
        <v>279</v>
      </c>
      <c r="F360" t="s">
        <v>314</v>
      </c>
      <c r="G360" s="1" t="s">
        <v>315</v>
      </c>
      <c r="H360" s="1" t="s">
        <v>308</v>
      </c>
      <c r="I360" t="s">
        <v>31</v>
      </c>
      <c r="J360" t="s">
        <v>32</v>
      </c>
      <c r="K360" t="s">
        <v>203</v>
      </c>
      <c r="L360" t="s">
        <v>204</v>
      </c>
      <c r="M360" t="s">
        <v>206</v>
      </c>
      <c r="N360">
        <v>5</v>
      </c>
      <c r="O360" t="s">
        <v>66</v>
      </c>
      <c r="R360" t="s">
        <v>190</v>
      </c>
      <c r="S360" t="s">
        <v>67</v>
      </c>
    </row>
    <row r="361" spans="1:19" x14ac:dyDescent="0.25">
      <c r="A361">
        <v>131261</v>
      </c>
      <c r="B361">
        <v>2024</v>
      </c>
      <c r="C361" t="s">
        <v>200</v>
      </c>
      <c r="D361" t="s">
        <v>26</v>
      </c>
      <c r="E361" t="s">
        <v>279</v>
      </c>
      <c r="F361" t="s">
        <v>314</v>
      </c>
      <c r="G361" s="1" t="s">
        <v>315</v>
      </c>
      <c r="H361" s="1" t="s">
        <v>308</v>
      </c>
      <c r="I361" t="s">
        <v>31</v>
      </c>
      <c r="J361" t="s">
        <v>32</v>
      </c>
      <c r="K361" t="s">
        <v>203</v>
      </c>
      <c r="L361" t="s">
        <v>204</v>
      </c>
      <c r="M361" t="s">
        <v>206</v>
      </c>
      <c r="N361">
        <v>6</v>
      </c>
      <c r="O361" t="s">
        <v>66</v>
      </c>
      <c r="S361" t="s">
        <v>67</v>
      </c>
    </row>
    <row r="362" spans="1:19" x14ac:dyDescent="0.25">
      <c r="A362">
        <v>131261</v>
      </c>
      <c r="B362">
        <v>2024</v>
      </c>
      <c r="C362" t="s">
        <v>200</v>
      </c>
      <c r="D362" t="s">
        <v>26</v>
      </c>
      <c r="E362" t="s">
        <v>279</v>
      </c>
      <c r="F362" t="s">
        <v>314</v>
      </c>
      <c r="G362" s="1" t="s">
        <v>315</v>
      </c>
      <c r="H362" s="1" t="s">
        <v>308</v>
      </c>
      <c r="I362" t="s">
        <v>31</v>
      </c>
      <c r="J362" t="s">
        <v>32</v>
      </c>
      <c r="K362" t="s">
        <v>203</v>
      </c>
      <c r="L362" t="s">
        <v>204</v>
      </c>
      <c r="M362" t="s">
        <v>206</v>
      </c>
      <c r="N362">
        <v>7</v>
      </c>
      <c r="O362" t="s">
        <v>66</v>
      </c>
      <c r="R362" t="s">
        <v>190</v>
      </c>
      <c r="S362" t="s">
        <v>67</v>
      </c>
    </row>
    <row r="363" spans="1:19" x14ac:dyDescent="0.25">
      <c r="A363">
        <v>131261</v>
      </c>
      <c r="B363">
        <v>2024</v>
      </c>
      <c r="C363" t="s">
        <v>200</v>
      </c>
      <c r="D363" t="s">
        <v>26</v>
      </c>
      <c r="E363" t="s">
        <v>279</v>
      </c>
      <c r="F363" t="s">
        <v>314</v>
      </c>
      <c r="G363" s="1" t="s">
        <v>315</v>
      </c>
      <c r="H363" s="1" t="s">
        <v>308</v>
      </c>
      <c r="I363" t="s">
        <v>31</v>
      </c>
      <c r="J363" t="s">
        <v>32</v>
      </c>
      <c r="K363" t="s">
        <v>203</v>
      </c>
      <c r="L363" t="s">
        <v>204</v>
      </c>
      <c r="M363" t="s">
        <v>206</v>
      </c>
      <c r="N363">
        <v>8</v>
      </c>
      <c r="P363" t="s">
        <v>95</v>
      </c>
      <c r="Q363" t="s">
        <v>149</v>
      </c>
      <c r="R363" t="s">
        <v>248</v>
      </c>
      <c r="S363" t="s">
        <v>96</v>
      </c>
    </row>
    <row r="364" spans="1:19" x14ac:dyDescent="0.25">
      <c r="A364">
        <v>131261</v>
      </c>
      <c r="B364">
        <v>2024</v>
      </c>
      <c r="C364" t="s">
        <v>200</v>
      </c>
      <c r="D364" t="s">
        <v>26</v>
      </c>
      <c r="E364" t="s">
        <v>279</v>
      </c>
      <c r="F364" t="s">
        <v>314</v>
      </c>
      <c r="G364" s="1" t="s">
        <v>315</v>
      </c>
      <c r="H364" s="1" t="s">
        <v>308</v>
      </c>
      <c r="I364" t="s">
        <v>31</v>
      </c>
      <c r="J364" t="s">
        <v>32</v>
      </c>
      <c r="K364" t="s">
        <v>203</v>
      </c>
      <c r="L364" t="s">
        <v>204</v>
      </c>
      <c r="M364" t="s">
        <v>206</v>
      </c>
      <c r="N364">
        <v>9</v>
      </c>
      <c r="O364" t="s">
        <v>68</v>
      </c>
      <c r="R364" t="s">
        <v>190</v>
      </c>
      <c r="S364" t="s">
        <v>69</v>
      </c>
    </row>
    <row r="365" spans="1:19" x14ac:dyDescent="0.25">
      <c r="A365">
        <v>131261</v>
      </c>
      <c r="B365">
        <v>2024</v>
      </c>
      <c r="C365" t="s">
        <v>200</v>
      </c>
      <c r="D365" t="s">
        <v>26</v>
      </c>
      <c r="E365" t="s">
        <v>279</v>
      </c>
      <c r="F365" t="s">
        <v>314</v>
      </c>
      <c r="G365" s="1" t="s">
        <v>315</v>
      </c>
      <c r="H365" s="1" t="s">
        <v>308</v>
      </c>
      <c r="I365" t="s">
        <v>31</v>
      </c>
      <c r="J365" t="s">
        <v>32</v>
      </c>
      <c r="K365" t="s">
        <v>203</v>
      </c>
      <c r="L365" t="s">
        <v>204</v>
      </c>
      <c r="M365" t="s">
        <v>206</v>
      </c>
      <c r="N365">
        <v>10</v>
      </c>
      <c r="P365" t="s">
        <v>99</v>
      </c>
      <c r="Q365" t="s">
        <v>149</v>
      </c>
      <c r="R365" t="s">
        <v>248</v>
      </c>
      <c r="S365" t="s">
        <v>100</v>
      </c>
    </row>
    <row r="366" spans="1:19" x14ac:dyDescent="0.25">
      <c r="A366">
        <v>131261</v>
      </c>
      <c r="B366">
        <v>2024</v>
      </c>
      <c r="C366" t="s">
        <v>200</v>
      </c>
      <c r="D366" t="s">
        <v>26</v>
      </c>
      <c r="E366" t="s">
        <v>279</v>
      </c>
      <c r="F366" t="s">
        <v>314</v>
      </c>
      <c r="G366" s="1" t="s">
        <v>315</v>
      </c>
      <c r="H366" s="1" t="s">
        <v>308</v>
      </c>
      <c r="I366" t="s">
        <v>31</v>
      </c>
      <c r="J366" t="s">
        <v>32</v>
      </c>
      <c r="K366" t="s">
        <v>203</v>
      </c>
      <c r="L366" t="s">
        <v>204</v>
      </c>
      <c r="M366" t="s">
        <v>206</v>
      </c>
      <c r="N366">
        <v>11</v>
      </c>
      <c r="O366" t="s">
        <v>57</v>
      </c>
      <c r="S366" t="s">
        <v>58</v>
      </c>
    </row>
    <row r="367" spans="1:19" x14ac:dyDescent="0.25">
      <c r="A367">
        <v>131261</v>
      </c>
      <c r="B367">
        <v>2024</v>
      </c>
      <c r="C367" t="s">
        <v>200</v>
      </c>
      <c r="D367" t="s">
        <v>26</v>
      </c>
      <c r="E367" t="s">
        <v>279</v>
      </c>
      <c r="F367" t="s">
        <v>314</v>
      </c>
      <c r="G367" s="1" t="s">
        <v>315</v>
      </c>
      <c r="H367" s="1" t="s">
        <v>308</v>
      </c>
      <c r="I367" t="s">
        <v>31</v>
      </c>
      <c r="J367" t="s">
        <v>32</v>
      </c>
      <c r="K367" t="s">
        <v>203</v>
      </c>
      <c r="L367" t="s">
        <v>204</v>
      </c>
      <c r="M367" t="s">
        <v>206</v>
      </c>
      <c r="N367">
        <v>12</v>
      </c>
      <c r="P367" t="s">
        <v>99</v>
      </c>
      <c r="Q367" t="s">
        <v>149</v>
      </c>
      <c r="R367" t="s">
        <v>248</v>
      </c>
      <c r="S367" t="s">
        <v>100</v>
      </c>
    </row>
    <row r="368" spans="1:19" x14ac:dyDescent="0.25">
      <c r="A368">
        <v>131261</v>
      </c>
      <c r="B368">
        <v>2024</v>
      </c>
      <c r="C368" t="s">
        <v>200</v>
      </c>
      <c r="D368" t="s">
        <v>26</v>
      </c>
      <c r="E368" t="s">
        <v>279</v>
      </c>
      <c r="F368" t="s">
        <v>314</v>
      </c>
      <c r="G368" s="1" t="s">
        <v>315</v>
      </c>
      <c r="H368" s="1" t="s">
        <v>308</v>
      </c>
      <c r="I368" t="s">
        <v>31</v>
      </c>
      <c r="J368" t="s">
        <v>32</v>
      </c>
      <c r="K368" t="s">
        <v>203</v>
      </c>
      <c r="L368" t="s">
        <v>204</v>
      </c>
      <c r="M368" t="s">
        <v>206</v>
      </c>
      <c r="N368">
        <v>13</v>
      </c>
      <c r="O368" t="s">
        <v>57</v>
      </c>
      <c r="R368" t="s">
        <v>190</v>
      </c>
      <c r="S368" t="s">
        <v>58</v>
      </c>
    </row>
    <row r="369" spans="1:19" x14ac:dyDescent="0.25">
      <c r="A369">
        <v>131261</v>
      </c>
      <c r="B369">
        <v>2024</v>
      </c>
      <c r="C369" t="s">
        <v>200</v>
      </c>
      <c r="D369" t="s">
        <v>26</v>
      </c>
      <c r="E369" t="s">
        <v>279</v>
      </c>
      <c r="F369" t="s">
        <v>314</v>
      </c>
      <c r="G369" s="1" t="s">
        <v>315</v>
      </c>
      <c r="H369" s="1" t="s">
        <v>308</v>
      </c>
      <c r="I369" t="s">
        <v>31</v>
      </c>
      <c r="J369" t="s">
        <v>32</v>
      </c>
      <c r="K369" t="s">
        <v>203</v>
      </c>
      <c r="L369" t="s">
        <v>204</v>
      </c>
      <c r="M369" t="s">
        <v>206</v>
      </c>
      <c r="N369">
        <v>14</v>
      </c>
      <c r="P369" t="s">
        <v>99</v>
      </c>
      <c r="Q369" t="s">
        <v>149</v>
      </c>
      <c r="R369" t="s">
        <v>248</v>
      </c>
      <c r="S369" t="s">
        <v>100</v>
      </c>
    </row>
    <row r="370" spans="1:19" x14ac:dyDescent="0.25">
      <c r="A370">
        <v>131261</v>
      </c>
      <c r="B370">
        <v>2024</v>
      </c>
      <c r="C370" t="s">
        <v>200</v>
      </c>
      <c r="D370" t="s">
        <v>26</v>
      </c>
      <c r="E370" t="s">
        <v>279</v>
      </c>
      <c r="F370" t="s">
        <v>314</v>
      </c>
      <c r="G370" s="1" t="s">
        <v>315</v>
      </c>
      <c r="H370" s="1" t="s">
        <v>308</v>
      </c>
      <c r="I370" t="s">
        <v>31</v>
      </c>
      <c r="J370" t="s">
        <v>32</v>
      </c>
      <c r="K370" t="s">
        <v>203</v>
      </c>
      <c r="L370" t="s">
        <v>204</v>
      </c>
      <c r="M370" t="s">
        <v>206</v>
      </c>
      <c r="N370">
        <v>15</v>
      </c>
      <c r="O370" t="s">
        <v>57</v>
      </c>
      <c r="R370" t="s">
        <v>190</v>
      </c>
      <c r="S370" t="s">
        <v>58</v>
      </c>
    </row>
    <row r="371" spans="1:19" x14ac:dyDescent="0.25">
      <c r="A371">
        <v>131261</v>
      </c>
      <c r="B371">
        <v>2024</v>
      </c>
      <c r="C371" t="s">
        <v>200</v>
      </c>
      <c r="D371" t="s">
        <v>26</v>
      </c>
      <c r="E371" t="s">
        <v>279</v>
      </c>
      <c r="F371" t="s">
        <v>314</v>
      </c>
      <c r="G371" s="1" t="s">
        <v>315</v>
      </c>
      <c r="H371" s="1" t="s">
        <v>308</v>
      </c>
      <c r="I371" t="s">
        <v>31</v>
      </c>
      <c r="J371" t="s">
        <v>32</v>
      </c>
      <c r="K371" t="s">
        <v>203</v>
      </c>
      <c r="L371" t="s">
        <v>204</v>
      </c>
      <c r="M371" t="s">
        <v>206</v>
      </c>
      <c r="N371">
        <v>16</v>
      </c>
      <c r="O371" t="s">
        <v>57</v>
      </c>
      <c r="S371" t="s">
        <v>58</v>
      </c>
    </row>
    <row r="372" spans="1:19" x14ac:dyDescent="0.25">
      <c r="A372">
        <v>131261</v>
      </c>
      <c r="B372">
        <v>2024</v>
      </c>
      <c r="C372" t="s">
        <v>200</v>
      </c>
      <c r="D372" t="s">
        <v>26</v>
      </c>
      <c r="E372" t="s">
        <v>279</v>
      </c>
      <c r="F372" t="s">
        <v>314</v>
      </c>
      <c r="G372" s="1" t="s">
        <v>315</v>
      </c>
      <c r="H372" s="1" t="s">
        <v>308</v>
      </c>
      <c r="I372" t="s">
        <v>31</v>
      </c>
      <c r="J372" t="s">
        <v>32</v>
      </c>
      <c r="K372" t="s">
        <v>203</v>
      </c>
      <c r="L372" t="s">
        <v>204</v>
      </c>
      <c r="M372" t="s">
        <v>206</v>
      </c>
      <c r="N372">
        <v>17</v>
      </c>
      <c r="O372" t="s">
        <v>57</v>
      </c>
      <c r="S372" t="s">
        <v>58</v>
      </c>
    </row>
    <row r="373" spans="1:19" x14ac:dyDescent="0.25">
      <c r="A373">
        <v>131261</v>
      </c>
      <c r="B373">
        <v>2024</v>
      </c>
      <c r="C373" t="s">
        <v>200</v>
      </c>
      <c r="D373" t="s">
        <v>26</v>
      </c>
      <c r="E373" t="s">
        <v>279</v>
      </c>
      <c r="F373" t="s">
        <v>314</v>
      </c>
      <c r="G373" s="1" t="s">
        <v>315</v>
      </c>
      <c r="H373" s="1" t="s">
        <v>308</v>
      </c>
      <c r="I373" t="s">
        <v>31</v>
      </c>
      <c r="J373" t="s">
        <v>32</v>
      </c>
      <c r="K373" t="s">
        <v>203</v>
      </c>
      <c r="L373" t="s">
        <v>204</v>
      </c>
      <c r="M373" t="s">
        <v>206</v>
      </c>
      <c r="N373">
        <v>18</v>
      </c>
      <c r="O373" t="s">
        <v>57</v>
      </c>
      <c r="S373" t="s">
        <v>58</v>
      </c>
    </row>
    <row r="374" spans="1:19" x14ac:dyDescent="0.25">
      <c r="A374">
        <v>131261</v>
      </c>
      <c r="B374">
        <v>2024</v>
      </c>
      <c r="C374" t="s">
        <v>200</v>
      </c>
      <c r="D374" t="s">
        <v>26</v>
      </c>
      <c r="E374" t="s">
        <v>279</v>
      </c>
      <c r="F374" t="s">
        <v>314</v>
      </c>
      <c r="G374" s="1" t="s">
        <v>315</v>
      </c>
      <c r="H374" s="1" t="s">
        <v>308</v>
      </c>
      <c r="I374" t="s">
        <v>31</v>
      </c>
      <c r="J374" t="s">
        <v>32</v>
      </c>
      <c r="K374" t="s">
        <v>203</v>
      </c>
      <c r="L374" t="s">
        <v>204</v>
      </c>
      <c r="M374" t="s">
        <v>206</v>
      </c>
      <c r="N374">
        <v>19</v>
      </c>
      <c r="P374" t="s">
        <v>99</v>
      </c>
      <c r="Q374" t="s">
        <v>149</v>
      </c>
      <c r="R374" t="s">
        <v>248</v>
      </c>
      <c r="S374" t="s">
        <v>100</v>
      </c>
    </row>
    <row r="375" spans="1:19" x14ac:dyDescent="0.25">
      <c r="A375">
        <v>131261</v>
      </c>
      <c r="B375">
        <v>2024</v>
      </c>
      <c r="C375" t="s">
        <v>200</v>
      </c>
      <c r="D375" t="s">
        <v>26</v>
      </c>
      <c r="E375" t="s">
        <v>279</v>
      </c>
      <c r="F375" t="s">
        <v>314</v>
      </c>
      <c r="G375" s="1" t="s">
        <v>315</v>
      </c>
      <c r="H375" s="1" t="s">
        <v>308</v>
      </c>
      <c r="I375" t="s">
        <v>31</v>
      </c>
      <c r="J375" t="s">
        <v>32</v>
      </c>
      <c r="K375" t="s">
        <v>203</v>
      </c>
      <c r="L375" t="s">
        <v>204</v>
      </c>
      <c r="M375" t="s">
        <v>206</v>
      </c>
      <c r="N375">
        <v>20</v>
      </c>
      <c r="O375" t="s">
        <v>66</v>
      </c>
      <c r="R375" t="s">
        <v>190</v>
      </c>
      <c r="S375" t="s">
        <v>67</v>
      </c>
    </row>
    <row r="376" spans="1:19" x14ac:dyDescent="0.25">
      <c r="A376">
        <v>131261</v>
      </c>
      <c r="B376">
        <v>2024</v>
      </c>
      <c r="C376" t="s">
        <v>200</v>
      </c>
      <c r="D376" t="s">
        <v>26</v>
      </c>
      <c r="E376" t="s">
        <v>279</v>
      </c>
      <c r="F376" t="s">
        <v>314</v>
      </c>
      <c r="G376" s="1" t="s">
        <v>315</v>
      </c>
      <c r="H376" s="1" t="s">
        <v>308</v>
      </c>
      <c r="I376" t="s">
        <v>31</v>
      </c>
      <c r="J376" t="s">
        <v>32</v>
      </c>
      <c r="K376" t="s">
        <v>203</v>
      </c>
      <c r="L376" t="s">
        <v>204</v>
      </c>
      <c r="M376" t="s">
        <v>206</v>
      </c>
      <c r="N376">
        <v>21</v>
      </c>
      <c r="O376" t="s">
        <v>57</v>
      </c>
      <c r="R376" t="s">
        <v>190</v>
      </c>
      <c r="S376" t="s">
        <v>58</v>
      </c>
    </row>
    <row r="377" spans="1:19" x14ac:dyDescent="0.25">
      <c r="A377">
        <v>131261</v>
      </c>
      <c r="B377">
        <v>2024</v>
      </c>
      <c r="C377" t="s">
        <v>200</v>
      </c>
      <c r="D377" t="s">
        <v>26</v>
      </c>
      <c r="E377" t="s">
        <v>279</v>
      </c>
      <c r="F377" t="s">
        <v>314</v>
      </c>
      <c r="G377" s="1" t="s">
        <v>315</v>
      </c>
      <c r="H377" s="1" t="s">
        <v>308</v>
      </c>
      <c r="I377" t="s">
        <v>31</v>
      </c>
      <c r="J377" t="s">
        <v>32</v>
      </c>
      <c r="K377" t="s">
        <v>203</v>
      </c>
      <c r="L377" t="s">
        <v>204</v>
      </c>
      <c r="M377" t="s">
        <v>206</v>
      </c>
      <c r="N377">
        <v>22</v>
      </c>
      <c r="O377" t="s">
        <v>57</v>
      </c>
      <c r="R377" t="s">
        <v>190</v>
      </c>
      <c r="S377" t="s">
        <v>58</v>
      </c>
    </row>
    <row r="378" spans="1:19" x14ac:dyDescent="0.25">
      <c r="A378">
        <v>131261</v>
      </c>
      <c r="B378">
        <v>2024</v>
      </c>
      <c r="C378" t="s">
        <v>200</v>
      </c>
      <c r="D378" t="s">
        <v>26</v>
      </c>
      <c r="E378" t="s">
        <v>279</v>
      </c>
      <c r="F378" t="s">
        <v>314</v>
      </c>
      <c r="G378" s="1" t="s">
        <v>315</v>
      </c>
      <c r="H378" s="1" t="s">
        <v>308</v>
      </c>
      <c r="I378" t="s">
        <v>31</v>
      </c>
      <c r="J378" t="s">
        <v>32</v>
      </c>
      <c r="K378" t="s">
        <v>203</v>
      </c>
      <c r="L378" t="s">
        <v>204</v>
      </c>
      <c r="M378" t="s">
        <v>206</v>
      </c>
      <c r="N378">
        <v>23</v>
      </c>
      <c r="P378" t="s">
        <v>99</v>
      </c>
      <c r="Q378" t="s">
        <v>149</v>
      </c>
      <c r="R378" t="s">
        <v>248</v>
      </c>
      <c r="S378" t="s">
        <v>100</v>
      </c>
    </row>
    <row r="379" spans="1:19" x14ac:dyDescent="0.25">
      <c r="A379">
        <v>131261</v>
      </c>
      <c r="B379">
        <v>2024</v>
      </c>
      <c r="C379" t="s">
        <v>200</v>
      </c>
      <c r="D379" t="s">
        <v>26</v>
      </c>
      <c r="E379" t="s">
        <v>279</v>
      </c>
      <c r="F379" t="s">
        <v>314</v>
      </c>
      <c r="G379" s="1" t="s">
        <v>315</v>
      </c>
      <c r="H379" s="1" t="s">
        <v>308</v>
      </c>
      <c r="I379" t="s">
        <v>31</v>
      </c>
      <c r="J379" t="s">
        <v>32</v>
      </c>
      <c r="K379" t="s">
        <v>203</v>
      </c>
      <c r="L379" t="s">
        <v>204</v>
      </c>
      <c r="M379" t="s">
        <v>206</v>
      </c>
      <c r="N379">
        <v>24</v>
      </c>
      <c r="P379" t="s">
        <v>95</v>
      </c>
      <c r="Q379" t="s">
        <v>149</v>
      </c>
      <c r="S379" t="s">
        <v>96</v>
      </c>
    </row>
    <row r="380" spans="1:19" x14ac:dyDescent="0.25">
      <c r="A380">
        <v>131261</v>
      </c>
      <c r="B380">
        <v>2024</v>
      </c>
      <c r="C380" t="s">
        <v>200</v>
      </c>
      <c r="D380" t="s">
        <v>26</v>
      </c>
      <c r="E380" t="s">
        <v>279</v>
      </c>
      <c r="F380" t="s">
        <v>314</v>
      </c>
      <c r="G380" s="1" t="s">
        <v>315</v>
      </c>
      <c r="H380" s="1" t="s">
        <v>308</v>
      </c>
      <c r="I380" t="s">
        <v>31</v>
      </c>
      <c r="J380" t="s">
        <v>32</v>
      </c>
      <c r="K380" t="s">
        <v>203</v>
      </c>
      <c r="L380" t="s">
        <v>204</v>
      </c>
      <c r="M380" t="s">
        <v>206</v>
      </c>
      <c r="N380">
        <v>25</v>
      </c>
      <c r="P380" t="s">
        <v>99</v>
      </c>
      <c r="Q380" t="s">
        <v>149</v>
      </c>
      <c r="S380" t="s">
        <v>100</v>
      </c>
    </row>
    <row r="381" spans="1:19" x14ac:dyDescent="0.25">
      <c r="A381">
        <v>131261</v>
      </c>
      <c r="B381">
        <v>2024</v>
      </c>
      <c r="C381" t="s">
        <v>200</v>
      </c>
      <c r="D381" t="s">
        <v>26</v>
      </c>
      <c r="E381" t="s">
        <v>279</v>
      </c>
      <c r="F381" t="s">
        <v>317</v>
      </c>
      <c r="G381" s="1" t="s">
        <v>315</v>
      </c>
      <c r="H381" s="1" t="s">
        <v>308</v>
      </c>
      <c r="I381" t="s">
        <v>31</v>
      </c>
      <c r="J381" t="s">
        <v>32</v>
      </c>
      <c r="K381" t="s">
        <v>203</v>
      </c>
      <c r="L381" t="s">
        <v>204</v>
      </c>
      <c r="M381" t="s">
        <v>206</v>
      </c>
      <c r="N381">
        <v>1</v>
      </c>
      <c r="P381" t="s">
        <v>99</v>
      </c>
      <c r="Q381" t="s">
        <v>149</v>
      </c>
      <c r="R381" t="s">
        <v>248</v>
      </c>
      <c r="S381" t="s">
        <v>100</v>
      </c>
    </row>
    <row r="382" spans="1:19" x14ac:dyDescent="0.25">
      <c r="A382">
        <v>131261</v>
      </c>
      <c r="B382">
        <v>2024</v>
      </c>
      <c r="C382" t="s">
        <v>200</v>
      </c>
      <c r="D382" t="s">
        <v>26</v>
      </c>
      <c r="E382" t="s">
        <v>279</v>
      </c>
      <c r="F382" t="s">
        <v>317</v>
      </c>
      <c r="G382" s="1" t="s">
        <v>315</v>
      </c>
      <c r="H382" s="1" t="s">
        <v>308</v>
      </c>
      <c r="I382" t="s">
        <v>31</v>
      </c>
      <c r="J382" t="s">
        <v>32</v>
      </c>
      <c r="K382" t="s">
        <v>203</v>
      </c>
      <c r="L382" t="s">
        <v>204</v>
      </c>
      <c r="M382" t="s">
        <v>206</v>
      </c>
      <c r="N382">
        <v>2</v>
      </c>
      <c r="P382" t="s">
        <v>99</v>
      </c>
      <c r="Q382" t="s">
        <v>149</v>
      </c>
      <c r="R382" t="s">
        <v>248</v>
      </c>
      <c r="S382" t="s">
        <v>100</v>
      </c>
    </row>
    <row r="383" spans="1:19" x14ac:dyDescent="0.25">
      <c r="A383">
        <v>131261</v>
      </c>
      <c r="B383">
        <v>2024</v>
      </c>
      <c r="C383" t="s">
        <v>200</v>
      </c>
      <c r="D383" t="s">
        <v>26</v>
      </c>
      <c r="E383" t="s">
        <v>279</v>
      </c>
      <c r="F383" t="s">
        <v>317</v>
      </c>
      <c r="G383" s="1" t="s">
        <v>315</v>
      </c>
      <c r="H383" s="1" t="s">
        <v>308</v>
      </c>
      <c r="I383" t="s">
        <v>31</v>
      </c>
      <c r="J383" t="s">
        <v>32</v>
      </c>
      <c r="K383" t="s">
        <v>203</v>
      </c>
      <c r="L383" t="s">
        <v>204</v>
      </c>
      <c r="M383" t="s">
        <v>206</v>
      </c>
      <c r="N383">
        <v>3</v>
      </c>
      <c r="O383" t="s">
        <v>57</v>
      </c>
      <c r="R383" t="s">
        <v>190</v>
      </c>
      <c r="S383" t="s">
        <v>58</v>
      </c>
    </row>
    <row r="384" spans="1:19" x14ac:dyDescent="0.25">
      <c r="A384">
        <v>131261</v>
      </c>
      <c r="B384">
        <v>2024</v>
      </c>
      <c r="C384" t="s">
        <v>200</v>
      </c>
      <c r="D384" t="s">
        <v>26</v>
      </c>
      <c r="E384" t="s">
        <v>279</v>
      </c>
      <c r="F384" t="s">
        <v>317</v>
      </c>
      <c r="G384" s="1" t="s">
        <v>315</v>
      </c>
      <c r="H384" s="1" t="s">
        <v>308</v>
      </c>
      <c r="I384" t="s">
        <v>31</v>
      </c>
      <c r="J384" t="s">
        <v>32</v>
      </c>
      <c r="K384" t="s">
        <v>203</v>
      </c>
      <c r="L384" t="s">
        <v>204</v>
      </c>
      <c r="M384" t="s">
        <v>206</v>
      </c>
      <c r="N384">
        <v>4</v>
      </c>
      <c r="P384" t="s">
        <v>95</v>
      </c>
      <c r="Q384" t="s">
        <v>133</v>
      </c>
      <c r="R384" t="s">
        <v>248</v>
      </c>
      <c r="S384" t="s">
        <v>96</v>
      </c>
    </row>
    <row r="385" spans="1:19" x14ac:dyDescent="0.25">
      <c r="A385">
        <v>131261</v>
      </c>
      <c r="B385">
        <v>2024</v>
      </c>
      <c r="C385" t="s">
        <v>200</v>
      </c>
      <c r="D385" t="s">
        <v>26</v>
      </c>
      <c r="E385" t="s">
        <v>279</v>
      </c>
      <c r="F385" t="s">
        <v>317</v>
      </c>
      <c r="G385" s="1" t="s">
        <v>315</v>
      </c>
      <c r="H385" s="1" t="s">
        <v>308</v>
      </c>
      <c r="I385" t="s">
        <v>31</v>
      </c>
      <c r="J385" t="s">
        <v>32</v>
      </c>
      <c r="K385" t="s">
        <v>203</v>
      </c>
      <c r="L385" t="s">
        <v>204</v>
      </c>
      <c r="M385" t="s">
        <v>206</v>
      </c>
      <c r="N385">
        <v>5</v>
      </c>
      <c r="Q385" t="s">
        <v>72</v>
      </c>
    </row>
    <row r="386" spans="1:19" x14ac:dyDescent="0.25">
      <c r="A386">
        <v>131281</v>
      </c>
      <c r="B386">
        <v>2024</v>
      </c>
      <c r="C386" t="s">
        <v>200</v>
      </c>
      <c r="D386" t="s">
        <v>26</v>
      </c>
      <c r="E386" t="s">
        <v>320</v>
      </c>
      <c r="F386" t="s">
        <v>322</v>
      </c>
      <c r="G386" s="1" t="s">
        <v>312</v>
      </c>
      <c r="H386" s="1" t="s">
        <v>312</v>
      </c>
      <c r="I386" t="s">
        <v>31</v>
      </c>
      <c r="J386" t="s">
        <v>32</v>
      </c>
      <c r="K386" t="s">
        <v>203</v>
      </c>
      <c r="L386" t="s">
        <v>321</v>
      </c>
      <c r="M386" t="s">
        <v>36</v>
      </c>
      <c r="N386">
        <v>1</v>
      </c>
      <c r="O386" t="s">
        <v>57</v>
      </c>
      <c r="R386" t="s">
        <v>190</v>
      </c>
      <c r="S386" t="s">
        <v>58</v>
      </c>
    </row>
    <row r="387" spans="1:19" x14ac:dyDescent="0.25">
      <c r="A387">
        <v>131281</v>
      </c>
      <c r="B387">
        <v>2024</v>
      </c>
      <c r="C387" t="s">
        <v>200</v>
      </c>
      <c r="D387" t="s">
        <v>26</v>
      </c>
      <c r="E387" t="s">
        <v>320</v>
      </c>
      <c r="F387" t="s">
        <v>322</v>
      </c>
      <c r="G387" s="1" t="s">
        <v>312</v>
      </c>
      <c r="H387" s="1" t="s">
        <v>312</v>
      </c>
      <c r="I387" t="s">
        <v>31</v>
      </c>
      <c r="J387" t="s">
        <v>32</v>
      </c>
      <c r="K387" t="s">
        <v>203</v>
      </c>
      <c r="L387" t="s">
        <v>321</v>
      </c>
      <c r="M387" t="s">
        <v>36</v>
      </c>
      <c r="N387">
        <v>2</v>
      </c>
      <c r="O387" t="s">
        <v>63</v>
      </c>
      <c r="R387" t="s">
        <v>190</v>
      </c>
      <c r="S387" t="s">
        <v>64</v>
      </c>
    </row>
    <row r="388" spans="1:19" x14ac:dyDescent="0.25">
      <c r="A388">
        <v>131283</v>
      </c>
      <c r="B388">
        <v>2024</v>
      </c>
      <c r="C388" t="s">
        <v>200</v>
      </c>
      <c r="D388" t="s">
        <v>26</v>
      </c>
      <c r="E388" t="s">
        <v>265</v>
      </c>
      <c r="F388" t="s">
        <v>323</v>
      </c>
      <c r="G388" s="1" t="s">
        <v>312</v>
      </c>
      <c r="H388" s="1" t="s">
        <v>312</v>
      </c>
      <c r="I388" t="s">
        <v>31</v>
      </c>
      <c r="J388" t="s">
        <v>32</v>
      </c>
      <c r="K388" t="s">
        <v>203</v>
      </c>
      <c r="L388" t="s">
        <v>204</v>
      </c>
      <c r="M388" t="s">
        <v>36</v>
      </c>
      <c r="N388">
        <v>1</v>
      </c>
      <c r="O388" t="s">
        <v>63</v>
      </c>
      <c r="R388" t="s">
        <v>190</v>
      </c>
      <c r="S388" t="s">
        <v>64</v>
      </c>
    </row>
    <row r="389" spans="1:19" x14ac:dyDescent="0.25">
      <c r="A389">
        <v>131283</v>
      </c>
      <c r="B389">
        <v>2024</v>
      </c>
      <c r="C389" t="s">
        <v>200</v>
      </c>
      <c r="D389" t="s">
        <v>26</v>
      </c>
      <c r="E389" t="s">
        <v>265</v>
      </c>
      <c r="F389" t="s">
        <v>323</v>
      </c>
      <c r="G389" s="1" t="s">
        <v>312</v>
      </c>
      <c r="H389" s="1" t="s">
        <v>312</v>
      </c>
      <c r="I389" t="s">
        <v>31</v>
      </c>
      <c r="J389" t="s">
        <v>32</v>
      </c>
      <c r="K389" t="s">
        <v>203</v>
      </c>
      <c r="L389" t="s">
        <v>204</v>
      </c>
      <c r="M389" t="s">
        <v>36</v>
      </c>
      <c r="N389">
        <v>2</v>
      </c>
      <c r="O389" t="s">
        <v>57</v>
      </c>
      <c r="R389" t="s">
        <v>249</v>
      </c>
      <c r="S389" t="s">
        <v>58</v>
      </c>
    </row>
    <row r="390" spans="1:19" x14ac:dyDescent="0.25">
      <c r="A390">
        <v>131285</v>
      </c>
      <c r="B390">
        <v>2024</v>
      </c>
      <c r="C390" t="s">
        <v>200</v>
      </c>
      <c r="D390" t="s">
        <v>26</v>
      </c>
      <c r="E390" t="s">
        <v>305</v>
      </c>
      <c r="F390" t="s">
        <v>324</v>
      </c>
      <c r="G390" s="1" t="s">
        <v>307</v>
      </c>
      <c r="H390" s="1" t="s">
        <v>312</v>
      </c>
      <c r="I390" t="s">
        <v>31</v>
      </c>
      <c r="J390" t="s">
        <v>32</v>
      </c>
      <c r="K390" t="s">
        <v>203</v>
      </c>
      <c r="L390" t="s">
        <v>321</v>
      </c>
      <c r="M390" t="s">
        <v>206</v>
      </c>
      <c r="N390">
        <v>1</v>
      </c>
      <c r="O390" t="s">
        <v>57</v>
      </c>
      <c r="R390" t="s">
        <v>249</v>
      </c>
      <c r="S390" t="s">
        <v>58</v>
      </c>
    </row>
    <row r="391" spans="1:19" x14ac:dyDescent="0.25">
      <c r="A391">
        <v>131285</v>
      </c>
      <c r="B391">
        <v>2024</v>
      </c>
      <c r="C391" t="s">
        <v>200</v>
      </c>
      <c r="D391" t="s">
        <v>26</v>
      </c>
      <c r="E391" t="s">
        <v>305</v>
      </c>
      <c r="F391" t="s">
        <v>324</v>
      </c>
      <c r="G391" s="1" t="s">
        <v>307</v>
      </c>
      <c r="H391" s="1" t="s">
        <v>312</v>
      </c>
      <c r="I391" t="s">
        <v>31</v>
      </c>
      <c r="J391" t="s">
        <v>32</v>
      </c>
      <c r="K391" t="s">
        <v>203</v>
      </c>
      <c r="L391" t="s">
        <v>321</v>
      </c>
      <c r="M391" t="s">
        <v>206</v>
      </c>
      <c r="N391">
        <v>2</v>
      </c>
      <c r="O391" t="s">
        <v>57</v>
      </c>
      <c r="R391" t="s">
        <v>190</v>
      </c>
      <c r="S391" t="s">
        <v>58</v>
      </c>
    </row>
    <row r="392" spans="1:19" x14ac:dyDescent="0.25">
      <c r="A392">
        <v>131285</v>
      </c>
      <c r="B392">
        <v>2024</v>
      </c>
      <c r="C392" t="s">
        <v>200</v>
      </c>
      <c r="D392" t="s">
        <v>26</v>
      </c>
      <c r="E392" t="s">
        <v>305</v>
      </c>
      <c r="F392" t="s">
        <v>324</v>
      </c>
      <c r="G392" s="1" t="s">
        <v>307</v>
      </c>
      <c r="H392" s="1" t="s">
        <v>312</v>
      </c>
      <c r="I392" t="s">
        <v>31</v>
      </c>
      <c r="J392" t="s">
        <v>32</v>
      </c>
      <c r="K392" t="s">
        <v>203</v>
      </c>
      <c r="L392" t="s">
        <v>321</v>
      </c>
      <c r="M392" t="s">
        <v>206</v>
      </c>
      <c r="N392">
        <v>3</v>
      </c>
      <c r="O392" t="s">
        <v>57</v>
      </c>
      <c r="R392" t="s">
        <v>249</v>
      </c>
      <c r="S392" t="s">
        <v>58</v>
      </c>
    </row>
    <row r="393" spans="1:19" x14ac:dyDescent="0.25">
      <c r="A393">
        <v>131285</v>
      </c>
      <c r="B393">
        <v>2024</v>
      </c>
      <c r="C393" t="s">
        <v>200</v>
      </c>
      <c r="D393" t="s">
        <v>26</v>
      </c>
      <c r="E393" t="s">
        <v>305</v>
      </c>
      <c r="F393" t="s">
        <v>324</v>
      </c>
      <c r="G393" s="1" t="s">
        <v>307</v>
      </c>
      <c r="H393" s="1" t="s">
        <v>312</v>
      </c>
      <c r="I393" t="s">
        <v>31</v>
      </c>
      <c r="J393" t="s">
        <v>32</v>
      </c>
      <c r="K393" t="s">
        <v>203</v>
      </c>
      <c r="L393" t="s">
        <v>321</v>
      </c>
      <c r="M393" t="s">
        <v>206</v>
      </c>
      <c r="N393">
        <v>4</v>
      </c>
      <c r="O393" t="s">
        <v>57</v>
      </c>
      <c r="R393" t="s">
        <v>249</v>
      </c>
      <c r="S393" t="s">
        <v>58</v>
      </c>
    </row>
    <row r="394" spans="1:19" x14ac:dyDescent="0.25">
      <c r="A394">
        <v>131285</v>
      </c>
      <c r="B394">
        <v>2024</v>
      </c>
      <c r="C394" t="s">
        <v>200</v>
      </c>
      <c r="D394" t="s">
        <v>26</v>
      </c>
      <c r="E394" t="s">
        <v>305</v>
      </c>
      <c r="F394" t="s">
        <v>324</v>
      </c>
      <c r="G394" s="1" t="s">
        <v>307</v>
      </c>
      <c r="H394" s="1" t="s">
        <v>312</v>
      </c>
      <c r="I394" t="s">
        <v>31</v>
      </c>
      <c r="J394" t="s">
        <v>32</v>
      </c>
      <c r="K394" t="s">
        <v>203</v>
      </c>
      <c r="L394" t="s">
        <v>321</v>
      </c>
      <c r="M394" t="s">
        <v>206</v>
      </c>
      <c r="N394">
        <v>5</v>
      </c>
      <c r="O394" t="s">
        <v>57</v>
      </c>
      <c r="R394" t="s">
        <v>190</v>
      </c>
      <c r="S394" t="s">
        <v>58</v>
      </c>
    </row>
    <row r="395" spans="1:19" x14ac:dyDescent="0.25">
      <c r="A395">
        <v>131285</v>
      </c>
      <c r="B395">
        <v>2024</v>
      </c>
      <c r="C395" t="s">
        <v>200</v>
      </c>
      <c r="D395" t="s">
        <v>26</v>
      </c>
      <c r="E395" t="s">
        <v>305</v>
      </c>
      <c r="F395" t="s">
        <v>324</v>
      </c>
      <c r="G395" s="1" t="s">
        <v>307</v>
      </c>
      <c r="H395" s="1" t="s">
        <v>312</v>
      </c>
      <c r="I395" t="s">
        <v>31</v>
      </c>
      <c r="J395" t="s">
        <v>32</v>
      </c>
      <c r="K395" t="s">
        <v>203</v>
      </c>
      <c r="L395" t="s">
        <v>321</v>
      </c>
      <c r="M395" t="s">
        <v>206</v>
      </c>
      <c r="N395">
        <v>6</v>
      </c>
      <c r="O395" t="s">
        <v>57</v>
      </c>
      <c r="R395" t="s">
        <v>249</v>
      </c>
      <c r="S395" t="s">
        <v>58</v>
      </c>
    </row>
    <row r="396" spans="1:19" x14ac:dyDescent="0.25">
      <c r="A396">
        <v>131285</v>
      </c>
      <c r="B396">
        <v>2024</v>
      </c>
      <c r="C396" t="s">
        <v>200</v>
      </c>
      <c r="D396" t="s">
        <v>26</v>
      </c>
      <c r="E396" t="s">
        <v>305</v>
      </c>
      <c r="F396" t="s">
        <v>324</v>
      </c>
      <c r="G396" s="1" t="s">
        <v>307</v>
      </c>
      <c r="H396" s="1" t="s">
        <v>312</v>
      </c>
      <c r="I396" t="s">
        <v>31</v>
      </c>
      <c r="J396" t="s">
        <v>32</v>
      </c>
      <c r="K396" t="s">
        <v>203</v>
      </c>
      <c r="L396" t="s">
        <v>321</v>
      </c>
      <c r="M396" t="s">
        <v>206</v>
      </c>
      <c r="N396">
        <v>7</v>
      </c>
      <c r="O396" t="s">
        <v>57</v>
      </c>
      <c r="R396" t="s">
        <v>249</v>
      </c>
      <c r="S396" t="s">
        <v>58</v>
      </c>
    </row>
    <row r="397" spans="1:19" x14ac:dyDescent="0.25">
      <c r="A397">
        <v>131285</v>
      </c>
      <c r="B397">
        <v>2024</v>
      </c>
      <c r="C397" t="s">
        <v>200</v>
      </c>
      <c r="D397" t="s">
        <v>26</v>
      </c>
      <c r="E397" t="s">
        <v>305</v>
      </c>
      <c r="F397" t="s">
        <v>324</v>
      </c>
      <c r="G397" s="1" t="s">
        <v>307</v>
      </c>
      <c r="H397" s="1" t="s">
        <v>312</v>
      </c>
      <c r="I397" t="s">
        <v>31</v>
      </c>
      <c r="J397" t="s">
        <v>32</v>
      </c>
      <c r="K397" t="s">
        <v>203</v>
      </c>
      <c r="L397" t="s">
        <v>321</v>
      </c>
      <c r="M397" t="s">
        <v>206</v>
      </c>
      <c r="N397">
        <v>8</v>
      </c>
      <c r="O397" t="s">
        <v>57</v>
      </c>
      <c r="R397" t="s">
        <v>249</v>
      </c>
      <c r="S397" t="s">
        <v>58</v>
      </c>
    </row>
    <row r="398" spans="1:19" x14ac:dyDescent="0.25">
      <c r="A398">
        <v>131285</v>
      </c>
      <c r="B398">
        <v>2024</v>
      </c>
      <c r="C398" t="s">
        <v>200</v>
      </c>
      <c r="D398" t="s">
        <v>26</v>
      </c>
      <c r="E398" t="s">
        <v>305</v>
      </c>
      <c r="F398" t="s">
        <v>324</v>
      </c>
      <c r="G398" s="1" t="s">
        <v>307</v>
      </c>
      <c r="H398" s="1" t="s">
        <v>312</v>
      </c>
      <c r="I398" t="s">
        <v>31</v>
      </c>
      <c r="J398" t="s">
        <v>32</v>
      </c>
      <c r="K398" t="s">
        <v>203</v>
      </c>
      <c r="L398" t="s">
        <v>321</v>
      </c>
      <c r="M398" t="s">
        <v>206</v>
      </c>
      <c r="N398">
        <v>9</v>
      </c>
      <c r="O398" t="s">
        <v>66</v>
      </c>
      <c r="R398" t="s">
        <v>249</v>
      </c>
      <c r="S398" t="s">
        <v>67</v>
      </c>
    </row>
    <row r="399" spans="1:19" x14ac:dyDescent="0.25">
      <c r="A399">
        <v>131285</v>
      </c>
      <c r="B399">
        <v>2024</v>
      </c>
      <c r="C399" t="s">
        <v>200</v>
      </c>
      <c r="D399" t="s">
        <v>26</v>
      </c>
      <c r="E399" t="s">
        <v>305</v>
      </c>
      <c r="F399" t="s">
        <v>324</v>
      </c>
      <c r="G399" s="1" t="s">
        <v>307</v>
      </c>
      <c r="H399" s="1" t="s">
        <v>312</v>
      </c>
      <c r="I399" t="s">
        <v>31</v>
      </c>
      <c r="J399" t="s">
        <v>32</v>
      </c>
      <c r="K399" t="s">
        <v>203</v>
      </c>
      <c r="L399" t="s">
        <v>321</v>
      </c>
      <c r="M399" t="s">
        <v>206</v>
      </c>
      <c r="N399">
        <v>10</v>
      </c>
      <c r="O399" t="s">
        <v>197</v>
      </c>
      <c r="R399" t="s">
        <v>190</v>
      </c>
      <c r="S399" t="s">
        <v>198</v>
      </c>
    </row>
    <row r="400" spans="1:19" x14ac:dyDescent="0.25">
      <c r="A400">
        <v>131285</v>
      </c>
      <c r="B400">
        <v>2024</v>
      </c>
      <c r="C400" t="s">
        <v>200</v>
      </c>
      <c r="D400" t="s">
        <v>26</v>
      </c>
      <c r="E400" t="s">
        <v>305</v>
      </c>
      <c r="F400" t="s">
        <v>326</v>
      </c>
      <c r="G400" s="1" t="s">
        <v>307</v>
      </c>
      <c r="H400" s="1" t="s">
        <v>312</v>
      </c>
      <c r="I400" t="s">
        <v>31</v>
      </c>
      <c r="J400" t="s">
        <v>32</v>
      </c>
      <c r="K400" t="s">
        <v>203</v>
      </c>
      <c r="L400" t="s">
        <v>321</v>
      </c>
      <c r="M400" t="s">
        <v>206</v>
      </c>
      <c r="N400">
        <v>1</v>
      </c>
      <c r="O400" t="s">
        <v>57</v>
      </c>
      <c r="R400" t="s">
        <v>249</v>
      </c>
      <c r="S400" t="s">
        <v>58</v>
      </c>
    </row>
    <row r="401" spans="1:19" x14ac:dyDescent="0.25">
      <c r="A401">
        <v>131285</v>
      </c>
      <c r="B401">
        <v>2024</v>
      </c>
      <c r="C401" t="s">
        <v>200</v>
      </c>
      <c r="D401" t="s">
        <v>26</v>
      </c>
      <c r="E401" t="s">
        <v>305</v>
      </c>
      <c r="F401" t="s">
        <v>326</v>
      </c>
      <c r="G401" s="1" t="s">
        <v>307</v>
      </c>
      <c r="H401" s="1" t="s">
        <v>312</v>
      </c>
      <c r="I401" t="s">
        <v>31</v>
      </c>
      <c r="J401" t="s">
        <v>32</v>
      </c>
      <c r="K401" t="s">
        <v>203</v>
      </c>
      <c r="L401" t="s">
        <v>321</v>
      </c>
      <c r="M401" t="s">
        <v>206</v>
      </c>
      <c r="N401">
        <v>2</v>
      </c>
      <c r="O401" t="s">
        <v>57</v>
      </c>
      <c r="R401" t="s">
        <v>249</v>
      </c>
      <c r="S401" t="s">
        <v>58</v>
      </c>
    </row>
    <row r="402" spans="1:19" x14ac:dyDescent="0.25">
      <c r="A402">
        <v>131285</v>
      </c>
      <c r="B402">
        <v>2024</v>
      </c>
      <c r="C402" t="s">
        <v>200</v>
      </c>
      <c r="D402" t="s">
        <v>26</v>
      </c>
      <c r="E402" t="s">
        <v>305</v>
      </c>
      <c r="F402" t="s">
        <v>326</v>
      </c>
      <c r="G402" s="1" t="s">
        <v>307</v>
      </c>
      <c r="H402" s="1" t="s">
        <v>312</v>
      </c>
      <c r="I402" t="s">
        <v>31</v>
      </c>
      <c r="J402" t="s">
        <v>32</v>
      </c>
      <c r="K402" t="s">
        <v>203</v>
      </c>
      <c r="L402" t="s">
        <v>321</v>
      </c>
      <c r="M402" t="s">
        <v>206</v>
      </c>
      <c r="N402">
        <v>3</v>
      </c>
      <c r="O402" t="s">
        <v>57</v>
      </c>
      <c r="R402" t="s">
        <v>249</v>
      </c>
      <c r="S402" t="s">
        <v>58</v>
      </c>
    </row>
    <row r="403" spans="1:19" x14ac:dyDescent="0.25">
      <c r="A403">
        <v>131285</v>
      </c>
      <c r="B403">
        <v>2024</v>
      </c>
      <c r="C403" t="s">
        <v>200</v>
      </c>
      <c r="D403" t="s">
        <v>26</v>
      </c>
      <c r="E403" t="s">
        <v>305</v>
      </c>
      <c r="F403" t="s">
        <v>326</v>
      </c>
      <c r="G403" s="1" t="s">
        <v>307</v>
      </c>
      <c r="H403" s="1" t="s">
        <v>312</v>
      </c>
      <c r="I403" t="s">
        <v>31</v>
      </c>
      <c r="J403" t="s">
        <v>32</v>
      </c>
      <c r="K403" t="s">
        <v>203</v>
      </c>
      <c r="L403" t="s">
        <v>321</v>
      </c>
      <c r="M403" t="s">
        <v>206</v>
      </c>
      <c r="N403">
        <v>4</v>
      </c>
      <c r="O403" t="s">
        <v>57</v>
      </c>
      <c r="R403" t="s">
        <v>249</v>
      </c>
      <c r="S403" t="s">
        <v>58</v>
      </c>
    </row>
    <row r="404" spans="1:19" x14ac:dyDescent="0.25">
      <c r="A404">
        <v>131285</v>
      </c>
      <c r="B404">
        <v>2024</v>
      </c>
      <c r="C404" t="s">
        <v>200</v>
      </c>
      <c r="D404" t="s">
        <v>26</v>
      </c>
      <c r="E404" t="s">
        <v>305</v>
      </c>
      <c r="F404" t="s">
        <v>326</v>
      </c>
      <c r="G404" s="1" t="s">
        <v>307</v>
      </c>
      <c r="H404" s="1" t="s">
        <v>312</v>
      </c>
      <c r="I404" t="s">
        <v>31</v>
      </c>
      <c r="J404" t="s">
        <v>32</v>
      </c>
      <c r="K404" t="s">
        <v>203</v>
      </c>
      <c r="L404" t="s">
        <v>321</v>
      </c>
      <c r="M404" t="s">
        <v>206</v>
      </c>
      <c r="N404">
        <v>5</v>
      </c>
      <c r="Q404" t="s">
        <v>130</v>
      </c>
    </row>
    <row r="405" spans="1:19" x14ac:dyDescent="0.25">
      <c r="A405">
        <v>131285</v>
      </c>
      <c r="B405">
        <v>2024</v>
      </c>
      <c r="C405" t="s">
        <v>200</v>
      </c>
      <c r="D405" t="s">
        <v>26</v>
      </c>
      <c r="E405" t="s">
        <v>305</v>
      </c>
      <c r="F405" t="s">
        <v>326</v>
      </c>
      <c r="G405" s="1" t="s">
        <v>307</v>
      </c>
      <c r="H405" s="1" t="s">
        <v>312</v>
      </c>
      <c r="I405" t="s">
        <v>31</v>
      </c>
      <c r="J405" t="s">
        <v>32</v>
      </c>
      <c r="K405" t="s">
        <v>203</v>
      </c>
      <c r="L405" t="s">
        <v>321</v>
      </c>
      <c r="M405" t="s">
        <v>206</v>
      </c>
      <c r="N405">
        <v>6</v>
      </c>
      <c r="O405" t="s">
        <v>57</v>
      </c>
      <c r="R405" t="s">
        <v>249</v>
      </c>
      <c r="S405" t="s">
        <v>58</v>
      </c>
    </row>
    <row r="406" spans="1:19" x14ac:dyDescent="0.25">
      <c r="A406">
        <v>131285</v>
      </c>
      <c r="B406">
        <v>2024</v>
      </c>
      <c r="C406" t="s">
        <v>200</v>
      </c>
      <c r="D406" t="s">
        <v>26</v>
      </c>
      <c r="E406" t="s">
        <v>305</v>
      </c>
      <c r="F406" t="s">
        <v>326</v>
      </c>
      <c r="G406" s="1" t="s">
        <v>307</v>
      </c>
      <c r="H406" s="1" t="s">
        <v>312</v>
      </c>
      <c r="I406" t="s">
        <v>31</v>
      </c>
      <c r="J406" t="s">
        <v>32</v>
      </c>
      <c r="K406" t="s">
        <v>203</v>
      </c>
      <c r="L406" t="s">
        <v>321</v>
      </c>
      <c r="M406" t="s">
        <v>206</v>
      </c>
      <c r="N406">
        <v>7</v>
      </c>
      <c r="O406" t="s">
        <v>57</v>
      </c>
      <c r="R406" t="s">
        <v>249</v>
      </c>
      <c r="S406" t="s">
        <v>58</v>
      </c>
    </row>
    <row r="407" spans="1:19" x14ac:dyDescent="0.25">
      <c r="A407">
        <v>131285</v>
      </c>
      <c r="B407">
        <v>2024</v>
      </c>
      <c r="C407" t="s">
        <v>200</v>
      </c>
      <c r="D407" t="s">
        <v>26</v>
      </c>
      <c r="E407" t="s">
        <v>305</v>
      </c>
      <c r="F407" t="s">
        <v>328</v>
      </c>
      <c r="G407" s="1" t="s">
        <v>312</v>
      </c>
      <c r="H407" s="1" t="s">
        <v>312</v>
      </c>
      <c r="I407" t="s">
        <v>31</v>
      </c>
      <c r="J407" t="s">
        <v>32</v>
      </c>
      <c r="K407" t="s">
        <v>203</v>
      </c>
      <c r="L407" t="s">
        <v>321</v>
      </c>
      <c r="M407" t="s">
        <v>206</v>
      </c>
      <c r="N407">
        <v>1</v>
      </c>
      <c r="O407" t="s">
        <v>57</v>
      </c>
      <c r="R407" t="s">
        <v>190</v>
      </c>
      <c r="S407" t="s">
        <v>58</v>
      </c>
    </row>
    <row r="408" spans="1:19" x14ac:dyDescent="0.25">
      <c r="A408">
        <v>131285</v>
      </c>
      <c r="B408">
        <v>2024</v>
      </c>
      <c r="C408" t="s">
        <v>200</v>
      </c>
      <c r="D408" t="s">
        <v>26</v>
      </c>
      <c r="E408" t="s">
        <v>305</v>
      </c>
      <c r="F408" t="s">
        <v>328</v>
      </c>
      <c r="G408" s="1" t="s">
        <v>312</v>
      </c>
      <c r="H408" s="1" t="s">
        <v>312</v>
      </c>
      <c r="I408" t="s">
        <v>31</v>
      </c>
      <c r="J408" t="s">
        <v>32</v>
      </c>
      <c r="K408" t="s">
        <v>203</v>
      </c>
      <c r="L408" t="s">
        <v>321</v>
      </c>
      <c r="M408" t="s">
        <v>206</v>
      </c>
      <c r="N408">
        <v>2</v>
      </c>
      <c r="O408" t="s">
        <v>57</v>
      </c>
      <c r="R408" t="s">
        <v>190</v>
      </c>
      <c r="S408" t="s">
        <v>58</v>
      </c>
    </row>
    <row r="409" spans="1:19" x14ac:dyDescent="0.25">
      <c r="A409">
        <v>131287</v>
      </c>
      <c r="B409">
        <v>2024</v>
      </c>
      <c r="C409" t="s">
        <v>200</v>
      </c>
      <c r="D409" t="s">
        <v>26</v>
      </c>
      <c r="E409" t="s">
        <v>330</v>
      </c>
      <c r="F409" t="s">
        <v>331</v>
      </c>
      <c r="G409" s="1" t="s">
        <v>312</v>
      </c>
      <c r="H409" s="1" t="s">
        <v>312</v>
      </c>
      <c r="I409" t="s">
        <v>31</v>
      </c>
      <c r="J409" t="s">
        <v>32</v>
      </c>
      <c r="K409" t="s">
        <v>203</v>
      </c>
      <c r="L409" t="s">
        <v>204</v>
      </c>
      <c r="M409" t="s">
        <v>206</v>
      </c>
      <c r="N409">
        <v>1</v>
      </c>
      <c r="O409" t="s">
        <v>66</v>
      </c>
      <c r="R409" t="s">
        <v>190</v>
      </c>
      <c r="S409" t="s">
        <v>67</v>
      </c>
    </row>
    <row r="410" spans="1:19" x14ac:dyDescent="0.25">
      <c r="A410">
        <v>131287</v>
      </c>
      <c r="B410">
        <v>2024</v>
      </c>
      <c r="C410" t="s">
        <v>200</v>
      </c>
      <c r="D410" t="s">
        <v>26</v>
      </c>
      <c r="E410" t="s">
        <v>330</v>
      </c>
      <c r="F410" t="s">
        <v>331</v>
      </c>
      <c r="G410" s="1" t="s">
        <v>312</v>
      </c>
      <c r="H410" s="1" t="s">
        <v>312</v>
      </c>
      <c r="I410" t="s">
        <v>31</v>
      </c>
      <c r="J410" t="s">
        <v>32</v>
      </c>
      <c r="K410" t="s">
        <v>203</v>
      </c>
      <c r="L410" t="s">
        <v>204</v>
      </c>
      <c r="M410" t="s">
        <v>206</v>
      </c>
      <c r="N410">
        <v>2</v>
      </c>
      <c r="O410" t="s">
        <v>197</v>
      </c>
      <c r="R410" t="s">
        <v>190</v>
      </c>
      <c r="S410" t="s">
        <v>198</v>
      </c>
    </row>
    <row r="411" spans="1:19" x14ac:dyDescent="0.25">
      <c r="A411">
        <v>131287</v>
      </c>
      <c r="B411">
        <v>2024</v>
      </c>
      <c r="C411" t="s">
        <v>200</v>
      </c>
      <c r="D411" t="s">
        <v>26</v>
      </c>
      <c r="E411" t="s">
        <v>330</v>
      </c>
      <c r="F411" t="s">
        <v>331</v>
      </c>
      <c r="G411" s="1" t="s">
        <v>312</v>
      </c>
      <c r="H411" s="1" t="s">
        <v>312</v>
      </c>
      <c r="I411" t="s">
        <v>31</v>
      </c>
      <c r="J411" t="s">
        <v>32</v>
      </c>
      <c r="K411" t="s">
        <v>203</v>
      </c>
      <c r="L411" t="s">
        <v>204</v>
      </c>
      <c r="M411" t="s">
        <v>206</v>
      </c>
      <c r="N411">
        <v>3</v>
      </c>
      <c r="P411" t="s">
        <v>60</v>
      </c>
      <c r="Q411" t="s">
        <v>59</v>
      </c>
      <c r="R411" t="s">
        <v>249</v>
      </c>
      <c r="S411" t="s">
        <v>61</v>
      </c>
    </row>
    <row r="412" spans="1:19" x14ac:dyDescent="0.25">
      <c r="A412">
        <v>131287</v>
      </c>
      <c r="B412">
        <v>2024</v>
      </c>
      <c r="C412" t="s">
        <v>200</v>
      </c>
      <c r="D412" t="s">
        <v>26</v>
      </c>
      <c r="E412" t="s">
        <v>330</v>
      </c>
      <c r="F412" t="s">
        <v>331</v>
      </c>
      <c r="G412" s="1" t="s">
        <v>312</v>
      </c>
      <c r="H412" s="1" t="s">
        <v>312</v>
      </c>
      <c r="I412" t="s">
        <v>31</v>
      </c>
      <c r="J412" t="s">
        <v>32</v>
      </c>
      <c r="K412" t="s">
        <v>203</v>
      </c>
      <c r="L412" t="s">
        <v>204</v>
      </c>
      <c r="M412" t="s">
        <v>206</v>
      </c>
      <c r="N412">
        <v>1</v>
      </c>
      <c r="O412" t="s">
        <v>66</v>
      </c>
      <c r="R412" t="s">
        <v>190</v>
      </c>
      <c r="S412" t="s">
        <v>67</v>
      </c>
    </row>
    <row r="413" spans="1:19" x14ac:dyDescent="0.25">
      <c r="A413">
        <v>131287</v>
      </c>
      <c r="B413">
        <v>2024</v>
      </c>
      <c r="C413" t="s">
        <v>200</v>
      </c>
      <c r="D413" t="s">
        <v>26</v>
      </c>
      <c r="E413" t="s">
        <v>330</v>
      </c>
      <c r="F413" t="s">
        <v>331</v>
      </c>
      <c r="G413" s="1" t="s">
        <v>312</v>
      </c>
      <c r="H413" s="1" t="s">
        <v>312</v>
      </c>
      <c r="I413" t="s">
        <v>31</v>
      </c>
      <c r="J413" t="s">
        <v>32</v>
      </c>
      <c r="K413" t="s">
        <v>203</v>
      </c>
      <c r="L413" t="s">
        <v>204</v>
      </c>
      <c r="M413" t="s">
        <v>206</v>
      </c>
      <c r="N413">
        <v>2</v>
      </c>
      <c r="O413" t="s">
        <v>197</v>
      </c>
      <c r="R413" t="s">
        <v>190</v>
      </c>
      <c r="S413" t="s">
        <v>198</v>
      </c>
    </row>
    <row r="414" spans="1:19" x14ac:dyDescent="0.25">
      <c r="A414">
        <v>131287</v>
      </c>
      <c r="B414">
        <v>2024</v>
      </c>
      <c r="C414" t="s">
        <v>200</v>
      </c>
      <c r="D414" t="s">
        <v>26</v>
      </c>
      <c r="E414" t="s">
        <v>330</v>
      </c>
      <c r="F414" t="s">
        <v>331</v>
      </c>
      <c r="G414" s="1" t="s">
        <v>312</v>
      </c>
      <c r="H414" s="1" t="s">
        <v>312</v>
      </c>
      <c r="I414" t="s">
        <v>31</v>
      </c>
      <c r="J414" t="s">
        <v>32</v>
      </c>
      <c r="K414" t="s">
        <v>203</v>
      </c>
      <c r="L414" t="s">
        <v>204</v>
      </c>
      <c r="M414" t="s">
        <v>206</v>
      </c>
      <c r="N414">
        <v>3</v>
      </c>
      <c r="P414" t="s">
        <v>60</v>
      </c>
      <c r="Q414" t="s">
        <v>59</v>
      </c>
      <c r="R414" t="s">
        <v>249</v>
      </c>
      <c r="S414" t="s">
        <v>61</v>
      </c>
    </row>
    <row r="415" spans="1:19" x14ac:dyDescent="0.25">
      <c r="A415">
        <v>141539</v>
      </c>
      <c r="B415">
        <v>2025</v>
      </c>
      <c r="C415" t="s">
        <v>24</v>
      </c>
      <c r="D415" t="s">
        <v>26</v>
      </c>
      <c r="E415" t="s">
        <v>177</v>
      </c>
      <c r="F415" t="s">
        <v>344</v>
      </c>
      <c r="G415" s="1" t="s">
        <v>340</v>
      </c>
      <c r="H415" s="1" t="s">
        <v>341</v>
      </c>
      <c r="I415" t="s">
        <v>31</v>
      </c>
      <c r="J415" t="s">
        <v>32</v>
      </c>
      <c r="K415" t="s">
        <v>33</v>
      </c>
      <c r="L415" t="s">
        <v>34</v>
      </c>
      <c r="M415" t="s">
        <v>36</v>
      </c>
      <c r="N415">
        <v>1</v>
      </c>
      <c r="O415" t="s">
        <v>68</v>
      </c>
      <c r="S415" t="s">
        <v>69</v>
      </c>
    </row>
    <row r="416" spans="1:19" x14ac:dyDescent="0.25">
      <c r="A416">
        <v>141539</v>
      </c>
      <c r="B416">
        <v>2025</v>
      </c>
      <c r="C416" t="s">
        <v>24</v>
      </c>
      <c r="D416" t="s">
        <v>26</v>
      </c>
      <c r="E416" t="s">
        <v>177</v>
      </c>
      <c r="F416" t="s">
        <v>344</v>
      </c>
      <c r="G416" s="1" t="s">
        <v>340</v>
      </c>
      <c r="H416" s="1" t="s">
        <v>341</v>
      </c>
      <c r="I416" t="s">
        <v>31</v>
      </c>
      <c r="J416" t="s">
        <v>32</v>
      </c>
      <c r="K416" t="s">
        <v>33</v>
      </c>
      <c r="L416" t="s">
        <v>34</v>
      </c>
      <c r="M416" t="s">
        <v>36</v>
      </c>
      <c r="N416">
        <v>2</v>
      </c>
      <c r="O416" t="s">
        <v>57</v>
      </c>
      <c r="S416" t="s">
        <v>58</v>
      </c>
    </row>
    <row r="417" spans="1:19" x14ac:dyDescent="0.25">
      <c r="A417">
        <v>141539</v>
      </c>
      <c r="B417">
        <v>2025</v>
      </c>
      <c r="C417" t="s">
        <v>24</v>
      </c>
      <c r="D417" t="s">
        <v>26</v>
      </c>
      <c r="E417" t="s">
        <v>177</v>
      </c>
      <c r="F417" t="s">
        <v>344</v>
      </c>
      <c r="G417" s="1" t="s">
        <v>340</v>
      </c>
      <c r="H417" s="1" t="s">
        <v>341</v>
      </c>
      <c r="I417" t="s">
        <v>31</v>
      </c>
      <c r="J417" t="s">
        <v>32</v>
      </c>
      <c r="K417" t="s">
        <v>33</v>
      </c>
      <c r="L417" t="s">
        <v>34</v>
      </c>
      <c r="M417" t="s">
        <v>36</v>
      </c>
      <c r="N417">
        <v>3</v>
      </c>
      <c r="O417" t="s">
        <v>57</v>
      </c>
      <c r="S417" t="s">
        <v>58</v>
      </c>
    </row>
    <row r="418" spans="1:19" x14ac:dyDescent="0.25">
      <c r="A418">
        <v>141539</v>
      </c>
      <c r="B418">
        <v>2025</v>
      </c>
      <c r="C418" t="s">
        <v>24</v>
      </c>
      <c r="D418" t="s">
        <v>26</v>
      </c>
      <c r="E418" t="s">
        <v>177</v>
      </c>
      <c r="F418" t="s">
        <v>344</v>
      </c>
      <c r="G418" s="1" t="s">
        <v>340</v>
      </c>
      <c r="H418" s="1" t="s">
        <v>341</v>
      </c>
      <c r="I418" t="s">
        <v>31</v>
      </c>
      <c r="J418" t="s">
        <v>32</v>
      </c>
      <c r="K418" t="s">
        <v>33</v>
      </c>
      <c r="L418" t="s">
        <v>34</v>
      </c>
      <c r="M418" t="s">
        <v>36</v>
      </c>
      <c r="N418">
        <v>4</v>
      </c>
      <c r="O418" t="s">
        <v>57</v>
      </c>
      <c r="S418" t="s">
        <v>58</v>
      </c>
    </row>
    <row r="419" spans="1:19" x14ac:dyDescent="0.25">
      <c r="A419">
        <v>141539</v>
      </c>
      <c r="B419">
        <v>2025</v>
      </c>
      <c r="C419" t="s">
        <v>24</v>
      </c>
      <c r="D419" t="s">
        <v>26</v>
      </c>
      <c r="E419" t="s">
        <v>177</v>
      </c>
      <c r="F419" t="s">
        <v>344</v>
      </c>
      <c r="G419" s="1" t="s">
        <v>340</v>
      </c>
      <c r="H419" s="1" t="s">
        <v>341</v>
      </c>
      <c r="I419" t="s">
        <v>31</v>
      </c>
      <c r="J419" t="s">
        <v>32</v>
      </c>
      <c r="K419" t="s">
        <v>33</v>
      </c>
      <c r="L419" t="s">
        <v>34</v>
      </c>
      <c r="M419" t="s">
        <v>36</v>
      </c>
      <c r="N419">
        <v>5</v>
      </c>
      <c r="O419" t="s">
        <v>57</v>
      </c>
      <c r="S419" t="s">
        <v>58</v>
      </c>
    </row>
    <row r="420" spans="1:19" x14ac:dyDescent="0.25">
      <c r="A420">
        <v>141539</v>
      </c>
      <c r="B420">
        <v>2025</v>
      </c>
      <c r="C420" t="s">
        <v>24</v>
      </c>
      <c r="D420" t="s">
        <v>26</v>
      </c>
      <c r="E420" t="s">
        <v>177</v>
      </c>
      <c r="F420" t="s">
        <v>344</v>
      </c>
      <c r="G420" s="1" t="s">
        <v>340</v>
      </c>
      <c r="H420" s="1" t="s">
        <v>341</v>
      </c>
      <c r="I420" t="s">
        <v>31</v>
      </c>
      <c r="J420" t="s">
        <v>32</v>
      </c>
      <c r="K420" t="s">
        <v>33</v>
      </c>
      <c r="L420" t="s">
        <v>34</v>
      </c>
      <c r="M420" t="s">
        <v>36</v>
      </c>
      <c r="N420">
        <v>6</v>
      </c>
      <c r="O420" t="s">
        <v>68</v>
      </c>
      <c r="S420" t="s">
        <v>69</v>
      </c>
    </row>
    <row r="421" spans="1:19" x14ac:dyDescent="0.25">
      <c r="A421">
        <v>141539</v>
      </c>
      <c r="B421">
        <v>2025</v>
      </c>
      <c r="C421" t="s">
        <v>24</v>
      </c>
      <c r="D421" t="s">
        <v>26</v>
      </c>
      <c r="E421" t="s">
        <v>177</v>
      </c>
      <c r="F421" t="s">
        <v>344</v>
      </c>
      <c r="G421" s="1" t="s">
        <v>340</v>
      </c>
      <c r="H421" s="1" t="s">
        <v>341</v>
      </c>
      <c r="I421" t="s">
        <v>31</v>
      </c>
      <c r="J421" t="s">
        <v>32</v>
      </c>
      <c r="K421" t="s">
        <v>33</v>
      </c>
      <c r="L421" t="s">
        <v>34</v>
      </c>
      <c r="M421" t="s">
        <v>36</v>
      </c>
      <c r="N421">
        <v>7</v>
      </c>
      <c r="O421" t="s">
        <v>68</v>
      </c>
      <c r="S421" t="s">
        <v>69</v>
      </c>
    </row>
    <row r="422" spans="1:19" x14ac:dyDescent="0.25">
      <c r="A422">
        <v>141539</v>
      </c>
      <c r="B422">
        <v>2025</v>
      </c>
      <c r="C422" t="s">
        <v>24</v>
      </c>
      <c r="D422" t="s">
        <v>26</v>
      </c>
      <c r="E422" t="s">
        <v>177</v>
      </c>
      <c r="F422" t="s">
        <v>344</v>
      </c>
      <c r="G422" s="1" t="s">
        <v>340</v>
      </c>
      <c r="H422" s="1" t="s">
        <v>341</v>
      </c>
      <c r="I422" t="s">
        <v>31</v>
      </c>
      <c r="J422" t="s">
        <v>32</v>
      </c>
      <c r="K422" t="s">
        <v>33</v>
      </c>
      <c r="L422" t="s">
        <v>34</v>
      </c>
      <c r="M422" t="s">
        <v>36</v>
      </c>
      <c r="N422">
        <v>8</v>
      </c>
      <c r="O422" t="s">
        <v>57</v>
      </c>
      <c r="S422" t="s">
        <v>58</v>
      </c>
    </row>
    <row r="423" spans="1:19" x14ac:dyDescent="0.25">
      <c r="A423">
        <v>141539</v>
      </c>
      <c r="B423">
        <v>2025</v>
      </c>
      <c r="C423" t="s">
        <v>24</v>
      </c>
      <c r="D423" t="s">
        <v>26</v>
      </c>
      <c r="E423" t="s">
        <v>177</v>
      </c>
      <c r="F423" t="s">
        <v>344</v>
      </c>
      <c r="G423" s="1" t="s">
        <v>340</v>
      </c>
      <c r="H423" s="1" t="s">
        <v>341</v>
      </c>
      <c r="I423" t="s">
        <v>31</v>
      </c>
      <c r="J423" t="s">
        <v>32</v>
      </c>
      <c r="K423" t="s">
        <v>33</v>
      </c>
      <c r="L423" t="s">
        <v>34</v>
      </c>
      <c r="M423" t="s">
        <v>36</v>
      </c>
      <c r="N423">
        <v>9</v>
      </c>
      <c r="O423" t="s">
        <v>68</v>
      </c>
      <c r="S423" t="s">
        <v>69</v>
      </c>
    </row>
    <row r="424" spans="1:19" x14ac:dyDescent="0.25">
      <c r="A424">
        <v>141539</v>
      </c>
      <c r="B424">
        <v>2025</v>
      </c>
      <c r="C424" t="s">
        <v>24</v>
      </c>
      <c r="D424" t="s">
        <v>26</v>
      </c>
      <c r="E424" t="s">
        <v>177</v>
      </c>
      <c r="F424" t="s">
        <v>344</v>
      </c>
      <c r="G424" s="1" t="s">
        <v>340</v>
      </c>
      <c r="H424" s="1" t="s">
        <v>341</v>
      </c>
      <c r="I424" t="s">
        <v>31</v>
      </c>
      <c r="J424" t="s">
        <v>32</v>
      </c>
      <c r="K424" t="s">
        <v>33</v>
      </c>
      <c r="L424" t="s">
        <v>34</v>
      </c>
      <c r="M424" t="s">
        <v>36</v>
      </c>
      <c r="N424">
        <v>10</v>
      </c>
      <c r="O424" t="s">
        <v>57</v>
      </c>
      <c r="S424" t="s">
        <v>58</v>
      </c>
    </row>
    <row r="425" spans="1:19" x14ac:dyDescent="0.25">
      <c r="A425">
        <v>141539</v>
      </c>
      <c r="B425">
        <v>2025</v>
      </c>
      <c r="C425" t="s">
        <v>24</v>
      </c>
      <c r="D425" t="s">
        <v>26</v>
      </c>
      <c r="E425" t="s">
        <v>177</v>
      </c>
      <c r="F425" t="s">
        <v>344</v>
      </c>
      <c r="G425" s="1" t="s">
        <v>340</v>
      </c>
      <c r="H425" s="1" t="s">
        <v>341</v>
      </c>
      <c r="I425" t="s">
        <v>31</v>
      </c>
      <c r="J425" t="s">
        <v>32</v>
      </c>
      <c r="K425" t="s">
        <v>33</v>
      </c>
      <c r="L425" t="s">
        <v>34</v>
      </c>
      <c r="M425" t="s">
        <v>36</v>
      </c>
      <c r="N425">
        <v>11</v>
      </c>
      <c r="O425" t="s">
        <v>197</v>
      </c>
      <c r="S425" t="s">
        <v>198</v>
      </c>
    </row>
    <row r="426" spans="1:19" x14ac:dyDescent="0.25">
      <c r="A426">
        <v>141539</v>
      </c>
      <c r="B426">
        <v>2025</v>
      </c>
      <c r="C426" t="s">
        <v>24</v>
      </c>
      <c r="D426" t="s">
        <v>26</v>
      </c>
      <c r="E426" t="s">
        <v>177</v>
      </c>
      <c r="F426" t="s">
        <v>344</v>
      </c>
      <c r="G426" s="1" t="s">
        <v>340</v>
      </c>
      <c r="H426" s="1" t="s">
        <v>341</v>
      </c>
      <c r="I426" t="s">
        <v>31</v>
      </c>
      <c r="J426" t="s">
        <v>32</v>
      </c>
      <c r="K426" t="s">
        <v>33</v>
      </c>
      <c r="L426" t="s">
        <v>34</v>
      </c>
      <c r="M426" t="s">
        <v>36</v>
      </c>
      <c r="N426">
        <v>12</v>
      </c>
      <c r="O426" t="s">
        <v>66</v>
      </c>
      <c r="S426" t="s">
        <v>67</v>
      </c>
    </row>
    <row r="427" spans="1:19" x14ac:dyDescent="0.25">
      <c r="A427">
        <v>141539</v>
      </c>
      <c r="B427">
        <v>2025</v>
      </c>
      <c r="C427" t="s">
        <v>24</v>
      </c>
      <c r="D427" t="s">
        <v>26</v>
      </c>
      <c r="E427" t="s">
        <v>177</v>
      </c>
      <c r="F427" t="s">
        <v>344</v>
      </c>
      <c r="G427" s="1" t="s">
        <v>340</v>
      </c>
      <c r="H427" s="1" t="s">
        <v>341</v>
      </c>
      <c r="I427" t="s">
        <v>31</v>
      </c>
      <c r="J427" t="s">
        <v>32</v>
      </c>
      <c r="K427" t="s">
        <v>33</v>
      </c>
      <c r="L427" t="s">
        <v>34</v>
      </c>
      <c r="M427" t="s">
        <v>36</v>
      </c>
      <c r="N427">
        <v>13</v>
      </c>
      <c r="O427" t="s">
        <v>68</v>
      </c>
      <c r="S427" t="s">
        <v>69</v>
      </c>
    </row>
    <row r="428" spans="1:19" x14ac:dyDescent="0.25">
      <c r="A428">
        <v>141539</v>
      </c>
      <c r="B428">
        <v>2025</v>
      </c>
      <c r="C428" t="s">
        <v>24</v>
      </c>
      <c r="D428" t="s">
        <v>26</v>
      </c>
      <c r="E428" t="s">
        <v>177</v>
      </c>
      <c r="F428" t="s">
        <v>344</v>
      </c>
      <c r="G428" s="1" t="s">
        <v>340</v>
      </c>
      <c r="H428" s="1" t="s">
        <v>341</v>
      </c>
      <c r="I428" t="s">
        <v>31</v>
      </c>
      <c r="J428" t="s">
        <v>32</v>
      </c>
      <c r="K428" t="s">
        <v>33</v>
      </c>
      <c r="L428" t="s">
        <v>34</v>
      </c>
      <c r="M428" t="s">
        <v>36</v>
      </c>
      <c r="N428">
        <v>14</v>
      </c>
      <c r="O428" t="s">
        <v>57</v>
      </c>
      <c r="S428" t="s">
        <v>58</v>
      </c>
    </row>
    <row r="429" spans="1:19" x14ac:dyDescent="0.25">
      <c r="A429">
        <v>141539</v>
      </c>
      <c r="B429">
        <v>2025</v>
      </c>
      <c r="C429" t="s">
        <v>24</v>
      </c>
      <c r="D429" t="s">
        <v>26</v>
      </c>
      <c r="E429" t="s">
        <v>177</v>
      </c>
      <c r="F429" t="s">
        <v>344</v>
      </c>
      <c r="G429" s="1" t="s">
        <v>340</v>
      </c>
      <c r="H429" s="1" t="s">
        <v>341</v>
      </c>
      <c r="I429" t="s">
        <v>31</v>
      </c>
      <c r="J429" t="s">
        <v>32</v>
      </c>
      <c r="K429" t="s">
        <v>33</v>
      </c>
      <c r="L429" t="s">
        <v>34</v>
      </c>
      <c r="M429" t="s">
        <v>36</v>
      </c>
      <c r="N429">
        <v>15</v>
      </c>
      <c r="O429" t="s">
        <v>57</v>
      </c>
      <c r="S429" t="s">
        <v>58</v>
      </c>
    </row>
    <row r="430" spans="1:19" x14ac:dyDescent="0.25">
      <c r="A430">
        <v>141539</v>
      </c>
      <c r="B430">
        <v>2025</v>
      </c>
      <c r="C430" t="s">
        <v>24</v>
      </c>
      <c r="D430" t="s">
        <v>26</v>
      </c>
      <c r="E430" t="s">
        <v>177</v>
      </c>
      <c r="F430" t="s">
        <v>344</v>
      </c>
      <c r="G430" s="1" t="s">
        <v>340</v>
      </c>
      <c r="H430" s="1" t="s">
        <v>341</v>
      </c>
      <c r="I430" t="s">
        <v>31</v>
      </c>
      <c r="J430" t="s">
        <v>32</v>
      </c>
      <c r="K430" t="s">
        <v>33</v>
      </c>
      <c r="L430" t="s">
        <v>34</v>
      </c>
      <c r="M430" t="s">
        <v>36</v>
      </c>
      <c r="N430">
        <v>16</v>
      </c>
      <c r="O430" t="s">
        <v>57</v>
      </c>
      <c r="S430" t="s">
        <v>58</v>
      </c>
    </row>
    <row r="431" spans="1:19" x14ac:dyDescent="0.25">
      <c r="A431">
        <v>141539</v>
      </c>
      <c r="B431">
        <v>2025</v>
      </c>
      <c r="C431" t="s">
        <v>24</v>
      </c>
      <c r="D431" t="s">
        <v>26</v>
      </c>
      <c r="E431" t="s">
        <v>177</v>
      </c>
      <c r="F431" t="s">
        <v>344</v>
      </c>
      <c r="G431" s="1" t="s">
        <v>340</v>
      </c>
      <c r="H431" s="1" t="s">
        <v>341</v>
      </c>
      <c r="I431" t="s">
        <v>31</v>
      </c>
      <c r="J431" t="s">
        <v>32</v>
      </c>
      <c r="K431" t="s">
        <v>33</v>
      </c>
      <c r="L431" t="s">
        <v>34</v>
      </c>
      <c r="M431" t="s">
        <v>36</v>
      </c>
      <c r="N431">
        <v>17</v>
      </c>
      <c r="P431" t="s">
        <v>60</v>
      </c>
      <c r="Q431" t="s">
        <v>59</v>
      </c>
      <c r="S431" t="s">
        <v>61</v>
      </c>
    </row>
    <row r="432" spans="1:19" x14ac:dyDescent="0.25">
      <c r="A432">
        <v>141539</v>
      </c>
      <c r="B432">
        <v>2025</v>
      </c>
      <c r="C432" t="s">
        <v>24</v>
      </c>
      <c r="D432" t="s">
        <v>26</v>
      </c>
      <c r="E432" t="s">
        <v>177</v>
      </c>
      <c r="F432" t="s">
        <v>344</v>
      </c>
      <c r="G432" s="1" t="s">
        <v>340</v>
      </c>
      <c r="H432" s="1" t="s">
        <v>341</v>
      </c>
      <c r="I432" t="s">
        <v>31</v>
      </c>
      <c r="J432" t="s">
        <v>32</v>
      </c>
      <c r="K432" t="s">
        <v>33</v>
      </c>
      <c r="L432" t="s">
        <v>34</v>
      </c>
      <c r="M432" t="s">
        <v>36</v>
      </c>
      <c r="N432">
        <v>18</v>
      </c>
      <c r="O432" t="s">
        <v>197</v>
      </c>
      <c r="S432" t="s">
        <v>198</v>
      </c>
    </row>
    <row r="433" spans="1:19" x14ac:dyDescent="0.25">
      <c r="A433">
        <v>141539</v>
      </c>
      <c r="B433">
        <v>2025</v>
      </c>
      <c r="C433" t="s">
        <v>24</v>
      </c>
      <c r="D433" t="s">
        <v>26</v>
      </c>
      <c r="E433" t="s">
        <v>177</v>
      </c>
      <c r="F433" t="s">
        <v>344</v>
      </c>
      <c r="G433" s="1" t="s">
        <v>340</v>
      </c>
      <c r="H433" s="1" t="s">
        <v>341</v>
      </c>
      <c r="I433" t="s">
        <v>31</v>
      </c>
      <c r="J433" t="s">
        <v>32</v>
      </c>
      <c r="K433" t="s">
        <v>33</v>
      </c>
      <c r="L433" t="s">
        <v>34</v>
      </c>
      <c r="M433" t="s">
        <v>36</v>
      </c>
      <c r="N433">
        <v>19</v>
      </c>
      <c r="Q433" t="s">
        <v>59</v>
      </c>
    </row>
    <row r="434" spans="1:19" x14ac:dyDescent="0.25">
      <c r="A434">
        <v>141539</v>
      </c>
      <c r="B434">
        <v>2025</v>
      </c>
      <c r="C434" t="s">
        <v>24</v>
      </c>
      <c r="D434" t="s">
        <v>26</v>
      </c>
      <c r="E434" t="s">
        <v>177</v>
      </c>
      <c r="F434" t="s">
        <v>344</v>
      </c>
      <c r="G434" s="1" t="s">
        <v>340</v>
      </c>
      <c r="H434" s="1" t="s">
        <v>341</v>
      </c>
      <c r="I434" t="s">
        <v>31</v>
      </c>
      <c r="J434" t="s">
        <v>32</v>
      </c>
      <c r="K434" t="s">
        <v>33</v>
      </c>
      <c r="L434" t="s">
        <v>34</v>
      </c>
      <c r="M434" t="s">
        <v>36</v>
      </c>
      <c r="N434">
        <v>20</v>
      </c>
      <c r="O434" t="s">
        <v>57</v>
      </c>
      <c r="R434" t="s">
        <v>190</v>
      </c>
      <c r="S434" t="s">
        <v>58</v>
      </c>
    </row>
    <row r="435" spans="1:19" x14ac:dyDescent="0.25">
      <c r="A435">
        <v>141539</v>
      </c>
      <c r="B435">
        <v>2025</v>
      </c>
      <c r="C435" t="s">
        <v>24</v>
      </c>
      <c r="D435" t="s">
        <v>26</v>
      </c>
      <c r="E435" t="s">
        <v>177</v>
      </c>
      <c r="F435" t="s">
        <v>344</v>
      </c>
      <c r="G435" s="1" t="s">
        <v>340</v>
      </c>
      <c r="H435" s="1" t="s">
        <v>341</v>
      </c>
      <c r="I435" t="s">
        <v>31</v>
      </c>
      <c r="J435" t="s">
        <v>32</v>
      </c>
      <c r="K435" t="s">
        <v>33</v>
      </c>
      <c r="L435" t="s">
        <v>34</v>
      </c>
      <c r="M435" t="s">
        <v>36</v>
      </c>
      <c r="N435">
        <v>21</v>
      </c>
      <c r="O435" t="s">
        <v>57</v>
      </c>
      <c r="S435" t="s">
        <v>58</v>
      </c>
    </row>
    <row r="436" spans="1:19" x14ac:dyDescent="0.25">
      <c r="A436">
        <v>141539</v>
      </c>
      <c r="B436">
        <v>2025</v>
      </c>
      <c r="C436" t="s">
        <v>24</v>
      </c>
      <c r="D436" t="s">
        <v>26</v>
      </c>
      <c r="E436" t="s">
        <v>177</v>
      </c>
      <c r="F436" t="s">
        <v>344</v>
      </c>
      <c r="G436" s="1" t="s">
        <v>340</v>
      </c>
      <c r="H436" s="1" t="s">
        <v>341</v>
      </c>
      <c r="I436" t="s">
        <v>31</v>
      </c>
      <c r="J436" t="s">
        <v>32</v>
      </c>
      <c r="K436" t="s">
        <v>33</v>
      </c>
      <c r="L436" t="s">
        <v>34</v>
      </c>
      <c r="M436" t="s">
        <v>36</v>
      </c>
      <c r="N436">
        <v>22</v>
      </c>
      <c r="P436" t="s">
        <v>60</v>
      </c>
      <c r="Q436" t="s">
        <v>59</v>
      </c>
      <c r="S436" t="s">
        <v>61</v>
      </c>
    </row>
    <row r="437" spans="1:19" x14ac:dyDescent="0.25">
      <c r="A437">
        <v>141539</v>
      </c>
      <c r="B437">
        <v>2025</v>
      </c>
      <c r="C437" t="s">
        <v>24</v>
      </c>
      <c r="D437" t="s">
        <v>26</v>
      </c>
      <c r="E437" t="s">
        <v>177</v>
      </c>
      <c r="F437" t="s">
        <v>344</v>
      </c>
      <c r="G437" s="1" t="s">
        <v>340</v>
      </c>
      <c r="H437" s="1" t="s">
        <v>341</v>
      </c>
      <c r="I437" t="s">
        <v>31</v>
      </c>
      <c r="J437" t="s">
        <v>32</v>
      </c>
      <c r="K437" t="s">
        <v>33</v>
      </c>
      <c r="L437" t="s">
        <v>34</v>
      </c>
      <c r="M437" t="s">
        <v>36</v>
      </c>
      <c r="N437">
        <v>23</v>
      </c>
      <c r="O437" t="s">
        <v>197</v>
      </c>
      <c r="S437" t="s">
        <v>198</v>
      </c>
    </row>
    <row r="438" spans="1:19" x14ac:dyDescent="0.25">
      <c r="A438">
        <v>141539</v>
      </c>
      <c r="B438">
        <v>2025</v>
      </c>
      <c r="C438" t="s">
        <v>24</v>
      </c>
      <c r="D438" t="s">
        <v>26</v>
      </c>
      <c r="E438" t="s">
        <v>177</v>
      </c>
      <c r="F438" t="s">
        <v>344</v>
      </c>
      <c r="G438" s="1" t="s">
        <v>340</v>
      </c>
      <c r="H438" s="1" t="s">
        <v>341</v>
      </c>
      <c r="I438" t="s">
        <v>31</v>
      </c>
      <c r="J438" t="s">
        <v>32</v>
      </c>
      <c r="K438" t="s">
        <v>33</v>
      </c>
      <c r="L438" t="s">
        <v>34</v>
      </c>
      <c r="M438" t="s">
        <v>36</v>
      </c>
      <c r="N438">
        <v>24</v>
      </c>
      <c r="O438" t="s">
        <v>57</v>
      </c>
      <c r="S438" t="s">
        <v>58</v>
      </c>
    </row>
    <row r="439" spans="1:19" x14ac:dyDescent="0.25">
      <c r="A439">
        <v>141539</v>
      </c>
      <c r="B439">
        <v>2025</v>
      </c>
      <c r="C439" t="s">
        <v>24</v>
      </c>
      <c r="D439" t="s">
        <v>26</v>
      </c>
      <c r="E439" t="s">
        <v>177</v>
      </c>
      <c r="F439" t="s">
        <v>344</v>
      </c>
      <c r="G439" s="1" t="s">
        <v>340</v>
      </c>
      <c r="H439" s="1" t="s">
        <v>341</v>
      </c>
      <c r="I439" t="s">
        <v>31</v>
      </c>
      <c r="J439" t="s">
        <v>32</v>
      </c>
      <c r="K439" t="s">
        <v>33</v>
      </c>
      <c r="L439" t="s">
        <v>34</v>
      </c>
      <c r="M439" t="s">
        <v>36</v>
      </c>
      <c r="N439">
        <v>25</v>
      </c>
      <c r="P439" t="s">
        <v>60</v>
      </c>
      <c r="Q439" t="s">
        <v>59</v>
      </c>
      <c r="R439" t="s">
        <v>190</v>
      </c>
      <c r="S439" t="s">
        <v>61</v>
      </c>
    </row>
    <row r="440" spans="1:19" x14ac:dyDescent="0.25">
      <c r="A440">
        <v>141539</v>
      </c>
      <c r="B440">
        <v>2025</v>
      </c>
      <c r="C440" t="s">
        <v>24</v>
      </c>
      <c r="D440" t="s">
        <v>26</v>
      </c>
      <c r="E440" t="s">
        <v>177</v>
      </c>
      <c r="F440" t="s">
        <v>345</v>
      </c>
      <c r="G440" s="1" t="s">
        <v>346</v>
      </c>
      <c r="H440" s="1" t="s">
        <v>341</v>
      </c>
      <c r="I440" t="s">
        <v>31</v>
      </c>
      <c r="J440" t="s">
        <v>32</v>
      </c>
      <c r="K440" t="s">
        <v>33</v>
      </c>
      <c r="L440" t="s">
        <v>34</v>
      </c>
      <c r="M440" t="s">
        <v>36</v>
      </c>
      <c r="N440">
        <v>1</v>
      </c>
      <c r="O440" t="s">
        <v>57</v>
      </c>
      <c r="S440" t="s">
        <v>58</v>
      </c>
    </row>
    <row r="441" spans="1:19" x14ac:dyDescent="0.25">
      <c r="A441">
        <v>141539</v>
      </c>
      <c r="B441">
        <v>2025</v>
      </c>
      <c r="C441" t="s">
        <v>24</v>
      </c>
      <c r="D441" t="s">
        <v>26</v>
      </c>
      <c r="E441" t="s">
        <v>177</v>
      </c>
      <c r="F441" t="s">
        <v>345</v>
      </c>
      <c r="G441" s="1" t="s">
        <v>346</v>
      </c>
      <c r="H441" s="1" t="s">
        <v>341</v>
      </c>
      <c r="I441" t="s">
        <v>31</v>
      </c>
      <c r="J441" t="s">
        <v>32</v>
      </c>
      <c r="K441" t="s">
        <v>33</v>
      </c>
      <c r="L441" t="s">
        <v>34</v>
      </c>
      <c r="M441" t="s">
        <v>36</v>
      </c>
      <c r="N441">
        <v>2</v>
      </c>
      <c r="O441" t="s">
        <v>68</v>
      </c>
      <c r="R441" t="s">
        <v>190</v>
      </c>
      <c r="S441" t="s">
        <v>69</v>
      </c>
    </row>
    <row r="442" spans="1:19" x14ac:dyDescent="0.25">
      <c r="A442">
        <v>141539</v>
      </c>
      <c r="B442">
        <v>2025</v>
      </c>
      <c r="C442" t="s">
        <v>24</v>
      </c>
      <c r="D442" t="s">
        <v>26</v>
      </c>
      <c r="E442" t="s">
        <v>177</v>
      </c>
      <c r="F442" t="s">
        <v>345</v>
      </c>
      <c r="G442" s="1" t="s">
        <v>346</v>
      </c>
      <c r="H442" s="1" t="s">
        <v>341</v>
      </c>
      <c r="I442" t="s">
        <v>31</v>
      </c>
      <c r="J442" t="s">
        <v>32</v>
      </c>
      <c r="K442" t="s">
        <v>33</v>
      </c>
      <c r="L442" t="s">
        <v>34</v>
      </c>
      <c r="M442" t="s">
        <v>36</v>
      </c>
      <c r="N442">
        <v>3</v>
      </c>
      <c r="O442" t="s">
        <v>66</v>
      </c>
      <c r="R442" t="s">
        <v>190</v>
      </c>
      <c r="S442" t="s">
        <v>67</v>
      </c>
    </row>
    <row r="443" spans="1:19" x14ac:dyDescent="0.25">
      <c r="A443">
        <v>141539</v>
      </c>
      <c r="B443">
        <v>2025</v>
      </c>
      <c r="C443" t="s">
        <v>24</v>
      </c>
      <c r="D443" t="s">
        <v>26</v>
      </c>
      <c r="E443" t="s">
        <v>177</v>
      </c>
      <c r="F443" t="s">
        <v>345</v>
      </c>
      <c r="G443" s="1" t="s">
        <v>346</v>
      </c>
      <c r="H443" s="1" t="s">
        <v>341</v>
      </c>
      <c r="I443" t="s">
        <v>31</v>
      </c>
      <c r="J443" t="s">
        <v>32</v>
      </c>
      <c r="K443" t="s">
        <v>33</v>
      </c>
      <c r="L443" t="s">
        <v>34</v>
      </c>
      <c r="M443" t="s">
        <v>36</v>
      </c>
      <c r="N443">
        <v>4</v>
      </c>
      <c r="O443" t="s">
        <v>68</v>
      </c>
      <c r="R443" t="s">
        <v>190</v>
      </c>
      <c r="S443" t="s">
        <v>69</v>
      </c>
    </row>
    <row r="444" spans="1:19" x14ac:dyDescent="0.25">
      <c r="A444">
        <v>141539</v>
      </c>
      <c r="B444">
        <v>2025</v>
      </c>
      <c r="C444" t="s">
        <v>24</v>
      </c>
      <c r="D444" t="s">
        <v>26</v>
      </c>
      <c r="E444" t="s">
        <v>177</v>
      </c>
      <c r="F444" t="s">
        <v>345</v>
      </c>
      <c r="G444" s="1" t="s">
        <v>346</v>
      </c>
      <c r="H444" s="1" t="s">
        <v>341</v>
      </c>
      <c r="I444" t="s">
        <v>31</v>
      </c>
      <c r="J444" t="s">
        <v>32</v>
      </c>
      <c r="K444" t="s">
        <v>33</v>
      </c>
      <c r="L444" t="s">
        <v>34</v>
      </c>
      <c r="M444" t="s">
        <v>36</v>
      </c>
      <c r="N444">
        <v>5</v>
      </c>
      <c r="O444" t="s">
        <v>57</v>
      </c>
      <c r="R444" t="s">
        <v>190</v>
      </c>
      <c r="S444" t="s">
        <v>58</v>
      </c>
    </row>
    <row r="445" spans="1:19" x14ac:dyDescent="0.25">
      <c r="A445">
        <v>141539</v>
      </c>
      <c r="B445">
        <v>2025</v>
      </c>
      <c r="C445" t="s">
        <v>24</v>
      </c>
      <c r="D445" t="s">
        <v>26</v>
      </c>
      <c r="E445" t="s">
        <v>177</v>
      </c>
      <c r="F445" t="s">
        <v>345</v>
      </c>
      <c r="G445" s="1" t="s">
        <v>346</v>
      </c>
      <c r="H445" s="1" t="s">
        <v>341</v>
      </c>
      <c r="I445" t="s">
        <v>31</v>
      </c>
      <c r="J445" t="s">
        <v>32</v>
      </c>
      <c r="K445" t="s">
        <v>33</v>
      </c>
      <c r="L445" t="s">
        <v>34</v>
      </c>
      <c r="M445" t="s">
        <v>36</v>
      </c>
      <c r="N445">
        <v>6</v>
      </c>
      <c r="O445" t="s">
        <v>68</v>
      </c>
      <c r="R445" t="s">
        <v>190</v>
      </c>
      <c r="S445" t="s">
        <v>69</v>
      </c>
    </row>
    <row r="446" spans="1:19" x14ac:dyDescent="0.25">
      <c r="A446">
        <v>141539</v>
      </c>
      <c r="B446">
        <v>2025</v>
      </c>
      <c r="C446" t="s">
        <v>24</v>
      </c>
      <c r="D446" t="s">
        <v>26</v>
      </c>
      <c r="E446" t="s">
        <v>177</v>
      </c>
      <c r="F446" t="s">
        <v>345</v>
      </c>
      <c r="G446" s="1" t="s">
        <v>346</v>
      </c>
      <c r="H446" s="1" t="s">
        <v>341</v>
      </c>
      <c r="I446" t="s">
        <v>31</v>
      </c>
      <c r="J446" t="s">
        <v>32</v>
      </c>
      <c r="K446" t="s">
        <v>33</v>
      </c>
      <c r="L446" t="s">
        <v>34</v>
      </c>
      <c r="M446" t="s">
        <v>36</v>
      </c>
      <c r="N446">
        <v>7</v>
      </c>
      <c r="O446" t="s">
        <v>57</v>
      </c>
      <c r="S446" t="s">
        <v>58</v>
      </c>
    </row>
    <row r="447" spans="1:19" x14ac:dyDescent="0.25">
      <c r="A447">
        <v>141539</v>
      </c>
      <c r="B447">
        <v>2025</v>
      </c>
      <c r="C447" t="s">
        <v>24</v>
      </c>
      <c r="D447" t="s">
        <v>26</v>
      </c>
      <c r="E447" t="s">
        <v>177</v>
      </c>
      <c r="F447" t="s">
        <v>345</v>
      </c>
      <c r="G447" s="1" t="s">
        <v>346</v>
      </c>
      <c r="H447" s="1" t="s">
        <v>341</v>
      </c>
      <c r="I447" t="s">
        <v>31</v>
      </c>
      <c r="J447" t="s">
        <v>32</v>
      </c>
      <c r="K447" t="s">
        <v>33</v>
      </c>
      <c r="L447" t="s">
        <v>34</v>
      </c>
      <c r="M447" t="s">
        <v>36</v>
      </c>
      <c r="N447">
        <v>8</v>
      </c>
      <c r="O447" t="s">
        <v>57</v>
      </c>
      <c r="R447" t="s">
        <v>190</v>
      </c>
      <c r="S447" t="s">
        <v>58</v>
      </c>
    </row>
    <row r="448" spans="1:19" x14ac:dyDescent="0.25">
      <c r="A448">
        <v>141539</v>
      </c>
      <c r="B448">
        <v>2025</v>
      </c>
      <c r="C448" t="s">
        <v>24</v>
      </c>
      <c r="D448" t="s">
        <v>26</v>
      </c>
      <c r="E448" t="s">
        <v>177</v>
      </c>
      <c r="F448" t="s">
        <v>345</v>
      </c>
      <c r="G448" s="1" t="s">
        <v>346</v>
      </c>
      <c r="H448" s="1" t="s">
        <v>341</v>
      </c>
      <c r="I448" t="s">
        <v>31</v>
      </c>
      <c r="J448" t="s">
        <v>32</v>
      </c>
      <c r="K448" t="s">
        <v>33</v>
      </c>
      <c r="L448" t="s">
        <v>34</v>
      </c>
      <c r="M448" t="s">
        <v>36</v>
      </c>
      <c r="N448">
        <v>9</v>
      </c>
      <c r="O448" t="s">
        <v>275</v>
      </c>
      <c r="R448" t="s">
        <v>190</v>
      </c>
      <c r="S448" t="s">
        <v>276</v>
      </c>
    </row>
    <row r="449" spans="1:19" x14ac:dyDescent="0.25">
      <c r="A449">
        <v>141539</v>
      </c>
      <c r="B449">
        <v>2025</v>
      </c>
      <c r="C449" t="s">
        <v>24</v>
      </c>
      <c r="D449" t="s">
        <v>26</v>
      </c>
      <c r="E449" t="s">
        <v>177</v>
      </c>
      <c r="F449" t="s">
        <v>345</v>
      </c>
      <c r="G449" s="1" t="s">
        <v>346</v>
      </c>
      <c r="H449" s="1" t="s">
        <v>341</v>
      </c>
      <c r="I449" t="s">
        <v>31</v>
      </c>
      <c r="J449" t="s">
        <v>32</v>
      </c>
      <c r="K449" t="s">
        <v>33</v>
      </c>
      <c r="L449" t="s">
        <v>34</v>
      </c>
      <c r="M449" t="s">
        <v>36</v>
      </c>
      <c r="N449">
        <v>10</v>
      </c>
      <c r="O449" t="s">
        <v>275</v>
      </c>
      <c r="S449" t="s">
        <v>276</v>
      </c>
    </row>
    <row r="450" spans="1:19" x14ac:dyDescent="0.25">
      <c r="A450">
        <v>141539</v>
      </c>
      <c r="B450">
        <v>2025</v>
      </c>
      <c r="C450" t="s">
        <v>24</v>
      </c>
      <c r="D450" t="s">
        <v>26</v>
      </c>
      <c r="E450" t="s">
        <v>177</v>
      </c>
      <c r="F450" t="s">
        <v>345</v>
      </c>
      <c r="G450" s="1" t="s">
        <v>346</v>
      </c>
      <c r="H450" s="1" t="s">
        <v>341</v>
      </c>
      <c r="I450" t="s">
        <v>31</v>
      </c>
      <c r="J450" t="s">
        <v>32</v>
      </c>
      <c r="K450" t="s">
        <v>33</v>
      </c>
      <c r="L450" t="s">
        <v>34</v>
      </c>
      <c r="M450" t="s">
        <v>36</v>
      </c>
      <c r="N450">
        <v>11</v>
      </c>
      <c r="P450" t="s">
        <v>60</v>
      </c>
      <c r="Q450" t="s">
        <v>59</v>
      </c>
      <c r="R450" t="s">
        <v>190</v>
      </c>
      <c r="S450" t="s">
        <v>61</v>
      </c>
    </row>
    <row r="451" spans="1:19" x14ac:dyDescent="0.25">
      <c r="A451">
        <v>141539</v>
      </c>
      <c r="B451">
        <v>2025</v>
      </c>
      <c r="C451" t="s">
        <v>24</v>
      </c>
      <c r="D451" t="s">
        <v>26</v>
      </c>
      <c r="E451" t="s">
        <v>177</v>
      </c>
      <c r="F451" t="s">
        <v>345</v>
      </c>
      <c r="G451" s="1" t="s">
        <v>346</v>
      </c>
      <c r="H451" s="1" t="s">
        <v>341</v>
      </c>
      <c r="I451" t="s">
        <v>31</v>
      </c>
      <c r="J451" t="s">
        <v>32</v>
      </c>
      <c r="K451" t="s">
        <v>33</v>
      </c>
      <c r="L451" t="s">
        <v>34</v>
      </c>
      <c r="M451" t="s">
        <v>36</v>
      </c>
      <c r="N451">
        <v>12</v>
      </c>
      <c r="Q451" t="s">
        <v>151</v>
      </c>
    </row>
    <row r="452" spans="1:19" x14ac:dyDescent="0.25">
      <c r="A452">
        <v>141539</v>
      </c>
      <c r="B452">
        <v>2025</v>
      </c>
      <c r="C452" t="s">
        <v>24</v>
      </c>
      <c r="D452" t="s">
        <v>26</v>
      </c>
      <c r="E452" t="s">
        <v>177</v>
      </c>
      <c r="F452" t="s">
        <v>345</v>
      </c>
      <c r="G452" s="1" t="s">
        <v>346</v>
      </c>
      <c r="H452" s="1" t="s">
        <v>341</v>
      </c>
      <c r="I452" t="s">
        <v>31</v>
      </c>
      <c r="J452" t="s">
        <v>32</v>
      </c>
      <c r="K452" t="s">
        <v>33</v>
      </c>
      <c r="L452" t="s">
        <v>34</v>
      </c>
      <c r="M452" t="s">
        <v>36</v>
      </c>
      <c r="N452">
        <v>13</v>
      </c>
      <c r="Q452" t="s">
        <v>151</v>
      </c>
    </row>
    <row r="453" spans="1:19" x14ac:dyDescent="0.25">
      <c r="A453">
        <v>141539</v>
      </c>
      <c r="B453">
        <v>2025</v>
      </c>
      <c r="C453" t="s">
        <v>24</v>
      </c>
      <c r="D453" t="s">
        <v>26</v>
      </c>
      <c r="E453" t="s">
        <v>177</v>
      </c>
      <c r="F453" t="s">
        <v>345</v>
      </c>
      <c r="G453" s="1" t="s">
        <v>346</v>
      </c>
      <c r="H453" s="1" t="s">
        <v>341</v>
      </c>
      <c r="I453" t="s">
        <v>31</v>
      </c>
      <c r="J453" t="s">
        <v>32</v>
      </c>
      <c r="K453" t="s">
        <v>33</v>
      </c>
      <c r="L453" t="s">
        <v>34</v>
      </c>
      <c r="M453" t="s">
        <v>36</v>
      </c>
      <c r="N453">
        <v>14</v>
      </c>
      <c r="P453" t="s">
        <v>60</v>
      </c>
      <c r="Q453" t="s">
        <v>59</v>
      </c>
      <c r="R453" t="s">
        <v>190</v>
      </c>
      <c r="S453" t="s">
        <v>61</v>
      </c>
    </row>
    <row r="454" spans="1:19" x14ac:dyDescent="0.25">
      <c r="A454">
        <v>141539</v>
      </c>
      <c r="B454">
        <v>2025</v>
      </c>
      <c r="C454" t="s">
        <v>24</v>
      </c>
      <c r="D454" t="s">
        <v>26</v>
      </c>
      <c r="E454" t="s">
        <v>177</v>
      </c>
      <c r="F454" t="s">
        <v>345</v>
      </c>
      <c r="G454" s="1" t="s">
        <v>346</v>
      </c>
      <c r="H454" s="1" t="s">
        <v>341</v>
      </c>
      <c r="I454" t="s">
        <v>31</v>
      </c>
      <c r="J454" t="s">
        <v>32</v>
      </c>
      <c r="K454" t="s">
        <v>33</v>
      </c>
      <c r="L454" t="s">
        <v>34</v>
      </c>
      <c r="M454" t="s">
        <v>36</v>
      </c>
      <c r="N454">
        <v>15</v>
      </c>
      <c r="O454" t="s">
        <v>68</v>
      </c>
      <c r="S454" t="s">
        <v>69</v>
      </c>
    </row>
    <row r="455" spans="1:19" x14ac:dyDescent="0.25">
      <c r="A455">
        <v>141539</v>
      </c>
      <c r="B455">
        <v>2025</v>
      </c>
      <c r="C455" t="s">
        <v>24</v>
      </c>
      <c r="D455" t="s">
        <v>26</v>
      </c>
      <c r="E455" t="s">
        <v>177</v>
      </c>
      <c r="F455" t="s">
        <v>345</v>
      </c>
      <c r="G455" s="1" t="s">
        <v>346</v>
      </c>
      <c r="H455" s="1" t="s">
        <v>341</v>
      </c>
      <c r="I455" t="s">
        <v>31</v>
      </c>
      <c r="J455" t="s">
        <v>32</v>
      </c>
      <c r="K455" t="s">
        <v>33</v>
      </c>
      <c r="L455" t="s">
        <v>34</v>
      </c>
      <c r="M455" t="s">
        <v>36</v>
      </c>
      <c r="N455">
        <v>16</v>
      </c>
      <c r="O455" t="s">
        <v>68</v>
      </c>
      <c r="R455" t="s">
        <v>190</v>
      </c>
      <c r="S455" t="s">
        <v>69</v>
      </c>
    </row>
    <row r="456" spans="1:19" x14ac:dyDescent="0.25">
      <c r="A456">
        <v>141539</v>
      </c>
      <c r="B456">
        <v>2025</v>
      </c>
      <c r="C456" t="s">
        <v>24</v>
      </c>
      <c r="D456" t="s">
        <v>26</v>
      </c>
      <c r="E456" t="s">
        <v>177</v>
      </c>
      <c r="F456" t="s">
        <v>345</v>
      </c>
      <c r="G456" s="1" t="s">
        <v>346</v>
      </c>
      <c r="H456" s="1" t="s">
        <v>341</v>
      </c>
      <c r="I456" t="s">
        <v>31</v>
      </c>
      <c r="J456" t="s">
        <v>32</v>
      </c>
      <c r="K456" t="s">
        <v>33</v>
      </c>
      <c r="L456" t="s">
        <v>34</v>
      </c>
      <c r="M456" t="s">
        <v>36</v>
      </c>
      <c r="N456">
        <v>17</v>
      </c>
      <c r="O456" t="s">
        <v>57</v>
      </c>
      <c r="S456" t="s">
        <v>58</v>
      </c>
    </row>
    <row r="457" spans="1:19" x14ac:dyDescent="0.25">
      <c r="A457">
        <v>141539</v>
      </c>
      <c r="B457">
        <v>2025</v>
      </c>
      <c r="C457" t="s">
        <v>24</v>
      </c>
      <c r="D457" t="s">
        <v>26</v>
      </c>
      <c r="E457" t="s">
        <v>177</v>
      </c>
      <c r="F457" t="s">
        <v>345</v>
      </c>
      <c r="G457" s="1" t="s">
        <v>346</v>
      </c>
      <c r="H457" s="1" t="s">
        <v>341</v>
      </c>
      <c r="I457" t="s">
        <v>62</v>
      </c>
      <c r="J457" t="s">
        <v>32</v>
      </c>
      <c r="K457" t="s">
        <v>33</v>
      </c>
      <c r="L457" t="s">
        <v>34</v>
      </c>
      <c r="M457" t="s">
        <v>36</v>
      </c>
      <c r="N457">
        <v>18</v>
      </c>
      <c r="P457" t="s">
        <v>116</v>
      </c>
      <c r="Q457" t="s">
        <v>59</v>
      </c>
      <c r="S457" t="s">
        <v>117</v>
      </c>
    </row>
  </sheetData>
  <autoFilter ref="A1:S1" xr:uid="{00000000-0001-0000-0200-000000000000}"/>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7"/>
  <sheetViews>
    <sheetView topLeftCell="A49" workbookViewId="0">
      <selection activeCell="A66" sqref="A66:F67"/>
    </sheetView>
  </sheetViews>
  <sheetFormatPr defaultRowHeight="15" x14ac:dyDescent="0.25"/>
  <sheetData>
    <row r="1" spans="1:6" x14ac:dyDescent="0.25">
      <c r="A1" s="2" t="s">
        <v>0</v>
      </c>
      <c r="B1" s="2" t="s">
        <v>73</v>
      </c>
      <c r="C1" s="2" t="s">
        <v>74</v>
      </c>
      <c r="D1" s="2" t="s">
        <v>75</v>
      </c>
      <c r="E1" s="2" t="s">
        <v>76</v>
      </c>
      <c r="F1" s="2" t="s">
        <v>43</v>
      </c>
    </row>
    <row r="2" spans="1:6" x14ac:dyDescent="0.25">
      <c r="A2">
        <v>102061</v>
      </c>
      <c r="B2" t="s">
        <v>77</v>
      </c>
      <c r="C2" t="s">
        <v>78</v>
      </c>
      <c r="D2" t="s">
        <v>79</v>
      </c>
      <c r="E2" t="s">
        <v>80</v>
      </c>
      <c r="F2" t="s">
        <v>81</v>
      </c>
    </row>
    <row r="3" spans="1:6" x14ac:dyDescent="0.25">
      <c r="A3">
        <v>102061</v>
      </c>
      <c r="B3" t="s">
        <v>77</v>
      </c>
      <c r="C3" t="s">
        <v>78</v>
      </c>
      <c r="D3" t="s">
        <v>79</v>
      </c>
      <c r="E3" t="s">
        <v>80</v>
      </c>
      <c r="F3" t="s">
        <v>81</v>
      </c>
    </row>
    <row r="4" spans="1:6" x14ac:dyDescent="0.25">
      <c r="A4">
        <v>114303</v>
      </c>
      <c r="B4" t="s">
        <v>191</v>
      </c>
      <c r="C4" t="s">
        <v>78</v>
      </c>
      <c r="D4" t="s">
        <v>79</v>
      </c>
      <c r="E4" t="s">
        <v>63</v>
      </c>
      <c r="F4" t="s">
        <v>81</v>
      </c>
    </row>
    <row r="5" spans="1:6" x14ac:dyDescent="0.25">
      <c r="A5">
        <v>114303</v>
      </c>
      <c r="B5" t="s">
        <v>191</v>
      </c>
      <c r="C5" t="s">
        <v>78</v>
      </c>
      <c r="D5" t="s">
        <v>79</v>
      </c>
      <c r="E5" t="s">
        <v>63</v>
      </c>
      <c r="F5" t="s">
        <v>81</v>
      </c>
    </row>
    <row r="6" spans="1:6" x14ac:dyDescent="0.25">
      <c r="A6">
        <v>114303</v>
      </c>
      <c r="B6" t="s">
        <v>191</v>
      </c>
      <c r="C6" t="s">
        <v>78</v>
      </c>
      <c r="D6" t="s">
        <v>79</v>
      </c>
      <c r="E6" t="s">
        <v>63</v>
      </c>
      <c r="F6" t="s">
        <v>81</v>
      </c>
    </row>
    <row r="7" spans="1:6" x14ac:dyDescent="0.25">
      <c r="A7">
        <v>128623</v>
      </c>
      <c r="B7" t="s">
        <v>199</v>
      </c>
      <c r="C7" t="s">
        <v>78</v>
      </c>
      <c r="D7" t="s">
        <v>79</v>
      </c>
      <c r="E7" t="s">
        <v>57</v>
      </c>
      <c r="F7" t="s">
        <v>81</v>
      </c>
    </row>
    <row r="8" spans="1:6" x14ac:dyDescent="0.25">
      <c r="A8">
        <v>101623</v>
      </c>
      <c r="B8" t="s">
        <v>215</v>
      </c>
      <c r="C8" t="s">
        <v>216</v>
      </c>
      <c r="D8" t="s">
        <v>217</v>
      </c>
      <c r="E8" t="s">
        <v>101</v>
      </c>
      <c r="F8" t="s">
        <v>81</v>
      </c>
    </row>
    <row r="9" spans="1:6" x14ac:dyDescent="0.25">
      <c r="A9">
        <v>101623</v>
      </c>
      <c r="B9" t="s">
        <v>218</v>
      </c>
      <c r="C9" t="s">
        <v>216</v>
      </c>
      <c r="D9" t="s">
        <v>217</v>
      </c>
      <c r="E9" t="s">
        <v>101</v>
      </c>
      <c r="F9" t="s">
        <v>81</v>
      </c>
    </row>
    <row r="10" spans="1:6" x14ac:dyDescent="0.25">
      <c r="A10">
        <v>101623</v>
      </c>
      <c r="B10" t="s">
        <v>215</v>
      </c>
      <c r="C10" t="s">
        <v>216</v>
      </c>
      <c r="D10" t="s">
        <v>217</v>
      </c>
      <c r="E10" t="s">
        <v>101</v>
      </c>
      <c r="F10" t="s">
        <v>81</v>
      </c>
    </row>
    <row r="11" spans="1:6" x14ac:dyDescent="0.25">
      <c r="A11">
        <v>101623</v>
      </c>
      <c r="B11" t="s">
        <v>218</v>
      </c>
      <c r="C11" t="s">
        <v>216</v>
      </c>
      <c r="D11" t="s">
        <v>217</v>
      </c>
      <c r="E11" t="s">
        <v>101</v>
      </c>
      <c r="F11" t="s">
        <v>81</v>
      </c>
    </row>
    <row r="12" spans="1:6" x14ac:dyDescent="0.25">
      <c r="A12">
        <v>101625</v>
      </c>
      <c r="B12" t="s">
        <v>215</v>
      </c>
      <c r="C12" t="s">
        <v>216</v>
      </c>
      <c r="D12" t="s">
        <v>217</v>
      </c>
      <c r="E12" t="s">
        <v>101</v>
      </c>
      <c r="F12" t="s">
        <v>81</v>
      </c>
    </row>
    <row r="13" spans="1:6" x14ac:dyDescent="0.25">
      <c r="A13">
        <v>101625</v>
      </c>
      <c r="B13" t="s">
        <v>218</v>
      </c>
      <c r="C13" t="s">
        <v>216</v>
      </c>
      <c r="D13" t="s">
        <v>217</v>
      </c>
      <c r="E13" t="s">
        <v>101</v>
      </c>
      <c r="F13" t="s">
        <v>81</v>
      </c>
    </row>
    <row r="14" spans="1:6" x14ac:dyDescent="0.25">
      <c r="A14">
        <v>101625</v>
      </c>
      <c r="B14" t="s">
        <v>215</v>
      </c>
      <c r="C14" t="s">
        <v>216</v>
      </c>
      <c r="D14" t="s">
        <v>217</v>
      </c>
      <c r="E14" t="s">
        <v>101</v>
      </c>
      <c r="F14" t="s">
        <v>81</v>
      </c>
    </row>
    <row r="15" spans="1:6" x14ac:dyDescent="0.25">
      <c r="A15">
        <v>101625</v>
      </c>
      <c r="B15" t="s">
        <v>218</v>
      </c>
      <c r="C15" t="s">
        <v>216</v>
      </c>
      <c r="D15" t="s">
        <v>217</v>
      </c>
      <c r="E15" t="s">
        <v>101</v>
      </c>
      <c r="F15" t="s">
        <v>81</v>
      </c>
    </row>
    <row r="16" spans="1:6" x14ac:dyDescent="0.25">
      <c r="A16">
        <v>101625</v>
      </c>
      <c r="B16" t="s">
        <v>215</v>
      </c>
      <c r="C16" t="s">
        <v>216</v>
      </c>
      <c r="D16" t="s">
        <v>217</v>
      </c>
      <c r="E16" t="s">
        <v>101</v>
      </c>
      <c r="F16" t="s">
        <v>81</v>
      </c>
    </row>
    <row r="17" spans="1:6" x14ac:dyDescent="0.25">
      <c r="A17">
        <v>101625</v>
      </c>
      <c r="B17" t="s">
        <v>218</v>
      </c>
      <c r="C17" t="s">
        <v>216</v>
      </c>
      <c r="D17" t="s">
        <v>217</v>
      </c>
      <c r="E17" t="s">
        <v>101</v>
      </c>
      <c r="F17" t="s">
        <v>81</v>
      </c>
    </row>
    <row r="18" spans="1:6" x14ac:dyDescent="0.25">
      <c r="A18">
        <v>101629</v>
      </c>
      <c r="B18" t="s">
        <v>77</v>
      </c>
      <c r="C18" t="s">
        <v>78</v>
      </c>
      <c r="D18" t="s">
        <v>79</v>
      </c>
      <c r="E18" t="s">
        <v>80</v>
      </c>
      <c r="F18" t="s">
        <v>81</v>
      </c>
    </row>
    <row r="19" spans="1:6" x14ac:dyDescent="0.25">
      <c r="A19">
        <v>101629</v>
      </c>
      <c r="B19" t="s">
        <v>77</v>
      </c>
      <c r="C19" t="s">
        <v>78</v>
      </c>
      <c r="D19" t="s">
        <v>79</v>
      </c>
      <c r="E19" t="s">
        <v>80</v>
      </c>
      <c r="F19" t="s">
        <v>81</v>
      </c>
    </row>
    <row r="20" spans="1:6" x14ac:dyDescent="0.25">
      <c r="A20">
        <v>101629</v>
      </c>
      <c r="B20" t="s">
        <v>77</v>
      </c>
      <c r="C20" t="s">
        <v>78</v>
      </c>
      <c r="D20" t="s">
        <v>79</v>
      </c>
      <c r="E20" t="s">
        <v>80</v>
      </c>
      <c r="F20" t="s">
        <v>81</v>
      </c>
    </row>
    <row r="21" spans="1:6" x14ac:dyDescent="0.25">
      <c r="A21">
        <v>101631</v>
      </c>
      <c r="B21" t="s">
        <v>215</v>
      </c>
      <c r="C21" t="s">
        <v>216</v>
      </c>
      <c r="D21" t="s">
        <v>217</v>
      </c>
      <c r="E21" t="s">
        <v>101</v>
      </c>
      <c r="F21" t="s">
        <v>81</v>
      </c>
    </row>
    <row r="22" spans="1:6" x14ac:dyDescent="0.25">
      <c r="A22">
        <v>101631</v>
      </c>
      <c r="B22" t="s">
        <v>218</v>
      </c>
      <c r="C22" t="s">
        <v>216</v>
      </c>
      <c r="D22" t="s">
        <v>217</v>
      </c>
      <c r="E22" t="s">
        <v>101</v>
      </c>
      <c r="F22" t="s">
        <v>81</v>
      </c>
    </row>
    <row r="23" spans="1:6" x14ac:dyDescent="0.25">
      <c r="A23">
        <v>101631</v>
      </c>
      <c r="B23" t="s">
        <v>215</v>
      </c>
      <c r="C23" t="s">
        <v>216</v>
      </c>
      <c r="D23" t="s">
        <v>217</v>
      </c>
      <c r="E23" t="s">
        <v>101</v>
      </c>
      <c r="F23" t="s">
        <v>81</v>
      </c>
    </row>
    <row r="24" spans="1:6" x14ac:dyDescent="0.25">
      <c r="A24">
        <v>101631</v>
      </c>
      <c r="B24" t="s">
        <v>218</v>
      </c>
      <c r="C24" t="s">
        <v>216</v>
      </c>
      <c r="D24" t="s">
        <v>217</v>
      </c>
      <c r="E24" t="s">
        <v>101</v>
      </c>
      <c r="F24" t="s">
        <v>81</v>
      </c>
    </row>
    <row r="25" spans="1:6" x14ac:dyDescent="0.25">
      <c r="A25">
        <v>101633</v>
      </c>
      <c r="B25" t="s">
        <v>77</v>
      </c>
      <c r="C25" t="s">
        <v>78</v>
      </c>
      <c r="D25" t="s">
        <v>79</v>
      </c>
      <c r="E25" t="s">
        <v>80</v>
      </c>
      <c r="F25" t="s">
        <v>81</v>
      </c>
    </row>
    <row r="26" spans="1:6" x14ac:dyDescent="0.25">
      <c r="A26">
        <v>101633</v>
      </c>
      <c r="B26" t="s">
        <v>77</v>
      </c>
      <c r="C26" t="s">
        <v>78</v>
      </c>
      <c r="D26" t="s">
        <v>79</v>
      </c>
      <c r="E26" t="s">
        <v>80</v>
      </c>
      <c r="F26" t="s">
        <v>81</v>
      </c>
    </row>
    <row r="27" spans="1:6" x14ac:dyDescent="0.25">
      <c r="A27">
        <v>101635</v>
      </c>
      <c r="B27" t="s">
        <v>215</v>
      </c>
      <c r="C27" t="s">
        <v>216</v>
      </c>
      <c r="D27" t="s">
        <v>217</v>
      </c>
      <c r="E27" t="s">
        <v>101</v>
      </c>
      <c r="F27" t="s">
        <v>81</v>
      </c>
    </row>
    <row r="28" spans="1:6" x14ac:dyDescent="0.25">
      <c r="A28">
        <v>101635</v>
      </c>
      <c r="B28" t="s">
        <v>218</v>
      </c>
      <c r="C28" t="s">
        <v>216</v>
      </c>
      <c r="D28" t="s">
        <v>217</v>
      </c>
      <c r="E28" t="s">
        <v>101</v>
      </c>
      <c r="F28" t="s">
        <v>81</v>
      </c>
    </row>
    <row r="29" spans="1:6" x14ac:dyDescent="0.25">
      <c r="A29">
        <v>101635</v>
      </c>
      <c r="B29" t="s">
        <v>215</v>
      </c>
      <c r="C29" t="s">
        <v>216</v>
      </c>
      <c r="D29" t="s">
        <v>217</v>
      </c>
      <c r="E29" t="s">
        <v>101</v>
      </c>
      <c r="F29" t="s">
        <v>81</v>
      </c>
    </row>
    <row r="30" spans="1:6" x14ac:dyDescent="0.25">
      <c r="A30">
        <v>101635</v>
      </c>
      <c r="B30" t="s">
        <v>218</v>
      </c>
      <c r="C30" t="s">
        <v>216</v>
      </c>
      <c r="D30" t="s">
        <v>217</v>
      </c>
      <c r="E30" t="s">
        <v>101</v>
      </c>
      <c r="F30" t="s">
        <v>81</v>
      </c>
    </row>
    <row r="31" spans="1:6" x14ac:dyDescent="0.25">
      <c r="A31">
        <v>102641</v>
      </c>
      <c r="B31" t="s">
        <v>77</v>
      </c>
      <c r="C31" t="s">
        <v>78</v>
      </c>
      <c r="D31" t="s">
        <v>79</v>
      </c>
      <c r="E31" t="s">
        <v>80</v>
      </c>
      <c r="F31" t="s">
        <v>81</v>
      </c>
    </row>
    <row r="32" spans="1:6" x14ac:dyDescent="0.25">
      <c r="A32">
        <v>102641</v>
      </c>
      <c r="B32" t="s">
        <v>215</v>
      </c>
      <c r="C32" t="s">
        <v>216</v>
      </c>
      <c r="D32" t="s">
        <v>217</v>
      </c>
      <c r="E32" t="s">
        <v>101</v>
      </c>
      <c r="F32" t="s">
        <v>81</v>
      </c>
    </row>
    <row r="33" spans="1:6" x14ac:dyDescent="0.25">
      <c r="A33">
        <v>102641</v>
      </c>
      <c r="B33" t="s">
        <v>77</v>
      </c>
      <c r="C33" t="s">
        <v>78</v>
      </c>
      <c r="D33" t="s">
        <v>79</v>
      </c>
      <c r="E33" t="s">
        <v>80</v>
      </c>
      <c r="F33" t="s">
        <v>81</v>
      </c>
    </row>
    <row r="34" spans="1:6" x14ac:dyDescent="0.25">
      <c r="A34">
        <v>102641</v>
      </c>
      <c r="B34" t="s">
        <v>215</v>
      </c>
      <c r="C34" t="s">
        <v>216</v>
      </c>
      <c r="D34" t="s">
        <v>217</v>
      </c>
      <c r="E34" t="s">
        <v>101</v>
      </c>
      <c r="F34" t="s">
        <v>81</v>
      </c>
    </row>
    <row r="35" spans="1:6" x14ac:dyDescent="0.25">
      <c r="A35">
        <v>102641</v>
      </c>
      <c r="B35" t="s">
        <v>77</v>
      </c>
      <c r="C35" t="s">
        <v>78</v>
      </c>
      <c r="D35" t="s">
        <v>79</v>
      </c>
      <c r="E35" t="s">
        <v>80</v>
      </c>
      <c r="F35" t="s">
        <v>81</v>
      </c>
    </row>
    <row r="36" spans="1:6" x14ac:dyDescent="0.25">
      <c r="A36">
        <v>102641</v>
      </c>
      <c r="B36" t="s">
        <v>215</v>
      </c>
      <c r="C36" t="s">
        <v>216</v>
      </c>
      <c r="D36" t="s">
        <v>217</v>
      </c>
      <c r="E36" t="s">
        <v>101</v>
      </c>
      <c r="F36" t="s">
        <v>81</v>
      </c>
    </row>
    <row r="37" spans="1:6" x14ac:dyDescent="0.25">
      <c r="A37">
        <v>102641</v>
      </c>
      <c r="B37" t="s">
        <v>77</v>
      </c>
      <c r="C37" t="s">
        <v>78</v>
      </c>
      <c r="D37" t="s">
        <v>79</v>
      </c>
      <c r="E37" t="s">
        <v>80</v>
      </c>
      <c r="F37" t="s">
        <v>81</v>
      </c>
    </row>
    <row r="38" spans="1:6" x14ac:dyDescent="0.25">
      <c r="A38">
        <v>102641</v>
      </c>
      <c r="B38" t="s">
        <v>215</v>
      </c>
      <c r="C38" t="s">
        <v>216</v>
      </c>
      <c r="D38" t="s">
        <v>217</v>
      </c>
      <c r="E38" t="s">
        <v>101</v>
      </c>
      <c r="F38" t="s">
        <v>81</v>
      </c>
    </row>
    <row r="39" spans="1:6" x14ac:dyDescent="0.25">
      <c r="A39">
        <v>102661</v>
      </c>
      <c r="B39" t="s">
        <v>77</v>
      </c>
      <c r="C39" t="s">
        <v>78</v>
      </c>
      <c r="D39" t="s">
        <v>79</v>
      </c>
      <c r="E39" t="s">
        <v>80</v>
      </c>
      <c r="F39" t="s">
        <v>81</v>
      </c>
    </row>
    <row r="40" spans="1:6" x14ac:dyDescent="0.25">
      <c r="A40">
        <v>102661</v>
      </c>
      <c r="B40" t="s">
        <v>215</v>
      </c>
      <c r="C40" t="s">
        <v>216</v>
      </c>
      <c r="D40" t="s">
        <v>217</v>
      </c>
      <c r="E40" t="s">
        <v>101</v>
      </c>
      <c r="F40" t="s">
        <v>81</v>
      </c>
    </row>
    <row r="41" spans="1:6" x14ac:dyDescent="0.25">
      <c r="A41">
        <v>102661</v>
      </c>
      <c r="B41" t="s">
        <v>77</v>
      </c>
      <c r="C41" t="s">
        <v>78</v>
      </c>
      <c r="D41" t="s">
        <v>79</v>
      </c>
      <c r="E41" t="s">
        <v>80</v>
      </c>
      <c r="F41" t="s">
        <v>81</v>
      </c>
    </row>
    <row r="42" spans="1:6" x14ac:dyDescent="0.25">
      <c r="A42">
        <v>102661</v>
      </c>
      <c r="B42" t="s">
        <v>215</v>
      </c>
      <c r="C42" t="s">
        <v>216</v>
      </c>
      <c r="D42" t="s">
        <v>217</v>
      </c>
      <c r="E42" t="s">
        <v>101</v>
      </c>
      <c r="F42" t="s">
        <v>81</v>
      </c>
    </row>
    <row r="43" spans="1:6" x14ac:dyDescent="0.25">
      <c r="A43">
        <v>102661</v>
      </c>
      <c r="B43" t="s">
        <v>77</v>
      </c>
      <c r="C43" t="s">
        <v>78</v>
      </c>
      <c r="D43" t="s">
        <v>79</v>
      </c>
      <c r="E43" t="s">
        <v>80</v>
      </c>
      <c r="F43" t="s">
        <v>81</v>
      </c>
    </row>
    <row r="44" spans="1:6" x14ac:dyDescent="0.25">
      <c r="A44">
        <v>102661</v>
      </c>
      <c r="B44" t="s">
        <v>215</v>
      </c>
      <c r="C44" t="s">
        <v>216</v>
      </c>
      <c r="D44" t="s">
        <v>217</v>
      </c>
      <c r="E44" t="s">
        <v>101</v>
      </c>
      <c r="F44" t="s">
        <v>81</v>
      </c>
    </row>
    <row r="45" spans="1:6" x14ac:dyDescent="0.25">
      <c r="A45">
        <v>102661</v>
      </c>
      <c r="B45" t="s">
        <v>77</v>
      </c>
      <c r="C45" t="s">
        <v>78</v>
      </c>
      <c r="D45" t="s">
        <v>79</v>
      </c>
      <c r="E45" t="s">
        <v>80</v>
      </c>
      <c r="F45" t="s">
        <v>81</v>
      </c>
    </row>
    <row r="46" spans="1:6" x14ac:dyDescent="0.25">
      <c r="A46">
        <v>102661</v>
      </c>
      <c r="B46" t="s">
        <v>215</v>
      </c>
      <c r="C46" t="s">
        <v>216</v>
      </c>
      <c r="D46" t="s">
        <v>217</v>
      </c>
      <c r="E46" t="s">
        <v>101</v>
      </c>
      <c r="F46" t="s">
        <v>81</v>
      </c>
    </row>
    <row r="47" spans="1:6" x14ac:dyDescent="0.25">
      <c r="A47">
        <v>102661</v>
      </c>
      <c r="B47" t="s">
        <v>77</v>
      </c>
      <c r="C47" t="s">
        <v>78</v>
      </c>
      <c r="D47" t="s">
        <v>79</v>
      </c>
      <c r="E47" t="s">
        <v>80</v>
      </c>
      <c r="F47" t="s">
        <v>81</v>
      </c>
    </row>
    <row r="48" spans="1:6" x14ac:dyDescent="0.25">
      <c r="A48">
        <v>102661</v>
      </c>
      <c r="B48" t="s">
        <v>215</v>
      </c>
      <c r="C48" t="s">
        <v>216</v>
      </c>
      <c r="D48" t="s">
        <v>217</v>
      </c>
      <c r="E48" t="s">
        <v>101</v>
      </c>
      <c r="F48" t="s">
        <v>81</v>
      </c>
    </row>
    <row r="49" spans="1:6" x14ac:dyDescent="0.25">
      <c r="A49">
        <v>113245</v>
      </c>
      <c r="B49" t="s">
        <v>301</v>
      </c>
      <c r="C49" t="s">
        <v>78</v>
      </c>
      <c r="D49" t="s">
        <v>79</v>
      </c>
      <c r="E49" t="s">
        <v>63</v>
      </c>
      <c r="F49" t="s">
        <v>81</v>
      </c>
    </row>
    <row r="50" spans="1:6" x14ac:dyDescent="0.25">
      <c r="A50">
        <v>113245</v>
      </c>
      <c r="B50" t="s">
        <v>215</v>
      </c>
      <c r="C50" t="s">
        <v>216</v>
      </c>
      <c r="D50" t="s">
        <v>217</v>
      </c>
      <c r="E50" t="s">
        <v>101</v>
      </c>
      <c r="F50" t="s">
        <v>81</v>
      </c>
    </row>
    <row r="51" spans="1:6" x14ac:dyDescent="0.25">
      <c r="A51">
        <v>113245</v>
      </c>
      <c r="B51" t="s">
        <v>301</v>
      </c>
      <c r="C51" t="s">
        <v>78</v>
      </c>
      <c r="D51" t="s">
        <v>79</v>
      </c>
      <c r="E51" t="s">
        <v>63</v>
      </c>
      <c r="F51" t="s">
        <v>81</v>
      </c>
    </row>
    <row r="52" spans="1:6" x14ac:dyDescent="0.25">
      <c r="A52">
        <v>113245</v>
      </c>
      <c r="B52" t="s">
        <v>215</v>
      </c>
      <c r="C52" t="s">
        <v>216</v>
      </c>
      <c r="D52" t="s">
        <v>217</v>
      </c>
      <c r="E52" t="s">
        <v>101</v>
      </c>
      <c r="F52" t="s">
        <v>81</v>
      </c>
    </row>
    <row r="53" spans="1:6" x14ac:dyDescent="0.25">
      <c r="A53">
        <v>113253</v>
      </c>
      <c r="B53" t="s">
        <v>215</v>
      </c>
      <c r="C53" t="s">
        <v>216</v>
      </c>
      <c r="D53" t="s">
        <v>217</v>
      </c>
      <c r="E53" t="s">
        <v>101</v>
      </c>
      <c r="F53" t="s">
        <v>81</v>
      </c>
    </row>
    <row r="54" spans="1:6" x14ac:dyDescent="0.25">
      <c r="A54">
        <v>113281</v>
      </c>
      <c r="B54" t="s">
        <v>301</v>
      </c>
      <c r="C54" t="s">
        <v>78</v>
      </c>
      <c r="D54" t="s">
        <v>79</v>
      </c>
      <c r="E54" t="s">
        <v>63</v>
      </c>
      <c r="F54" t="s">
        <v>81</v>
      </c>
    </row>
    <row r="55" spans="1:6" x14ac:dyDescent="0.25">
      <c r="A55">
        <v>131261</v>
      </c>
      <c r="B55" t="s">
        <v>319</v>
      </c>
      <c r="C55" t="s">
        <v>216</v>
      </c>
      <c r="D55" t="s">
        <v>217</v>
      </c>
      <c r="E55" t="s">
        <v>101</v>
      </c>
      <c r="F55" t="s">
        <v>81</v>
      </c>
    </row>
    <row r="56" spans="1:6" x14ac:dyDescent="0.25">
      <c r="A56">
        <v>131261</v>
      </c>
      <c r="B56" t="s">
        <v>319</v>
      </c>
      <c r="C56" t="s">
        <v>216</v>
      </c>
      <c r="D56" t="s">
        <v>217</v>
      </c>
      <c r="E56" t="s">
        <v>101</v>
      </c>
      <c r="F56" t="s">
        <v>81</v>
      </c>
    </row>
    <row r="57" spans="1:6" x14ac:dyDescent="0.25">
      <c r="A57">
        <v>131261</v>
      </c>
      <c r="B57" t="s">
        <v>319</v>
      </c>
      <c r="C57" t="s">
        <v>216</v>
      </c>
      <c r="D57" t="s">
        <v>217</v>
      </c>
      <c r="E57" t="s">
        <v>101</v>
      </c>
      <c r="F57" t="s">
        <v>81</v>
      </c>
    </row>
    <row r="58" spans="1:6" x14ac:dyDescent="0.25">
      <c r="A58">
        <v>131281</v>
      </c>
      <c r="B58" t="s">
        <v>319</v>
      </c>
      <c r="C58" t="s">
        <v>216</v>
      </c>
      <c r="D58" t="s">
        <v>217</v>
      </c>
      <c r="E58" t="s">
        <v>101</v>
      </c>
      <c r="F58" t="s">
        <v>81</v>
      </c>
    </row>
    <row r="59" spans="1:6" x14ac:dyDescent="0.25">
      <c r="A59">
        <v>131283</v>
      </c>
      <c r="B59" t="s">
        <v>319</v>
      </c>
      <c r="C59" t="s">
        <v>216</v>
      </c>
      <c r="D59" t="s">
        <v>217</v>
      </c>
      <c r="E59" t="s">
        <v>101</v>
      </c>
      <c r="F59" t="s">
        <v>81</v>
      </c>
    </row>
    <row r="60" spans="1:6" x14ac:dyDescent="0.25">
      <c r="A60">
        <v>131285</v>
      </c>
      <c r="B60" t="s">
        <v>319</v>
      </c>
      <c r="C60" t="s">
        <v>216</v>
      </c>
      <c r="D60" t="s">
        <v>217</v>
      </c>
      <c r="E60" t="s">
        <v>101</v>
      </c>
      <c r="F60" t="s">
        <v>81</v>
      </c>
    </row>
    <row r="61" spans="1:6" x14ac:dyDescent="0.25">
      <c r="A61">
        <v>131285</v>
      </c>
      <c r="B61" t="s">
        <v>319</v>
      </c>
      <c r="C61" t="s">
        <v>216</v>
      </c>
      <c r="D61" t="s">
        <v>217</v>
      </c>
      <c r="E61" t="s">
        <v>101</v>
      </c>
      <c r="F61" t="s">
        <v>81</v>
      </c>
    </row>
    <row r="62" spans="1:6" x14ac:dyDescent="0.25">
      <c r="A62">
        <v>131285</v>
      </c>
      <c r="B62" t="s">
        <v>319</v>
      </c>
      <c r="C62" t="s">
        <v>216</v>
      </c>
      <c r="D62" t="s">
        <v>217</v>
      </c>
      <c r="E62" t="s">
        <v>101</v>
      </c>
      <c r="F62" t="s">
        <v>81</v>
      </c>
    </row>
    <row r="63" spans="1:6" x14ac:dyDescent="0.25">
      <c r="A63">
        <v>131285</v>
      </c>
      <c r="B63" t="s">
        <v>319</v>
      </c>
      <c r="C63" t="s">
        <v>216</v>
      </c>
      <c r="D63" t="s">
        <v>217</v>
      </c>
      <c r="E63" t="s">
        <v>101</v>
      </c>
      <c r="F63" t="s">
        <v>81</v>
      </c>
    </row>
    <row r="64" spans="1:6" x14ac:dyDescent="0.25">
      <c r="A64">
        <v>131287</v>
      </c>
      <c r="B64" t="s">
        <v>319</v>
      </c>
      <c r="C64" t="s">
        <v>216</v>
      </c>
      <c r="D64" t="s">
        <v>217</v>
      </c>
      <c r="E64" t="s">
        <v>101</v>
      </c>
      <c r="F64" t="s">
        <v>81</v>
      </c>
    </row>
    <row r="65" spans="1:6" x14ac:dyDescent="0.25">
      <c r="A65">
        <v>131287</v>
      </c>
      <c r="B65" t="s">
        <v>319</v>
      </c>
      <c r="C65" t="s">
        <v>216</v>
      </c>
      <c r="D65" t="s">
        <v>217</v>
      </c>
      <c r="E65" t="s">
        <v>101</v>
      </c>
      <c r="F65" t="s">
        <v>81</v>
      </c>
    </row>
    <row r="66" spans="1:6" x14ac:dyDescent="0.25">
      <c r="A66">
        <v>141539</v>
      </c>
      <c r="B66" t="s">
        <v>348</v>
      </c>
      <c r="C66" t="s">
        <v>216</v>
      </c>
      <c r="D66" t="s">
        <v>217</v>
      </c>
      <c r="E66" t="s">
        <v>101</v>
      </c>
      <c r="F66" t="s">
        <v>81</v>
      </c>
    </row>
    <row r="67" spans="1:6" x14ac:dyDescent="0.25">
      <c r="A67">
        <v>141539</v>
      </c>
      <c r="B67" t="s">
        <v>348</v>
      </c>
      <c r="C67" t="s">
        <v>216</v>
      </c>
      <c r="D67" t="s">
        <v>217</v>
      </c>
      <c r="E67" t="s">
        <v>101</v>
      </c>
      <c r="F67" t="s">
        <v>81</v>
      </c>
    </row>
  </sheetData>
  <pageMargins left="0.7" right="0.7" top="0.75" bottom="0.75" header="0.3" footer="0.3"/>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election activeCell="L11" sqref="L11"/>
    </sheetView>
  </sheetViews>
  <sheetFormatPr defaultRowHeight="15" x14ac:dyDescent="0.25"/>
  <sheetData>
    <row r="1" spans="1:9" x14ac:dyDescent="0.25">
      <c r="A1" s="2" t="s">
        <v>0</v>
      </c>
      <c r="B1" s="2" t="s">
        <v>39</v>
      </c>
      <c r="C1" s="2" t="s">
        <v>82</v>
      </c>
      <c r="D1" s="2" t="s">
        <v>83</v>
      </c>
      <c r="E1" s="2" t="s">
        <v>84</v>
      </c>
      <c r="F1" s="2" t="s">
        <v>85</v>
      </c>
      <c r="G1" s="2" t="s">
        <v>86</v>
      </c>
      <c r="H1" s="2" t="s">
        <v>87</v>
      </c>
      <c r="I1" s="2" t="s">
        <v>88</v>
      </c>
    </row>
  </sheetData>
  <pageMargins left="0.7" right="0.7" top="0.75" bottom="0.75" header="0.3" footer="0.3"/>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tabSelected="1" topLeftCell="A7" workbookViewId="0"/>
  </sheetViews>
  <sheetFormatPr defaultRowHeight="15" x14ac:dyDescent="0.25"/>
  <cols>
    <col min="2" max="2" width="50" customWidth="1"/>
  </cols>
  <sheetData>
    <row r="1" spans="1:4" x14ac:dyDescent="0.25">
      <c r="A1" s="2" t="s">
        <v>89</v>
      </c>
    </row>
    <row r="3" spans="1:4" x14ac:dyDescent="0.25">
      <c r="A3" s="2" t="s">
        <v>90</v>
      </c>
    </row>
    <row r="4" spans="1:4" x14ac:dyDescent="0.25">
      <c r="A4" s="4" t="s">
        <v>91</v>
      </c>
      <c r="B4" s="4" t="s">
        <v>92</v>
      </c>
      <c r="C4" s="4" t="s">
        <v>93</v>
      </c>
      <c r="D4" s="4" t="s">
        <v>94</v>
      </c>
    </row>
    <row r="5" spans="1:4" x14ac:dyDescent="0.25">
      <c r="A5" s="3" t="s">
        <v>95</v>
      </c>
      <c r="B5" s="3" t="s">
        <v>96</v>
      </c>
      <c r="C5" s="3" t="s">
        <v>97</v>
      </c>
      <c r="D5" s="3" t="s">
        <v>98</v>
      </c>
    </row>
    <row r="6" spans="1:4" x14ac:dyDescent="0.25">
      <c r="A6" s="3" t="s">
        <v>99</v>
      </c>
      <c r="B6" s="3" t="s">
        <v>100</v>
      </c>
      <c r="C6" s="3" t="s">
        <v>101</v>
      </c>
      <c r="D6" s="3" t="s">
        <v>98</v>
      </c>
    </row>
    <row r="7" spans="1:4" x14ac:dyDescent="0.25">
      <c r="A7" s="3" t="s">
        <v>102</v>
      </c>
      <c r="B7" s="3" t="s">
        <v>103</v>
      </c>
      <c r="C7" s="3" t="s">
        <v>104</v>
      </c>
      <c r="D7" s="3" t="s">
        <v>98</v>
      </c>
    </row>
    <row r="8" spans="1:4" x14ac:dyDescent="0.25">
      <c r="A8" s="3" t="s">
        <v>105</v>
      </c>
      <c r="B8" s="3" t="s">
        <v>106</v>
      </c>
      <c r="C8" s="3" t="s">
        <v>107</v>
      </c>
      <c r="D8" s="3" t="s">
        <v>98</v>
      </c>
    </row>
    <row r="9" spans="1:4" x14ac:dyDescent="0.25">
      <c r="A9" s="3" t="s">
        <v>108</v>
      </c>
      <c r="B9" s="3" t="s">
        <v>109</v>
      </c>
      <c r="C9" s="3" t="s">
        <v>110</v>
      </c>
      <c r="D9" s="3" t="s">
        <v>98</v>
      </c>
    </row>
    <row r="10" spans="1:4" x14ac:dyDescent="0.25">
      <c r="A10" s="3" t="s">
        <v>111</v>
      </c>
      <c r="B10" s="3" t="s">
        <v>112</v>
      </c>
      <c r="C10" s="3" t="s">
        <v>113</v>
      </c>
      <c r="D10" s="3" t="s">
        <v>98</v>
      </c>
    </row>
    <row r="11" spans="1:4" x14ac:dyDescent="0.25">
      <c r="A11" s="3" t="s">
        <v>114</v>
      </c>
      <c r="B11" s="3" t="s">
        <v>115</v>
      </c>
      <c r="C11" s="3" t="s">
        <v>98</v>
      </c>
      <c r="D11" s="3" t="s">
        <v>97</v>
      </c>
    </row>
    <row r="12" spans="1:4" x14ac:dyDescent="0.25">
      <c r="A12" s="3" t="s">
        <v>116</v>
      </c>
      <c r="B12" s="3" t="s">
        <v>117</v>
      </c>
      <c r="C12" s="3" t="s">
        <v>98</v>
      </c>
      <c r="D12" s="3" t="s">
        <v>101</v>
      </c>
    </row>
    <row r="13" spans="1:4" x14ac:dyDescent="0.25">
      <c r="A13" s="3" t="s">
        <v>60</v>
      </c>
      <c r="B13" s="3" t="s">
        <v>61</v>
      </c>
      <c r="C13" s="3" t="s">
        <v>98</v>
      </c>
      <c r="D13" s="3" t="s">
        <v>104</v>
      </c>
    </row>
    <row r="14" spans="1:4" x14ac:dyDescent="0.25">
      <c r="A14" s="3" t="s">
        <v>70</v>
      </c>
      <c r="B14" s="3" t="s">
        <v>71</v>
      </c>
      <c r="C14" s="3" t="s">
        <v>98</v>
      </c>
      <c r="D14" s="3" t="s">
        <v>107</v>
      </c>
    </row>
    <row r="15" spans="1:4" x14ac:dyDescent="0.25">
      <c r="A15" s="3" t="s">
        <v>118</v>
      </c>
      <c r="B15" s="3" t="s">
        <v>119</v>
      </c>
      <c r="C15" s="3" t="s">
        <v>98</v>
      </c>
      <c r="D15" s="3" t="s">
        <v>110</v>
      </c>
    </row>
    <row r="16" spans="1:4" x14ac:dyDescent="0.25">
      <c r="A16" s="3" t="s">
        <v>120</v>
      </c>
      <c r="B16" s="3" t="s">
        <v>121</v>
      </c>
      <c r="C16" s="3" t="s">
        <v>98</v>
      </c>
      <c r="D16" s="3" t="s">
        <v>113</v>
      </c>
    </row>
    <row r="18" spans="1:2" x14ac:dyDescent="0.25">
      <c r="A18" s="2" t="s">
        <v>122</v>
      </c>
    </row>
    <row r="19" spans="1:2" x14ac:dyDescent="0.25">
      <c r="A19" s="5" t="s">
        <v>123</v>
      </c>
      <c r="B19" s="5" t="s">
        <v>124</v>
      </c>
    </row>
    <row r="20" spans="1:2" x14ac:dyDescent="0.25">
      <c r="A20" s="6" t="s">
        <v>125</v>
      </c>
      <c r="B20" s="6" t="s">
        <v>59</v>
      </c>
    </row>
    <row r="21" spans="1:2" x14ac:dyDescent="0.25">
      <c r="A21" s="6" t="s">
        <v>125</v>
      </c>
      <c r="B21" s="6" t="s">
        <v>59</v>
      </c>
    </row>
    <row r="22" spans="1:2" x14ac:dyDescent="0.25">
      <c r="A22" s="6" t="s">
        <v>126</v>
      </c>
      <c r="B22" s="6" t="s">
        <v>65</v>
      </c>
    </row>
    <row r="23" spans="1:2" x14ac:dyDescent="0.25">
      <c r="A23" s="6" t="s">
        <v>127</v>
      </c>
      <c r="B23" s="6" t="s">
        <v>128</v>
      </c>
    </row>
    <row r="24" spans="1:2" x14ac:dyDescent="0.25">
      <c r="A24" s="6" t="s">
        <v>129</v>
      </c>
      <c r="B24" s="6" t="s">
        <v>130</v>
      </c>
    </row>
    <row r="25" spans="1:2" x14ac:dyDescent="0.25">
      <c r="A25" s="6" t="s">
        <v>131</v>
      </c>
      <c r="B25" s="6" t="s">
        <v>72</v>
      </c>
    </row>
    <row r="26" spans="1:2" x14ac:dyDescent="0.25">
      <c r="A26" s="6" t="s">
        <v>132</v>
      </c>
      <c r="B26" s="6" t="s">
        <v>133</v>
      </c>
    </row>
    <row r="27" spans="1:2" x14ac:dyDescent="0.25">
      <c r="A27" s="6" t="s">
        <v>134</v>
      </c>
      <c r="B27" s="6" t="s">
        <v>135</v>
      </c>
    </row>
    <row r="28" spans="1:2" x14ac:dyDescent="0.25">
      <c r="A28" s="6" t="s">
        <v>136</v>
      </c>
      <c r="B28" s="6" t="s">
        <v>137</v>
      </c>
    </row>
    <row r="29" spans="1:2" x14ac:dyDescent="0.25">
      <c r="A29" s="6" t="s">
        <v>138</v>
      </c>
      <c r="B29" s="6" t="s">
        <v>139</v>
      </c>
    </row>
    <row r="30" spans="1:2" x14ac:dyDescent="0.25">
      <c r="A30" s="6" t="s">
        <v>140</v>
      </c>
      <c r="B30" s="6" t="s">
        <v>141</v>
      </c>
    </row>
    <row r="31" spans="1:2" x14ac:dyDescent="0.25">
      <c r="A31" s="6" t="s">
        <v>142</v>
      </c>
      <c r="B31" s="6" t="s">
        <v>143</v>
      </c>
    </row>
    <row r="32" spans="1:2" x14ac:dyDescent="0.25">
      <c r="A32" s="6" t="s">
        <v>144</v>
      </c>
      <c r="B32" s="6" t="s">
        <v>145</v>
      </c>
    </row>
    <row r="33" spans="1:2" x14ac:dyDescent="0.25">
      <c r="A33" s="6" t="s">
        <v>146</v>
      </c>
      <c r="B33" s="6" t="s">
        <v>147</v>
      </c>
    </row>
    <row r="34" spans="1:2" x14ac:dyDescent="0.25">
      <c r="A34" s="6" t="s">
        <v>148</v>
      </c>
      <c r="B34" s="6" t="s">
        <v>149</v>
      </c>
    </row>
    <row r="35" spans="1:2" x14ac:dyDescent="0.25">
      <c r="A35" s="6" t="s">
        <v>150</v>
      </c>
      <c r="B35" s="6" t="s">
        <v>151</v>
      </c>
    </row>
    <row r="36" spans="1:2" x14ac:dyDescent="0.25">
      <c r="A36" s="6" t="s">
        <v>152</v>
      </c>
      <c r="B36" s="6" t="s">
        <v>153</v>
      </c>
    </row>
    <row r="37" spans="1:2" x14ac:dyDescent="0.25">
      <c r="A37" s="6" t="s">
        <v>154</v>
      </c>
      <c r="B37" s="6" t="s">
        <v>155</v>
      </c>
    </row>
    <row r="38" spans="1:2" x14ac:dyDescent="0.25">
      <c r="A38" s="6" t="s">
        <v>156</v>
      </c>
      <c r="B38" s="6" t="s">
        <v>157</v>
      </c>
    </row>
    <row r="39" spans="1:2" x14ac:dyDescent="0.25">
      <c r="A39" s="6" t="s">
        <v>158</v>
      </c>
      <c r="B39" s="6" t="s">
        <v>159</v>
      </c>
    </row>
    <row r="40" spans="1:2" x14ac:dyDescent="0.25">
      <c r="A40" s="6" t="s">
        <v>160</v>
      </c>
      <c r="B40" s="6" t="s">
        <v>161</v>
      </c>
    </row>
    <row r="41" spans="1:2" x14ac:dyDescent="0.25">
      <c r="A41" s="6" t="s">
        <v>162</v>
      </c>
      <c r="B41" s="6" t="s">
        <v>163</v>
      </c>
    </row>
    <row r="42" spans="1:2" x14ac:dyDescent="0.25">
      <c r="A42" s="6" t="s">
        <v>164</v>
      </c>
      <c r="B42" s="6" t="s">
        <v>165</v>
      </c>
    </row>
    <row r="43" spans="1:2" x14ac:dyDescent="0.25">
      <c r="A43" s="6" t="s">
        <v>166</v>
      </c>
      <c r="B43" s="6" t="s">
        <v>167</v>
      </c>
    </row>
    <row r="44" spans="1:2" ht="30" x14ac:dyDescent="0.25">
      <c r="A44" s="6" t="s">
        <v>168</v>
      </c>
      <c r="B44" s="6" t="s">
        <v>169</v>
      </c>
    </row>
    <row r="46" spans="1:2" x14ac:dyDescent="0.25">
      <c r="A46" s="2" t="s">
        <v>170</v>
      </c>
    </row>
    <row r="47" spans="1:2" x14ac:dyDescent="0.25">
      <c r="A47" s="5" t="s">
        <v>171</v>
      </c>
      <c r="B47" s="5" t="s">
        <v>172</v>
      </c>
    </row>
    <row r="48" spans="1:2" ht="90" x14ac:dyDescent="0.25">
      <c r="A48" s="6" t="s">
        <v>173</v>
      </c>
      <c r="B48" s="6" t="s">
        <v>174</v>
      </c>
    </row>
    <row r="49" spans="1:2" ht="75" x14ac:dyDescent="0.25">
      <c r="A49" s="6" t="s">
        <v>175</v>
      </c>
      <c r="B49" s="6" t="s">
        <v>176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 Batch Details</vt:lpstr>
      <vt:lpstr>Age Batch Containers</vt:lpstr>
      <vt:lpstr>Pivot</vt:lpstr>
      <vt:lpstr>FSC_table</vt:lpstr>
      <vt:lpstr>escapement_table</vt:lpstr>
      <vt:lpstr>Age Scale Read</vt:lpstr>
      <vt:lpstr>Archive Bin</vt:lpstr>
      <vt:lpstr>Archive Transfer</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McGivney, Kate (she, her / elle, la) (DFO/MPO)</cp:lastModifiedBy>
  <dcterms:created xsi:type="dcterms:W3CDTF">2026-06-05T18:43:30Z</dcterms:created>
  <dcterms:modified xsi:type="dcterms:W3CDTF">2026-08-24T18:30:01Z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2026-02-16T18:54:53Z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f79588ef-5801-44ef-8d37-6be471f10a44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