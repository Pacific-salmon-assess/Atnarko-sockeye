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0_GitHub\Atnarko-sockeye\data\age\raw\"/>
    </mc:Choice>
  </mc:AlternateContent>
  <xr:revisionPtr revIDLastSave="0" documentId="13_ncr:1_{8E1CB437-B470-4BCC-AE96-4C83A213B5E1}" xr6:coauthVersionLast="47" xr6:coauthVersionMax="47" xr10:uidLastSave="{00000000-0000-0000-0000-000000000000}"/>
  <bookViews>
    <workbookView xWindow="1320" yWindow="1875" windowWidth="25500" windowHeight="11655" firstSheet="1" activeTab="4" xr2:uid="{00000000-000D-0000-FFFF-FFFF00000000}"/>
  </bookViews>
  <sheets>
    <sheet name="instructions" sheetId="2" r:id="rId1"/>
    <sheet name="Sheet1" sheetId="3" r:id="rId2"/>
    <sheet name="ages pivot" sheetId="4" r:id="rId3"/>
    <sheet name="by sample #" sheetId="5" r:id="rId4"/>
    <sheet name="data" sheetId="1" r:id="rId5"/>
  </sheets>
  <definedNames>
    <definedName name="_xlnm._FilterDatabase" localSheetId="4" hidden="1">data!$A$1:$AL$1403</definedName>
  </definedNames>
  <calcPr calcId="191029"/>
  <pivotCaches>
    <pivotCache cacheId="8" r:id="rId6"/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3xAfQ7WTH1vruKdrl829rT5j7CQ=="/>
    </ext>
  </extLst>
</workbook>
</file>

<file path=xl/calcChain.xml><?xml version="1.0" encoding="utf-8"?>
<calcChain xmlns="http://schemas.openxmlformats.org/spreadsheetml/2006/main">
  <c r="T6" i="4" l="1"/>
  <c r="T7" i="4"/>
  <c r="T8" i="4"/>
  <c r="T9" i="4"/>
  <c r="T10" i="4"/>
  <c r="T11" i="4"/>
  <c r="T12" i="4"/>
  <c r="T5" i="4"/>
  <c r="S10" i="4"/>
  <c r="S6" i="4"/>
  <c r="S7" i="4"/>
  <c r="S8" i="4"/>
  <c r="S9" i="4"/>
  <c r="S11" i="4"/>
  <c r="S12" i="4"/>
  <c r="S5" i="4"/>
  <c r="R12" i="4"/>
  <c r="R10" i="4"/>
  <c r="R6" i="4"/>
  <c r="R7" i="4"/>
  <c r="R8" i="4"/>
  <c r="R9" i="4"/>
  <c r="R11" i="4"/>
  <c r="R5" i="4"/>
  <c r="Q11" i="4"/>
  <c r="Q10" i="4"/>
  <c r="Q6" i="4"/>
  <c r="Q7" i="4"/>
  <c r="Q8" i="4"/>
  <c r="Q9" i="4"/>
  <c r="Q12" i="4"/>
  <c r="Q5" i="4"/>
  <c r="P8" i="4"/>
  <c r="P6" i="4"/>
  <c r="P7" i="4"/>
  <c r="P9" i="4"/>
  <c r="P10" i="4"/>
  <c r="P11" i="4"/>
  <c r="P12" i="4"/>
  <c r="P5" i="4"/>
  <c r="V3" i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1" i="1" a="1"/>
  <c r="V21" i="1" s="1"/>
  <c r="V23" i="1" a="1"/>
  <c r="V23" i="1" s="1"/>
  <c r="V24" i="1" a="1"/>
  <c r="V24" i="1" s="1"/>
  <c r="V25" i="1" a="1"/>
  <c r="V25" i="1" s="1"/>
  <c r="V26" i="1" a="1"/>
  <c r="V26" i="1" s="1"/>
  <c r="V29" i="1" a="1"/>
  <c r="V29" i="1" s="1"/>
  <c r="V31" i="1" a="1"/>
  <c r="V31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3" i="1" a="1"/>
  <c r="V43" i="1" s="1"/>
  <c r="V44" i="1" a="1"/>
  <c r="V44" i="1" s="1"/>
  <c r="V46" i="1" a="1"/>
  <c r="V46" i="1" s="1"/>
  <c r="V47" i="1" a="1"/>
  <c r="V47" i="1" s="1"/>
  <c r="V48" i="1" a="1"/>
  <c r="V48" i="1" s="1"/>
  <c r="V49" i="1" a="1"/>
  <c r="V49" i="1" s="1"/>
  <c r="V50" i="1" a="1"/>
  <c r="V50" i="1" s="1"/>
  <c r="V52" i="1" a="1"/>
  <c r="V52" i="1" s="1"/>
  <c r="V53" i="1" a="1"/>
  <c r="V53" i="1" s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5" i="1" a="1"/>
  <c r="V65" i="1" s="1"/>
  <c r="V66" i="1" a="1"/>
  <c r="V66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80" i="1" a="1"/>
  <c r="V80" i="1" s="1"/>
  <c r="V81" i="1" a="1"/>
  <c r="V81" i="1" s="1"/>
  <c r="V83" i="1" a="1"/>
  <c r="V83" i="1" s="1"/>
  <c r="V85" i="1" a="1"/>
  <c r="V85" i="1" s="1"/>
  <c r="V86" i="1" a="1"/>
  <c r="V86" i="1" s="1"/>
  <c r="V87" i="1" a="1"/>
  <c r="V87" i="1" s="1"/>
  <c r="V88" i="1" a="1"/>
  <c r="V88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6" i="1" a="1"/>
  <c r="V96" i="1" s="1"/>
  <c r="V97" i="1" a="1"/>
  <c r="V97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V104" i="1" a="1"/>
  <c r="V104" i="1" s="1"/>
  <c r="V105" i="1" a="1"/>
  <c r="V105" i="1" s="1"/>
  <c r="V107" i="1" a="1"/>
  <c r="V107" i="1" s="1"/>
  <c r="V108" i="1" a="1"/>
  <c r="V108" i="1" s="1"/>
  <c r="V109" i="1" a="1"/>
  <c r="V109" i="1" s="1"/>
  <c r="V110" i="1" a="1"/>
  <c r="V110" i="1" s="1"/>
  <c r="V112" i="1" a="1"/>
  <c r="V112" i="1" s="1"/>
  <c r="V113" i="1" a="1"/>
  <c r="V113" i="1" s="1"/>
  <c r="V114" i="1" a="1"/>
  <c r="V114" i="1" s="1"/>
  <c r="V116" i="1" a="1"/>
  <c r="V116" i="1" s="1"/>
  <c r="V117" i="1" a="1"/>
  <c r="V117" i="1" s="1"/>
  <c r="V118" i="1" a="1"/>
  <c r="V118" i="1" s="1"/>
  <c r="V119" i="1" a="1"/>
  <c r="V119" i="1" s="1"/>
  <c r="V120" i="1" a="1"/>
  <c r="V120" i="1" s="1"/>
  <c r="V121" i="1" a="1"/>
  <c r="V121" i="1" s="1"/>
  <c r="V122" i="1" a="1"/>
  <c r="V122" i="1" s="1"/>
  <c r="V124" i="1" a="1"/>
  <c r="V124" i="1" s="1"/>
  <c r="V126" i="1" a="1"/>
  <c r="V126" i="1" s="1"/>
  <c r="V127" i="1" a="1"/>
  <c r="V127" i="1" s="1"/>
  <c r="V128" i="1" a="1"/>
  <c r="V128" i="1" s="1"/>
  <c r="V129" i="1" a="1"/>
  <c r="V129" i="1" s="1"/>
  <c r="V130" i="1" a="1"/>
  <c r="V130" i="1" s="1"/>
  <c r="V131" i="1" a="1"/>
  <c r="V131" i="1" s="1"/>
  <c r="V132" i="1" a="1"/>
  <c r="V132" i="1" s="1"/>
  <c r="V133" i="1" a="1"/>
  <c r="V133" i="1" s="1"/>
  <c r="V134" i="1" a="1"/>
  <c r="V134" i="1" s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7" i="1" a="1"/>
  <c r="V147" i="1" s="1"/>
  <c r="V149" i="1" a="1"/>
  <c r="V149" i="1" s="1"/>
  <c r="V150" i="1" a="1"/>
  <c r="V150" i="1" s="1"/>
  <c r="V151" i="1" a="1"/>
  <c r="V151" i="1" s="1"/>
  <c r="V152" i="1" a="1"/>
  <c r="V152" i="1" s="1"/>
  <c r="V154" i="1" a="1"/>
  <c r="V154" i="1" s="1"/>
  <c r="V155" i="1" a="1"/>
  <c r="V155" i="1" s="1"/>
  <c r="V157" i="1" a="1"/>
  <c r="V157" i="1" s="1"/>
  <c r="V158" i="1" a="1"/>
  <c r="V158" i="1" s="1"/>
  <c r="V159" i="1" a="1"/>
  <c r="V159" i="1" s="1"/>
  <c r="V160" i="1" a="1"/>
  <c r="V160" i="1" s="1"/>
  <c r="V161" i="1" a="1"/>
  <c r="V161" i="1" s="1"/>
  <c r="V162" i="1" a="1"/>
  <c r="V162" i="1" s="1"/>
  <c r="V164" i="1" a="1"/>
  <c r="V164" i="1" s="1"/>
  <c r="V165" i="1" a="1"/>
  <c r="V165" i="1" s="1"/>
  <c r="V167" i="1" a="1"/>
  <c r="V167" i="1" s="1"/>
  <c r="V169" i="1" a="1"/>
  <c r="V169" i="1" s="1"/>
  <c r="V171" i="1" a="1"/>
  <c r="V171" i="1" s="1"/>
  <c r="V172" i="1" a="1"/>
  <c r="V172" i="1" s="1"/>
  <c r="V173" i="1" a="1"/>
  <c r="V173" i="1" s="1"/>
  <c r="V174" i="1" a="1"/>
  <c r="V174" i="1" s="1"/>
  <c r="V175" i="1" a="1"/>
  <c r="V175" i="1" s="1"/>
  <c r="V176" i="1" a="1"/>
  <c r="V176" i="1" s="1"/>
  <c r="V177" i="1" a="1"/>
  <c r="V177" i="1" s="1"/>
  <c r="V179" i="1" a="1"/>
  <c r="V179" i="1" s="1"/>
  <c r="V180" i="1" a="1"/>
  <c r="V180" i="1" s="1"/>
  <c r="V183" i="1" a="1"/>
  <c r="V183" i="1" s="1"/>
  <c r="V185" i="1" a="1"/>
  <c r="V185" i="1" s="1"/>
  <c r="V186" i="1" a="1"/>
  <c r="V186" i="1" s="1"/>
  <c r="V189" i="1" a="1"/>
  <c r="V189" i="1" s="1"/>
  <c r="V190" i="1" a="1"/>
  <c r="V190" i="1" s="1"/>
  <c r="V191" i="1" a="1"/>
  <c r="V191" i="1" s="1"/>
  <c r="V193" i="1" a="1"/>
  <c r="V193" i="1" s="1"/>
  <c r="V194" i="1" a="1"/>
  <c r="V194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6" i="1" a="1"/>
  <c r="V206" i="1" s="1"/>
  <c r="V208" i="1" a="1"/>
  <c r="V208" i="1" s="1"/>
  <c r="V209" i="1" a="1"/>
  <c r="V209" i="1" s="1"/>
  <c r="V210" i="1" a="1"/>
  <c r="V210" i="1" s="1"/>
  <c r="V211" i="1" a="1"/>
  <c r="V211" i="1" s="1"/>
  <c r="V212" i="1" a="1"/>
  <c r="V212" i="1" s="1"/>
  <c r="V215" i="1" a="1"/>
  <c r="V215" i="1" s="1"/>
  <c r="V216" i="1" a="1"/>
  <c r="V216" i="1" s="1"/>
  <c r="V217" i="1" a="1"/>
  <c r="V217" i="1" s="1"/>
  <c r="V219" i="1" a="1"/>
  <c r="V219" i="1" s="1"/>
  <c r="V221" i="1" a="1"/>
  <c r="V221" i="1" s="1"/>
  <c r="V222" i="1" a="1"/>
  <c r="V222" i="1" s="1"/>
  <c r="V224" i="1" a="1"/>
  <c r="V224" i="1" s="1"/>
  <c r="V225" i="1" a="1"/>
  <c r="V225" i="1" s="1"/>
  <c r="V227" i="1" a="1"/>
  <c r="V227" i="1" s="1"/>
  <c r="V229" i="1" a="1"/>
  <c r="V229" i="1" s="1"/>
  <c r="V231" i="1" a="1"/>
  <c r="V231" i="1" s="1"/>
  <c r="V232" i="1" a="1"/>
  <c r="V232" i="1" s="1"/>
  <c r="V233" i="1" a="1"/>
  <c r="V233" i="1" s="1"/>
  <c r="V234" i="1" a="1"/>
  <c r="V234" i="1" s="1"/>
  <c r="V235" i="1" a="1"/>
  <c r="V235" i="1" s="1"/>
  <c r="V238" i="1" a="1"/>
  <c r="V238" i="1" s="1"/>
  <c r="V239" i="1" a="1"/>
  <c r="V239" i="1" s="1"/>
  <c r="V240" i="1" a="1"/>
  <c r="V240" i="1" s="1"/>
  <c r="V241" i="1" a="1"/>
  <c r="V241" i="1" s="1"/>
  <c r="V242" i="1" a="1"/>
  <c r="V242" i="1" s="1"/>
  <c r="V244" i="1" a="1"/>
  <c r="V244" i="1" s="1"/>
  <c r="V245" i="1" a="1"/>
  <c r="V245" i="1" s="1"/>
  <c r="V246" i="1" a="1"/>
  <c r="V246" i="1" s="1"/>
  <c r="V247" i="1" a="1"/>
  <c r="V247" i="1" s="1"/>
  <c r="V248" i="1" a="1"/>
  <c r="V248" i="1" s="1"/>
  <c r="V249" i="1" a="1"/>
  <c r="V249" i="1" s="1"/>
  <c r="V251" i="1" a="1"/>
  <c r="V251" i="1" s="1"/>
  <c r="V253" i="1" a="1"/>
  <c r="V253" i="1" s="1"/>
  <c r="V255" i="1" a="1"/>
  <c r="V255" i="1" s="1"/>
  <c r="V256" i="1" a="1"/>
  <c r="V256" i="1" s="1"/>
  <c r="V258" i="1" a="1"/>
  <c r="V258" i="1" s="1"/>
  <c r="V260" i="1" a="1"/>
  <c r="V260" i="1" s="1"/>
  <c r="V261" i="1" a="1"/>
  <c r="V261" i="1" s="1"/>
  <c r="V262" i="1" a="1"/>
  <c r="V262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4" i="1" a="1"/>
  <c r="V274" i="1" s="1"/>
  <c r="V275" i="1" a="1"/>
  <c r="V275" i="1" s="1"/>
  <c r="V276" i="1" a="1"/>
  <c r="V276" i="1" s="1"/>
  <c r="V277" i="1" a="1"/>
  <c r="V277" i="1" s="1"/>
  <c r="V278" i="1" a="1"/>
  <c r="V278" i="1" s="1"/>
  <c r="V279" i="1" a="1"/>
  <c r="V279" i="1" s="1"/>
  <c r="V280" i="1" a="1"/>
  <c r="V280" i="1" s="1"/>
  <c r="V282" i="1" a="1"/>
  <c r="V282" i="1" s="1"/>
  <c r="V283" i="1" a="1"/>
  <c r="V283" i="1" s="1"/>
  <c r="V284" i="1" a="1"/>
  <c r="V284" i="1" s="1"/>
  <c r="V285" i="1" a="1"/>
  <c r="V285" i="1" s="1"/>
  <c r="V287" i="1" a="1"/>
  <c r="V287" i="1" s="1"/>
  <c r="V288" i="1" a="1"/>
  <c r="V288" i="1" s="1"/>
  <c r="V292" i="1" a="1"/>
  <c r="V292" i="1" s="1"/>
  <c r="V295" i="1" a="1"/>
  <c r="V295" i="1" s="1"/>
  <c r="V296" i="1" a="1"/>
  <c r="V296" i="1" s="1"/>
  <c r="V297" i="1" a="1"/>
  <c r="V297" i="1" s="1"/>
  <c r="V298" i="1" a="1"/>
  <c r="V298" i="1" s="1"/>
  <c r="V300" i="1" a="1"/>
  <c r="V300" i="1" s="1"/>
  <c r="V302" i="1" a="1"/>
  <c r="V302" i="1" s="1"/>
  <c r="V303" i="1" a="1"/>
  <c r="V303" i="1" s="1"/>
  <c r="V304" i="1" a="1"/>
  <c r="V304" i="1" s="1"/>
  <c r="V305" i="1" a="1"/>
  <c r="V305" i="1" s="1"/>
  <c r="V306" i="1" a="1"/>
  <c r="V306" i="1" s="1"/>
  <c r="V307" i="1" a="1"/>
  <c r="V307" i="1" s="1"/>
  <c r="V308" i="1" a="1"/>
  <c r="V308" i="1" s="1"/>
  <c r="V309" i="1" a="1"/>
  <c r="V309" i="1" s="1"/>
  <c r="V310" i="1" a="1"/>
  <c r="V310" i="1" s="1"/>
  <c r="V311" i="1" a="1"/>
  <c r="V311" i="1" s="1"/>
  <c r="V313" i="1" a="1"/>
  <c r="V313" i="1" s="1"/>
  <c r="V314" i="1" a="1"/>
  <c r="V314" i="1" s="1"/>
  <c r="V315" i="1" a="1"/>
  <c r="V315" i="1" s="1"/>
  <c r="V316" i="1" a="1"/>
  <c r="V316" i="1" s="1"/>
  <c r="V317" i="1" a="1"/>
  <c r="V317" i="1" s="1"/>
  <c r="V318" i="1" a="1"/>
  <c r="V318" i="1" s="1"/>
  <c r="V320" i="1" a="1"/>
  <c r="V320" i="1" s="1"/>
  <c r="V321" i="1" a="1"/>
  <c r="V321" i="1" s="1"/>
  <c r="V322" i="1" a="1"/>
  <c r="V322" i="1" s="1"/>
  <c r="V323" i="1" a="1"/>
  <c r="V323" i="1" s="1"/>
  <c r="V325" i="1" a="1"/>
  <c r="V325" i="1" s="1"/>
  <c r="V326" i="1" a="1"/>
  <c r="V326" i="1" s="1"/>
  <c r="V327" i="1" a="1"/>
  <c r="V327" i="1" s="1"/>
  <c r="V328" i="1" a="1"/>
  <c r="V328" i="1" s="1"/>
  <c r="V331" i="1" a="1"/>
  <c r="V331" i="1" s="1"/>
  <c r="V332" i="1" a="1"/>
  <c r="V332" i="1" s="1"/>
  <c r="V334" i="1" a="1"/>
  <c r="V334" i="1" s="1"/>
  <c r="V335" i="1" a="1"/>
  <c r="V335" i="1" s="1"/>
  <c r="V336" i="1" a="1"/>
  <c r="V336" i="1" s="1"/>
  <c r="V337" i="1" a="1"/>
  <c r="V337" i="1" s="1"/>
  <c r="V338" i="1" a="1"/>
  <c r="V338" i="1" s="1"/>
  <c r="V339" i="1" a="1"/>
  <c r="V339" i="1" s="1"/>
  <c r="V342" i="1" a="1"/>
  <c r="V342" i="1" s="1"/>
  <c r="V343" i="1" a="1"/>
  <c r="V343" i="1" s="1"/>
  <c r="V344" i="1" a="1"/>
  <c r="V344" i="1" s="1"/>
  <c r="V347" i="1" a="1"/>
  <c r="V347" i="1" s="1"/>
  <c r="V349" i="1" a="1"/>
  <c r="V349" i="1" s="1"/>
  <c r="V350" i="1" a="1"/>
  <c r="V350" i="1" s="1"/>
  <c r="V351" i="1" a="1"/>
  <c r="V351" i="1" s="1"/>
  <c r="V352" i="1" a="1"/>
  <c r="V352" i="1" s="1"/>
  <c r="V353" i="1" a="1"/>
  <c r="V353" i="1" s="1"/>
  <c r="V354" i="1" a="1"/>
  <c r="V354" i="1" s="1"/>
  <c r="V355" i="1" a="1"/>
  <c r="V355" i="1" s="1"/>
  <c r="V356" i="1" a="1"/>
  <c r="V356" i="1" s="1"/>
  <c r="V357" i="1" a="1"/>
  <c r="V357" i="1" s="1"/>
  <c r="V358" i="1" a="1"/>
  <c r="V358" i="1" s="1"/>
  <c r="V359" i="1" a="1"/>
  <c r="V359" i="1" s="1"/>
  <c r="V360" i="1" a="1"/>
  <c r="V360" i="1" s="1"/>
  <c r="V361" i="1" a="1"/>
  <c r="V361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 s="1"/>
  <c r="V370" i="1" a="1"/>
  <c r="V370" i="1" s="1"/>
  <c r="V374" i="1" a="1"/>
  <c r="V374" i="1" s="1"/>
  <c r="V375" i="1" a="1"/>
  <c r="V375" i="1" s="1"/>
  <c r="V377" i="1" a="1"/>
  <c r="V377" i="1" s="1"/>
  <c r="V378" i="1" a="1"/>
  <c r="V378" i="1" s="1"/>
  <c r="V379" i="1" a="1"/>
  <c r="V379" i="1" s="1"/>
  <c r="V380" i="1" a="1"/>
  <c r="V380" i="1" s="1"/>
  <c r="V381" i="1" a="1"/>
  <c r="V381" i="1" s="1"/>
  <c r="V382" i="1" a="1"/>
  <c r="V382" i="1" s="1"/>
  <c r="V383" i="1" a="1"/>
  <c r="V383" i="1" s="1"/>
  <c r="V384" i="1" a="1"/>
  <c r="V384" i="1" s="1"/>
  <c r="V385" i="1" a="1"/>
  <c r="V385" i="1" s="1"/>
  <c r="V386" i="1" a="1"/>
  <c r="V386" i="1" s="1"/>
  <c r="V387" i="1" a="1"/>
  <c r="V387" i="1" s="1"/>
  <c r="V392" i="1" a="1"/>
  <c r="V392" i="1" s="1"/>
  <c r="V393" i="1" a="1"/>
  <c r="V393" i="1" s="1"/>
  <c r="V394" i="1" a="1"/>
  <c r="V394" i="1" s="1"/>
  <c r="V397" i="1" a="1"/>
  <c r="V397" i="1" s="1"/>
  <c r="V400" i="1" a="1"/>
  <c r="V400" i="1" s="1"/>
  <c r="V401" i="1" a="1"/>
  <c r="V401" i="1" s="1"/>
  <c r="V402" i="1" a="1"/>
  <c r="V402" i="1" s="1"/>
  <c r="V405" i="1" a="1"/>
  <c r="V405" i="1" s="1"/>
  <c r="V407" i="1" a="1"/>
  <c r="V407" i="1" s="1"/>
  <c r="V408" i="1" a="1"/>
  <c r="V408" i="1" s="1"/>
  <c r="V409" i="1" a="1"/>
  <c r="V409" i="1" s="1"/>
  <c r="V410" i="1" a="1"/>
  <c r="V410" i="1" s="1"/>
  <c r="V411" i="1" a="1"/>
  <c r="V411" i="1" s="1"/>
  <c r="V412" i="1" a="1"/>
  <c r="V412" i="1" s="1"/>
  <c r="V413" i="1" a="1"/>
  <c r="V413" i="1" s="1"/>
  <c r="V415" i="1" a="1"/>
  <c r="V415" i="1" s="1"/>
  <c r="V416" i="1" a="1"/>
  <c r="V416" i="1" s="1"/>
  <c r="V417" i="1" a="1"/>
  <c r="V417" i="1" s="1"/>
  <c r="V419" i="1" a="1"/>
  <c r="V419" i="1" s="1"/>
  <c r="V420" i="1" a="1"/>
  <c r="V420" i="1" s="1"/>
  <c r="V421" i="1" a="1"/>
  <c r="V421" i="1" s="1"/>
  <c r="V422" i="1" a="1"/>
  <c r="V422" i="1" s="1"/>
  <c r="V423" i="1" a="1"/>
  <c r="V423" i="1" s="1"/>
  <c r="V424" i="1" a="1"/>
  <c r="V424" i="1" s="1"/>
  <c r="V426" i="1" a="1"/>
  <c r="V426" i="1" s="1"/>
  <c r="V427" i="1" a="1"/>
  <c r="V427" i="1" s="1"/>
  <c r="V428" i="1" a="1"/>
  <c r="V428" i="1" s="1"/>
  <c r="V429" i="1" a="1"/>
  <c r="V429" i="1" s="1"/>
  <c r="V430" i="1" a="1"/>
  <c r="V430" i="1" s="1"/>
  <c r="V431" i="1" a="1"/>
  <c r="V431" i="1" s="1"/>
  <c r="V432" i="1" a="1"/>
  <c r="V432" i="1" s="1"/>
  <c r="V433" i="1" a="1"/>
  <c r="V433" i="1" s="1"/>
  <c r="V434" i="1" a="1"/>
  <c r="V434" i="1" s="1"/>
  <c r="V437" i="1" a="1"/>
  <c r="V437" i="1" s="1"/>
  <c r="V441" i="1" a="1"/>
  <c r="V441" i="1" s="1"/>
  <c r="V443" i="1" a="1"/>
  <c r="V443" i="1" s="1"/>
  <c r="V445" i="1" a="1"/>
  <c r="V445" i="1" s="1"/>
  <c r="V447" i="1" a="1"/>
  <c r="V447" i="1" s="1"/>
  <c r="V448" i="1" a="1"/>
  <c r="V448" i="1" s="1"/>
  <c r="V451" i="1" a="1"/>
  <c r="V451" i="1" s="1"/>
  <c r="V453" i="1" a="1"/>
  <c r="V453" i="1" s="1"/>
  <c r="V454" i="1" a="1"/>
  <c r="V454" i="1" s="1"/>
  <c r="V455" i="1" a="1"/>
  <c r="V455" i="1" s="1"/>
  <c r="V456" i="1" a="1"/>
  <c r="V456" i="1" s="1"/>
  <c r="V457" i="1" a="1"/>
  <c r="V457" i="1" s="1"/>
  <c r="V458" i="1" a="1"/>
  <c r="V458" i="1" s="1"/>
  <c r="V459" i="1" a="1"/>
  <c r="V459" i="1" s="1"/>
  <c r="V460" i="1" a="1"/>
  <c r="V460" i="1" s="1"/>
  <c r="V461" i="1" a="1"/>
  <c r="V461" i="1" s="1"/>
  <c r="V464" i="1" a="1"/>
  <c r="V464" i="1" s="1"/>
  <c r="V465" i="1" a="1"/>
  <c r="V465" i="1" s="1"/>
  <c r="V466" i="1" a="1"/>
  <c r="V466" i="1" s="1"/>
  <c r="V467" i="1" a="1"/>
  <c r="V467" i="1" s="1"/>
  <c r="V468" i="1" a="1"/>
  <c r="V468" i="1" s="1"/>
  <c r="V469" i="1" a="1"/>
  <c r="V469" i="1" s="1"/>
  <c r="V470" i="1" a="1"/>
  <c r="V470" i="1" s="1"/>
  <c r="V472" i="1" a="1"/>
  <c r="V472" i="1" s="1"/>
  <c r="V473" i="1" a="1"/>
  <c r="V473" i="1" s="1"/>
  <c r="V474" i="1" a="1"/>
  <c r="V474" i="1" s="1"/>
  <c r="V475" i="1" a="1"/>
  <c r="V475" i="1" s="1"/>
  <c r="V476" i="1" a="1"/>
  <c r="V476" i="1" s="1"/>
  <c r="V479" i="1" a="1"/>
  <c r="V479" i="1" s="1"/>
  <c r="V482" i="1" a="1"/>
  <c r="V482" i="1" s="1"/>
  <c r="V483" i="1" a="1"/>
  <c r="V483" i="1" s="1"/>
  <c r="V484" i="1" a="1"/>
  <c r="V484" i="1" s="1"/>
  <c r="V486" i="1" a="1"/>
  <c r="V486" i="1" s="1"/>
  <c r="V487" i="1" a="1"/>
  <c r="V487" i="1" s="1"/>
  <c r="V488" i="1" a="1"/>
  <c r="V488" i="1" s="1"/>
  <c r="V490" i="1" a="1"/>
  <c r="V490" i="1" s="1"/>
  <c r="V491" i="1" a="1"/>
  <c r="V491" i="1" s="1"/>
  <c r="V492" i="1" a="1"/>
  <c r="V492" i="1" s="1"/>
  <c r="V493" i="1" a="1"/>
  <c r="V493" i="1" s="1"/>
  <c r="V494" i="1" a="1"/>
  <c r="V494" i="1" s="1"/>
  <c r="V495" i="1" a="1"/>
  <c r="V495" i="1" s="1"/>
  <c r="V496" i="1" a="1"/>
  <c r="V496" i="1" s="1"/>
  <c r="V497" i="1" a="1"/>
  <c r="V497" i="1" s="1"/>
  <c r="V498" i="1" a="1"/>
  <c r="V498" i="1" s="1"/>
  <c r="V499" i="1" a="1"/>
  <c r="V499" i="1" s="1"/>
  <c r="V500" i="1" a="1"/>
  <c r="V500" i="1" s="1"/>
  <c r="V501" i="1" a="1"/>
  <c r="V501" i="1" s="1"/>
  <c r="V502" i="1" a="1"/>
  <c r="V502" i="1" s="1"/>
  <c r="V503" i="1" a="1"/>
  <c r="V503" i="1" s="1"/>
  <c r="V504" i="1" a="1"/>
  <c r="V504" i="1" s="1"/>
  <c r="V505" i="1" a="1"/>
  <c r="V505" i="1" s="1"/>
  <c r="V506" i="1" a="1"/>
  <c r="V506" i="1" s="1"/>
  <c r="V507" i="1" a="1"/>
  <c r="V507" i="1" s="1"/>
  <c r="V508" i="1" a="1"/>
  <c r="V508" i="1" s="1"/>
  <c r="V509" i="1" a="1"/>
  <c r="V509" i="1" s="1"/>
  <c r="V510" i="1" a="1"/>
  <c r="V510" i="1" s="1"/>
  <c r="V511" i="1" a="1"/>
  <c r="V511" i="1" s="1"/>
  <c r="V512" i="1" a="1"/>
  <c r="V512" i="1" s="1"/>
  <c r="V513" i="1" a="1"/>
  <c r="V513" i="1" s="1"/>
  <c r="V514" i="1" a="1"/>
  <c r="V514" i="1" s="1"/>
  <c r="V565" i="1" a="1"/>
  <c r="V565" i="1" s="1"/>
  <c r="V566" i="1" a="1"/>
  <c r="V566" i="1" s="1"/>
  <c r="V567" i="1" a="1"/>
  <c r="V567" i="1" s="1"/>
  <c r="V568" i="1" a="1"/>
  <c r="V568" i="1" s="1"/>
  <c r="V569" i="1" a="1"/>
  <c r="V569" i="1" s="1"/>
  <c r="V570" i="1" a="1"/>
  <c r="V570" i="1" s="1"/>
  <c r="V571" i="1" a="1"/>
  <c r="V571" i="1" s="1"/>
  <c r="V572" i="1" a="1"/>
  <c r="V572" i="1" s="1"/>
  <c r="V573" i="1" a="1"/>
  <c r="V573" i="1" s="1"/>
  <c r="V575" i="1" a="1"/>
  <c r="V575" i="1" s="1"/>
  <c r="V576" i="1" a="1"/>
  <c r="V576" i="1" s="1"/>
  <c r="V577" i="1" a="1"/>
  <c r="V577" i="1" s="1"/>
  <c r="V578" i="1" a="1"/>
  <c r="V578" i="1" s="1"/>
  <c r="V579" i="1" a="1"/>
  <c r="V579" i="1" s="1"/>
  <c r="V580" i="1" a="1"/>
  <c r="V580" i="1" s="1"/>
  <c r="V581" i="1" a="1"/>
  <c r="V581" i="1" s="1"/>
  <c r="V582" i="1" a="1"/>
  <c r="V582" i="1" s="1"/>
  <c r="V583" i="1" a="1"/>
  <c r="V583" i="1" s="1"/>
  <c r="V584" i="1" a="1"/>
  <c r="V584" i="1" s="1"/>
  <c r="V585" i="1" a="1"/>
  <c r="V585" i="1" s="1"/>
  <c r="V586" i="1" a="1"/>
  <c r="V586" i="1" s="1"/>
  <c r="V587" i="1" a="1"/>
  <c r="V587" i="1" s="1"/>
  <c r="V588" i="1" a="1"/>
  <c r="V588" i="1" s="1"/>
  <c r="V589" i="1" a="1"/>
  <c r="V589" i="1" s="1"/>
  <c r="V590" i="1" a="1"/>
  <c r="V590" i="1" s="1"/>
  <c r="V591" i="1" a="1"/>
  <c r="V591" i="1" s="1"/>
  <c r="V592" i="1" a="1"/>
  <c r="V592" i="1" s="1"/>
  <c r="V593" i="1" a="1"/>
  <c r="V593" i="1" s="1"/>
  <c r="V594" i="1" a="1"/>
  <c r="V594" i="1" s="1"/>
  <c r="V595" i="1" a="1"/>
  <c r="V595" i="1" s="1"/>
  <c r="V597" i="1" a="1"/>
  <c r="V597" i="1" s="1"/>
  <c r="V599" i="1" a="1"/>
  <c r="V599" i="1" s="1"/>
  <c r="V600" i="1" a="1"/>
  <c r="V600" i="1" s="1"/>
  <c r="V602" i="1" a="1"/>
  <c r="V602" i="1" s="1"/>
  <c r="V603" i="1" a="1"/>
  <c r="V603" i="1" s="1"/>
  <c r="V604" i="1" a="1"/>
  <c r="V604" i="1" s="1"/>
  <c r="V605" i="1" a="1"/>
  <c r="V605" i="1" s="1"/>
  <c r="V606" i="1" a="1"/>
  <c r="V606" i="1" s="1"/>
  <c r="V607" i="1" a="1"/>
  <c r="V607" i="1" s="1"/>
  <c r="V608" i="1" a="1"/>
  <c r="V608" i="1" s="1"/>
  <c r="V609" i="1" a="1"/>
  <c r="V609" i="1" s="1"/>
  <c r="V610" i="1" a="1"/>
  <c r="V610" i="1" s="1"/>
  <c r="V611" i="1" a="1"/>
  <c r="V611" i="1" s="1"/>
  <c r="V612" i="1" a="1"/>
  <c r="V612" i="1" s="1"/>
  <c r="V613" i="1" a="1"/>
  <c r="V613" i="1" s="1"/>
  <c r="V615" i="1" a="1"/>
  <c r="V615" i="1" s="1"/>
  <c r="V616" i="1" a="1"/>
  <c r="V616" i="1" s="1"/>
  <c r="V617" i="1" a="1"/>
  <c r="V617" i="1" s="1"/>
  <c r="V618" i="1" a="1"/>
  <c r="V618" i="1" s="1"/>
  <c r="V619" i="1" a="1"/>
  <c r="V619" i="1" s="1"/>
  <c r="V620" i="1" a="1"/>
  <c r="V620" i="1" s="1"/>
  <c r="V621" i="1" a="1"/>
  <c r="V621" i="1" s="1"/>
  <c r="V622" i="1" a="1"/>
  <c r="V622" i="1" s="1"/>
  <c r="V623" i="1" a="1"/>
  <c r="V623" i="1" s="1"/>
  <c r="V624" i="1" a="1"/>
  <c r="V624" i="1" s="1"/>
  <c r="V625" i="1" a="1"/>
  <c r="V625" i="1" s="1"/>
  <c r="V627" i="1" a="1"/>
  <c r="V627" i="1" s="1"/>
  <c r="V628" i="1" a="1"/>
  <c r="V628" i="1" s="1"/>
  <c r="V629" i="1" a="1"/>
  <c r="V629" i="1" s="1"/>
  <c r="V630" i="1" a="1"/>
  <c r="V630" i="1" s="1"/>
  <c r="V631" i="1" a="1"/>
  <c r="V631" i="1" s="1"/>
  <c r="V632" i="1" a="1"/>
  <c r="V632" i="1" s="1"/>
  <c r="V633" i="1" a="1"/>
  <c r="V633" i="1" s="1"/>
  <c r="V634" i="1" a="1"/>
  <c r="V634" i="1" s="1"/>
  <c r="V635" i="1" a="1"/>
  <c r="V635" i="1" s="1"/>
  <c r="V636" i="1" a="1"/>
  <c r="V636" i="1" s="1"/>
  <c r="V638" i="1" a="1"/>
  <c r="V638" i="1" s="1"/>
  <c r="V639" i="1" a="1"/>
  <c r="V639" i="1" s="1"/>
  <c r="V640" i="1" a="1"/>
  <c r="V640" i="1" s="1"/>
  <c r="V642" i="1" a="1"/>
  <c r="V642" i="1" s="1"/>
  <c r="V643" i="1" a="1"/>
  <c r="V643" i="1" s="1"/>
  <c r="V644" i="1" a="1"/>
  <c r="V644" i="1" s="1"/>
  <c r="V645" i="1" a="1"/>
  <c r="V645" i="1" s="1"/>
  <c r="V646" i="1" a="1"/>
  <c r="V646" i="1" s="1"/>
  <c r="V647" i="1" a="1"/>
  <c r="V647" i="1" s="1"/>
  <c r="V648" i="1" a="1"/>
  <c r="V648" i="1" s="1"/>
  <c r="V649" i="1" a="1"/>
  <c r="V649" i="1" s="1"/>
  <c r="V650" i="1" a="1"/>
  <c r="V650" i="1" s="1"/>
  <c r="V652" i="1" a="1"/>
  <c r="V652" i="1" s="1"/>
  <c r="V653" i="1" a="1"/>
  <c r="V653" i="1" s="1"/>
  <c r="V654" i="1" a="1"/>
  <c r="V654" i="1" s="1"/>
  <c r="V655" i="1" a="1"/>
  <c r="V655" i="1" s="1"/>
  <c r="V657" i="1" a="1"/>
  <c r="V657" i="1" s="1"/>
  <c r="V658" i="1" a="1"/>
  <c r="V658" i="1" s="1"/>
  <c r="V659" i="1" a="1"/>
  <c r="V659" i="1" s="1"/>
  <c r="V661" i="1" a="1"/>
  <c r="V661" i="1" s="1"/>
  <c r="V662" i="1" a="1"/>
  <c r="V662" i="1" s="1"/>
  <c r="V663" i="1" a="1"/>
  <c r="V663" i="1" s="1"/>
  <c r="V664" i="1" a="1"/>
  <c r="V664" i="1" s="1"/>
  <c r="V665" i="1" a="1"/>
  <c r="V665" i="1" s="1"/>
  <c r="V667" i="1" a="1"/>
  <c r="V667" i="1" s="1"/>
  <c r="V668" i="1" a="1"/>
  <c r="V668" i="1" s="1"/>
  <c r="V669" i="1" a="1"/>
  <c r="V669" i="1" s="1"/>
  <c r="V670" i="1" a="1"/>
  <c r="V670" i="1" s="1"/>
  <c r="V672" i="1" a="1"/>
  <c r="V672" i="1" s="1"/>
  <c r="V673" i="1" a="1"/>
  <c r="V673" i="1" s="1"/>
  <c r="V674" i="1" a="1"/>
  <c r="V674" i="1" s="1"/>
  <c r="V675" i="1" a="1"/>
  <c r="V675" i="1" s="1"/>
  <c r="V676" i="1" a="1"/>
  <c r="V676" i="1" s="1"/>
  <c r="V677" i="1" a="1"/>
  <c r="V677" i="1" s="1"/>
  <c r="V678" i="1" a="1"/>
  <c r="V678" i="1" s="1"/>
  <c r="V679" i="1" a="1"/>
  <c r="V679" i="1" s="1"/>
  <c r="V680" i="1" a="1"/>
  <c r="V680" i="1" s="1"/>
  <c r="V683" i="1" a="1"/>
  <c r="V683" i="1" s="1"/>
  <c r="V684" i="1" a="1"/>
  <c r="V684" i="1" s="1"/>
  <c r="V686" i="1" a="1"/>
  <c r="V686" i="1" s="1"/>
  <c r="V687" i="1" a="1"/>
  <c r="V687" i="1" s="1"/>
  <c r="V688" i="1" a="1"/>
  <c r="V688" i="1" s="1"/>
  <c r="V689" i="1" a="1"/>
  <c r="V689" i="1" s="1"/>
  <c r="V690" i="1" a="1"/>
  <c r="V690" i="1" s="1"/>
  <c r="V691" i="1" a="1"/>
  <c r="V691" i="1" s="1"/>
  <c r="V692" i="1" a="1"/>
  <c r="V692" i="1" s="1"/>
  <c r="V693" i="1" a="1"/>
  <c r="V693" i="1" s="1"/>
  <c r="V694" i="1" a="1"/>
  <c r="V694" i="1" s="1"/>
  <c r="V695" i="1" a="1"/>
  <c r="V695" i="1" s="1"/>
  <c r="V696" i="1" a="1"/>
  <c r="V696" i="1" s="1"/>
  <c r="V697" i="1" a="1"/>
  <c r="V697" i="1" s="1"/>
  <c r="V699" i="1" a="1"/>
  <c r="V699" i="1" s="1"/>
  <c r="V701" i="1" a="1"/>
  <c r="V701" i="1" s="1"/>
  <c r="V702" i="1" a="1"/>
  <c r="V702" i="1" s="1"/>
  <c r="V703" i="1" a="1"/>
  <c r="V703" i="1" s="1"/>
  <c r="V704" i="1" a="1"/>
  <c r="V704" i="1" s="1"/>
  <c r="V705" i="1" a="1"/>
  <c r="V705" i="1" s="1"/>
  <c r="V706" i="1" a="1"/>
  <c r="V706" i="1" s="1"/>
  <c r="V708" i="1" a="1"/>
  <c r="V708" i="1" s="1"/>
  <c r="V709" i="1" a="1"/>
  <c r="V709" i="1" s="1"/>
  <c r="V710" i="1" a="1"/>
  <c r="V710" i="1" s="1"/>
  <c r="V711" i="1" a="1"/>
  <c r="V711" i="1" s="1"/>
  <c r="V712" i="1" a="1"/>
  <c r="V712" i="1" s="1"/>
  <c r="V713" i="1" a="1"/>
  <c r="V713" i="1" s="1"/>
  <c r="V714" i="1" a="1"/>
  <c r="V714" i="1" s="1"/>
  <c r="V716" i="1" a="1"/>
  <c r="V716" i="1" s="1"/>
  <c r="V717" i="1" a="1"/>
  <c r="V717" i="1" s="1"/>
  <c r="V718" i="1" a="1"/>
  <c r="V718" i="1" s="1"/>
  <c r="V719" i="1" a="1"/>
  <c r="V719" i="1" s="1"/>
  <c r="V720" i="1" a="1"/>
  <c r="V720" i="1" s="1"/>
  <c r="V721" i="1" a="1"/>
  <c r="V721" i="1" s="1"/>
  <c r="V722" i="1" a="1"/>
  <c r="V722" i="1" s="1"/>
  <c r="V723" i="1" a="1"/>
  <c r="V723" i="1" s="1"/>
  <c r="V725" i="1" a="1"/>
  <c r="V725" i="1" s="1"/>
  <c r="V726" i="1" a="1"/>
  <c r="V726" i="1" s="1"/>
  <c r="V727" i="1" a="1"/>
  <c r="V727" i="1" s="1"/>
  <c r="V729" i="1" a="1"/>
  <c r="V729" i="1" s="1"/>
  <c r="V731" i="1" a="1"/>
  <c r="V731" i="1" s="1"/>
  <c r="V732" i="1" a="1"/>
  <c r="V732" i="1" s="1"/>
  <c r="V733" i="1" a="1"/>
  <c r="V733" i="1" s="1"/>
  <c r="V734" i="1" a="1"/>
  <c r="V734" i="1" s="1"/>
  <c r="V735" i="1" a="1"/>
  <c r="V735" i="1" s="1"/>
  <c r="V736" i="1" a="1"/>
  <c r="V736" i="1" s="1"/>
  <c r="V737" i="1" a="1"/>
  <c r="V737" i="1" s="1"/>
  <c r="V738" i="1" a="1"/>
  <c r="V738" i="1" s="1"/>
  <c r="V739" i="1" a="1"/>
  <c r="V739" i="1" s="1"/>
  <c r="V740" i="1" a="1"/>
  <c r="V740" i="1" s="1"/>
  <c r="V741" i="1" a="1"/>
  <c r="V741" i="1" s="1"/>
  <c r="V742" i="1" a="1"/>
  <c r="V742" i="1" s="1"/>
  <c r="V743" i="1" a="1"/>
  <c r="V743" i="1" s="1"/>
  <c r="V744" i="1" a="1"/>
  <c r="V744" i="1" s="1"/>
  <c r="V745" i="1" a="1"/>
  <c r="V745" i="1" s="1"/>
  <c r="V746" i="1" a="1"/>
  <c r="V746" i="1" s="1"/>
  <c r="V748" i="1" a="1"/>
  <c r="V748" i="1" s="1"/>
  <c r="V750" i="1" a="1"/>
  <c r="V750" i="1" s="1"/>
  <c r="V751" i="1" a="1"/>
  <c r="V751" i="1" s="1"/>
  <c r="V752" i="1" a="1"/>
  <c r="V752" i="1" s="1"/>
  <c r="V753" i="1" a="1"/>
  <c r="V753" i="1" s="1"/>
  <c r="V754" i="1" a="1"/>
  <c r="V754" i="1" s="1"/>
  <c r="V755" i="1" a="1"/>
  <c r="V755" i="1" s="1"/>
  <c r="V756" i="1" a="1"/>
  <c r="V756" i="1" s="1"/>
  <c r="V757" i="1" a="1"/>
  <c r="V757" i="1" s="1"/>
  <c r="V758" i="1" a="1"/>
  <c r="V758" i="1" s="1"/>
  <c r="V759" i="1" a="1"/>
  <c r="V759" i="1" s="1"/>
  <c r="V760" i="1" a="1"/>
  <c r="V760" i="1" s="1"/>
  <c r="V761" i="1" a="1"/>
  <c r="V761" i="1" s="1"/>
  <c r="V764" i="1" a="1"/>
  <c r="V764" i="1" s="1"/>
  <c r="V765" i="1" a="1"/>
  <c r="V765" i="1" s="1"/>
  <c r="V766" i="1" a="1"/>
  <c r="V766" i="1" s="1"/>
  <c r="V767" i="1" a="1"/>
  <c r="V767" i="1" s="1"/>
  <c r="V768" i="1" a="1"/>
  <c r="V768" i="1" s="1"/>
  <c r="V769" i="1" a="1"/>
  <c r="V769" i="1" s="1"/>
  <c r="V770" i="1" a="1"/>
  <c r="V770" i="1" s="1"/>
  <c r="V771" i="1" a="1"/>
  <c r="V771" i="1" s="1"/>
  <c r="V772" i="1" a="1"/>
  <c r="V772" i="1" s="1"/>
  <c r="V773" i="1" a="1"/>
  <c r="V773" i="1" s="1"/>
  <c r="V774" i="1" a="1"/>
  <c r="V774" i="1" s="1"/>
  <c r="V775" i="1" a="1"/>
  <c r="V775" i="1" s="1"/>
  <c r="V776" i="1" a="1"/>
  <c r="V776" i="1" s="1"/>
  <c r="V777" i="1" a="1"/>
  <c r="V777" i="1" s="1"/>
  <c r="V778" i="1" a="1"/>
  <c r="V778" i="1" s="1"/>
  <c r="V779" i="1" a="1"/>
  <c r="V779" i="1" s="1"/>
  <c r="V780" i="1" a="1"/>
  <c r="V780" i="1" s="1"/>
  <c r="V781" i="1" a="1"/>
  <c r="V781" i="1" s="1"/>
  <c r="V783" i="1" a="1"/>
  <c r="V783" i="1" s="1"/>
  <c r="V784" i="1" a="1"/>
  <c r="V784" i="1" s="1"/>
  <c r="V785" i="1" a="1"/>
  <c r="V785" i="1" s="1"/>
  <c r="V786" i="1" a="1"/>
  <c r="V786" i="1" s="1"/>
  <c r="V787" i="1" a="1"/>
  <c r="V787" i="1" s="1"/>
  <c r="V788" i="1" a="1"/>
  <c r="V788" i="1" s="1"/>
  <c r="V789" i="1" a="1"/>
  <c r="V789" i="1" s="1"/>
  <c r="V790" i="1" a="1"/>
  <c r="V790" i="1" s="1"/>
  <c r="V791" i="1" a="1"/>
  <c r="V791" i="1" s="1"/>
  <c r="V792" i="1" a="1"/>
  <c r="V792" i="1" s="1"/>
  <c r="V793" i="1" a="1"/>
  <c r="V793" i="1" s="1"/>
  <c r="V794" i="1" a="1"/>
  <c r="V794" i="1" s="1"/>
  <c r="V795" i="1" a="1"/>
  <c r="V795" i="1" s="1"/>
  <c r="V796" i="1" a="1"/>
  <c r="V796" i="1" s="1"/>
  <c r="V797" i="1" a="1"/>
  <c r="V797" i="1" s="1"/>
  <c r="V798" i="1" a="1"/>
  <c r="V798" i="1" s="1"/>
  <c r="V799" i="1" a="1"/>
  <c r="V799" i="1" s="1"/>
  <c r="V801" i="1" a="1"/>
  <c r="V801" i="1" s="1"/>
  <c r="V802" i="1" a="1"/>
  <c r="V802" i="1" s="1"/>
  <c r="V803" i="1" a="1"/>
  <c r="V803" i="1" s="1"/>
  <c r="V804" i="1" a="1"/>
  <c r="V804" i="1" s="1"/>
  <c r="V805" i="1" a="1"/>
  <c r="V805" i="1" s="1"/>
  <c r="V806" i="1" a="1"/>
  <c r="V806" i="1" s="1"/>
  <c r="V807" i="1" a="1"/>
  <c r="V807" i="1" s="1"/>
  <c r="V808" i="1" a="1"/>
  <c r="V808" i="1" s="1"/>
  <c r="V809" i="1" a="1"/>
  <c r="V809" i="1" s="1"/>
  <c r="V810" i="1" a="1"/>
  <c r="V810" i="1" s="1"/>
  <c r="V811" i="1" a="1"/>
  <c r="V811" i="1" s="1"/>
  <c r="V812" i="1" a="1"/>
  <c r="V812" i="1" s="1"/>
  <c r="V813" i="1" a="1"/>
  <c r="V813" i="1" s="1"/>
  <c r="V814" i="1" a="1"/>
  <c r="V814" i="1" s="1"/>
  <c r="V815" i="1" a="1"/>
  <c r="V815" i="1" s="1"/>
  <c r="V816" i="1" a="1"/>
  <c r="V816" i="1" s="1"/>
  <c r="V817" i="1" a="1"/>
  <c r="V817" i="1" s="1"/>
  <c r="V818" i="1" a="1"/>
  <c r="V818" i="1" s="1"/>
  <c r="V819" i="1" a="1"/>
  <c r="V819" i="1" s="1"/>
  <c r="V820" i="1" a="1"/>
  <c r="V820" i="1" s="1"/>
  <c r="V821" i="1" a="1"/>
  <c r="V821" i="1" s="1"/>
  <c r="V822" i="1" a="1"/>
  <c r="V822" i="1" s="1"/>
  <c r="V823" i="1" a="1"/>
  <c r="V823" i="1" s="1"/>
  <c r="V824" i="1" a="1"/>
  <c r="V824" i="1" s="1"/>
  <c r="V825" i="1" a="1"/>
  <c r="V825" i="1" s="1"/>
  <c r="V826" i="1" a="1"/>
  <c r="V826" i="1" s="1"/>
  <c r="V827" i="1" a="1"/>
  <c r="V827" i="1" s="1"/>
  <c r="V828" i="1" a="1"/>
  <c r="V828" i="1" s="1"/>
  <c r="V829" i="1" a="1"/>
  <c r="V829" i="1" s="1"/>
  <c r="V830" i="1" a="1"/>
  <c r="V830" i="1" s="1"/>
  <c r="V831" i="1" a="1"/>
  <c r="V831" i="1" s="1"/>
  <c r="V832" i="1" a="1"/>
  <c r="V832" i="1" s="1"/>
  <c r="V833" i="1" a="1"/>
  <c r="V833" i="1" s="1"/>
  <c r="V835" i="1" a="1"/>
  <c r="V835" i="1" s="1"/>
  <c r="V836" i="1" a="1"/>
  <c r="V836" i="1" s="1"/>
  <c r="V837" i="1" a="1"/>
  <c r="V837" i="1" s="1"/>
  <c r="V839" i="1" a="1"/>
  <c r="V839" i="1" s="1"/>
  <c r="V840" i="1" a="1"/>
  <c r="V840" i="1" s="1"/>
  <c r="V841" i="1" a="1"/>
  <c r="V841" i="1" s="1"/>
  <c r="V842" i="1" a="1"/>
  <c r="V842" i="1" s="1"/>
  <c r="V843" i="1" a="1"/>
  <c r="V843" i="1" s="1"/>
  <c r="V844" i="1" a="1"/>
  <c r="V844" i="1" s="1"/>
  <c r="V845" i="1" a="1"/>
  <c r="V845" i="1" s="1"/>
  <c r="V846" i="1" a="1"/>
  <c r="V846" i="1" s="1"/>
  <c r="V847" i="1" a="1"/>
  <c r="V847" i="1" s="1"/>
  <c r="V848" i="1" a="1"/>
  <c r="V848" i="1" s="1"/>
  <c r="V849" i="1" a="1"/>
  <c r="V849" i="1" s="1"/>
  <c r="V850" i="1" a="1"/>
  <c r="V850" i="1" s="1"/>
  <c r="V851" i="1" a="1"/>
  <c r="V851" i="1" s="1"/>
  <c r="V852" i="1" a="1"/>
  <c r="V852" i="1" s="1"/>
  <c r="V854" i="1" a="1"/>
  <c r="V854" i="1" s="1"/>
  <c r="V855" i="1" a="1"/>
  <c r="V855" i="1" s="1"/>
  <c r="V857" i="1" a="1"/>
  <c r="V857" i="1" s="1"/>
  <c r="V859" i="1" a="1"/>
  <c r="V859" i="1" s="1"/>
  <c r="V860" i="1" a="1"/>
  <c r="V860" i="1" s="1"/>
  <c r="V861" i="1" a="1"/>
  <c r="V861" i="1" s="1"/>
  <c r="V862" i="1" a="1"/>
  <c r="V862" i="1" s="1"/>
  <c r="V863" i="1" a="1"/>
  <c r="V863" i="1" s="1"/>
  <c r="V864" i="1" a="1"/>
  <c r="V864" i="1" s="1"/>
  <c r="V865" i="1" a="1"/>
  <c r="V865" i="1" s="1"/>
  <c r="V866" i="1" a="1"/>
  <c r="V866" i="1" s="1"/>
  <c r="V867" i="1" a="1"/>
  <c r="V867" i="1" s="1"/>
  <c r="V868" i="1" a="1"/>
  <c r="V868" i="1" s="1"/>
  <c r="V869" i="1" a="1"/>
  <c r="V869" i="1" s="1"/>
  <c r="V870" i="1" a="1"/>
  <c r="V870" i="1" s="1"/>
  <c r="V871" i="1" a="1"/>
  <c r="V871" i="1" s="1"/>
  <c r="V872" i="1" a="1"/>
  <c r="V872" i="1" s="1"/>
  <c r="V873" i="1" a="1"/>
  <c r="V873" i="1" s="1"/>
  <c r="V874" i="1" a="1"/>
  <c r="V874" i="1" s="1"/>
  <c r="V875" i="1" a="1"/>
  <c r="V875" i="1" s="1"/>
  <c r="V876" i="1" a="1"/>
  <c r="V876" i="1" s="1"/>
  <c r="V877" i="1" a="1"/>
  <c r="V877" i="1" s="1"/>
  <c r="V878" i="1" a="1"/>
  <c r="V878" i="1" s="1"/>
  <c r="V879" i="1" a="1"/>
  <c r="V879" i="1" s="1"/>
  <c r="V880" i="1" a="1"/>
  <c r="V880" i="1" s="1"/>
  <c r="V881" i="1" a="1"/>
  <c r="V881" i="1" s="1"/>
  <c r="V882" i="1" a="1"/>
  <c r="V882" i="1" s="1"/>
  <c r="V883" i="1" a="1"/>
  <c r="V883" i="1" s="1"/>
  <c r="V884" i="1" a="1"/>
  <c r="V884" i="1" s="1"/>
  <c r="V885" i="1" a="1"/>
  <c r="V885" i="1" s="1"/>
  <c r="V887" i="1" a="1"/>
  <c r="V887" i="1" s="1"/>
  <c r="V888" i="1" a="1"/>
  <c r="V888" i="1" s="1"/>
  <c r="V890" i="1" a="1"/>
  <c r="V890" i="1" s="1"/>
  <c r="V891" i="1" a="1"/>
  <c r="V891" i="1" s="1"/>
  <c r="V892" i="1" a="1"/>
  <c r="V892" i="1" s="1"/>
  <c r="V893" i="1" a="1"/>
  <c r="V893" i="1" s="1"/>
  <c r="V894" i="1" a="1"/>
  <c r="V894" i="1" s="1"/>
  <c r="V895" i="1" a="1"/>
  <c r="V895" i="1" s="1"/>
  <c r="V898" i="1" a="1"/>
  <c r="V898" i="1" s="1"/>
  <c r="V899" i="1" a="1"/>
  <c r="V899" i="1" s="1"/>
  <c r="V900" i="1" a="1"/>
  <c r="V900" i="1" s="1"/>
  <c r="V901" i="1" a="1"/>
  <c r="V901" i="1" s="1"/>
  <c r="V902" i="1" a="1"/>
  <c r="V902" i="1" s="1"/>
  <c r="V903" i="1" a="1"/>
  <c r="V903" i="1" s="1"/>
  <c r="V904" i="1" a="1"/>
  <c r="V904" i="1" s="1"/>
  <c r="V905" i="1" a="1"/>
  <c r="V905" i="1" s="1"/>
  <c r="V906" i="1" a="1"/>
  <c r="V906" i="1" s="1"/>
  <c r="V908" i="1" a="1"/>
  <c r="V908" i="1" s="1"/>
  <c r="V909" i="1" a="1"/>
  <c r="V909" i="1" s="1"/>
  <c r="V910" i="1" a="1"/>
  <c r="V910" i="1" s="1"/>
  <c r="V911" i="1" a="1"/>
  <c r="V911" i="1" s="1"/>
  <c r="V912" i="1" a="1"/>
  <c r="V912" i="1" s="1"/>
  <c r="V913" i="1" a="1"/>
  <c r="V913" i="1" s="1"/>
  <c r="V914" i="1" a="1"/>
  <c r="V914" i="1" s="1"/>
  <c r="V915" i="1" a="1"/>
  <c r="V915" i="1" s="1"/>
  <c r="V916" i="1" a="1"/>
  <c r="V916" i="1" s="1"/>
  <c r="V917" i="1" a="1"/>
  <c r="V917" i="1" s="1"/>
  <c r="V918" i="1" a="1"/>
  <c r="V918" i="1" s="1"/>
  <c r="V919" i="1" a="1"/>
  <c r="V919" i="1" s="1"/>
  <c r="V921" i="1" a="1"/>
  <c r="V921" i="1" s="1"/>
  <c r="V922" i="1" a="1"/>
  <c r="V922" i="1" s="1"/>
  <c r="V923" i="1" a="1"/>
  <c r="V923" i="1" s="1"/>
  <c r="V924" i="1" a="1"/>
  <c r="V924" i="1" s="1"/>
  <c r="V925" i="1" a="1"/>
  <c r="V925" i="1" s="1"/>
  <c r="V926" i="1" a="1"/>
  <c r="V926" i="1" s="1"/>
  <c r="V927" i="1" a="1"/>
  <c r="V927" i="1" s="1"/>
  <c r="V929" i="1" a="1"/>
  <c r="V929" i="1" s="1"/>
  <c r="V930" i="1" a="1"/>
  <c r="V930" i="1" s="1"/>
  <c r="V933" i="1" a="1"/>
  <c r="V933" i="1" s="1"/>
  <c r="V934" i="1" a="1"/>
  <c r="V934" i="1" s="1"/>
  <c r="V935" i="1" a="1"/>
  <c r="V935" i="1" s="1"/>
  <c r="V936" i="1" a="1"/>
  <c r="V936" i="1" s="1"/>
  <c r="V937" i="1" a="1"/>
  <c r="V937" i="1" s="1"/>
  <c r="V939" i="1" a="1"/>
  <c r="V939" i="1" s="1"/>
  <c r="V940" i="1" a="1"/>
  <c r="V940" i="1" s="1"/>
  <c r="V941" i="1" a="1"/>
  <c r="V941" i="1" s="1"/>
  <c r="V942" i="1" a="1"/>
  <c r="V942" i="1" s="1"/>
  <c r="V943" i="1" a="1"/>
  <c r="V943" i="1" s="1"/>
  <c r="V944" i="1" a="1"/>
  <c r="V944" i="1" s="1"/>
  <c r="V945" i="1" a="1"/>
  <c r="V945" i="1" s="1"/>
  <c r="V946" i="1" a="1"/>
  <c r="V946" i="1" s="1"/>
  <c r="V947" i="1" a="1"/>
  <c r="V947" i="1" s="1"/>
  <c r="V948" i="1" a="1"/>
  <c r="V948" i="1" s="1"/>
  <c r="V949" i="1" a="1"/>
  <c r="V949" i="1" s="1"/>
  <c r="V951" i="1" a="1"/>
  <c r="V951" i="1" s="1"/>
  <c r="V953" i="1" a="1"/>
  <c r="V953" i="1" s="1"/>
  <c r="V955" i="1" a="1"/>
  <c r="V955" i="1" s="1"/>
  <c r="V956" i="1" a="1"/>
  <c r="V956" i="1" s="1"/>
  <c r="V957" i="1" a="1"/>
  <c r="V957" i="1" s="1"/>
  <c r="V958" i="1" a="1"/>
  <c r="V958" i="1" s="1"/>
  <c r="V959" i="1" a="1"/>
  <c r="V959" i="1" s="1"/>
  <c r="V960" i="1" a="1"/>
  <c r="V960" i="1" s="1"/>
  <c r="V961" i="1" a="1"/>
  <c r="V961" i="1" s="1"/>
  <c r="V963" i="1" a="1"/>
  <c r="V963" i="1" s="1"/>
  <c r="V964" i="1" a="1"/>
  <c r="V964" i="1" s="1"/>
  <c r="V966" i="1" a="1"/>
  <c r="V966" i="1" s="1"/>
  <c r="V967" i="1" a="1"/>
  <c r="V967" i="1" s="1"/>
  <c r="V968" i="1" a="1"/>
  <c r="V968" i="1" s="1"/>
  <c r="V969" i="1" a="1"/>
  <c r="V969" i="1" s="1"/>
  <c r="V970" i="1" a="1"/>
  <c r="V970" i="1" s="1"/>
  <c r="V971" i="1" a="1"/>
  <c r="V971" i="1" s="1"/>
  <c r="V972" i="1" a="1"/>
  <c r="V972" i="1" s="1"/>
  <c r="V973" i="1" a="1"/>
  <c r="V973" i="1" s="1"/>
  <c r="V974" i="1" a="1"/>
  <c r="V974" i="1" s="1"/>
  <c r="V975" i="1" a="1"/>
  <c r="V975" i="1" s="1"/>
  <c r="V976" i="1" a="1"/>
  <c r="V976" i="1" s="1"/>
  <c r="V977" i="1" a="1"/>
  <c r="V977" i="1" s="1"/>
  <c r="V978" i="1" a="1"/>
  <c r="V978" i="1" s="1"/>
  <c r="V979" i="1" a="1"/>
  <c r="V979" i="1" s="1"/>
  <c r="V980" i="1" a="1"/>
  <c r="V980" i="1" s="1"/>
  <c r="V981" i="1" a="1"/>
  <c r="V981" i="1" s="1"/>
  <c r="V983" i="1" a="1"/>
  <c r="V983" i="1" s="1"/>
  <c r="V984" i="1" a="1"/>
  <c r="V984" i="1" s="1"/>
  <c r="V985" i="1" a="1"/>
  <c r="V985" i="1" s="1"/>
  <c r="V987" i="1" a="1"/>
  <c r="V987" i="1" s="1"/>
  <c r="V988" i="1" a="1"/>
  <c r="V988" i="1" s="1"/>
  <c r="V989" i="1" a="1"/>
  <c r="V989" i="1" s="1"/>
  <c r="V990" i="1" a="1"/>
  <c r="V990" i="1" s="1"/>
  <c r="V992" i="1" a="1"/>
  <c r="V992" i="1" s="1"/>
  <c r="V993" i="1" a="1"/>
  <c r="V993" i="1" s="1"/>
  <c r="V994" i="1" a="1"/>
  <c r="V994" i="1" s="1"/>
  <c r="V995" i="1" a="1"/>
  <c r="V995" i="1" s="1"/>
  <c r="V996" i="1" a="1"/>
  <c r="V996" i="1" s="1"/>
  <c r="V998" i="1" a="1"/>
  <c r="V998" i="1" s="1"/>
  <c r="V999" i="1" a="1"/>
  <c r="V999" i="1" s="1"/>
  <c r="V1000" i="1" a="1"/>
  <c r="V1000" i="1" s="1"/>
  <c r="V1001" i="1" a="1"/>
  <c r="V1001" i="1" s="1"/>
  <c r="V1002" i="1" a="1"/>
  <c r="V1002" i="1" s="1"/>
  <c r="V1003" i="1" a="1"/>
  <c r="V1003" i="1" s="1"/>
  <c r="V1005" i="1" a="1"/>
  <c r="V1005" i="1" s="1"/>
  <c r="V1006" i="1" a="1"/>
  <c r="V1006" i="1" s="1"/>
  <c r="V1009" i="1" a="1"/>
  <c r="V1009" i="1" s="1"/>
  <c r="V1010" i="1" a="1"/>
  <c r="V1010" i="1" s="1"/>
  <c r="V1011" i="1" a="1"/>
  <c r="V1011" i="1" s="1"/>
  <c r="V1012" i="1" a="1"/>
  <c r="V1012" i="1" s="1"/>
  <c r="V1013" i="1" a="1"/>
  <c r="V1013" i="1" s="1"/>
  <c r="V1015" i="1" a="1"/>
  <c r="V1015" i="1" s="1"/>
  <c r="V1016" i="1" a="1"/>
  <c r="V1016" i="1" s="1"/>
  <c r="V1017" i="1" a="1"/>
  <c r="V1017" i="1" s="1"/>
  <c r="V1018" i="1" a="1"/>
  <c r="V1018" i="1" s="1"/>
  <c r="V1019" i="1" a="1"/>
  <c r="V1019" i="1" s="1"/>
  <c r="V1021" i="1" a="1"/>
  <c r="V1021" i="1" s="1"/>
  <c r="V1022" i="1" a="1"/>
  <c r="V1022" i="1" s="1"/>
  <c r="V1023" i="1" a="1"/>
  <c r="V1023" i="1" s="1"/>
  <c r="V1024" i="1" a="1"/>
  <c r="V1024" i="1" s="1"/>
  <c r="V1025" i="1" a="1"/>
  <c r="V1025" i="1" s="1"/>
  <c r="V1026" i="1" a="1"/>
  <c r="V1026" i="1" s="1"/>
  <c r="V1027" i="1" a="1"/>
  <c r="V1027" i="1" s="1"/>
  <c r="V1028" i="1" a="1"/>
  <c r="V1028" i="1" s="1"/>
  <c r="V1029" i="1" a="1"/>
  <c r="V1029" i="1" s="1"/>
  <c r="V1030" i="1" a="1"/>
  <c r="V1030" i="1" s="1"/>
  <c r="V1031" i="1" a="1"/>
  <c r="V1031" i="1" s="1"/>
  <c r="V1032" i="1" a="1"/>
  <c r="V1032" i="1" s="1"/>
  <c r="V1033" i="1" a="1"/>
  <c r="V1033" i="1" s="1"/>
  <c r="V1034" i="1" a="1"/>
  <c r="V1034" i="1" s="1"/>
  <c r="V1036" i="1" a="1"/>
  <c r="V1036" i="1" s="1"/>
  <c r="V1037" i="1" a="1"/>
  <c r="V1037" i="1" s="1"/>
  <c r="V1038" i="1" a="1"/>
  <c r="V1038" i="1" s="1"/>
  <c r="V1039" i="1" a="1"/>
  <c r="V1039" i="1" s="1"/>
  <c r="V1040" i="1" a="1"/>
  <c r="V1040" i="1" s="1"/>
  <c r="V1041" i="1" a="1"/>
  <c r="V1041" i="1" s="1"/>
  <c r="V1042" i="1" a="1"/>
  <c r="V1042" i="1" s="1"/>
  <c r="V1043" i="1" a="1"/>
  <c r="V1043" i="1" s="1"/>
  <c r="V1044" i="1" a="1"/>
  <c r="V1044" i="1" s="1"/>
  <c r="V1045" i="1" a="1"/>
  <c r="V1045" i="1" s="1"/>
  <c r="V1048" i="1" a="1"/>
  <c r="V1048" i="1" s="1"/>
  <c r="V1049" i="1" a="1"/>
  <c r="V1049" i="1" s="1"/>
  <c r="V1052" i="1" a="1"/>
  <c r="V1052" i="1" s="1"/>
  <c r="V1053" i="1" a="1"/>
  <c r="V1053" i="1" s="1"/>
  <c r="V1054" i="1" a="1"/>
  <c r="V1054" i="1" s="1"/>
  <c r="V1055" i="1" a="1"/>
  <c r="V1055" i="1" s="1"/>
  <c r="V1056" i="1" a="1"/>
  <c r="V1056" i="1" s="1"/>
  <c r="V1057" i="1" a="1"/>
  <c r="V1057" i="1" s="1"/>
  <c r="V1058" i="1" a="1"/>
  <c r="V1058" i="1" s="1"/>
  <c r="V1059" i="1" a="1"/>
  <c r="V1059" i="1" s="1"/>
  <c r="V1061" i="1" a="1"/>
  <c r="V1061" i="1" s="1"/>
  <c r="V1062" i="1" a="1"/>
  <c r="V1062" i="1" s="1"/>
  <c r="V1063" i="1" a="1"/>
  <c r="V1063" i="1" s="1"/>
  <c r="V1065" i="1" a="1"/>
  <c r="V1065" i="1" s="1"/>
  <c r="V1066" i="1" a="1"/>
  <c r="V1066" i="1" s="1"/>
  <c r="V1067" i="1" a="1"/>
  <c r="V1067" i="1" s="1"/>
  <c r="V1068" i="1" a="1"/>
  <c r="V1068" i="1" s="1"/>
  <c r="V1069" i="1" a="1"/>
  <c r="V1069" i="1" s="1"/>
  <c r="V1071" i="1" a="1"/>
  <c r="V1071" i="1" s="1"/>
  <c r="V1073" i="1" a="1"/>
  <c r="V1073" i="1" s="1"/>
  <c r="V1074" i="1" a="1"/>
  <c r="V1074" i="1" s="1"/>
  <c r="V1076" i="1" a="1"/>
  <c r="V1076" i="1" s="1"/>
  <c r="V1077" i="1" a="1"/>
  <c r="V1077" i="1" s="1"/>
  <c r="V1078" i="1" a="1"/>
  <c r="V1078" i="1" s="1"/>
  <c r="V1079" i="1" a="1"/>
  <c r="V1079" i="1" s="1"/>
  <c r="V1080" i="1" a="1"/>
  <c r="V1080" i="1" s="1"/>
  <c r="V1081" i="1" a="1"/>
  <c r="V1081" i="1" s="1"/>
  <c r="V1083" i="1" a="1"/>
  <c r="V1083" i="1" s="1"/>
  <c r="V1084" i="1" a="1"/>
  <c r="V1084" i="1" s="1"/>
  <c r="V1085" i="1" a="1"/>
  <c r="V1085" i="1" s="1"/>
  <c r="V1087" i="1" a="1"/>
  <c r="V1087" i="1" s="1"/>
  <c r="V1088" i="1" a="1"/>
  <c r="V1088" i="1" s="1"/>
  <c r="V1090" i="1" a="1"/>
  <c r="V1090" i="1" s="1"/>
  <c r="V1091" i="1" a="1"/>
  <c r="V1091" i="1" s="1"/>
  <c r="V1092" i="1" a="1"/>
  <c r="V1092" i="1" s="1"/>
  <c r="V1095" i="1" a="1"/>
  <c r="V1095" i="1" s="1"/>
  <c r="V1096" i="1" a="1"/>
  <c r="V1096" i="1" s="1"/>
  <c r="V1097" i="1" a="1"/>
  <c r="V1097" i="1" s="1"/>
  <c r="V1098" i="1" a="1"/>
  <c r="V1098" i="1" s="1"/>
  <c r="V1099" i="1" a="1"/>
  <c r="V1099" i="1" s="1"/>
  <c r="V1100" i="1" a="1"/>
  <c r="V1100" i="1" s="1"/>
  <c r="V1101" i="1" a="1"/>
  <c r="V1101" i="1" s="1"/>
  <c r="V1102" i="1" a="1"/>
  <c r="V1102" i="1" s="1"/>
  <c r="V1103" i="1" a="1"/>
  <c r="V1103" i="1" s="1"/>
  <c r="V1104" i="1" a="1"/>
  <c r="V1104" i="1" s="1"/>
  <c r="V1105" i="1" a="1"/>
  <c r="V1105" i="1" s="1"/>
  <c r="V1106" i="1" a="1"/>
  <c r="V1106" i="1" s="1"/>
  <c r="V1107" i="1" a="1"/>
  <c r="V1107" i="1" s="1"/>
  <c r="V1110" i="1" a="1"/>
  <c r="V1110" i="1" s="1"/>
  <c r="V1112" i="1" a="1"/>
  <c r="V1112" i="1" s="1"/>
  <c r="V1113" i="1" a="1"/>
  <c r="V1113" i="1" s="1"/>
  <c r="V1115" i="1" a="1"/>
  <c r="V1115" i="1" s="1"/>
  <c r="V1117" i="1" a="1"/>
  <c r="V1117" i="1" s="1"/>
  <c r="V1119" i="1" a="1"/>
  <c r="V1119" i="1" s="1"/>
  <c r="V1120" i="1" a="1"/>
  <c r="V1120" i="1" s="1"/>
  <c r="V1123" i="1" a="1"/>
  <c r="V1123" i="1" s="1"/>
  <c r="V1124" i="1" a="1"/>
  <c r="V1124" i="1" s="1"/>
  <c r="V1125" i="1" a="1"/>
  <c r="V1125" i="1" s="1"/>
  <c r="V1126" i="1" a="1"/>
  <c r="V1126" i="1" s="1"/>
  <c r="V1127" i="1" a="1"/>
  <c r="V1127" i="1" s="1"/>
  <c r="V1128" i="1" a="1"/>
  <c r="V1128" i="1" s="1"/>
  <c r="V1129" i="1" a="1"/>
  <c r="V1129" i="1" s="1"/>
  <c r="V1130" i="1" a="1"/>
  <c r="V1130" i="1" s="1"/>
  <c r="V1131" i="1" a="1"/>
  <c r="V1131" i="1" s="1"/>
  <c r="V1132" i="1" a="1"/>
  <c r="V1132" i="1" s="1"/>
  <c r="V1134" i="1" a="1"/>
  <c r="V1134" i="1" s="1"/>
  <c r="V1135" i="1" a="1"/>
  <c r="V1135" i="1" s="1"/>
  <c r="V1136" i="1" a="1"/>
  <c r="V1136" i="1" s="1"/>
  <c r="V1137" i="1" a="1"/>
  <c r="V1137" i="1" s="1"/>
  <c r="V1138" i="1" a="1"/>
  <c r="V1138" i="1" s="1"/>
  <c r="V1140" i="1" a="1"/>
  <c r="V1140" i="1" s="1"/>
  <c r="V1141" i="1" a="1"/>
  <c r="V1141" i="1" s="1"/>
  <c r="V1142" i="1" a="1"/>
  <c r="V1142" i="1" s="1"/>
  <c r="V1144" i="1" a="1"/>
  <c r="V1144" i="1" s="1"/>
  <c r="V1145" i="1" a="1"/>
  <c r="V1145" i="1" s="1"/>
  <c r="V1146" i="1" a="1"/>
  <c r="V1146" i="1" s="1"/>
  <c r="V1147" i="1" a="1"/>
  <c r="V1147" i="1" s="1"/>
  <c r="V1150" i="1" a="1"/>
  <c r="V1150" i="1" s="1"/>
  <c r="V1151" i="1" a="1"/>
  <c r="V1151" i="1" s="1"/>
  <c r="V1152" i="1" a="1"/>
  <c r="V1152" i="1" s="1"/>
  <c r="V1153" i="1" a="1"/>
  <c r="V1153" i="1" s="1"/>
  <c r="V1154" i="1" a="1"/>
  <c r="V1154" i="1" s="1"/>
  <c r="V1155" i="1" a="1"/>
  <c r="V1155" i="1" s="1"/>
  <c r="V1157" i="1" a="1"/>
  <c r="V1157" i="1" s="1"/>
  <c r="V1158" i="1" a="1"/>
  <c r="V1158" i="1" s="1"/>
  <c r="V1159" i="1" a="1"/>
  <c r="V1159" i="1" s="1"/>
  <c r="V1162" i="1" a="1"/>
  <c r="V1162" i="1" s="1"/>
  <c r="V1163" i="1" a="1"/>
  <c r="V1163" i="1" s="1"/>
  <c r="V1164" i="1" a="1"/>
  <c r="V1164" i="1" s="1"/>
  <c r="V1165" i="1" a="1"/>
  <c r="V1165" i="1" s="1"/>
  <c r="V1166" i="1" a="1"/>
  <c r="V1166" i="1" s="1"/>
  <c r="V1167" i="1" a="1"/>
  <c r="V1167" i="1" s="1"/>
  <c r="V1168" i="1" a="1"/>
  <c r="V1168" i="1" s="1"/>
  <c r="V1169" i="1" a="1"/>
  <c r="V1169" i="1" s="1"/>
  <c r="V1170" i="1" a="1"/>
  <c r="V1170" i="1" s="1"/>
  <c r="V1173" i="1" a="1"/>
  <c r="V1173" i="1" s="1"/>
  <c r="V1174" i="1" a="1"/>
  <c r="V1174" i="1" s="1"/>
  <c r="V1175" i="1" a="1"/>
  <c r="V1175" i="1" s="1"/>
  <c r="V1176" i="1" a="1"/>
  <c r="V1176" i="1" s="1"/>
  <c r="V1179" i="1" a="1"/>
  <c r="V1179" i="1" s="1"/>
  <c r="V1180" i="1" a="1"/>
  <c r="V1180" i="1" s="1"/>
  <c r="V1181" i="1" a="1"/>
  <c r="V1181" i="1" s="1"/>
  <c r="V1182" i="1" a="1"/>
  <c r="V1182" i="1" s="1"/>
  <c r="V1183" i="1" a="1"/>
  <c r="V1183" i="1" s="1"/>
  <c r="V1185" i="1" a="1"/>
  <c r="V1185" i="1" s="1"/>
  <c r="V1186" i="1" a="1"/>
  <c r="V1186" i="1" s="1"/>
  <c r="V1187" i="1" a="1"/>
  <c r="V1187" i="1" s="1"/>
  <c r="V1188" i="1" a="1"/>
  <c r="V1188" i="1" s="1"/>
  <c r="V1189" i="1" a="1"/>
  <c r="V1189" i="1" s="1"/>
  <c r="V1190" i="1" a="1"/>
  <c r="V1190" i="1" s="1"/>
  <c r="V1191" i="1" a="1"/>
  <c r="V1191" i="1" s="1"/>
  <c r="V1192" i="1" a="1"/>
  <c r="V1192" i="1" s="1"/>
  <c r="V1193" i="1" a="1"/>
  <c r="V1193" i="1" s="1"/>
  <c r="V1194" i="1" a="1"/>
  <c r="V1194" i="1" s="1"/>
  <c r="V1195" i="1" a="1"/>
  <c r="V1195" i="1" s="1"/>
  <c r="V1196" i="1" a="1"/>
  <c r="V1196" i="1" s="1"/>
  <c r="V1197" i="1" a="1"/>
  <c r="V1197" i="1" s="1"/>
  <c r="V1198" i="1" a="1"/>
  <c r="V1198" i="1" s="1"/>
  <c r="V1199" i="1" a="1"/>
  <c r="V1199" i="1" s="1"/>
  <c r="V1200" i="1" a="1"/>
  <c r="V1200" i="1" s="1"/>
  <c r="V1201" i="1" a="1"/>
  <c r="V1201" i="1" s="1"/>
  <c r="V1203" i="1" a="1"/>
  <c r="V1203" i="1" s="1"/>
  <c r="V1204" i="1" a="1"/>
  <c r="V1204" i="1" s="1"/>
  <c r="V1205" i="1" a="1"/>
  <c r="V1205" i="1" s="1"/>
  <c r="V1206" i="1" a="1"/>
  <c r="V1206" i="1" s="1"/>
  <c r="V1207" i="1" a="1"/>
  <c r="V1207" i="1" s="1"/>
  <c r="V1208" i="1" a="1"/>
  <c r="V1208" i="1" s="1"/>
  <c r="V1209" i="1" a="1"/>
  <c r="V1209" i="1" s="1"/>
  <c r="V1210" i="1" a="1"/>
  <c r="V1210" i="1" s="1"/>
  <c r="V1211" i="1" a="1"/>
  <c r="V1211" i="1" s="1"/>
  <c r="V1212" i="1" a="1"/>
  <c r="V1212" i="1" s="1"/>
  <c r="V1213" i="1" a="1"/>
  <c r="V1213" i="1" s="1"/>
  <c r="V1214" i="1" a="1"/>
  <c r="V1214" i="1" s="1"/>
  <c r="V1215" i="1" a="1"/>
  <c r="V1215" i="1" s="1"/>
  <c r="V1216" i="1" a="1"/>
  <c r="V1216" i="1" s="1"/>
  <c r="V1217" i="1" a="1"/>
  <c r="V1217" i="1" s="1"/>
  <c r="V1218" i="1" a="1"/>
  <c r="V1218" i="1" s="1"/>
  <c r="V1220" i="1" a="1"/>
  <c r="V1220" i="1" s="1"/>
  <c r="V1221" i="1" a="1"/>
  <c r="V1221" i="1" s="1"/>
  <c r="V1222" i="1" a="1"/>
  <c r="V1222" i="1" s="1"/>
  <c r="V1223" i="1" a="1"/>
  <c r="V1223" i="1" s="1"/>
  <c r="V1224" i="1" a="1"/>
  <c r="V1224" i="1" s="1"/>
  <c r="V1226" i="1" a="1"/>
  <c r="V1226" i="1" s="1"/>
  <c r="V1227" i="1" a="1"/>
  <c r="V1227" i="1" s="1"/>
  <c r="V1228" i="1" a="1"/>
  <c r="V1228" i="1" s="1"/>
  <c r="V1229" i="1" a="1"/>
  <c r="V1229" i="1" s="1"/>
  <c r="V1230" i="1" a="1"/>
  <c r="V1230" i="1" s="1"/>
  <c r="V1231" i="1" a="1"/>
  <c r="V1231" i="1" s="1"/>
  <c r="V1232" i="1" a="1"/>
  <c r="V1232" i="1" s="1"/>
  <c r="V1233" i="1" a="1"/>
  <c r="V1233" i="1" s="1"/>
  <c r="V1234" i="1" a="1"/>
  <c r="V1234" i="1" s="1"/>
  <c r="V1235" i="1" a="1"/>
  <c r="V1235" i="1" s="1"/>
  <c r="V1236" i="1" a="1"/>
  <c r="V1236" i="1" s="1"/>
  <c r="V1237" i="1" a="1"/>
  <c r="V1237" i="1" s="1"/>
  <c r="V1239" i="1" a="1"/>
  <c r="V1239" i="1" s="1"/>
  <c r="V1240" i="1" a="1"/>
  <c r="V1240" i="1" s="1"/>
  <c r="V1241" i="1" a="1"/>
  <c r="V1241" i="1" s="1"/>
  <c r="V1242" i="1" a="1"/>
  <c r="V1242" i="1" s="1"/>
  <c r="V1243" i="1" a="1"/>
  <c r="V1243" i="1" s="1"/>
  <c r="V1244" i="1" a="1"/>
  <c r="V1244" i="1" s="1"/>
  <c r="V1245" i="1" a="1"/>
  <c r="V1245" i="1" s="1"/>
  <c r="V1246" i="1" a="1"/>
  <c r="V1246" i="1" s="1"/>
  <c r="V1247" i="1" a="1"/>
  <c r="V1247" i="1" s="1"/>
  <c r="V1248" i="1" a="1"/>
  <c r="V1248" i="1" s="1"/>
  <c r="V1249" i="1" a="1"/>
  <c r="V1249" i="1" s="1"/>
  <c r="V1250" i="1" a="1"/>
  <c r="V1250" i="1" s="1"/>
  <c r="V1251" i="1" a="1"/>
  <c r="V1251" i="1" s="1"/>
  <c r="V1252" i="1" a="1"/>
  <c r="V1252" i="1" s="1"/>
  <c r="V1253" i="1" a="1"/>
  <c r="V1253" i="1" s="1"/>
  <c r="V1254" i="1" a="1"/>
  <c r="V1254" i="1" s="1"/>
  <c r="V1255" i="1" a="1"/>
  <c r="V1255" i="1" s="1"/>
  <c r="V1256" i="1" a="1"/>
  <c r="V1256" i="1" s="1"/>
  <c r="V1257" i="1" a="1"/>
  <c r="V1257" i="1" s="1"/>
  <c r="V1258" i="1" a="1"/>
  <c r="V1258" i="1" s="1"/>
  <c r="V1259" i="1" a="1"/>
  <c r="V1259" i="1" s="1"/>
  <c r="V1260" i="1" a="1"/>
  <c r="V1260" i="1" s="1"/>
  <c r="V1261" i="1" a="1"/>
  <c r="V1261" i="1" s="1"/>
  <c r="V1262" i="1" a="1"/>
  <c r="V1262" i="1" s="1"/>
  <c r="V1263" i="1" a="1"/>
  <c r="V1263" i="1" s="1"/>
  <c r="V1264" i="1" a="1"/>
  <c r="V1264" i="1" s="1"/>
  <c r="V1265" i="1" a="1"/>
  <c r="V1265" i="1" s="1"/>
  <c r="V1266" i="1" a="1"/>
  <c r="V1266" i="1" s="1"/>
  <c r="V1267" i="1" a="1"/>
  <c r="V1267" i="1" s="1"/>
  <c r="V1269" i="1" a="1"/>
  <c r="V1269" i="1" s="1"/>
  <c r="V1270" i="1" a="1"/>
  <c r="V1270" i="1" s="1"/>
  <c r="V1271" i="1" a="1"/>
  <c r="V1271" i="1" s="1"/>
  <c r="V1272" i="1" a="1"/>
  <c r="V1272" i="1" s="1"/>
  <c r="V1273" i="1" a="1"/>
  <c r="V1273" i="1" s="1"/>
  <c r="V1274" i="1" a="1"/>
  <c r="V1274" i="1" s="1"/>
  <c r="V1275" i="1" a="1"/>
  <c r="V1275" i="1" s="1"/>
  <c r="V1276" i="1" a="1"/>
  <c r="V1276" i="1" s="1"/>
  <c r="V1277" i="1" a="1"/>
  <c r="V1277" i="1" s="1"/>
  <c r="V1278" i="1" a="1"/>
  <c r="V1278" i="1" s="1"/>
  <c r="V1279" i="1" a="1"/>
  <c r="V1279" i="1" s="1"/>
  <c r="V1280" i="1" a="1"/>
  <c r="V1280" i="1" s="1"/>
  <c r="V1281" i="1" a="1"/>
  <c r="V1281" i="1" s="1"/>
  <c r="V1282" i="1" a="1"/>
  <c r="V1282" i="1" s="1"/>
  <c r="V1283" i="1" a="1"/>
  <c r="V1283" i="1" s="1"/>
  <c r="V1284" i="1" a="1"/>
  <c r="V1284" i="1" s="1"/>
  <c r="V1285" i="1" a="1"/>
  <c r="V1285" i="1" s="1"/>
  <c r="V1286" i="1" a="1"/>
  <c r="V1286" i="1" s="1"/>
  <c r="V1287" i="1" a="1"/>
  <c r="V1287" i="1" s="1"/>
  <c r="V1288" i="1" a="1"/>
  <c r="V1288" i="1" s="1"/>
  <c r="V1289" i="1" a="1"/>
  <c r="V1289" i="1" s="1"/>
  <c r="V1290" i="1" a="1"/>
  <c r="V1290" i="1" s="1"/>
  <c r="V1291" i="1" a="1"/>
  <c r="V1291" i="1" s="1"/>
  <c r="V1292" i="1" a="1"/>
  <c r="V1292" i="1" s="1"/>
  <c r="V1293" i="1" a="1"/>
  <c r="V1293" i="1" s="1"/>
  <c r="V1294" i="1" a="1"/>
  <c r="V1294" i="1" s="1"/>
  <c r="V1295" i="1" a="1"/>
  <c r="V1295" i="1" s="1"/>
  <c r="V1296" i="1" a="1"/>
  <c r="V1296" i="1" s="1"/>
  <c r="V1297" i="1" a="1"/>
  <c r="V1297" i="1" s="1"/>
  <c r="V1298" i="1" a="1"/>
  <c r="V1298" i="1" s="1"/>
  <c r="V1300" i="1" a="1"/>
  <c r="V1300" i="1" s="1"/>
  <c r="V1301" i="1" a="1"/>
  <c r="V1301" i="1" s="1"/>
  <c r="V1302" i="1" a="1"/>
  <c r="V1302" i="1" s="1"/>
  <c r="V1303" i="1" a="1"/>
  <c r="V1303" i="1" s="1"/>
  <c r="V1304" i="1" a="1"/>
  <c r="V1304" i="1" s="1"/>
  <c r="V1306" i="1" a="1"/>
  <c r="V1306" i="1" s="1"/>
  <c r="V1307" i="1" a="1"/>
  <c r="V1307" i="1" s="1"/>
  <c r="V1308" i="1" a="1"/>
  <c r="V1308" i="1" s="1"/>
  <c r="V1309" i="1" a="1"/>
  <c r="V1309" i="1" s="1"/>
  <c r="V1310" i="1" a="1"/>
  <c r="V1310" i="1" s="1"/>
  <c r="V1313" i="1" a="1"/>
  <c r="V1313" i="1" s="1"/>
  <c r="V1315" i="1" a="1"/>
  <c r="V1315" i="1" s="1"/>
  <c r="V1316" i="1" a="1"/>
  <c r="V1316" i="1" s="1"/>
  <c r="V1317" i="1" a="1"/>
  <c r="V1317" i="1" s="1"/>
  <c r="V1318" i="1" a="1"/>
  <c r="V1318" i="1" s="1"/>
  <c r="V1319" i="1" a="1"/>
  <c r="V1319" i="1" s="1"/>
  <c r="V1320" i="1" a="1"/>
  <c r="V1320" i="1" s="1"/>
  <c r="V1321" i="1" a="1"/>
  <c r="V1321" i="1" s="1"/>
  <c r="V1322" i="1" a="1"/>
  <c r="V1322" i="1" s="1"/>
  <c r="V1323" i="1" a="1"/>
  <c r="V1323" i="1" s="1"/>
  <c r="V1324" i="1" a="1"/>
  <c r="V1324" i="1" s="1"/>
  <c r="V1325" i="1" a="1"/>
  <c r="V1325" i="1" s="1"/>
  <c r="V1327" i="1" a="1"/>
  <c r="V1327" i="1" s="1"/>
  <c r="V1328" i="1" a="1"/>
  <c r="V1328" i="1" s="1"/>
  <c r="V1329" i="1" a="1"/>
  <c r="V1329" i="1" s="1"/>
  <c r="V1330" i="1" a="1"/>
  <c r="V1330" i="1" s="1"/>
  <c r="V1331" i="1" a="1"/>
  <c r="V1331" i="1" s="1"/>
  <c r="V1332" i="1" a="1"/>
  <c r="V1332" i="1" s="1"/>
  <c r="V1333" i="1" a="1"/>
  <c r="V1333" i="1" s="1"/>
  <c r="V1334" i="1" a="1"/>
  <c r="V1334" i="1" s="1"/>
  <c r="V1335" i="1" a="1"/>
  <c r="V1335" i="1" s="1"/>
  <c r="V1336" i="1" a="1"/>
  <c r="V1336" i="1" s="1"/>
  <c r="V1337" i="1" a="1"/>
  <c r="V1337" i="1" s="1"/>
  <c r="V1338" i="1" a="1"/>
  <c r="V1338" i="1" s="1"/>
  <c r="V1339" i="1" a="1"/>
  <c r="V1339" i="1" s="1"/>
  <c r="V1340" i="1" a="1"/>
  <c r="V1340" i="1" s="1"/>
  <c r="V1341" i="1" a="1"/>
  <c r="V1341" i="1" s="1"/>
  <c r="V1342" i="1" a="1"/>
  <c r="V1342" i="1" s="1"/>
  <c r="V1343" i="1" a="1"/>
  <c r="V1343" i="1" s="1"/>
  <c r="V1344" i="1" a="1"/>
  <c r="V1344" i="1" s="1"/>
  <c r="V1345" i="1" a="1"/>
  <c r="V1345" i="1" s="1"/>
  <c r="V1346" i="1" a="1"/>
  <c r="V1346" i="1" s="1"/>
  <c r="V1347" i="1" a="1"/>
  <c r="V1347" i="1" s="1"/>
  <c r="V1348" i="1" a="1"/>
  <c r="V1348" i="1" s="1"/>
  <c r="V1349" i="1" a="1"/>
  <c r="V1349" i="1" s="1"/>
  <c r="V1350" i="1" a="1"/>
  <c r="V1350" i="1" s="1"/>
  <c r="V1351" i="1" a="1"/>
  <c r="V1351" i="1" s="1"/>
  <c r="V1352" i="1" a="1"/>
  <c r="V1352" i="1" s="1"/>
  <c r="V1353" i="1" a="1"/>
  <c r="V1353" i="1" s="1"/>
  <c r="V1354" i="1" a="1"/>
  <c r="V1354" i="1" s="1"/>
  <c r="V1355" i="1" a="1"/>
  <c r="V1355" i="1" s="1"/>
  <c r="V1356" i="1" a="1"/>
  <c r="V1356" i="1" s="1"/>
  <c r="V1357" i="1" a="1"/>
  <c r="V1357" i="1" s="1"/>
  <c r="V1358" i="1" a="1"/>
  <c r="V1358" i="1" s="1"/>
  <c r="V1359" i="1" a="1"/>
  <c r="V1359" i="1" s="1"/>
  <c r="V1360" i="1" a="1"/>
  <c r="V1360" i="1" s="1"/>
  <c r="V1361" i="1" a="1"/>
  <c r="V1361" i="1" s="1"/>
  <c r="V1362" i="1" a="1"/>
  <c r="V1362" i="1" s="1"/>
  <c r="V1363" i="1" a="1"/>
  <c r="V1363" i="1" s="1"/>
  <c r="V1364" i="1" a="1"/>
  <c r="V1364" i="1" s="1"/>
  <c r="V1365" i="1" a="1"/>
  <c r="V1365" i="1" s="1"/>
  <c r="V1366" i="1" a="1"/>
  <c r="V1366" i="1" s="1"/>
  <c r="V1368" i="1" a="1"/>
  <c r="V1368" i="1" s="1"/>
  <c r="V1369" i="1" a="1"/>
  <c r="V1369" i="1" s="1"/>
  <c r="V1371" i="1" a="1"/>
  <c r="V1371" i="1" s="1"/>
  <c r="V1372" i="1" a="1"/>
  <c r="V1372" i="1" s="1"/>
  <c r="V1373" i="1" a="1"/>
  <c r="V1373" i="1" s="1"/>
  <c r="V1375" i="1" a="1"/>
  <c r="V1375" i="1" s="1"/>
  <c r="V1378" i="1" a="1"/>
  <c r="V1378" i="1" s="1"/>
  <c r="V1379" i="1" a="1"/>
  <c r="V1379" i="1" s="1"/>
  <c r="V1381" i="1" a="1"/>
  <c r="V1381" i="1" s="1"/>
  <c r="V1382" i="1" a="1"/>
  <c r="V1382" i="1" s="1"/>
  <c r="V1384" i="1" a="1"/>
  <c r="V1384" i="1" s="1"/>
  <c r="V1385" i="1" a="1"/>
  <c r="V1385" i="1" s="1"/>
  <c r="V1386" i="1" a="1"/>
  <c r="V1386" i="1" s="1"/>
  <c r="V1387" i="1" a="1"/>
  <c r="V1387" i="1" s="1"/>
  <c r="V1388" i="1" a="1"/>
  <c r="V1388" i="1" s="1"/>
  <c r="V1389" i="1" a="1"/>
  <c r="V1389" i="1" s="1"/>
  <c r="V1390" i="1" a="1"/>
  <c r="V1390" i="1" s="1"/>
  <c r="V1391" i="1" a="1"/>
  <c r="V1391" i="1" s="1"/>
  <c r="V1392" i="1" a="1"/>
  <c r="V1392" i="1" s="1"/>
  <c r="V1393" i="1" a="1"/>
  <c r="V1393" i="1" s="1"/>
  <c r="V1396" i="1" a="1"/>
  <c r="V1396" i="1" s="1"/>
  <c r="V1403" i="1" a="1"/>
  <c r="V1403" i="1" s="1"/>
  <c r="V2" i="1" a="1"/>
  <c r="V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ID#AAAAdCkmbBo
tc={86F3B2D7-FCDB-4305-BD5A-C8C3EFF284EF}    (2022-08-10 23:41:25)
[Threaded comment]
Your version of Excel allows you to read this threaded comment; however, any edits to it will get removed if the file is opened in a newer version of Excel. Learn more: https://go.microsoft.com/fwlink/?linkid=870924
Comment:
    ages!</t>
        </r>
      </text>
    </comment>
    <comment ref="T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ID#AAAAeVlmzm0
Area8 mm    (2022-08-11 21:58:41)
I indicated the number of scale on each fish by 1. or 2. for the comments from the reader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1X0ru1s311ogW2s9S8gsdKgOsgw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<sst xmlns="http://schemas.openxmlformats.org/spreadsheetml/2006/main" count="9092" uniqueCount="260">
  <si>
    <t>sample_number</t>
  </si>
  <si>
    <t>Area</t>
  </si>
  <si>
    <t>Location</t>
  </si>
  <si>
    <t>specifics (if given, like neptune 1 etc.)</t>
  </si>
  <si>
    <t>species</t>
  </si>
  <si>
    <t>reader</t>
  </si>
  <si>
    <t>gear</t>
  </si>
  <si>
    <t>year</t>
  </si>
  <si>
    <t>sample_start_day</t>
  </si>
  <si>
    <t>sample_end_day</t>
  </si>
  <si>
    <t>sample_start_month</t>
  </si>
  <si>
    <t>sample_end_month</t>
  </si>
  <si>
    <t>book_number</t>
  </si>
  <si>
    <t>scale_number</t>
  </si>
  <si>
    <t>first_scale</t>
  </si>
  <si>
    <t>second_scale</t>
  </si>
  <si>
    <t>third_scale</t>
  </si>
  <si>
    <t>forth_scale</t>
  </si>
  <si>
    <t>fifth_scale</t>
  </si>
  <si>
    <t>reader_comments</t>
  </si>
  <si>
    <t>entry_comments</t>
  </si>
  <si>
    <t>1971-0001</t>
  </si>
  <si>
    <t>8+9</t>
  </si>
  <si>
    <t>Fitz Hugh Sound (8-16)</t>
  </si>
  <si>
    <t>8/9 boundary</t>
  </si>
  <si>
    <t>sockeye</t>
  </si>
  <si>
    <t>DCA</t>
  </si>
  <si>
    <t>SN</t>
  </si>
  <si>
    <t>R</t>
  </si>
  <si>
    <t>NA</t>
  </si>
  <si>
    <t>other stock</t>
  </si>
  <si>
    <t>fraser?</t>
  </si>
  <si>
    <t>this one is actually RG</t>
  </si>
  <si>
    <t>poor</t>
  </si>
  <si>
    <t>species?</t>
  </si>
  <si>
    <t>2 readings; DCA and DE; though after looking through the actual acetate DE looks more accurate. only entered 1 readers ages</t>
  </si>
  <si>
    <t>1972-0001</t>
  </si>
  <si>
    <t>Fitz Hugh sound (8-4)</t>
  </si>
  <si>
    <t>namu, close to Koeye; commercial</t>
  </si>
  <si>
    <t>YY</t>
  </si>
  <si>
    <t>its not actually poor?</t>
  </si>
  <si>
    <t>Koeye; Neptune 1</t>
  </si>
  <si>
    <t>2 readings only 1 entered by YY</t>
  </si>
  <si>
    <t>1972-0002</t>
  </si>
  <si>
    <t>90</t>
  </si>
  <si>
    <t>shifted</t>
  </si>
  <si>
    <t>?</t>
  </si>
  <si>
    <t>2 READINGS only 1 entered</t>
  </si>
  <si>
    <t>book says chinook but definitely sockeye scales</t>
  </si>
  <si>
    <t>actually R?</t>
  </si>
  <si>
    <t>actually not R?</t>
  </si>
  <si>
    <t>3 readings; P.C. seems to be more accurate only yy were entered</t>
  </si>
  <si>
    <t>Fitz Hugh sound</t>
  </si>
  <si>
    <t>Neptune 1</t>
  </si>
  <si>
    <t xml:space="preserve">Fitz Hugh sound </t>
  </si>
  <si>
    <t xml:space="preserve">i think its ageable. </t>
  </si>
  <si>
    <t>2 readings only 1 entered</t>
  </si>
  <si>
    <t>not R actually?</t>
  </si>
  <si>
    <t>2 readings only YY entered</t>
  </si>
  <si>
    <t>KP</t>
  </si>
  <si>
    <t>2 readings; KP ansd PC; PC looks less polished only 1 entered</t>
  </si>
  <si>
    <t>1973-0001</t>
  </si>
  <si>
    <t>addenbroke light; commercial</t>
  </si>
  <si>
    <t>PC</t>
  </si>
  <si>
    <t>1974-0001</t>
  </si>
  <si>
    <t>Fitz Hugh Sound</t>
  </si>
  <si>
    <t>commercial</t>
  </si>
  <si>
    <t>BJ</t>
  </si>
  <si>
    <t>no ages?</t>
  </si>
  <si>
    <t>1976-0001</t>
  </si>
  <si>
    <t>Fitz Hugh Sound (8-3)</t>
  </si>
  <si>
    <t>1 &amp; 2 miles S of Koeye; commercial</t>
  </si>
  <si>
    <t>1.12</t>
  </si>
  <si>
    <t>1.11</t>
  </si>
  <si>
    <t>1.13</t>
  </si>
  <si>
    <t>1.5+10</t>
  </si>
  <si>
    <t>2.10</t>
  </si>
  <si>
    <t>1.13+4</t>
  </si>
  <si>
    <t>1.10+11</t>
  </si>
  <si>
    <t>1.9</t>
  </si>
  <si>
    <t>2.11</t>
  </si>
  <si>
    <t>2.13</t>
  </si>
  <si>
    <t>1.1</t>
  </si>
  <si>
    <t>2.12</t>
  </si>
  <si>
    <t>2.15</t>
  </si>
  <si>
    <t>GN</t>
  </si>
  <si>
    <t>1.10 2.11</t>
  </si>
  <si>
    <t>1.9+13</t>
  </si>
  <si>
    <t>1.12 2.11</t>
  </si>
  <si>
    <t>1.18</t>
  </si>
  <si>
    <t>1.5+9</t>
  </si>
  <si>
    <t>1.R 2.10</t>
  </si>
  <si>
    <t>1.12+5</t>
  </si>
  <si>
    <t>2.10+12</t>
  </si>
  <si>
    <t>1.10</t>
  </si>
  <si>
    <t>2.14</t>
  </si>
  <si>
    <t>possible estuary growth but no (visible) FW type</t>
  </si>
  <si>
    <t>1976-0002</t>
  </si>
  <si>
    <t>kwakume to addenbroke pt; commercial</t>
  </si>
  <si>
    <t>2.9</t>
  </si>
  <si>
    <t>2.8+5</t>
  </si>
  <si>
    <t>1.8</t>
  </si>
  <si>
    <t>2.8</t>
  </si>
  <si>
    <t>2.10+6</t>
  </si>
  <si>
    <t>1.8+6</t>
  </si>
  <si>
    <t>1.poor 2.9</t>
  </si>
  <si>
    <t>1.15</t>
  </si>
  <si>
    <t>1.9+2</t>
  </si>
  <si>
    <t>1.16</t>
  </si>
  <si>
    <t>1.20+2</t>
  </si>
  <si>
    <t>2.6</t>
  </si>
  <si>
    <t>2.?</t>
  </si>
  <si>
    <t>2.7</t>
  </si>
  <si>
    <t>1.poor</t>
  </si>
  <si>
    <t>2.7+4</t>
  </si>
  <si>
    <t>1.7+5</t>
  </si>
  <si>
    <t>1.13 2.11</t>
  </si>
  <si>
    <t>2.6+5</t>
  </si>
  <si>
    <t>6+9</t>
  </si>
  <si>
    <t>1.16+2</t>
  </si>
  <si>
    <t>1.7</t>
  </si>
  <si>
    <t>1.R</t>
  </si>
  <si>
    <t>1977-0001</t>
  </si>
  <si>
    <t>koeye area; commercial</t>
  </si>
  <si>
    <t>1.14; stress in FW for both</t>
  </si>
  <si>
    <t>2.11+3</t>
  </si>
  <si>
    <t>1.13+2</t>
  </si>
  <si>
    <t>2.13+3</t>
  </si>
  <si>
    <t>1.11+3</t>
  </si>
  <si>
    <t>2.9+8</t>
  </si>
  <si>
    <t>2.14+2</t>
  </si>
  <si>
    <t>1.8+15</t>
  </si>
  <si>
    <t>2.8+3</t>
  </si>
  <si>
    <t>2.7+15</t>
  </si>
  <si>
    <t>2.17+3</t>
  </si>
  <si>
    <t>2.11+6</t>
  </si>
  <si>
    <t>4+9</t>
  </si>
  <si>
    <t>1.13+3</t>
  </si>
  <si>
    <t>1.10+3</t>
  </si>
  <si>
    <t>N of koeye boundary; commercial</t>
  </si>
  <si>
    <t>1.11+2</t>
  </si>
  <si>
    <t>stress in FW; 2.13</t>
  </si>
  <si>
    <t>2.12+3</t>
  </si>
  <si>
    <t>stress in FW; 1.16+2</t>
  </si>
  <si>
    <t>1.9+3</t>
  </si>
  <si>
    <t>2.5+10</t>
  </si>
  <si>
    <t>1.7+3</t>
  </si>
  <si>
    <t>2.11+2</t>
  </si>
  <si>
    <t>1.6</t>
  </si>
  <si>
    <t>1/2 mile north of koeye area; commercial</t>
  </si>
  <si>
    <t>1.7+4</t>
  </si>
  <si>
    <t>1.14, STRESS IN FW</t>
  </si>
  <si>
    <t>STRESS IN FW; 2.13</t>
  </si>
  <si>
    <t>1.POOR</t>
  </si>
  <si>
    <t>1977-0002</t>
  </si>
  <si>
    <t>fisher channel</t>
  </si>
  <si>
    <t>1.8+17</t>
  </si>
  <si>
    <t>2.4+9</t>
  </si>
  <si>
    <t>1.12, stress in FW</t>
  </si>
  <si>
    <t>pink</t>
  </si>
  <si>
    <t>stress in FW; 1.12</t>
  </si>
  <si>
    <t>1.14</t>
  </si>
  <si>
    <t>1.11; 2.poor</t>
  </si>
  <si>
    <t>2.13+4</t>
  </si>
  <si>
    <t>1.12; 2.poor</t>
  </si>
  <si>
    <t>2.12+2</t>
  </si>
  <si>
    <t>2.13+2; stress in FW</t>
  </si>
  <si>
    <t>2.9+17</t>
  </si>
  <si>
    <t>stress in FW; 1.15</t>
  </si>
  <si>
    <t>1.13; 2.stress in FW</t>
  </si>
  <si>
    <t>1.17; stress in FW</t>
  </si>
  <si>
    <t>1.12+2</t>
  </si>
  <si>
    <t>1.15+2</t>
  </si>
  <si>
    <t>2.10+4</t>
  </si>
  <si>
    <t>1.5+11</t>
  </si>
  <si>
    <t>1977-0003</t>
  </si>
  <si>
    <t>fisher channel (8-5)</t>
  </si>
  <si>
    <t>port john; commercial</t>
  </si>
  <si>
    <t>1.12+3</t>
  </si>
  <si>
    <t>2.stress in fw; 3</t>
  </si>
  <si>
    <t>stress in FW; 1.14</t>
  </si>
  <si>
    <t>stress in FW;1.14</t>
  </si>
  <si>
    <t>2.8+19</t>
  </si>
  <si>
    <t>2.8+4</t>
  </si>
  <si>
    <t>stress in fw; 2.13</t>
  </si>
  <si>
    <t>2.17; stress in fw</t>
  </si>
  <si>
    <t>stress in FW; 1.13</t>
  </si>
  <si>
    <t>stress in fw; 2.12</t>
  </si>
  <si>
    <t>1.stress in fw; 15</t>
  </si>
  <si>
    <t>1.stress in FW; 2.15</t>
  </si>
  <si>
    <t>2. stress in FW; 12</t>
  </si>
  <si>
    <t>1.stress in FW; 14</t>
  </si>
  <si>
    <t>1.stress in FW; 16</t>
  </si>
  <si>
    <t>1.15, 2.stress in FW</t>
  </si>
  <si>
    <t>1980-0001</t>
  </si>
  <si>
    <t>namu (8-4)</t>
  </si>
  <si>
    <t>KL</t>
  </si>
  <si>
    <t>GN/SN</t>
  </si>
  <si>
    <t>16</t>
  </si>
  <si>
    <t>15</t>
  </si>
  <si>
    <t>image with bad scale bar, book warped really bad</t>
  </si>
  <si>
    <t>10</t>
  </si>
  <si>
    <t>10+5</t>
  </si>
  <si>
    <t>9</t>
  </si>
  <si>
    <t>7+3</t>
  </si>
  <si>
    <t>12</t>
  </si>
  <si>
    <t>8</t>
  </si>
  <si>
    <t>7+4</t>
  </si>
  <si>
    <t>8+11</t>
  </si>
  <si>
    <t>12+11</t>
  </si>
  <si>
    <t>13</t>
  </si>
  <si>
    <t>7</t>
  </si>
  <si>
    <t>15+4</t>
  </si>
  <si>
    <t>13+18</t>
  </si>
  <si>
    <t>14</t>
  </si>
  <si>
    <t>9+3</t>
  </si>
  <si>
    <t>9+2</t>
  </si>
  <si>
    <t>R for sure</t>
  </si>
  <si>
    <t>sp?</t>
  </si>
  <si>
    <t>weird scale, one small one and another one kinda broken\</t>
  </si>
  <si>
    <t>10+11</t>
  </si>
  <si>
    <t>warped book again, really bad scale bar pic</t>
  </si>
  <si>
    <t>not R?</t>
  </si>
  <si>
    <t>10+14</t>
  </si>
  <si>
    <t>10+16</t>
  </si>
  <si>
    <t>1980-0002</t>
  </si>
  <si>
    <t>7+8</t>
  </si>
  <si>
    <t xml:space="preserve">namu </t>
  </si>
  <si>
    <t>Troll</t>
  </si>
  <si>
    <t>2.poor</t>
  </si>
  <si>
    <t>2.R</t>
  </si>
  <si>
    <t>1981-0001</t>
  </si>
  <si>
    <t>koeye (8-3)</t>
  </si>
  <si>
    <t>boundary; commercial</t>
  </si>
  <si>
    <t>fixed from 31 by YY</t>
  </si>
  <si>
    <t>1981-0002</t>
  </si>
  <si>
    <t>Jap Bay; tagging vessel</t>
  </si>
  <si>
    <t>DG/YY</t>
  </si>
  <si>
    <t>1981-0003</t>
  </si>
  <si>
    <t>S. Boundary Koeye; tagging vessel</t>
  </si>
  <si>
    <t>1987-0001</t>
  </si>
  <si>
    <t>3; FSC</t>
  </si>
  <si>
    <t>DG</t>
  </si>
  <si>
    <t>2.NP</t>
  </si>
  <si>
    <t>W</t>
  </si>
  <si>
    <t>UD</t>
  </si>
  <si>
    <t>NS</t>
  </si>
  <si>
    <t>NP</t>
  </si>
  <si>
    <t>4.7+10</t>
  </si>
  <si>
    <t>2.W</t>
  </si>
  <si>
    <t>double ages were recorded for sample numbers, however only 1 set were recorded in this spreadsheet. All others, only one age card was found per book</t>
  </si>
  <si>
    <t>Book formats were inspected when uncertain by viewing scales under microscope and reviewing ages.</t>
  </si>
  <si>
    <t>Row Labels</t>
  </si>
  <si>
    <t>Grand Total</t>
  </si>
  <si>
    <t>Column Labels</t>
  </si>
  <si>
    <t>final_age</t>
  </si>
  <si>
    <t>Count of final_age</t>
  </si>
  <si>
    <t>total successfully aged</t>
  </si>
  <si>
    <t>(All)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</si>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</sst>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0" borderId="1" xfId="0" applyFont="1" applyBorder="1"/>
    <xf numFmtId="0" fontId="1" fillId="0" borderId="2" xfId="0" applyFont="1" applyBorder="1"/>
    <xf numFmtId="49" fontId="1" fillId="0" borderId="2" xfId="0" applyNumberFormat="1" applyFont="1" applyBorder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49" fontId="3" fillId="0" borderId="0" xfId="0" applyNumberFormat="1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NumberFormat="1"/>
  </cellXfs>
  <cellStyles count="1">
    <cellStyle name="Normal" xfId="0" builtinId="0"/>
  </cellStyles>
  <dxfs count="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Givney, Kate" refreshedDate="46093.638079050928" createdVersion="8" refreshedVersion="8" minRefreshableVersion="3" recordCount="2000" xr:uid="{4FC7EC43-E035-4522-8006-30E56D6BFCF0}">
  <cacheSource type="worksheet">
    <worksheetSource ref="A1:T1048576" sheet="data"/>
  </cacheSource>
  <cacheFields count="20">
    <cacheField name="sample_number" numFmtId="0">
      <sharedItems containsBlank="1" count="17">
        <s v="1971-0001"/>
        <s v="1972-0001"/>
        <s v="1972-0002"/>
        <s v="1973-0001"/>
        <s v="1974-0001"/>
        <s v="1976-0001"/>
        <s v="1976-0002"/>
        <s v="1977-0001"/>
        <s v="1977-0002"/>
        <s v="1977-0003"/>
        <s v="1980-0001"/>
        <s v="1980-0002"/>
        <s v="1981-0001"/>
        <s v="1981-0002"/>
        <s v="1981-0003"/>
        <s v="1987-0001"/>
        <m/>
      </sharedItems>
    </cacheField>
    <cacheField name="Area" numFmtId="0">
      <sharedItems containsBlank="1" containsMixedTypes="1" containsNumber="1" containsInteger="1" minValue="8" maxValue="8"/>
    </cacheField>
    <cacheField name="Location" numFmtId="0">
      <sharedItems containsBlank="1"/>
    </cacheField>
    <cacheField name="specifics (if given, like neptune 1 etc.)" numFmtId="0">
      <sharedItems containsBlank="1"/>
    </cacheField>
    <cacheField name="species" numFmtId="0">
      <sharedItems containsBlank="1"/>
    </cacheField>
    <cacheField name="reader" numFmtId="0">
      <sharedItems containsBlank="1" count="9">
        <s v="DCA"/>
        <s v="YY"/>
        <s v="KP"/>
        <s v="PC"/>
        <s v="BJ"/>
        <s v="KL"/>
        <s v="DG/YY"/>
        <s v="DG"/>
        <m/>
      </sharedItems>
    </cacheField>
    <cacheField name="gear" numFmtId="0">
      <sharedItems containsBlank="1"/>
    </cacheField>
    <cacheField name="year" numFmtId="0">
      <sharedItems containsString="0" containsBlank="1" containsNumber="1" containsInteger="1" minValue="1971" maxValue="1987" count="10">
        <n v="1971"/>
        <n v="1972"/>
        <n v="1973"/>
        <n v="1974"/>
        <n v="1976"/>
        <n v="1977"/>
        <n v="1980"/>
        <n v="1981"/>
        <n v="1987"/>
        <m/>
      </sharedItems>
    </cacheField>
    <cacheField name="sample_start_day" numFmtId="0">
      <sharedItems containsString="0" containsBlank="1" containsNumber="1" containsInteger="1" minValue="1" maxValue="30"/>
    </cacheField>
    <cacheField name="sample_end_day" numFmtId="0">
      <sharedItems containsString="0" containsBlank="1" containsNumber="1" containsInteger="1" minValue="6" maxValue="16"/>
    </cacheField>
    <cacheField name="sample_start_month" numFmtId="0">
      <sharedItems containsString="0" containsBlank="1" containsNumber="1" containsInteger="1" minValue="6" maxValue="8"/>
    </cacheField>
    <cacheField name="sample_end_month" numFmtId="0">
      <sharedItems containsNonDate="0" containsString="0" containsBlank="1"/>
    </cacheField>
    <cacheField name="book_number" numFmtId="0">
      <sharedItems containsString="0" containsBlank="1" containsNumber="1" containsInteger="1" minValue="1" maxValue="9" count="10">
        <n v="1"/>
        <n v="2"/>
        <n v="3"/>
        <n v="4"/>
        <n v="5"/>
        <n v="6"/>
        <n v="7"/>
        <n v="8"/>
        <n v="9"/>
        <m/>
      </sharedItems>
    </cacheField>
    <cacheField name="scale_number" numFmtId="0">
      <sharedItems containsString="0" containsBlank="1" containsNumber="1" containsInteger="1" minValue="1" maxValue="50"/>
    </cacheField>
    <cacheField name="first_scale" numFmtId="0">
      <sharedItems containsBlank="1" containsMixedTypes="1" containsNumber="1" containsInteger="1" minValue="21" maxValue="64"/>
    </cacheField>
    <cacheField name="second_scale" numFmtId="0">
      <sharedItems containsBlank="1" containsMixedTypes="1" containsNumber="1" containsInteger="1" minValue="21" maxValue="63"/>
    </cacheField>
    <cacheField name="third_scale" numFmtId="0">
      <sharedItems containsBlank="1" containsMixedTypes="1" containsNumber="1" containsInteger="1" minValue="41" maxValue="63"/>
    </cacheField>
    <cacheField name="forth_scale" numFmtId="0">
      <sharedItems containsBlank="1" containsMixedTypes="1" containsNumber="1" containsInteger="1" minValue="41" maxValue="53"/>
    </cacheField>
    <cacheField name="fifth_scale" numFmtId="0">
      <sharedItems containsNonDate="0" containsString="0" containsBlank="1"/>
    </cacheField>
    <cacheField name="reader_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Givney, Kate" refreshedDate="46182.596472337966" createdVersion="8" refreshedVersion="8" minRefreshableVersion="3" recordCount="2000" xr:uid="{0D74C097-C395-44FA-A5C6-BF99AAE5F7AC}">
  <cacheSource type="worksheet">
    <worksheetSource ref="A1:V1048576" sheet="data"/>
  </cacheSource>
  <cacheFields count="22">
    <cacheField name="sample_number" numFmtId="0">
      <sharedItems containsBlank="1" count="17">
        <s v="1971-0001"/>
        <s v="1972-0001"/>
        <s v="1972-0002"/>
        <s v="1973-0001"/>
        <s v="1974-0001"/>
        <s v="1976-0001"/>
        <s v="1976-0002"/>
        <s v="1977-0001"/>
        <s v="1977-0002"/>
        <s v="1977-0003"/>
        <s v="1980-0001"/>
        <s v="1980-0002"/>
        <s v="1981-0001"/>
        <s v="1981-0002"/>
        <s v="1981-0003"/>
        <s v="1987-0001"/>
        <m/>
      </sharedItems>
    </cacheField>
    <cacheField name="Area" numFmtId="0">
      <sharedItems containsBlank="1" containsMixedTypes="1" containsNumber="1" containsInteger="1" minValue="8" maxValue="8" count="4">
        <s v="8+9"/>
        <n v="8"/>
        <s v="7+8"/>
        <m/>
      </sharedItems>
    </cacheField>
    <cacheField name="Location" numFmtId="0">
      <sharedItems containsBlank="1" count="11">
        <s v="Fitz Hugh Sound (8-16)"/>
        <s v="Fitz Hugh sound (8-4)"/>
        <s v="Fitz Hugh sound"/>
        <s v="Fitz Hugh sound "/>
        <s v="Fitz Hugh Sound (8-3)"/>
        <s v="fisher channel"/>
        <s v="fisher channel (8-5)"/>
        <s v="namu (8-4)"/>
        <s v="namu "/>
        <s v="koeye (8-3)"/>
        <m/>
      </sharedItems>
    </cacheField>
    <cacheField name="specifics (if given, like neptune 1 etc.)" numFmtId="0">
      <sharedItems containsBlank="1"/>
    </cacheField>
    <cacheField name="species" numFmtId="0">
      <sharedItems containsBlank="1" count="4">
        <s v="sockeye"/>
        <s v="NA"/>
        <s v="pink"/>
        <m/>
      </sharedItems>
    </cacheField>
    <cacheField name="reader" numFmtId="0">
      <sharedItems containsBlank="1"/>
    </cacheField>
    <cacheField name="gear" numFmtId="0">
      <sharedItems containsBlank="1"/>
    </cacheField>
    <cacheField name="year" numFmtId="0">
      <sharedItems containsString="0" containsBlank="1" containsNumber="1" containsInteger="1" minValue="1971" maxValue="1987" count="10">
        <n v="1971"/>
        <n v="1972"/>
        <n v="1973"/>
        <n v="1974"/>
        <n v="1976"/>
        <n v="1977"/>
        <n v="1980"/>
        <n v="1981"/>
        <n v="1987"/>
        <m/>
      </sharedItems>
    </cacheField>
    <cacheField name="sample_start_day" numFmtId="0">
      <sharedItems containsString="0" containsBlank="1" containsNumber="1" containsInteger="1" minValue="1" maxValue="30"/>
    </cacheField>
    <cacheField name="sample_end_day" numFmtId="0">
      <sharedItems containsString="0" containsBlank="1" containsNumber="1" containsInteger="1" minValue="6" maxValue="16"/>
    </cacheField>
    <cacheField name="sample_start_month" numFmtId="0">
      <sharedItems containsString="0" containsBlank="1" containsNumber="1" containsInteger="1" minValue="6" maxValue="8"/>
    </cacheField>
    <cacheField name="sample_end_month" numFmtId="0">
      <sharedItems containsNonDate="0" containsString="0" containsBlank="1"/>
    </cacheField>
    <cacheField name="book_number" numFmtId="0">
      <sharedItems containsString="0" containsBlank="1" containsNumber="1" containsInteger="1" minValue="1" maxValue="9"/>
    </cacheField>
    <cacheField name="scale_number" numFmtId="0">
      <sharedItems containsString="0" containsBlank="1" containsNumber="1" containsInteger="1" minValue="1" maxValue="50"/>
    </cacheField>
    <cacheField name="first_scale" numFmtId="0">
      <sharedItems containsBlank="1" containsMixedTypes="1" containsNumber="1" containsInteger="1" minValue="21" maxValue="64"/>
    </cacheField>
    <cacheField name="second_scale" numFmtId="0">
      <sharedItems containsBlank="1" containsMixedTypes="1" containsNumber="1" containsInteger="1" minValue="21" maxValue="63"/>
    </cacheField>
    <cacheField name="third_scale" numFmtId="0">
      <sharedItems containsBlank="1" containsMixedTypes="1" containsNumber="1" containsInteger="1" minValue="41" maxValue="63"/>
    </cacheField>
    <cacheField name="forth_scale" numFmtId="0">
      <sharedItems containsBlank="1" containsMixedTypes="1" containsNumber="1" containsInteger="1" minValue="41" maxValue="53"/>
    </cacheField>
    <cacheField name="fifth_scale" numFmtId="0">
      <sharedItems containsNonDate="0" containsString="0" containsBlank="1"/>
    </cacheField>
    <cacheField name="reader_comments" numFmtId="0">
      <sharedItems containsBlank="1"/>
    </cacheField>
    <cacheField name="entry_comments" numFmtId="0">
      <sharedItems containsBlank="1"/>
    </cacheField>
    <cacheField name="final_age" numFmtId="0">
      <sharedItems containsBlank="1" containsMixedTypes="1" containsNumber="1" containsInteger="1" minValue="21" maxValue="64" count="13">
        <n v="52"/>
        <n v="42"/>
        <s v="NA"/>
        <n v="53"/>
        <n v="63"/>
        <n v="64"/>
        <n v="31"/>
        <n v="21"/>
        <n v="32"/>
        <n v="41"/>
        <n v="51"/>
        <n v="4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8+9"/>
    <s v="Fitz Hugh Sound (8-16)"/>
    <s v="8/9 boundary"/>
    <s v="sockeye"/>
    <x v="0"/>
    <s v="SN"/>
    <x v="0"/>
    <n v="12"/>
    <m/>
    <n v="7"/>
    <m/>
    <x v="0"/>
    <n v="1"/>
    <n v="5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"/>
    <n v="5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5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6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7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8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9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0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1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2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3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4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5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6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7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8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19"/>
    <s v="R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0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1"/>
    <s v="NA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2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3"/>
    <n v="53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4"/>
    <n v="5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5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6"/>
    <s v="NA"/>
    <m/>
    <m/>
    <m/>
    <m/>
    <s v="other stock"/>
  </r>
  <r>
    <x v="0"/>
    <s v="8+9"/>
    <s v="Fitz Hugh Sound (8-16)"/>
    <s v="8/9 boundary"/>
    <s v="sockeye"/>
    <x v="0"/>
    <s v="SN"/>
    <x v="0"/>
    <n v="12"/>
    <m/>
    <n v="7"/>
    <m/>
    <x v="0"/>
    <n v="27"/>
    <s v="NA"/>
    <m/>
    <m/>
    <m/>
    <m/>
    <s v="fraser?"/>
  </r>
  <r>
    <x v="0"/>
    <s v="8+9"/>
    <s v="Fitz Hugh Sound (8-16)"/>
    <s v="8/9 boundary"/>
    <s v="sockeye"/>
    <x v="0"/>
    <s v="SN"/>
    <x v="0"/>
    <n v="12"/>
    <m/>
    <n v="7"/>
    <m/>
    <x v="0"/>
    <n v="28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29"/>
    <s v="R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0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1"/>
    <s v="NA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2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3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4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5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6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7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8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39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0"/>
    <s v="R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1"/>
    <s v="NA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2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3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4"/>
    <s v="R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5"/>
    <n v="5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6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7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8"/>
    <n v="42"/>
    <m/>
    <m/>
    <m/>
    <m/>
    <m/>
  </r>
  <r>
    <x v="0"/>
    <s v="8+9"/>
    <s v="Fitz Hugh Sound (8-16)"/>
    <s v="8/9 boundary"/>
    <s v="sockeye"/>
    <x v="0"/>
    <s v="SN"/>
    <x v="0"/>
    <n v="12"/>
    <m/>
    <n v="7"/>
    <m/>
    <x v="0"/>
    <n v="49"/>
    <n v="42"/>
    <m/>
    <m/>
    <m/>
    <m/>
    <m/>
  </r>
  <r>
    <x v="0"/>
    <s v="8+9"/>
    <s v="Fitz Hugh Sound (8-16)"/>
    <s v="8/9 boundary"/>
    <s v="NA"/>
    <x v="0"/>
    <s v="SN"/>
    <x v="0"/>
    <n v="12"/>
    <m/>
    <n v="7"/>
    <m/>
    <x v="0"/>
    <n v="50"/>
    <s v="NA"/>
    <m/>
    <m/>
    <m/>
    <m/>
    <s v="species?"/>
  </r>
  <r>
    <x v="1"/>
    <n v="8"/>
    <s v="Fitz Hugh sound (8-4)"/>
    <s v="namu, close to Koeye; commercial"/>
    <s v="sockeye"/>
    <x v="1"/>
    <s v="SN"/>
    <x v="1"/>
    <n v="21"/>
    <m/>
    <n v="6"/>
    <m/>
    <x v="0"/>
    <n v="1"/>
    <n v="53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5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6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7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8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9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0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1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2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3"/>
    <s v="NA"/>
    <m/>
    <m/>
    <m/>
    <m/>
    <s v="poor"/>
  </r>
  <r>
    <x v="1"/>
    <n v="8"/>
    <s v="Fitz Hugh sound (8-4)"/>
    <s v="namu, close to Koeye; commercial"/>
    <s v="sockeye"/>
    <x v="1"/>
    <s v="SN"/>
    <x v="1"/>
    <n v="21"/>
    <m/>
    <n v="6"/>
    <m/>
    <x v="0"/>
    <n v="14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5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6"/>
    <s v="R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7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8"/>
    <n v="63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19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0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1"/>
    <n v="53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2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3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4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5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6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7"/>
    <s v="R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8"/>
    <s v="R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29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0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1"/>
    <s v="NA"/>
    <m/>
    <m/>
    <m/>
    <m/>
    <s v="poor"/>
  </r>
  <r>
    <x v="1"/>
    <n v="8"/>
    <s v="Fitz Hugh sound (8-4)"/>
    <s v="namu, close to Koeye; commercial"/>
    <s v="sockeye"/>
    <x v="1"/>
    <s v="SN"/>
    <x v="1"/>
    <n v="21"/>
    <m/>
    <n v="6"/>
    <m/>
    <x v="0"/>
    <n v="32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3"/>
    <s v="R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4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5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6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7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8"/>
    <s v="R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39"/>
    <n v="4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0"/>
    <n v="64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1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2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3"/>
    <n v="63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4"/>
    <s v="NA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5"/>
    <n v="63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6"/>
    <n v="53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7"/>
    <s v="R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8"/>
    <n v="52"/>
    <m/>
    <m/>
    <m/>
    <m/>
    <m/>
  </r>
  <r>
    <x v="1"/>
    <n v="8"/>
    <s v="Fitz Hugh sound (8-4)"/>
    <s v="namu, close to Koeye; commercial"/>
    <s v="sockeye"/>
    <x v="1"/>
    <s v="SN"/>
    <x v="1"/>
    <n v="21"/>
    <m/>
    <n v="6"/>
    <m/>
    <x v="0"/>
    <n v="49"/>
    <n v="52"/>
    <m/>
    <m/>
    <m/>
    <m/>
    <m/>
  </r>
  <r>
    <x v="1"/>
    <n v="8"/>
    <s v="Fitz Hugh sound (8-4)"/>
    <s v="Koeye; Neptune 1"/>
    <s v="sockeye"/>
    <x v="1"/>
    <s v="SN"/>
    <x v="1"/>
    <n v="21"/>
    <m/>
    <n v="6"/>
    <m/>
    <x v="0"/>
    <n v="50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4"/>
    <n v="52"/>
    <m/>
    <m/>
    <m/>
    <m/>
    <s v="90"/>
  </r>
  <r>
    <x v="2"/>
    <n v="8"/>
    <s v="Fitz Hugh sound (8-4)"/>
    <s v="Koeye; Neptune 1"/>
    <s v="sockeye"/>
    <x v="1"/>
    <m/>
    <x v="1"/>
    <n v="22"/>
    <m/>
    <n v="6"/>
    <m/>
    <x v="1"/>
    <n v="5"/>
    <s v="R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6"/>
    <n v="31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7"/>
    <n v="31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8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9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0"/>
    <s v="NA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1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2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3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4"/>
    <s v="NA"/>
    <m/>
    <m/>
    <m/>
    <m/>
    <s v="shifted"/>
  </r>
  <r>
    <x v="2"/>
    <n v="8"/>
    <s v="Fitz Hugh sound (8-4)"/>
    <s v="Koeye; Neptune 1"/>
    <s v="sockeye"/>
    <x v="1"/>
    <m/>
    <x v="1"/>
    <n v="22"/>
    <m/>
    <n v="6"/>
    <m/>
    <x v="1"/>
    <n v="15"/>
    <n v="53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6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7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8"/>
    <n v="31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19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0"/>
    <n v="53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1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2"/>
    <s v="R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3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4"/>
    <s v="R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5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6"/>
    <n v="63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7"/>
    <n v="53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8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29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0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1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2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3"/>
    <n v="21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4"/>
    <n v="64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5"/>
    <n v="5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6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7"/>
    <n v="42"/>
    <m/>
    <m/>
    <m/>
    <m/>
    <m/>
  </r>
  <r>
    <x v="2"/>
    <n v="8"/>
    <s v="Fitz Hugh sound (8-4)"/>
    <s v="Koeye; Neptune 1"/>
    <s v="sockeye"/>
    <x v="1"/>
    <m/>
    <x v="1"/>
    <n v="22"/>
    <m/>
    <n v="6"/>
    <m/>
    <x v="1"/>
    <n v="38"/>
    <n v="31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"/>
    <n v="3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"/>
    <n v="53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"/>
    <n v="42"/>
    <m/>
    <m/>
    <m/>
    <m/>
    <s v="R"/>
  </r>
  <r>
    <x v="2"/>
    <n v="8"/>
    <s v="Fitz Hugh sound (8-4)"/>
    <s v="Koeye; Neptune 1"/>
    <s v="sockeye"/>
    <x v="1"/>
    <m/>
    <x v="1"/>
    <n v="29"/>
    <m/>
    <n v="6"/>
    <m/>
    <x v="2"/>
    <n v="4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5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6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7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8"/>
    <n v="31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9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0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1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2"/>
    <n v="63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3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4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5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6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7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8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19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0"/>
    <n v="31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1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2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3"/>
    <n v="52"/>
    <m/>
    <m/>
    <m/>
    <m/>
    <s v="90"/>
  </r>
  <r>
    <x v="2"/>
    <n v="8"/>
    <s v="Fitz Hugh sound (8-4)"/>
    <s v="Koeye; Neptune 1"/>
    <s v="sockeye"/>
    <x v="1"/>
    <m/>
    <x v="1"/>
    <n v="29"/>
    <m/>
    <n v="6"/>
    <m/>
    <x v="2"/>
    <n v="24"/>
    <s v="NA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5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6"/>
    <n v="3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7"/>
    <s v="NA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8"/>
    <n v="31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29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0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1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2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3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4"/>
    <n v="31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5"/>
    <n v="63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6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7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8"/>
    <n v="53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39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0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1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2"/>
    <m/>
    <m/>
    <m/>
    <m/>
    <m/>
    <s v="90"/>
  </r>
  <r>
    <x v="2"/>
    <n v="8"/>
    <s v="Fitz Hugh sound (8-4)"/>
    <s v="Koeye; Neptune 1"/>
    <s v="sockeye"/>
    <x v="1"/>
    <m/>
    <x v="1"/>
    <n v="29"/>
    <m/>
    <n v="6"/>
    <m/>
    <x v="2"/>
    <n v="43"/>
    <s v="NA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4"/>
    <n v="4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5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6"/>
    <n v="52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7"/>
    <n v="53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8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49"/>
    <s v="R"/>
    <m/>
    <m/>
    <m/>
    <m/>
    <m/>
  </r>
  <r>
    <x v="2"/>
    <n v="8"/>
    <s v="Fitz Hugh sound (8-4)"/>
    <s v="Koeye; Neptune 1"/>
    <s v="sockeye"/>
    <x v="1"/>
    <m/>
    <x v="1"/>
    <n v="29"/>
    <m/>
    <n v="6"/>
    <m/>
    <x v="2"/>
    <n v="50"/>
    <n v="53"/>
    <m/>
    <m/>
    <m/>
    <m/>
    <s v="?"/>
  </r>
  <r>
    <x v="2"/>
    <n v="8"/>
    <s v="Fitz Hugh sound (8-4)"/>
    <s v="Koeye; Neptune 1"/>
    <s v="sockeye"/>
    <x v="1"/>
    <m/>
    <x v="1"/>
    <n v="30"/>
    <m/>
    <n v="6"/>
    <m/>
    <x v="3"/>
    <n v="1"/>
    <n v="3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"/>
    <n v="5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"/>
    <n v="5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5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6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7"/>
    <n v="53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8"/>
    <n v="5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9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0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1"/>
    <n v="42"/>
    <m/>
    <m/>
    <m/>
    <m/>
    <s v="90"/>
  </r>
  <r>
    <x v="2"/>
    <n v="8"/>
    <s v="Fitz Hugh sound (8-4)"/>
    <s v="Koeye; Neptune 1"/>
    <s v="sockeye"/>
    <x v="1"/>
    <m/>
    <x v="1"/>
    <n v="30"/>
    <m/>
    <n v="6"/>
    <m/>
    <x v="3"/>
    <n v="12"/>
    <n v="3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3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4"/>
    <n v="53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5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6"/>
    <s v="R"/>
    <m/>
    <m/>
    <m/>
    <m/>
    <s v="shifted"/>
  </r>
  <r>
    <x v="2"/>
    <n v="8"/>
    <s v="Fitz Hugh sound (8-4)"/>
    <s v="Koeye; Neptune 1"/>
    <s v="sockeye"/>
    <x v="1"/>
    <m/>
    <x v="1"/>
    <n v="30"/>
    <m/>
    <n v="6"/>
    <m/>
    <x v="3"/>
    <n v="17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8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19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0"/>
    <n v="31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1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2"/>
    <n v="3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3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4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5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6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7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8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29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0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1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2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3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4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5"/>
    <n v="42"/>
    <m/>
    <m/>
    <m/>
    <m/>
    <s v="90"/>
  </r>
  <r>
    <x v="2"/>
    <n v="8"/>
    <s v="Fitz Hugh sound (8-4)"/>
    <s v="Koeye; Neptune 1"/>
    <s v="sockeye"/>
    <x v="1"/>
    <m/>
    <x v="1"/>
    <n v="30"/>
    <m/>
    <n v="6"/>
    <m/>
    <x v="3"/>
    <n v="36"/>
    <n v="31"/>
    <m/>
    <m/>
    <m/>
    <m/>
    <s v="?"/>
  </r>
  <r>
    <x v="2"/>
    <n v="8"/>
    <s v="Fitz Hugh sound (8-4)"/>
    <s v="Koeye; Neptune 1"/>
    <s v="sockeye"/>
    <x v="1"/>
    <m/>
    <x v="1"/>
    <n v="30"/>
    <m/>
    <n v="6"/>
    <m/>
    <x v="3"/>
    <n v="37"/>
    <s v="NA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8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39"/>
    <s v="NA"/>
    <m/>
    <m/>
    <m/>
    <m/>
    <s v="90"/>
  </r>
  <r>
    <x v="2"/>
    <n v="8"/>
    <s v="Fitz Hugh sound (8-4)"/>
    <s v="Koeye; Neptune 1"/>
    <s v="sockeye"/>
    <x v="1"/>
    <m/>
    <x v="1"/>
    <n v="30"/>
    <m/>
    <n v="6"/>
    <m/>
    <x v="3"/>
    <n v="40"/>
    <n v="5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1"/>
    <m/>
    <m/>
    <m/>
    <m/>
    <m/>
    <s v="90"/>
  </r>
  <r>
    <x v="2"/>
    <n v="8"/>
    <s v="Fitz Hugh sound (8-4)"/>
    <s v="Koeye; Neptune 1"/>
    <s v="sockeye"/>
    <x v="1"/>
    <m/>
    <x v="1"/>
    <n v="30"/>
    <m/>
    <n v="6"/>
    <m/>
    <x v="3"/>
    <n v="42"/>
    <n v="3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3"/>
    <n v="3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4"/>
    <n v="3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5"/>
    <n v="31"/>
    <m/>
    <m/>
    <m/>
    <m/>
    <s v="?"/>
  </r>
  <r>
    <x v="2"/>
    <n v="8"/>
    <s v="Fitz Hugh sound (8-4)"/>
    <s v="Koeye; Neptune 1"/>
    <s v="sockeye"/>
    <x v="1"/>
    <m/>
    <x v="1"/>
    <n v="30"/>
    <m/>
    <n v="6"/>
    <m/>
    <x v="3"/>
    <n v="46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7"/>
    <s v="R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48"/>
    <s v="R"/>
    <m/>
    <m/>
    <m/>
    <m/>
    <s v="90"/>
  </r>
  <r>
    <x v="2"/>
    <n v="8"/>
    <s v="Fitz Hugh sound (8-4)"/>
    <s v="Koeye; Neptune 1"/>
    <s v="sockeye"/>
    <x v="1"/>
    <m/>
    <x v="1"/>
    <n v="30"/>
    <m/>
    <n v="6"/>
    <m/>
    <x v="3"/>
    <n v="49"/>
    <n v="42"/>
    <m/>
    <m/>
    <m/>
    <m/>
    <m/>
  </r>
  <r>
    <x v="2"/>
    <n v="8"/>
    <s v="Fitz Hugh sound (8-4)"/>
    <s v="Koeye; Neptune 1"/>
    <s v="sockeye"/>
    <x v="1"/>
    <m/>
    <x v="1"/>
    <n v="30"/>
    <m/>
    <n v="6"/>
    <m/>
    <x v="3"/>
    <n v="50"/>
    <n v="31"/>
    <m/>
    <m/>
    <m/>
    <m/>
    <m/>
  </r>
  <r>
    <x v="2"/>
    <n v="8"/>
    <s v="Fitz Hugh sound"/>
    <s v="Neptune 1"/>
    <s v="sockeye"/>
    <x v="1"/>
    <m/>
    <x v="1"/>
    <n v="1"/>
    <m/>
    <n v="7"/>
    <m/>
    <x v="4"/>
    <n v="1"/>
    <n v="32"/>
    <m/>
    <m/>
    <m/>
    <m/>
    <m/>
  </r>
  <r>
    <x v="2"/>
    <n v="8"/>
    <s v="Fitz Hugh sound"/>
    <s v="Neptune 1"/>
    <s v="sockeye"/>
    <x v="1"/>
    <m/>
    <x v="1"/>
    <n v="1"/>
    <m/>
    <n v="7"/>
    <m/>
    <x v="4"/>
    <n v="2"/>
    <n v="53"/>
    <m/>
    <m/>
    <m/>
    <m/>
    <m/>
  </r>
  <r>
    <x v="2"/>
    <n v="8"/>
    <s v="Fitz Hugh sound"/>
    <s v="Neptune 1"/>
    <s v="sockeye"/>
    <x v="1"/>
    <m/>
    <x v="1"/>
    <n v="1"/>
    <m/>
    <n v="7"/>
    <m/>
    <x v="4"/>
    <n v="3"/>
    <n v="52"/>
    <m/>
    <m/>
    <m/>
    <m/>
    <m/>
  </r>
  <r>
    <x v="2"/>
    <n v="8"/>
    <s v="Fitz Hugh sound"/>
    <s v="Neptune 1"/>
    <s v="sockeye"/>
    <x v="1"/>
    <m/>
    <x v="1"/>
    <n v="1"/>
    <m/>
    <n v="7"/>
    <m/>
    <x v="4"/>
    <n v="4"/>
    <s v="R"/>
    <m/>
    <m/>
    <m/>
    <m/>
    <m/>
  </r>
  <r>
    <x v="2"/>
    <n v="8"/>
    <s v="Fitz Hugh sound "/>
    <s v="Neptune 1"/>
    <s v="sockeye"/>
    <x v="1"/>
    <m/>
    <x v="1"/>
    <n v="1"/>
    <m/>
    <n v="7"/>
    <m/>
    <x v="4"/>
    <n v="5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6"/>
    <n v="42"/>
    <m/>
    <m/>
    <m/>
    <m/>
    <m/>
  </r>
  <r>
    <x v="2"/>
    <n v="8"/>
    <s v="Fitz Hugh sound "/>
    <s v="Neptune 1"/>
    <s v="sockeye"/>
    <x v="1"/>
    <m/>
    <x v="1"/>
    <n v="1"/>
    <m/>
    <n v="7"/>
    <m/>
    <x v="4"/>
    <n v="7"/>
    <n v="52"/>
    <m/>
    <m/>
    <m/>
    <m/>
    <m/>
  </r>
  <r>
    <x v="2"/>
    <n v="8"/>
    <s v="Fitz Hugh sound"/>
    <s v="Neptune 1"/>
    <s v="sockeye"/>
    <x v="1"/>
    <m/>
    <x v="1"/>
    <n v="1"/>
    <m/>
    <n v="7"/>
    <m/>
    <x v="4"/>
    <n v="8"/>
    <n v="41"/>
    <m/>
    <m/>
    <m/>
    <m/>
    <m/>
  </r>
  <r>
    <x v="2"/>
    <n v="8"/>
    <s v="Fitz Hugh sound "/>
    <s v="Neptune 1"/>
    <s v="sockeye"/>
    <x v="1"/>
    <m/>
    <x v="1"/>
    <n v="1"/>
    <m/>
    <n v="7"/>
    <m/>
    <x v="4"/>
    <n v="9"/>
    <n v="53"/>
    <m/>
    <m/>
    <m/>
    <m/>
    <m/>
  </r>
  <r>
    <x v="2"/>
    <n v="8"/>
    <s v="Fitz Hugh sound"/>
    <s v="Neptune 1"/>
    <s v="sockeye"/>
    <x v="1"/>
    <m/>
    <x v="1"/>
    <n v="1"/>
    <m/>
    <n v="7"/>
    <m/>
    <x v="4"/>
    <n v="10"/>
    <n v="52"/>
    <m/>
    <m/>
    <m/>
    <m/>
    <m/>
  </r>
  <r>
    <x v="2"/>
    <n v="8"/>
    <s v="Fitz Hugh sound "/>
    <s v="Neptune 1"/>
    <s v="sockeye"/>
    <x v="1"/>
    <m/>
    <x v="1"/>
    <n v="1"/>
    <m/>
    <n v="7"/>
    <m/>
    <x v="4"/>
    <n v="11"/>
    <s v="NA"/>
    <m/>
    <m/>
    <m/>
    <m/>
    <m/>
  </r>
  <r>
    <x v="2"/>
    <n v="8"/>
    <s v="Fitz Hugh sound"/>
    <s v="Neptune 1"/>
    <s v="sockeye"/>
    <x v="1"/>
    <m/>
    <x v="1"/>
    <n v="1"/>
    <m/>
    <n v="7"/>
    <m/>
    <x v="4"/>
    <n v="12"/>
    <n v="31"/>
    <m/>
    <m/>
    <m/>
    <m/>
    <m/>
  </r>
  <r>
    <x v="2"/>
    <n v="8"/>
    <s v="Fitz Hugh sound "/>
    <s v="Neptune 1"/>
    <s v="sockeye"/>
    <x v="1"/>
    <m/>
    <x v="1"/>
    <n v="1"/>
    <m/>
    <n v="7"/>
    <m/>
    <x v="4"/>
    <n v="13"/>
    <s v="R"/>
    <m/>
    <m/>
    <m/>
    <m/>
    <m/>
  </r>
  <r>
    <x v="2"/>
    <n v="8"/>
    <s v="Fitz Hugh sound"/>
    <s v="Neptune 1"/>
    <s v="sockeye"/>
    <x v="1"/>
    <m/>
    <x v="1"/>
    <n v="1"/>
    <m/>
    <n v="7"/>
    <m/>
    <x v="4"/>
    <n v="14"/>
    <n v="53"/>
    <m/>
    <m/>
    <m/>
    <m/>
    <m/>
  </r>
  <r>
    <x v="2"/>
    <n v="8"/>
    <s v="Fitz Hugh sound "/>
    <s v="Neptune 1"/>
    <s v="sockeye"/>
    <x v="1"/>
    <m/>
    <x v="1"/>
    <n v="1"/>
    <m/>
    <n v="7"/>
    <m/>
    <x v="4"/>
    <n v="15"/>
    <s v="NA"/>
    <m/>
    <m/>
    <m/>
    <m/>
    <m/>
  </r>
  <r>
    <x v="2"/>
    <n v="8"/>
    <s v="Fitz Hugh sound"/>
    <s v="Neptune 1"/>
    <s v="sockeye"/>
    <x v="1"/>
    <m/>
    <x v="1"/>
    <n v="1"/>
    <m/>
    <n v="7"/>
    <m/>
    <x v="4"/>
    <n v="16"/>
    <n v="42"/>
    <m/>
    <m/>
    <m/>
    <m/>
    <m/>
  </r>
  <r>
    <x v="2"/>
    <n v="8"/>
    <s v="Fitz Hugh sound "/>
    <s v="Neptune 1"/>
    <s v="sockeye"/>
    <x v="1"/>
    <m/>
    <x v="1"/>
    <n v="1"/>
    <m/>
    <n v="7"/>
    <m/>
    <x v="4"/>
    <n v="17"/>
    <n v="31"/>
    <m/>
    <m/>
    <m/>
    <m/>
    <m/>
  </r>
  <r>
    <x v="2"/>
    <n v="8"/>
    <s v="Fitz Hugh sound"/>
    <s v="Neptune 1"/>
    <s v="sockeye"/>
    <x v="1"/>
    <m/>
    <x v="1"/>
    <n v="1"/>
    <m/>
    <n v="7"/>
    <m/>
    <x v="4"/>
    <n v="18"/>
    <s v="R"/>
    <m/>
    <m/>
    <m/>
    <m/>
    <m/>
  </r>
  <r>
    <x v="2"/>
    <n v="8"/>
    <s v="Fitz Hugh sound "/>
    <s v="Neptune 1"/>
    <s v="sockeye"/>
    <x v="1"/>
    <m/>
    <x v="1"/>
    <n v="1"/>
    <m/>
    <n v="7"/>
    <m/>
    <x v="4"/>
    <n v="19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20"/>
    <s v="R"/>
    <m/>
    <m/>
    <m/>
    <m/>
    <m/>
  </r>
  <r>
    <x v="2"/>
    <n v="8"/>
    <s v="Fitz Hugh sound "/>
    <s v="Neptune 1"/>
    <s v="sockeye"/>
    <x v="1"/>
    <m/>
    <x v="1"/>
    <n v="1"/>
    <m/>
    <n v="7"/>
    <m/>
    <x v="4"/>
    <n v="21"/>
    <n v="52"/>
    <m/>
    <m/>
    <m/>
    <m/>
    <s v="poor"/>
  </r>
  <r>
    <x v="2"/>
    <n v="8"/>
    <s v="Fitz Hugh sound"/>
    <s v="Neptune 1"/>
    <s v="sockeye"/>
    <x v="1"/>
    <m/>
    <x v="1"/>
    <n v="1"/>
    <m/>
    <n v="7"/>
    <m/>
    <x v="4"/>
    <n v="22"/>
    <n v="53"/>
    <m/>
    <m/>
    <m/>
    <m/>
    <m/>
  </r>
  <r>
    <x v="2"/>
    <n v="8"/>
    <s v="Fitz Hugh sound "/>
    <s v="Neptune 1"/>
    <s v="sockeye"/>
    <x v="1"/>
    <m/>
    <x v="1"/>
    <n v="1"/>
    <m/>
    <n v="7"/>
    <m/>
    <x v="4"/>
    <n v="23"/>
    <n v="52"/>
    <m/>
    <m/>
    <m/>
    <m/>
    <m/>
  </r>
  <r>
    <x v="2"/>
    <n v="8"/>
    <s v="Fitz Hugh sound"/>
    <s v="Neptune 1"/>
    <s v="sockeye"/>
    <x v="1"/>
    <m/>
    <x v="1"/>
    <n v="1"/>
    <m/>
    <n v="7"/>
    <m/>
    <x v="4"/>
    <n v="24"/>
    <s v="R"/>
    <m/>
    <m/>
    <m/>
    <m/>
    <m/>
  </r>
  <r>
    <x v="2"/>
    <n v="8"/>
    <s v="Fitz Hugh sound "/>
    <s v="Neptune 1"/>
    <s v="sockeye"/>
    <x v="1"/>
    <m/>
    <x v="1"/>
    <n v="1"/>
    <m/>
    <n v="7"/>
    <m/>
    <x v="4"/>
    <n v="25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26"/>
    <n v="32"/>
    <m/>
    <m/>
    <m/>
    <m/>
    <m/>
  </r>
  <r>
    <x v="2"/>
    <n v="8"/>
    <s v="Fitz Hugh sound "/>
    <s v="Neptune 1"/>
    <s v="sockeye"/>
    <x v="1"/>
    <m/>
    <x v="1"/>
    <n v="1"/>
    <m/>
    <n v="7"/>
    <m/>
    <x v="4"/>
    <n v="27"/>
    <n v="32"/>
    <m/>
    <m/>
    <m/>
    <m/>
    <m/>
  </r>
  <r>
    <x v="2"/>
    <n v="8"/>
    <s v="Fitz Hugh sound"/>
    <s v="Neptune 1"/>
    <s v="sockeye"/>
    <x v="1"/>
    <m/>
    <x v="1"/>
    <n v="1"/>
    <m/>
    <n v="7"/>
    <m/>
    <x v="4"/>
    <n v="28"/>
    <n v="32"/>
    <m/>
    <m/>
    <m/>
    <m/>
    <m/>
  </r>
  <r>
    <x v="2"/>
    <n v="8"/>
    <s v="Fitz Hugh sound "/>
    <s v="Neptune 1"/>
    <s v="sockeye"/>
    <x v="1"/>
    <m/>
    <x v="1"/>
    <n v="1"/>
    <m/>
    <n v="7"/>
    <m/>
    <x v="4"/>
    <n v="29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30"/>
    <n v="53"/>
    <m/>
    <m/>
    <m/>
    <m/>
    <m/>
  </r>
  <r>
    <x v="2"/>
    <n v="8"/>
    <s v="Fitz Hugh sound "/>
    <s v="Neptune 1"/>
    <s v="sockeye"/>
    <x v="1"/>
    <m/>
    <x v="1"/>
    <n v="1"/>
    <m/>
    <n v="7"/>
    <m/>
    <x v="4"/>
    <n v="31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32"/>
    <n v="42"/>
    <m/>
    <m/>
    <m/>
    <m/>
    <m/>
  </r>
  <r>
    <x v="2"/>
    <n v="8"/>
    <s v="Fitz Hugh sound "/>
    <s v="Neptune 1"/>
    <s v="sockeye"/>
    <x v="1"/>
    <m/>
    <x v="1"/>
    <n v="1"/>
    <m/>
    <n v="7"/>
    <m/>
    <x v="4"/>
    <n v="33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34"/>
    <s v="R"/>
    <m/>
    <m/>
    <m/>
    <m/>
    <m/>
  </r>
  <r>
    <x v="2"/>
    <n v="8"/>
    <s v="Fitz Hugh sound "/>
    <s v="Neptune 1"/>
    <s v="sockeye"/>
    <x v="1"/>
    <m/>
    <x v="1"/>
    <n v="1"/>
    <m/>
    <n v="7"/>
    <m/>
    <x v="4"/>
    <n v="35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36"/>
    <n v="32"/>
    <m/>
    <m/>
    <m/>
    <m/>
    <m/>
  </r>
  <r>
    <x v="2"/>
    <n v="8"/>
    <s v="Fitz Hugh sound "/>
    <s v="Neptune 1"/>
    <s v="sockeye"/>
    <x v="1"/>
    <m/>
    <x v="1"/>
    <n v="1"/>
    <m/>
    <n v="7"/>
    <m/>
    <x v="4"/>
    <n v="37"/>
    <n v="32"/>
    <m/>
    <m/>
    <m/>
    <m/>
    <m/>
  </r>
  <r>
    <x v="2"/>
    <n v="8"/>
    <s v="Fitz Hugh sound"/>
    <s v="Neptune 1"/>
    <s v="sockeye"/>
    <x v="1"/>
    <m/>
    <x v="1"/>
    <n v="1"/>
    <m/>
    <n v="7"/>
    <m/>
    <x v="4"/>
    <n v="38"/>
    <n v="32"/>
    <m/>
    <m/>
    <m/>
    <m/>
    <m/>
  </r>
  <r>
    <x v="2"/>
    <n v="8"/>
    <s v="Fitz Hugh sound "/>
    <s v="Neptune 1"/>
    <s v="sockeye"/>
    <x v="1"/>
    <m/>
    <x v="1"/>
    <n v="1"/>
    <m/>
    <n v="7"/>
    <m/>
    <x v="4"/>
    <n v="39"/>
    <n v="42"/>
    <m/>
    <m/>
    <m/>
    <m/>
    <m/>
  </r>
  <r>
    <x v="2"/>
    <n v="8"/>
    <s v="Fitz Hugh sound"/>
    <s v="Neptune 1"/>
    <s v="sockeye"/>
    <x v="1"/>
    <m/>
    <x v="1"/>
    <n v="1"/>
    <m/>
    <n v="7"/>
    <m/>
    <x v="4"/>
    <n v="40"/>
    <n v="42"/>
    <m/>
    <m/>
    <m/>
    <m/>
    <m/>
  </r>
  <r>
    <x v="2"/>
    <n v="8"/>
    <s v="Fitz Hugh sound "/>
    <s v="Neptune 1"/>
    <s v="sockeye"/>
    <x v="1"/>
    <m/>
    <x v="1"/>
    <n v="1"/>
    <m/>
    <n v="7"/>
    <m/>
    <x v="4"/>
    <n v="41"/>
    <n v="51"/>
    <m/>
    <m/>
    <m/>
    <m/>
    <m/>
  </r>
  <r>
    <x v="2"/>
    <n v="8"/>
    <s v="Fitz Hugh sound"/>
    <s v="Neptune 1"/>
    <s v="sockeye"/>
    <x v="1"/>
    <m/>
    <x v="1"/>
    <n v="1"/>
    <m/>
    <n v="7"/>
    <m/>
    <x v="4"/>
    <n v="42"/>
    <s v="R"/>
    <m/>
    <m/>
    <m/>
    <m/>
    <m/>
  </r>
  <r>
    <x v="2"/>
    <n v="8"/>
    <s v="Fitz Hugh sound "/>
    <s v="Neptune 1"/>
    <s v="sockeye"/>
    <x v="1"/>
    <m/>
    <x v="1"/>
    <n v="1"/>
    <m/>
    <n v="7"/>
    <m/>
    <x v="4"/>
    <n v="43"/>
    <n v="63"/>
    <m/>
    <m/>
    <m/>
    <m/>
    <m/>
  </r>
  <r>
    <x v="2"/>
    <n v="8"/>
    <s v="Fitz Hugh sound"/>
    <s v="Neptune 1"/>
    <s v="sockeye"/>
    <x v="1"/>
    <m/>
    <x v="1"/>
    <n v="1"/>
    <m/>
    <n v="7"/>
    <m/>
    <x v="4"/>
    <n v="44"/>
    <n v="52"/>
    <m/>
    <m/>
    <m/>
    <m/>
    <m/>
  </r>
  <r>
    <x v="2"/>
    <n v="8"/>
    <s v="Fitz Hugh sound "/>
    <s v="Neptune 1"/>
    <s v="sockeye"/>
    <x v="1"/>
    <m/>
    <x v="1"/>
    <n v="1"/>
    <m/>
    <n v="7"/>
    <m/>
    <x v="4"/>
    <n v="45"/>
    <n v="52"/>
    <m/>
    <m/>
    <m/>
    <m/>
    <m/>
  </r>
  <r>
    <x v="2"/>
    <n v="8"/>
    <s v="Fitz Hugh sound"/>
    <s v="Neptune 1"/>
    <s v="sockeye"/>
    <x v="1"/>
    <m/>
    <x v="1"/>
    <n v="1"/>
    <m/>
    <n v="7"/>
    <m/>
    <x v="4"/>
    <n v="46"/>
    <n v="32"/>
    <m/>
    <m/>
    <m/>
    <m/>
    <m/>
  </r>
  <r>
    <x v="2"/>
    <n v="8"/>
    <s v="Fitz Hugh sound "/>
    <s v="Neptune 1"/>
    <s v="sockeye"/>
    <x v="1"/>
    <m/>
    <x v="1"/>
    <n v="1"/>
    <m/>
    <n v="7"/>
    <m/>
    <x v="4"/>
    <n v="47"/>
    <s v="R"/>
    <m/>
    <m/>
    <m/>
    <m/>
    <m/>
  </r>
  <r>
    <x v="2"/>
    <n v="8"/>
    <s v="Fitz Hugh sound"/>
    <s v="Neptune 1"/>
    <s v="sockeye"/>
    <x v="1"/>
    <m/>
    <x v="1"/>
    <n v="1"/>
    <m/>
    <n v="7"/>
    <m/>
    <x v="4"/>
    <n v="48"/>
    <n v="32"/>
    <m/>
    <m/>
    <m/>
    <m/>
    <m/>
  </r>
  <r>
    <x v="2"/>
    <n v="8"/>
    <s v="Fitz Hugh sound "/>
    <s v="Neptune 1"/>
    <s v="sockeye"/>
    <x v="1"/>
    <m/>
    <x v="1"/>
    <n v="1"/>
    <m/>
    <n v="7"/>
    <m/>
    <x v="4"/>
    <n v="49"/>
    <n v="32"/>
    <m/>
    <m/>
    <m/>
    <m/>
    <m/>
  </r>
  <r>
    <x v="2"/>
    <n v="8"/>
    <s v="Fitz Hugh sound"/>
    <s v="Neptune 1"/>
    <s v="sockeye"/>
    <x v="1"/>
    <m/>
    <x v="1"/>
    <n v="1"/>
    <m/>
    <n v="7"/>
    <m/>
    <x v="4"/>
    <n v="50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1"/>
    <s v="R"/>
    <m/>
    <m/>
    <m/>
    <m/>
    <m/>
  </r>
  <r>
    <x v="2"/>
    <n v="8"/>
    <s v="Fitz Hugh sound "/>
    <s v="Neptune 1"/>
    <s v="sockeye"/>
    <x v="1"/>
    <m/>
    <x v="1"/>
    <n v="6"/>
    <m/>
    <n v="7"/>
    <m/>
    <x v="5"/>
    <n v="2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3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5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6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7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8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9"/>
    <n v="43"/>
    <m/>
    <m/>
    <m/>
    <m/>
    <m/>
  </r>
  <r>
    <x v="2"/>
    <n v="8"/>
    <s v="Fitz Hugh sound "/>
    <s v="Neptune 1"/>
    <s v="sockeye"/>
    <x v="1"/>
    <m/>
    <x v="1"/>
    <n v="6"/>
    <m/>
    <n v="7"/>
    <m/>
    <x v="5"/>
    <n v="10"/>
    <s v="R"/>
    <m/>
    <m/>
    <m/>
    <m/>
    <m/>
  </r>
  <r>
    <x v="2"/>
    <n v="8"/>
    <s v="Fitz Hugh sound "/>
    <s v="Neptune 1"/>
    <s v="sockeye"/>
    <x v="1"/>
    <m/>
    <x v="1"/>
    <n v="6"/>
    <m/>
    <n v="7"/>
    <m/>
    <x v="5"/>
    <n v="11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12"/>
    <s v="R"/>
    <m/>
    <m/>
    <m/>
    <m/>
    <m/>
  </r>
  <r>
    <x v="2"/>
    <n v="8"/>
    <s v="Fitz Hugh sound "/>
    <s v="Neptune 1"/>
    <s v="sockeye"/>
    <x v="1"/>
    <m/>
    <x v="1"/>
    <n v="6"/>
    <m/>
    <n v="7"/>
    <m/>
    <x v="5"/>
    <n v="13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14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15"/>
    <n v="31"/>
    <m/>
    <m/>
    <m/>
    <m/>
    <m/>
  </r>
  <r>
    <x v="2"/>
    <n v="8"/>
    <s v="Fitz Hugh sound "/>
    <s v="Neptune 1"/>
    <s v="sockeye"/>
    <x v="1"/>
    <m/>
    <x v="1"/>
    <n v="6"/>
    <m/>
    <n v="7"/>
    <m/>
    <x v="5"/>
    <n v="16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17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18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19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20"/>
    <n v="53"/>
    <m/>
    <m/>
    <m/>
    <m/>
    <m/>
  </r>
  <r>
    <x v="2"/>
    <n v="8"/>
    <s v="Fitz Hugh sound "/>
    <s v="Neptune 1"/>
    <s v="sockeye"/>
    <x v="1"/>
    <m/>
    <x v="1"/>
    <n v="6"/>
    <m/>
    <n v="7"/>
    <m/>
    <x v="5"/>
    <n v="21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22"/>
    <n v="42"/>
    <m/>
    <m/>
    <m/>
    <m/>
    <s v="?"/>
  </r>
  <r>
    <x v="2"/>
    <n v="8"/>
    <s v="Fitz Hugh sound "/>
    <s v="Neptune 1"/>
    <s v="sockeye"/>
    <x v="1"/>
    <m/>
    <x v="1"/>
    <n v="6"/>
    <m/>
    <n v="7"/>
    <m/>
    <x v="5"/>
    <n v="23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24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25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26"/>
    <n v="53"/>
    <m/>
    <m/>
    <m/>
    <m/>
    <m/>
  </r>
  <r>
    <x v="2"/>
    <n v="8"/>
    <s v="Fitz Hugh sound "/>
    <s v="Neptune 1"/>
    <s v="sockeye"/>
    <x v="1"/>
    <m/>
    <x v="1"/>
    <n v="6"/>
    <m/>
    <n v="7"/>
    <m/>
    <x v="5"/>
    <n v="27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28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29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30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31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32"/>
    <n v="53"/>
    <m/>
    <m/>
    <m/>
    <m/>
    <m/>
  </r>
  <r>
    <x v="2"/>
    <n v="8"/>
    <s v="Fitz Hugh sound "/>
    <s v="Neptune 1"/>
    <s v="sockeye"/>
    <x v="1"/>
    <m/>
    <x v="1"/>
    <n v="6"/>
    <m/>
    <n v="7"/>
    <m/>
    <x v="5"/>
    <n v="33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34"/>
    <n v="53"/>
    <m/>
    <m/>
    <m/>
    <m/>
    <m/>
  </r>
  <r>
    <x v="2"/>
    <n v="8"/>
    <s v="Fitz Hugh sound "/>
    <s v="Neptune 1"/>
    <s v="sockeye"/>
    <x v="1"/>
    <m/>
    <x v="1"/>
    <n v="6"/>
    <m/>
    <n v="7"/>
    <m/>
    <x v="5"/>
    <n v="35"/>
    <s v="R"/>
    <m/>
    <m/>
    <m/>
    <m/>
    <m/>
  </r>
  <r>
    <x v="2"/>
    <n v="8"/>
    <s v="Fitz Hugh sound "/>
    <s v="Neptune 1"/>
    <s v="sockeye"/>
    <x v="1"/>
    <m/>
    <x v="1"/>
    <n v="6"/>
    <m/>
    <n v="7"/>
    <m/>
    <x v="5"/>
    <n v="36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37"/>
    <n v="53"/>
    <m/>
    <m/>
    <m/>
    <m/>
    <m/>
  </r>
  <r>
    <x v="2"/>
    <n v="8"/>
    <s v="Fitz Hugh sound "/>
    <s v="Neptune 1"/>
    <s v="sockeye"/>
    <x v="1"/>
    <m/>
    <x v="1"/>
    <n v="6"/>
    <m/>
    <n v="7"/>
    <m/>
    <x v="5"/>
    <n v="38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39"/>
    <n v="53"/>
    <m/>
    <m/>
    <m/>
    <m/>
    <m/>
  </r>
  <r>
    <x v="2"/>
    <n v="8"/>
    <s v="Fitz Hugh sound "/>
    <s v="Neptune 1"/>
    <s v="sockeye"/>
    <x v="1"/>
    <m/>
    <x v="1"/>
    <n v="6"/>
    <m/>
    <n v="7"/>
    <m/>
    <x v="5"/>
    <n v="40"/>
    <s v="R"/>
    <m/>
    <m/>
    <m/>
    <m/>
    <m/>
  </r>
  <r>
    <x v="2"/>
    <n v="8"/>
    <s v="Fitz Hugh sound "/>
    <s v="Neptune 1"/>
    <s v="sockeye"/>
    <x v="1"/>
    <m/>
    <x v="1"/>
    <n v="6"/>
    <m/>
    <n v="7"/>
    <m/>
    <x v="5"/>
    <n v="41"/>
    <s v="NA"/>
    <m/>
    <m/>
    <m/>
    <m/>
    <m/>
  </r>
  <r>
    <x v="2"/>
    <n v="8"/>
    <s v="Fitz Hugh sound "/>
    <s v="Neptune 1"/>
    <s v="sockeye"/>
    <x v="1"/>
    <m/>
    <x v="1"/>
    <n v="6"/>
    <m/>
    <n v="7"/>
    <m/>
    <x v="5"/>
    <n v="42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3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4"/>
    <s v="R"/>
    <m/>
    <m/>
    <m/>
    <m/>
    <m/>
  </r>
  <r>
    <x v="2"/>
    <n v="8"/>
    <s v="Fitz Hugh sound "/>
    <s v="Neptune 1"/>
    <s v="sockeye"/>
    <x v="1"/>
    <m/>
    <x v="1"/>
    <n v="6"/>
    <m/>
    <n v="7"/>
    <m/>
    <x v="5"/>
    <n v="45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6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7"/>
    <n v="5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8"/>
    <n v="32"/>
    <m/>
    <m/>
    <m/>
    <m/>
    <m/>
  </r>
  <r>
    <x v="2"/>
    <n v="8"/>
    <s v="Fitz Hugh sound "/>
    <s v="Neptune 1"/>
    <s v="sockeye"/>
    <x v="1"/>
    <m/>
    <x v="1"/>
    <n v="6"/>
    <m/>
    <n v="7"/>
    <m/>
    <x v="5"/>
    <n v="49"/>
    <n v="42"/>
    <m/>
    <m/>
    <m/>
    <m/>
    <m/>
  </r>
  <r>
    <x v="2"/>
    <n v="8"/>
    <s v="Fitz Hugh sound "/>
    <s v="Neptune 1"/>
    <s v="sockeye"/>
    <x v="1"/>
    <m/>
    <x v="1"/>
    <n v="6"/>
    <m/>
    <n v="7"/>
    <m/>
    <x v="5"/>
    <n v="50"/>
    <n v="31"/>
    <m/>
    <m/>
    <m/>
    <m/>
    <m/>
  </r>
  <r>
    <x v="2"/>
    <n v="8"/>
    <s v="Fitz Hugh sound "/>
    <s v="Neptune 1"/>
    <s v="sockeye"/>
    <x v="2"/>
    <m/>
    <x v="1"/>
    <n v="7"/>
    <m/>
    <n v="7"/>
    <m/>
    <x v="6"/>
    <n v="1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2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3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4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5"/>
    <n v="63"/>
    <m/>
    <m/>
    <m/>
    <m/>
    <m/>
  </r>
  <r>
    <x v="2"/>
    <n v="8"/>
    <s v="Fitz Hugh sound "/>
    <s v="Neptune 1"/>
    <s v="sockeye"/>
    <x v="2"/>
    <m/>
    <x v="1"/>
    <n v="7"/>
    <m/>
    <n v="7"/>
    <m/>
    <x v="6"/>
    <n v="6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7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8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9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10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11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12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13"/>
    <n v="52"/>
    <m/>
    <m/>
    <m/>
    <m/>
    <m/>
  </r>
  <r>
    <x v="2"/>
    <n v="8"/>
    <s v="Fitz Hugh sound "/>
    <s v="Neptune 1"/>
    <s v="sockeye"/>
    <x v="2"/>
    <m/>
    <x v="1"/>
    <n v="7"/>
    <m/>
    <n v="7"/>
    <m/>
    <x v="6"/>
    <n v="14"/>
    <n v="43"/>
    <m/>
    <m/>
    <m/>
    <m/>
    <m/>
  </r>
  <r>
    <x v="2"/>
    <n v="8"/>
    <s v="Fitz Hugh sound "/>
    <s v="Neptune 1"/>
    <s v="sockeye"/>
    <x v="2"/>
    <m/>
    <x v="1"/>
    <n v="7"/>
    <m/>
    <n v="7"/>
    <m/>
    <x v="6"/>
    <n v="15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16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17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18"/>
    <n v="64"/>
    <m/>
    <m/>
    <m/>
    <m/>
    <m/>
  </r>
  <r>
    <x v="2"/>
    <n v="8"/>
    <s v="Fitz Hugh sound "/>
    <s v="Neptune 1"/>
    <s v="sockeye"/>
    <x v="2"/>
    <m/>
    <x v="1"/>
    <n v="7"/>
    <m/>
    <n v="7"/>
    <m/>
    <x v="6"/>
    <n v="19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20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21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22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23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24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25"/>
    <n v="64"/>
    <m/>
    <m/>
    <m/>
    <m/>
    <m/>
  </r>
  <r>
    <x v="2"/>
    <n v="8"/>
    <s v="Fitz Hugh sound "/>
    <s v="Neptune 1"/>
    <s v="sockeye"/>
    <x v="2"/>
    <m/>
    <x v="1"/>
    <n v="7"/>
    <m/>
    <n v="7"/>
    <m/>
    <x v="6"/>
    <n v="26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27"/>
    <n v="52"/>
    <m/>
    <m/>
    <m/>
    <m/>
    <m/>
  </r>
  <r>
    <x v="2"/>
    <n v="8"/>
    <s v="Fitz Hugh sound "/>
    <s v="Neptune 1"/>
    <s v="sockeye"/>
    <x v="2"/>
    <m/>
    <x v="1"/>
    <n v="7"/>
    <m/>
    <n v="7"/>
    <m/>
    <x v="6"/>
    <n v="28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29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30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31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32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33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34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35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36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37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38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39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40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41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42"/>
    <n v="52"/>
    <m/>
    <m/>
    <m/>
    <m/>
    <m/>
  </r>
  <r>
    <x v="2"/>
    <n v="8"/>
    <s v="Fitz Hugh sound "/>
    <s v="Neptune 1"/>
    <s v="sockeye"/>
    <x v="2"/>
    <m/>
    <x v="1"/>
    <n v="7"/>
    <m/>
    <n v="7"/>
    <m/>
    <x v="6"/>
    <n v="43"/>
    <n v="32"/>
    <m/>
    <m/>
    <m/>
    <m/>
    <m/>
  </r>
  <r>
    <x v="2"/>
    <n v="8"/>
    <s v="Fitz Hugh sound "/>
    <s v="Neptune 1"/>
    <s v="sockeye"/>
    <x v="2"/>
    <m/>
    <x v="1"/>
    <n v="7"/>
    <m/>
    <n v="7"/>
    <m/>
    <x v="6"/>
    <n v="44"/>
    <n v="52"/>
    <m/>
    <m/>
    <m/>
    <m/>
    <m/>
  </r>
  <r>
    <x v="2"/>
    <n v="8"/>
    <s v="Fitz Hugh sound "/>
    <s v="Neptune 1"/>
    <s v="sockeye"/>
    <x v="2"/>
    <m/>
    <x v="1"/>
    <n v="7"/>
    <m/>
    <n v="7"/>
    <m/>
    <x v="6"/>
    <n v="45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46"/>
    <n v="53"/>
    <m/>
    <m/>
    <m/>
    <m/>
    <m/>
  </r>
  <r>
    <x v="2"/>
    <n v="8"/>
    <s v="Fitz Hugh sound "/>
    <s v="Neptune 1"/>
    <s v="sockeye"/>
    <x v="2"/>
    <m/>
    <x v="1"/>
    <n v="7"/>
    <m/>
    <n v="7"/>
    <m/>
    <x v="6"/>
    <n v="47"/>
    <n v="42"/>
    <m/>
    <m/>
    <m/>
    <m/>
    <m/>
  </r>
  <r>
    <x v="2"/>
    <n v="8"/>
    <s v="Fitz Hugh sound "/>
    <s v="Neptune 1"/>
    <s v="sockeye"/>
    <x v="2"/>
    <m/>
    <x v="1"/>
    <n v="7"/>
    <m/>
    <n v="7"/>
    <m/>
    <x v="6"/>
    <n v="48"/>
    <n v="63"/>
    <m/>
    <m/>
    <m/>
    <m/>
    <m/>
  </r>
  <r>
    <x v="2"/>
    <n v="8"/>
    <s v="Fitz Hugh sound "/>
    <s v="Neptune 1"/>
    <s v="sockeye"/>
    <x v="2"/>
    <m/>
    <x v="1"/>
    <n v="7"/>
    <m/>
    <n v="7"/>
    <m/>
    <x v="6"/>
    <n v="49"/>
    <s v="NA"/>
    <m/>
    <m/>
    <m/>
    <m/>
    <m/>
  </r>
  <r>
    <x v="2"/>
    <n v="8"/>
    <s v="Fitz Hugh sound "/>
    <s v="Neptune 1"/>
    <s v="sockeye"/>
    <x v="2"/>
    <m/>
    <x v="1"/>
    <n v="7"/>
    <m/>
    <n v="7"/>
    <m/>
    <x v="6"/>
    <n v="50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1"/>
    <s v="R"/>
    <m/>
    <m/>
    <m/>
    <m/>
    <m/>
  </r>
  <r>
    <x v="2"/>
    <n v="8"/>
    <s v="Fitz Hugh sound "/>
    <s v="Neptune 1"/>
    <s v="sockeye"/>
    <x v="1"/>
    <m/>
    <x v="1"/>
    <m/>
    <m/>
    <n v="7"/>
    <m/>
    <x v="7"/>
    <n v="2"/>
    <s v="R"/>
    <m/>
    <m/>
    <m/>
    <m/>
    <m/>
  </r>
  <r>
    <x v="2"/>
    <n v="8"/>
    <s v="Fitz Hugh sound "/>
    <s v="Neptune 1"/>
    <s v="sockeye"/>
    <x v="1"/>
    <m/>
    <x v="1"/>
    <m/>
    <m/>
    <n v="7"/>
    <m/>
    <x v="7"/>
    <n v="3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4"/>
    <n v="42"/>
    <m/>
    <m/>
    <m/>
    <m/>
    <s v="?"/>
  </r>
  <r>
    <x v="2"/>
    <n v="8"/>
    <s v="Fitz Hugh sound "/>
    <s v="Neptune 1"/>
    <s v="sockeye"/>
    <x v="1"/>
    <m/>
    <x v="1"/>
    <m/>
    <m/>
    <n v="7"/>
    <m/>
    <x v="7"/>
    <n v="5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6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7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8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9"/>
    <s v="R"/>
    <m/>
    <m/>
    <m/>
    <m/>
    <m/>
  </r>
  <r>
    <x v="2"/>
    <n v="8"/>
    <s v="Fitz Hugh sound "/>
    <s v="Neptune 1"/>
    <s v="sockeye"/>
    <x v="1"/>
    <m/>
    <x v="1"/>
    <m/>
    <m/>
    <n v="7"/>
    <m/>
    <x v="7"/>
    <n v="10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11"/>
    <n v="43"/>
    <m/>
    <m/>
    <m/>
    <m/>
    <m/>
  </r>
  <r>
    <x v="2"/>
    <n v="8"/>
    <s v="Fitz Hugh sound "/>
    <s v="Neptune 1"/>
    <s v="sockeye"/>
    <x v="1"/>
    <m/>
    <x v="1"/>
    <m/>
    <m/>
    <n v="7"/>
    <m/>
    <x v="7"/>
    <n v="12"/>
    <n v="32"/>
    <m/>
    <m/>
    <m/>
    <m/>
    <m/>
  </r>
  <r>
    <x v="2"/>
    <n v="8"/>
    <s v="Fitz Hugh sound "/>
    <s v="Neptune 1"/>
    <s v="sockeye"/>
    <x v="1"/>
    <m/>
    <x v="1"/>
    <m/>
    <m/>
    <n v="7"/>
    <m/>
    <x v="7"/>
    <n v="13"/>
    <n v="53"/>
    <m/>
    <m/>
    <m/>
    <m/>
    <m/>
  </r>
  <r>
    <x v="2"/>
    <n v="8"/>
    <s v="Fitz Hugh sound "/>
    <s v="Neptune 1"/>
    <s v="sockeye"/>
    <x v="1"/>
    <m/>
    <x v="1"/>
    <m/>
    <m/>
    <n v="7"/>
    <m/>
    <x v="7"/>
    <n v="14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15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16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17"/>
    <s v="R"/>
    <m/>
    <m/>
    <m/>
    <m/>
    <m/>
  </r>
  <r>
    <x v="2"/>
    <n v="8"/>
    <s v="Fitz Hugh sound "/>
    <s v="Neptune 1"/>
    <s v="sockeye"/>
    <x v="1"/>
    <m/>
    <x v="1"/>
    <m/>
    <m/>
    <n v="7"/>
    <m/>
    <x v="7"/>
    <n v="18"/>
    <n v="52"/>
    <m/>
    <m/>
    <m/>
    <m/>
    <m/>
  </r>
  <r>
    <x v="2"/>
    <n v="8"/>
    <s v="Fitz Hugh sound "/>
    <s v="Neptune 1"/>
    <s v="sockeye"/>
    <x v="1"/>
    <m/>
    <x v="1"/>
    <m/>
    <m/>
    <n v="7"/>
    <m/>
    <x v="7"/>
    <n v="19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20"/>
    <n v="42"/>
    <m/>
    <m/>
    <m/>
    <m/>
    <s v="?"/>
  </r>
  <r>
    <x v="2"/>
    <n v="8"/>
    <s v="Fitz Hugh sound "/>
    <s v="Neptune 1"/>
    <s v="sockeye"/>
    <x v="1"/>
    <m/>
    <x v="1"/>
    <m/>
    <m/>
    <n v="7"/>
    <m/>
    <x v="7"/>
    <n v="21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22"/>
    <n v="52"/>
    <m/>
    <m/>
    <m/>
    <m/>
    <m/>
  </r>
  <r>
    <x v="2"/>
    <n v="8"/>
    <s v="Fitz Hugh sound "/>
    <s v="Neptune 1"/>
    <s v="sockeye"/>
    <x v="1"/>
    <m/>
    <x v="1"/>
    <m/>
    <m/>
    <n v="7"/>
    <m/>
    <x v="7"/>
    <n v="23"/>
    <n v="32"/>
    <m/>
    <m/>
    <m/>
    <m/>
    <m/>
  </r>
  <r>
    <x v="2"/>
    <n v="8"/>
    <s v="Fitz Hugh sound "/>
    <s v="Neptune 1"/>
    <s v="sockeye"/>
    <x v="1"/>
    <m/>
    <x v="1"/>
    <m/>
    <m/>
    <n v="7"/>
    <m/>
    <x v="7"/>
    <n v="24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25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26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27"/>
    <n v="53"/>
    <m/>
    <m/>
    <m/>
    <m/>
    <s v="?"/>
  </r>
  <r>
    <x v="2"/>
    <n v="8"/>
    <s v="Fitz Hugh sound "/>
    <s v="Neptune 1"/>
    <s v="sockeye"/>
    <x v="1"/>
    <m/>
    <x v="1"/>
    <m/>
    <m/>
    <n v="7"/>
    <m/>
    <x v="7"/>
    <n v="28"/>
    <n v="53"/>
    <m/>
    <m/>
    <m/>
    <m/>
    <m/>
  </r>
  <r>
    <x v="2"/>
    <n v="8"/>
    <s v="Fitz Hugh sound "/>
    <s v="Neptune 1"/>
    <s v="sockeye"/>
    <x v="1"/>
    <m/>
    <x v="1"/>
    <m/>
    <m/>
    <n v="7"/>
    <m/>
    <x v="7"/>
    <n v="29"/>
    <s v="R"/>
    <m/>
    <m/>
    <m/>
    <m/>
    <m/>
  </r>
  <r>
    <x v="2"/>
    <n v="8"/>
    <s v="Fitz Hugh sound "/>
    <s v="Neptune 1"/>
    <s v="sockeye"/>
    <x v="1"/>
    <m/>
    <x v="1"/>
    <m/>
    <m/>
    <n v="7"/>
    <m/>
    <x v="7"/>
    <n v="30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31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32"/>
    <n v="52"/>
    <m/>
    <m/>
    <m/>
    <m/>
    <m/>
  </r>
  <r>
    <x v="2"/>
    <n v="8"/>
    <s v="Fitz Hugh sound "/>
    <s v="Neptune 1"/>
    <s v="sockeye"/>
    <x v="1"/>
    <m/>
    <x v="1"/>
    <m/>
    <m/>
    <n v="7"/>
    <m/>
    <x v="7"/>
    <n v="33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34"/>
    <n v="32"/>
    <m/>
    <m/>
    <m/>
    <m/>
    <m/>
  </r>
  <r>
    <x v="2"/>
    <n v="8"/>
    <s v="Fitz Hugh sound "/>
    <s v="Neptune 1"/>
    <s v="sockeye"/>
    <x v="1"/>
    <m/>
    <x v="1"/>
    <m/>
    <m/>
    <n v="7"/>
    <m/>
    <x v="7"/>
    <n v="35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36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37"/>
    <n v="42"/>
    <m/>
    <m/>
    <m/>
    <m/>
    <s v="?"/>
  </r>
  <r>
    <x v="2"/>
    <n v="8"/>
    <s v="Fitz Hugh sound "/>
    <s v="Neptune 1"/>
    <s v="sockeye"/>
    <x v="1"/>
    <m/>
    <x v="1"/>
    <m/>
    <m/>
    <n v="7"/>
    <m/>
    <x v="7"/>
    <n v="38"/>
    <n v="52"/>
    <m/>
    <m/>
    <m/>
    <m/>
    <m/>
  </r>
  <r>
    <x v="2"/>
    <n v="8"/>
    <s v="Fitz Hugh sound "/>
    <s v="Neptune 1"/>
    <s v="sockeye"/>
    <x v="1"/>
    <m/>
    <x v="1"/>
    <m/>
    <m/>
    <n v="7"/>
    <m/>
    <x v="7"/>
    <n v="39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40"/>
    <n v="53"/>
    <m/>
    <m/>
    <m/>
    <m/>
    <m/>
  </r>
  <r>
    <x v="2"/>
    <n v="8"/>
    <s v="Fitz Hugh sound "/>
    <s v="Neptune 1"/>
    <s v="sockeye"/>
    <x v="1"/>
    <m/>
    <x v="1"/>
    <m/>
    <m/>
    <n v="7"/>
    <m/>
    <x v="7"/>
    <n v="41"/>
    <n v="53"/>
    <m/>
    <m/>
    <m/>
    <m/>
    <m/>
  </r>
  <r>
    <x v="2"/>
    <n v="8"/>
    <s v="Fitz Hugh sound "/>
    <s v="Neptune 1"/>
    <s v="sockeye"/>
    <x v="1"/>
    <m/>
    <x v="1"/>
    <m/>
    <m/>
    <n v="7"/>
    <m/>
    <x v="7"/>
    <n v="42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43"/>
    <n v="52"/>
    <m/>
    <m/>
    <m/>
    <m/>
    <m/>
  </r>
  <r>
    <x v="2"/>
    <n v="8"/>
    <s v="Fitz Hugh sound "/>
    <s v="Neptune 1"/>
    <s v="sockeye"/>
    <x v="1"/>
    <m/>
    <x v="1"/>
    <m/>
    <m/>
    <n v="7"/>
    <m/>
    <x v="7"/>
    <n v="44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45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46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47"/>
    <s v="NA"/>
    <m/>
    <m/>
    <m/>
    <m/>
    <m/>
  </r>
  <r>
    <x v="2"/>
    <n v="8"/>
    <s v="Fitz Hugh sound "/>
    <s v="Neptune 1"/>
    <s v="sockeye"/>
    <x v="1"/>
    <m/>
    <x v="1"/>
    <m/>
    <m/>
    <n v="7"/>
    <m/>
    <x v="7"/>
    <n v="48"/>
    <n v="42"/>
    <m/>
    <m/>
    <m/>
    <m/>
    <m/>
  </r>
  <r>
    <x v="2"/>
    <n v="8"/>
    <s v="Fitz Hugh sound "/>
    <s v="Neptune 1"/>
    <s v="sockeye"/>
    <x v="1"/>
    <m/>
    <x v="1"/>
    <m/>
    <m/>
    <n v="7"/>
    <m/>
    <x v="7"/>
    <n v="49"/>
    <s v="R"/>
    <m/>
    <m/>
    <m/>
    <m/>
    <m/>
  </r>
  <r>
    <x v="2"/>
    <n v="8"/>
    <s v="Fitz Hugh sound "/>
    <s v="Neptune 1"/>
    <s v="sockeye"/>
    <x v="1"/>
    <m/>
    <x v="1"/>
    <m/>
    <m/>
    <n v="7"/>
    <m/>
    <x v="7"/>
    <n v="50"/>
    <s v="R"/>
    <m/>
    <m/>
    <m/>
    <m/>
    <m/>
  </r>
  <r>
    <x v="2"/>
    <n v="8"/>
    <s v="Fitz Hugh sound "/>
    <s v="Neptune 1"/>
    <s v="sockeye"/>
    <x v="1"/>
    <m/>
    <x v="1"/>
    <n v="15"/>
    <m/>
    <n v="7"/>
    <m/>
    <x v="8"/>
    <n v="1"/>
    <s v="R"/>
    <m/>
    <m/>
    <m/>
    <m/>
    <m/>
  </r>
  <r>
    <x v="2"/>
    <n v="8"/>
    <s v="Fitz Hugh sound"/>
    <s v="Neptune 1"/>
    <s v="sockeye"/>
    <x v="1"/>
    <m/>
    <x v="1"/>
    <n v="15"/>
    <m/>
    <n v="7"/>
    <m/>
    <x v="8"/>
    <n v="2"/>
    <n v="3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3"/>
    <s v="NA"/>
    <m/>
    <m/>
    <m/>
    <m/>
    <s v="90"/>
  </r>
  <r>
    <x v="2"/>
    <n v="8"/>
    <s v="Fitz Hugh sound"/>
    <s v="Neptune 1"/>
    <s v="sockeye"/>
    <x v="1"/>
    <m/>
    <x v="1"/>
    <n v="15"/>
    <m/>
    <n v="7"/>
    <m/>
    <x v="8"/>
    <n v="4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5"/>
    <s v="R"/>
    <m/>
    <m/>
    <m/>
    <m/>
    <m/>
  </r>
  <r>
    <x v="2"/>
    <n v="8"/>
    <s v="Fitz Hugh sound"/>
    <s v="Neptune 1"/>
    <s v="sockeye"/>
    <x v="1"/>
    <m/>
    <x v="1"/>
    <n v="15"/>
    <m/>
    <n v="7"/>
    <m/>
    <x v="8"/>
    <n v="6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7"/>
    <s v="NA"/>
    <m/>
    <m/>
    <m/>
    <m/>
    <s v="90"/>
  </r>
  <r>
    <x v="2"/>
    <n v="8"/>
    <s v="Fitz Hugh sound"/>
    <s v="Neptune 1"/>
    <s v="sockeye"/>
    <x v="1"/>
    <m/>
    <x v="1"/>
    <n v="15"/>
    <m/>
    <n v="7"/>
    <m/>
    <x v="8"/>
    <n v="8"/>
    <n v="53"/>
    <m/>
    <m/>
    <m/>
    <m/>
    <m/>
  </r>
  <r>
    <x v="2"/>
    <n v="8"/>
    <s v="Fitz Hugh sound "/>
    <s v="Neptune 1"/>
    <s v="sockeye"/>
    <x v="1"/>
    <m/>
    <x v="1"/>
    <n v="15"/>
    <m/>
    <n v="7"/>
    <m/>
    <x v="8"/>
    <n v="9"/>
    <n v="52"/>
    <m/>
    <m/>
    <m/>
    <m/>
    <m/>
  </r>
  <r>
    <x v="2"/>
    <n v="8"/>
    <s v="Fitz Hugh sound"/>
    <s v="Neptune 1"/>
    <s v="sockeye"/>
    <x v="1"/>
    <m/>
    <x v="1"/>
    <n v="15"/>
    <m/>
    <n v="7"/>
    <m/>
    <x v="8"/>
    <n v="10"/>
    <s v="NA"/>
    <m/>
    <m/>
    <m/>
    <m/>
    <s v="90"/>
  </r>
  <r>
    <x v="2"/>
    <n v="8"/>
    <s v="Fitz Hugh sound "/>
    <s v="Neptune 1"/>
    <s v="sockeye"/>
    <x v="1"/>
    <m/>
    <x v="1"/>
    <n v="15"/>
    <m/>
    <n v="7"/>
    <m/>
    <x v="8"/>
    <n v="11"/>
    <s v="R"/>
    <m/>
    <m/>
    <m/>
    <m/>
    <m/>
  </r>
  <r>
    <x v="2"/>
    <n v="8"/>
    <s v="Fitz Hugh sound"/>
    <s v="Neptune 1"/>
    <s v="sockeye"/>
    <x v="1"/>
    <m/>
    <x v="1"/>
    <n v="15"/>
    <m/>
    <n v="7"/>
    <m/>
    <x v="8"/>
    <n v="12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13"/>
    <s v="NA"/>
    <m/>
    <m/>
    <m/>
    <m/>
    <s v="90"/>
  </r>
  <r>
    <x v="2"/>
    <n v="8"/>
    <s v="Fitz Hugh sound"/>
    <s v="Neptune 1"/>
    <s v="sockeye"/>
    <x v="1"/>
    <m/>
    <x v="1"/>
    <n v="15"/>
    <m/>
    <n v="7"/>
    <m/>
    <x v="8"/>
    <n v="14"/>
    <n v="53"/>
    <m/>
    <m/>
    <m/>
    <m/>
    <m/>
  </r>
  <r>
    <x v="2"/>
    <n v="8"/>
    <s v="Fitz Hugh sound "/>
    <s v="Neptune 1"/>
    <s v="sockeye"/>
    <x v="1"/>
    <m/>
    <x v="1"/>
    <n v="15"/>
    <m/>
    <n v="7"/>
    <m/>
    <x v="8"/>
    <n v="15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16"/>
    <n v="3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17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18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19"/>
    <n v="42"/>
    <m/>
    <m/>
    <m/>
    <m/>
    <m/>
  </r>
  <r>
    <x v="2"/>
    <n v="8"/>
    <s v="Fitz Hugh sound"/>
    <s v="Neptune 1"/>
    <s v="sockeye"/>
    <x v="1"/>
    <m/>
    <x v="1"/>
    <n v="15"/>
    <m/>
    <n v="7"/>
    <m/>
    <x v="8"/>
    <n v="20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21"/>
    <n v="52"/>
    <m/>
    <m/>
    <m/>
    <m/>
    <m/>
  </r>
  <r>
    <x v="2"/>
    <n v="8"/>
    <s v="Fitz Hugh sound"/>
    <s v="Neptune 1"/>
    <s v="sockeye"/>
    <x v="1"/>
    <m/>
    <x v="1"/>
    <n v="15"/>
    <m/>
    <n v="7"/>
    <m/>
    <x v="8"/>
    <n v="22"/>
    <n v="41"/>
    <m/>
    <m/>
    <m/>
    <m/>
    <m/>
  </r>
  <r>
    <x v="2"/>
    <n v="8"/>
    <s v="Fitz Hugh sound "/>
    <s v="Neptune 1"/>
    <s v="sockeye"/>
    <x v="1"/>
    <m/>
    <x v="1"/>
    <n v="15"/>
    <m/>
    <n v="7"/>
    <m/>
    <x v="8"/>
    <n v="23"/>
    <m/>
    <m/>
    <m/>
    <m/>
    <m/>
    <s v="90"/>
  </r>
  <r>
    <x v="2"/>
    <n v="8"/>
    <s v="Fitz Hugh sound"/>
    <s v="Neptune 1"/>
    <s v="sockeye"/>
    <x v="1"/>
    <m/>
    <x v="1"/>
    <n v="15"/>
    <m/>
    <n v="7"/>
    <m/>
    <x v="8"/>
    <n v="24"/>
    <s v="R"/>
    <m/>
    <m/>
    <m/>
    <m/>
    <m/>
  </r>
  <r>
    <x v="2"/>
    <n v="8"/>
    <s v="Fitz Hugh sound "/>
    <s v="Neptune 1"/>
    <s v="sockeye"/>
    <x v="1"/>
    <m/>
    <x v="1"/>
    <n v="15"/>
    <m/>
    <n v="7"/>
    <m/>
    <x v="8"/>
    <n v="25"/>
    <n v="42"/>
    <m/>
    <m/>
    <m/>
    <m/>
    <m/>
  </r>
  <r>
    <x v="2"/>
    <n v="8"/>
    <s v="Fitz Hugh sound"/>
    <s v="Neptune 1"/>
    <s v="sockeye"/>
    <x v="1"/>
    <m/>
    <x v="1"/>
    <n v="15"/>
    <m/>
    <n v="7"/>
    <m/>
    <x v="8"/>
    <n v="26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27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28"/>
    <n v="3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29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30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31"/>
    <n v="42"/>
    <m/>
    <m/>
    <m/>
    <m/>
    <m/>
  </r>
  <r>
    <x v="2"/>
    <n v="8"/>
    <s v="Fitz Hugh sound"/>
    <s v="Neptune 1"/>
    <s v="sockeye"/>
    <x v="1"/>
    <m/>
    <x v="1"/>
    <n v="15"/>
    <m/>
    <n v="7"/>
    <m/>
    <x v="8"/>
    <n v="32"/>
    <s v="NA"/>
    <m/>
    <m/>
    <m/>
    <m/>
    <s v="90"/>
  </r>
  <r>
    <x v="2"/>
    <n v="8"/>
    <s v="Fitz Hugh sound "/>
    <s v="Neptune 1"/>
    <s v="sockeye"/>
    <x v="1"/>
    <m/>
    <x v="1"/>
    <n v="15"/>
    <m/>
    <n v="7"/>
    <m/>
    <x v="8"/>
    <n v="33"/>
    <n v="32"/>
    <m/>
    <m/>
    <m/>
    <m/>
    <m/>
  </r>
  <r>
    <x v="2"/>
    <n v="8"/>
    <s v="Fitz Hugh sound"/>
    <s v="Neptune 1"/>
    <s v="sockeye"/>
    <x v="1"/>
    <m/>
    <x v="1"/>
    <n v="15"/>
    <m/>
    <n v="7"/>
    <m/>
    <x v="8"/>
    <n v="34"/>
    <n v="53"/>
    <m/>
    <m/>
    <m/>
    <m/>
    <m/>
  </r>
  <r>
    <x v="2"/>
    <n v="8"/>
    <s v="Fitz Hugh sound "/>
    <s v="Neptune 1"/>
    <s v="sockeye"/>
    <x v="1"/>
    <m/>
    <x v="1"/>
    <n v="15"/>
    <m/>
    <n v="7"/>
    <m/>
    <x v="8"/>
    <n v="35"/>
    <n v="32"/>
    <m/>
    <m/>
    <m/>
    <m/>
    <m/>
  </r>
  <r>
    <x v="2"/>
    <n v="8"/>
    <s v="Fitz Hugh sound"/>
    <s v="Neptune 1"/>
    <s v="sockeye"/>
    <x v="1"/>
    <m/>
    <x v="1"/>
    <n v="15"/>
    <m/>
    <n v="7"/>
    <m/>
    <x v="8"/>
    <n v="36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37"/>
    <n v="32"/>
    <m/>
    <m/>
    <m/>
    <m/>
    <m/>
  </r>
  <r>
    <x v="2"/>
    <n v="8"/>
    <s v="Fitz Hugh sound"/>
    <s v="Neptune 1"/>
    <s v="sockeye"/>
    <x v="1"/>
    <m/>
    <x v="1"/>
    <n v="15"/>
    <m/>
    <n v="7"/>
    <m/>
    <x v="8"/>
    <n v="38"/>
    <s v="NA"/>
    <m/>
    <m/>
    <m/>
    <m/>
    <s v="90"/>
  </r>
  <r>
    <x v="2"/>
    <n v="8"/>
    <s v="Fitz Hugh sound "/>
    <s v="Neptune 1"/>
    <s v="sockeye"/>
    <x v="1"/>
    <m/>
    <x v="1"/>
    <n v="15"/>
    <m/>
    <n v="7"/>
    <m/>
    <x v="8"/>
    <n v="39"/>
    <s v="NA"/>
    <m/>
    <m/>
    <m/>
    <m/>
    <s v="90"/>
  </r>
  <r>
    <x v="2"/>
    <n v="8"/>
    <s v="Fitz Hugh sound"/>
    <s v="Neptune 1"/>
    <s v="sockeye"/>
    <x v="1"/>
    <m/>
    <x v="1"/>
    <n v="15"/>
    <m/>
    <n v="7"/>
    <m/>
    <x v="8"/>
    <n v="40"/>
    <n v="43"/>
    <m/>
    <m/>
    <m/>
    <m/>
    <m/>
  </r>
  <r>
    <x v="2"/>
    <n v="8"/>
    <s v="Fitz Hugh sound "/>
    <s v="Neptune 1"/>
    <s v="sockeye"/>
    <x v="1"/>
    <m/>
    <x v="1"/>
    <n v="15"/>
    <m/>
    <n v="7"/>
    <m/>
    <x v="8"/>
    <n v="41"/>
    <s v="NA"/>
    <m/>
    <m/>
    <m/>
    <m/>
    <s v="90"/>
  </r>
  <r>
    <x v="2"/>
    <n v="8"/>
    <s v="Fitz Hugh sound"/>
    <s v="Neptune 1"/>
    <s v="sockeye"/>
    <x v="1"/>
    <m/>
    <x v="1"/>
    <n v="15"/>
    <m/>
    <n v="7"/>
    <m/>
    <x v="8"/>
    <n v="42"/>
    <s v="R"/>
    <m/>
    <m/>
    <m/>
    <m/>
    <m/>
  </r>
  <r>
    <x v="2"/>
    <n v="8"/>
    <s v="Fitz Hugh sound "/>
    <s v="Neptune 1"/>
    <s v="sockeye"/>
    <x v="1"/>
    <m/>
    <x v="1"/>
    <n v="15"/>
    <m/>
    <n v="7"/>
    <m/>
    <x v="8"/>
    <n v="43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44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45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46"/>
    <s v="NA"/>
    <m/>
    <m/>
    <m/>
    <m/>
    <s v="90"/>
  </r>
  <r>
    <x v="2"/>
    <n v="8"/>
    <s v="Fitz Hugh sound "/>
    <s v="Neptune 1"/>
    <s v="sockeye"/>
    <x v="1"/>
    <m/>
    <x v="1"/>
    <n v="15"/>
    <m/>
    <n v="7"/>
    <m/>
    <x v="8"/>
    <n v="47"/>
    <n v="42"/>
    <m/>
    <m/>
    <m/>
    <m/>
    <s v="?"/>
  </r>
  <r>
    <x v="2"/>
    <n v="8"/>
    <s v="Fitz Hugh sound"/>
    <s v="Neptune 1"/>
    <s v="sockeye"/>
    <x v="1"/>
    <m/>
    <x v="1"/>
    <n v="15"/>
    <m/>
    <n v="7"/>
    <m/>
    <x v="8"/>
    <n v="48"/>
    <n v="42"/>
    <m/>
    <m/>
    <m/>
    <m/>
    <m/>
  </r>
  <r>
    <x v="2"/>
    <n v="8"/>
    <s v="Fitz Hugh sound "/>
    <s v="Neptune 1"/>
    <s v="sockeye"/>
    <x v="1"/>
    <m/>
    <x v="1"/>
    <n v="15"/>
    <m/>
    <n v="7"/>
    <m/>
    <x v="8"/>
    <n v="49"/>
    <n v="53"/>
    <m/>
    <m/>
    <m/>
    <m/>
    <m/>
  </r>
  <r>
    <x v="2"/>
    <n v="8"/>
    <s v="Fitz Hugh sound"/>
    <s v="Neptune 1"/>
    <s v="sockeye"/>
    <x v="1"/>
    <m/>
    <x v="1"/>
    <n v="15"/>
    <m/>
    <n v="7"/>
    <m/>
    <x v="8"/>
    <n v="50"/>
    <s v="NA"/>
    <m/>
    <m/>
    <m/>
    <m/>
    <s v="90"/>
  </r>
  <r>
    <x v="3"/>
    <n v="8"/>
    <s v="Fitz Hugh Sound (8-16)"/>
    <s v="addenbroke light; commercial"/>
    <s v="sockeye"/>
    <x v="3"/>
    <m/>
    <x v="2"/>
    <n v="19"/>
    <m/>
    <n v="7"/>
    <m/>
    <x v="0"/>
    <n v="1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3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4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5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6"/>
    <n v="42"/>
    <s v="R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7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8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9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0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1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2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3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4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5"/>
    <s v="R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6"/>
    <n v="53"/>
    <n v="53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7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8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19"/>
    <n v="52"/>
    <s v="R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0"/>
    <n v="42"/>
    <s v="NA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1"/>
    <n v="52"/>
    <n v="5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2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3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4"/>
    <n v="42"/>
    <n v="42"/>
    <m/>
    <m/>
    <m/>
    <m/>
  </r>
  <r>
    <x v="3"/>
    <n v="8"/>
    <s v="Fitz Hugh Sound (8-16)"/>
    <s v="addenbroke light; commercial"/>
    <s v="sockeye"/>
    <x v="3"/>
    <m/>
    <x v="2"/>
    <n v="19"/>
    <m/>
    <n v="7"/>
    <m/>
    <x v="0"/>
    <n v="25"/>
    <n v="52"/>
    <n v="52"/>
    <m/>
    <m/>
    <m/>
    <m/>
  </r>
  <r>
    <x v="4"/>
    <n v="8"/>
    <s v="Fitz Hugh sound"/>
    <s v="commercial"/>
    <s v="sockeye"/>
    <x v="4"/>
    <s v="SN"/>
    <x v="3"/>
    <n v="9"/>
    <m/>
    <n v="7"/>
    <m/>
    <x v="0"/>
    <n v="1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3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4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5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6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7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8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9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0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1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2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3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4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5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6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7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8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19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0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1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2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3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4"/>
    <m/>
    <m/>
    <m/>
    <m/>
    <m/>
    <m/>
  </r>
  <r>
    <x v="4"/>
    <n v="8"/>
    <s v="Fitz Hugh sound"/>
    <s v="commercial"/>
    <s v="sockeye"/>
    <x v="4"/>
    <s v="SN"/>
    <x v="3"/>
    <n v="9"/>
    <m/>
    <n v="7"/>
    <m/>
    <x v="0"/>
    <n v="25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3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4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5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6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7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8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9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0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1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2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3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4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5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6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7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8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19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0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1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2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3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4"/>
    <m/>
    <m/>
    <m/>
    <m/>
    <m/>
    <m/>
  </r>
  <r>
    <x v="4"/>
    <n v="8"/>
    <s v="Fitz Hugh sound"/>
    <s v="commercial"/>
    <s v="sockeye"/>
    <x v="4"/>
    <s v="SN"/>
    <x v="3"/>
    <n v="9"/>
    <m/>
    <n v="7"/>
    <m/>
    <x v="1"/>
    <n v="25"/>
    <m/>
    <m/>
    <m/>
    <m/>
    <m/>
    <m/>
  </r>
  <r>
    <x v="5"/>
    <n v="8"/>
    <s v="Fitz Hugh Sound (8-3)"/>
    <s v="1 &amp; 2 miles S of Koeye; commercial"/>
    <s v="sockeye"/>
    <x v="1"/>
    <s v="SN"/>
    <x v="4"/>
    <n v="6"/>
    <m/>
    <n v="7"/>
    <m/>
    <x v="0"/>
    <n v="1"/>
    <n v="52"/>
    <s v="R"/>
    <m/>
    <m/>
    <m/>
    <s v="1.12"/>
  </r>
  <r>
    <x v="5"/>
    <n v="8"/>
    <s v="Fitz Hugh Sound (8-3)"/>
    <s v="1 &amp; 2 miles S of Koeye; commercial"/>
    <s v="sockeye"/>
    <x v="1"/>
    <s v="SN"/>
    <x v="4"/>
    <n v="6"/>
    <m/>
    <n v="7"/>
    <m/>
    <x v="0"/>
    <n v="2"/>
    <n v="42"/>
    <s v="R"/>
    <m/>
    <m/>
    <m/>
    <s v="1.11"/>
  </r>
  <r>
    <x v="5"/>
    <n v="8"/>
    <s v="Fitz Hugh Sound (8-3)"/>
    <s v="1 &amp; 2 miles S of Koeye; commercial"/>
    <s v="sockeye"/>
    <x v="1"/>
    <s v="SN"/>
    <x v="4"/>
    <n v="6"/>
    <m/>
    <n v="7"/>
    <m/>
    <x v="0"/>
    <n v="3"/>
    <n v="42"/>
    <n v="42"/>
    <m/>
    <m/>
    <m/>
    <s v="1.13"/>
  </r>
  <r>
    <x v="5"/>
    <n v="8"/>
    <s v="Fitz Hugh Sound (8-3)"/>
    <s v="1 &amp; 2 miles S of Koeye; commercial"/>
    <s v="sockeye"/>
    <x v="1"/>
    <s v="SN"/>
    <x v="4"/>
    <n v="6"/>
    <m/>
    <n v="7"/>
    <m/>
    <x v="0"/>
    <n v="4"/>
    <n v="53"/>
    <n v="53"/>
    <m/>
    <m/>
    <m/>
    <s v="1.5+10"/>
  </r>
  <r>
    <x v="5"/>
    <n v="8"/>
    <s v="Fitz Hugh Sound (8-3)"/>
    <s v="1 &amp; 2 miles S of Koeye; commercial"/>
    <s v="sockeye"/>
    <x v="1"/>
    <s v="SN"/>
    <x v="4"/>
    <n v="6"/>
    <m/>
    <n v="7"/>
    <m/>
    <x v="0"/>
    <n v="5"/>
    <s v="R"/>
    <n v="52"/>
    <m/>
    <m/>
    <m/>
    <s v="2.10"/>
  </r>
  <r>
    <x v="5"/>
    <n v="8"/>
    <s v="Fitz Hugh Sound (8-3)"/>
    <s v="1 &amp; 2 miles S of Koeye; commercial"/>
    <s v="sockeye"/>
    <x v="1"/>
    <s v="SN"/>
    <x v="4"/>
    <n v="6"/>
    <m/>
    <n v="7"/>
    <m/>
    <x v="0"/>
    <n v="6"/>
    <n v="52"/>
    <s v="R"/>
    <m/>
    <m/>
    <m/>
    <s v="1.11"/>
  </r>
  <r>
    <x v="5"/>
    <n v="8"/>
    <s v="Fitz Hugh Sound (8-3)"/>
    <s v="1 &amp; 2 miles S of Koeye; commercial"/>
    <s v="sockeye"/>
    <x v="1"/>
    <s v="SN"/>
    <x v="4"/>
    <n v="6"/>
    <m/>
    <n v="7"/>
    <m/>
    <x v="0"/>
    <n v="7"/>
    <n v="52"/>
    <n v="52"/>
    <m/>
    <m/>
    <m/>
    <s v="1.13+4"/>
  </r>
  <r>
    <x v="5"/>
    <n v="8"/>
    <s v="Fitz Hugh Sound (8-3)"/>
    <s v="1 &amp; 2 miles S of Koeye; commercial"/>
    <s v="sockeye"/>
    <x v="1"/>
    <s v="SN"/>
    <x v="4"/>
    <n v="6"/>
    <m/>
    <n v="7"/>
    <m/>
    <x v="0"/>
    <n v="8"/>
    <n v="52"/>
    <n v="52"/>
    <m/>
    <m/>
    <m/>
    <s v="1.11"/>
  </r>
  <r>
    <x v="5"/>
    <n v="8"/>
    <s v="Fitz Hugh Sound (8-3)"/>
    <s v="1 &amp; 2 miles S of Koeye; commercial"/>
    <s v="sockeye"/>
    <x v="1"/>
    <s v="SN"/>
    <x v="4"/>
    <n v="6"/>
    <m/>
    <n v="7"/>
    <m/>
    <x v="0"/>
    <n v="9"/>
    <s v="R"/>
    <n v="42"/>
    <m/>
    <m/>
    <m/>
    <m/>
  </r>
  <r>
    <x v="5"/>
    <n v="8"/>
    <s v="Fitz Hugh Sound (8-3)"/>
    <s v="1 &amp; 2 miles S of Koeye; commercial"/>
    <s v="sockeye"/>
    <x v="1"/>
    <s v="SN"/>
    <x v="4"/>
    <n v="6"/>
    <m/>
    <n v="7"/>
    <m/>
    <x v="0"/>
    <n v="10"/>
    <s v="NA"/>
    <s v="R"/>
    <m/>
    <m/>
    <m/>
    <m/>
  </r>
  <r>
    <x v="5"/>
    <n v="8"/>
    <s v="Fitz Hugh Sound (8-3)"/>
    <s v="1 &amp; 2 miles S of Koeye; commercial"/>
    <s v="sockeye"/>
    <x v="1"/>
    <s v="SN"/>
    <x v="4"/>
    <n v="6"/>
    <m/>
    <n v="7"/>
    <m/>
    <x v="0"/>
    <n v="11"/>
    <n v="63"/>
    <s v="R"/>
    <m/>
    <m/>
    <m/>
    <s v="1.10+11"/>
  </r>
  <r>
    <x v="5"/>
    <n v="8"/>
    <s v="Fitz Hugh Sound (8-3)"/>
    <s v="1 &amp; 2 miles S of Koeye; commercial"/>
    <s v="sockeye"/>
    <x v="1"/>
    <s v="SN"/>
    <x v="4"/>
    <n v="6"/>
    <m/>
    <n v="7"/>
    <m/>
    <x v="0"/>
    <n v="12"/>
    <n v="42"/>
    <s v="NA"/>
    <m/>
    <m/>
    <m/>
    <s v="1.9"/>
  </r>
  <r>
    <x v="5"/>
    <n v="8"/>
    <s v="Fitz Hugh Sound (8-3)"/>
    <s v="1 &amp; 2 miles S of Koeye; commercial"/>
    <s v="sockeye"/>
    <x v="1"/>
    <s v="SN"/>
    <x v="4"/>
    <n v="6"/>
    <m/>
    <n v="7"/>
    <m/>
    <x v="0"/>
    <n v="13"/>
    <s v="R"/>
    <n v="42"/>
    <m/>
    <m/>
    <m/>
    <s v="2.11"/>
  </r>
  <r>
    <x v="5"/>
    <n v="8"/>
    <s v="Fitz Hugh Sound (8-3)"/>
    <s v="1 &amp; 2 miles S of Koeye; commercial"/>
    <s v="sockeye"/>
    <x v="1"/>
    <s v="SN"/>
    <x v="4"/>
    <n v="6"/>
    <m/>
    <n v="7"/>
    <m/>
    <x v="0"/>
    <n v="14"/>
    <n v="52"/>
    <n v="52"/>
    <m/>
    <m/>
    <m/>
    <s v="1.13"/>
  </r>
  <r>
    <x v="5"/>
    <n v="8"/>
    <s v="Fitz Hugh Sound (8-3)"/>
    <s v="1 &amp; 2 miles S of Koeye; commercial"/>
    <s v="sockeye"/>
    <x v="1"/>
    <s v="SN"/>
    <x v="4"/>
    <n v="6"/>
    <m/>
    <n v="7"/>
    <m/>
    <x v="0"/>
    <n v="15"/>
    <n v="42"/>
    <n v="42"/>
    <m/>
    <m/>
    <m/>
    <s v="1.13"/>
  </r>
  <r>
    <x v="5"/>
    <n v="8"/>
    <s v="Fitz Hugh Sound (8-3)"/>
    <s v="1 &amp; 2 miles S of Koeye; commercial"/>
    <s v="sockeye"/>
    <x v="1"/>
    <s v="SN"/>
    <x v="4"/>
    <n v="6"/>
    <m/>
    <n v="7"/>
    <m/>
    <x v="0"/>
    <n v="16"/>
    <n v="52"/>
    <n v="52"/>
    <m/>
    <m/>
    <m/>
    <s v="1.13"/>
  </r>
  <r>
    <x v="5"/>
    <n v="8"/>
    <s v="Fitz Hugh Sound (8-3)"/>
    <s v="1 &amp; 2 miles S of Koeye; commercial"/>
    <s v="sockeye"/>
    <x v="1"/>
    <s v="SN"/>
    <x v="4"/>
    <n v="6"/>
    <m/>
    <n v="7"/>
    <m/>
    <x v="0"/>
    <n v="17"/>
    <n v="42"/>
    <n v="42"/>
    <m/>
    <m/>
    <m/>
    <s v="1.13"/>
  </r>
  <r>
    <x v="5"/>
    <n v="8"/>
    <s v="Fitz Hugh Sound (8-3)"/>
    <s v="1 &amp; 2 miles S of Koeye; commercial"/>
    <s v="sockeye"/>
    <x v="1"/>
    <s v="SN"/>
    <x v="4"/>
    <n v="6"/>
    <m/>
    <n v="7"/>
    <m/>
    <x v="0"/>
    <n v="18"/>
    <n v="42"/>
    <s v="R"/>
    <m/>
    <m/>
    <m/>
    <s v="1.11"/>
  </r>
  <r>
    <x v="5"/>
    <n v="8"/>
    <s v="Fitz Hugh Sound (8-3)"/>
    <s v="1 &amp; 2 miles S of Koeye; commercial"/>
    <s v="sockeye"/>
    <x v="1"/>
    <s v="SN"/>
    <x v="4"/>
    <n v="6"/>
    <m/>
    <n v="7"/>
    <m/>
    <x v="0"/>
    <n v="19"/>
    <n v="42"/>
    <n v="42"/>
    <m/>
    <m/>
    <m/>
    <s v="1.12"/>
  </r>
  <r>
    <x v="5"/>
    <n v="8"/>
    <s v="Fitz Hugh Sound (8-3)"/>
    <s v="1 &amp; 2 miles S of Koeye; commercial"/>
    <s v="sockeye"/>
    <x v="1"/>
    <s v="SN"/>
    <x v="4"/>
    <n v="6"/>
    <m/>
    <n v="7"/>
    <m/>
    <x v="0"/>
    <n v="20"/>
    <n v="42"/>
    <s v="R"/>
    <m/>
    <m/>
    <m/>
    <m/>
  </r>
  <r>
    <x v="5"/>
    <n v="8"/>
    <s v="Fitz Hugh Sound (8-3)"/>
    <s v="1 &amp; 2 miles S of Koeye; commercial"/>
    <s v="sockeye"/>
    <x v="1"/>
    <s v="SN"/>
    <x v="4"/>
    <n v="6"/>
    <m/>
    <n v="7"/>
    <m/>
    <x v="0"/>
    <n v="21"/>
    <s v="NA"/>
    <n v="42"/>
    <m/>
    <m/>
    <m/>
    <s v="2.13"/>
  </r>
  <r>
    <x v="5"/>
    <n v="8"/>
    <s v="Fitz Hugh Sound (8-3)"/>
    <s v="1 &amp; 2 miles S of Koeye; commercial"/>
    <s v="sockeye"/>
    <x v="1"/>
    <s v="SN"/>
    <x v="4"/>
    <n v="6"/>
    <m/>
    <n v="7"/>
    <m/>
    <x v="0"/>
    <n v="22"/>
    <n v="42"/>
    <n v="42"/>
    <m/>
    <m/>
    <m/>
    <s v="1.1"/>
  </r>
  <r>
    <x v="5"/>
    <n v="8"/>
    <s v="Fitz Hugh Sound (8-3)"/>
    <s v="1 &amp; 2 miles S of Koeye; commercial"/>
    <s v="sockeye"/>
    <x v="1"/>
    <s v="SN"/>
    <x v="4"/>
    <n v="6"/>
    <m/>
    <n v="7"/>
    <m/>
    <x v="0"/>
    <n v="23"/>
    <s v="R"/>
    <n v="52"/>
    <m/>
    <m/>
    <m/>
    <s v="2.12"/>
  </r>
  <r>
    <x v="5"/>
    <n v="8"/>
    <s v="Fitz Hugh Sound (8-3)"/>
    <s v="1 &amp; 2 miles S of Koeye; commercial"/>
    <s v="sockeye"/>
    <x v="1"/>
    <s v="SN"/>
    <x v="4"/>
    <n v="6"/>
    <m/>
    <n v="7"/>
    <m/>
    <x v="0"/>
    <n v="24"/>
    <n v="42"/>
    <n v="42"/>
    <m/>
    <m/>
    <m/>
    <s v="1.11"/>
  </r>
  <r>
    <x v="5"/>
    <n v="8"/>
    <s v="Fitz Hugh Sound (8-3)"/>
    <s v="1 &amp; 2 miles S of Koeye; commercial"/>
    <s v="sockeye"/>
    <x v="1"/>
    <s v="SN"/>
    <x v="4"/>
    <n v="6"/>
    <m/>
    <n v="7"/>
    <m/>
    <x v="0"/>
    <n v="25"/>
    <n v="52"/>
    <n v="52"/>
    <m/>
    <m/>
    <m/>
    <s v="2.15"/>
  </r>
  <r>
    <x v="5"/>
    <n v="8"/>
    <s v="Fitz Hugh Sound (8-3)"/>
    <s v="1 &amp; 2 miles S of Koeye; commercial"/>
    <s v="sockeye"/>
    <x v="1"/>
    <s v="GN"/>
    <x v="4"/>
    <n v="6"/>
    <m/>
    <n v="7"/>
    <m/>
    <x v="1"/>
    <n v="1"/>
    <n v="42"/>
    <n v="42"/>
    <m/>
    <m/>
    <m/>
    <s v="poor"/>
  </r>
  <r>
    <x v="5"/>
    <n v="8"/>
    <s v="Fitz Hugh Sound (8-3)"/>
    <s v="1 &amp; 2 miles S of Koeye; commercial"/>
    <s v="sockeye"/>
    <x v="1"/>
    <s v="GN"/>
    <x v="4"/>
    <n v="6"/>
    <m/>
    <n v="7"/>
    <m/>
    <x v="1"/>
    <n v="2"/>
    <n v="42"/>
    <n v="42"/>
    <m/>
    <m/>
    <m/>
    <s v="1.10 2.11"/>
  </r>
  <r>
    <x v="5"/>
    <n v="8"/>
    <s v="Fitz Hugh Sound (8-3)"/>
    <s v="1 &amp; 2 miles S of Koeye; commercial"/>
    <s v="sockeye"/>
    <x v="1"/>
    <s v="GN"/>
    <x v="4"/>
    <n v="6"/>
    <m/>
    <n v="7"/>
    <m/>
    <x v="1"/>
    <n v="3"/>
    <n v="53"/>
    <n v="53"/>
    <m/>
    <m/>
    <m/>
    <s v="1.9+13"/>
  </r>
  <r>
    <x v="5"/>
    <n v="8"/>
    <s v="Fitz Hugh Sound (8-3)"/>
    <s v="1 &amp; 2 miles S of Koeye; commercial"/>
    <s v="sockeye"/>
    <x v="1"/>
    <s v="GN"/>
    <x v="4"/>
    <n v="6"/>
    <m/>
    <n v="7"/>
    <m/>
    <x v="1"/>
    <n v="4"/>
    <n v="42"/>
    <s v="R"/>
    <m/>
    <m/>
    <m/>
    <s v="1.9"/>
  </r>
  <r>
    <x v="5"/>
    <n v="8"/>
    <s v="Fitz Hugh Sound (8-3)"/>
    <s v="1 &amp; 2 miles S of Koeye; commercial"/>
    <s v="sockeye"/>
    <x v="1"/>
    <s v="GN"/>
    <x v="4"/>
    <n v="6"/>
    <m/>
    <n v="7"/>
    <m/>
    <x v="1"/>
    <n v="5"/>
    <n v="42"/>
    <n v="42"/>
    <m/>
    <m/>
    <m/>
    <s v="2.12"/>
  </r>
  <r>
    <x v="5"/>
    <n v="8"/>
    <s v="Fitz Hugh Sound (8-3)"/>
    <s v="1 &amp; 2 miles S of Koeye; commercial"/>
    <s v="sockeye"/>
    <x v="1"/>
    <s v="GN"/>
    <x v="4"/>
    <n v="6"/>
    <m/>
    <n v="7"/>
    <m/>
    <x v="1"/>
    <n v="6"/>
    <n v="42"/>
    <s v="R"/>
    <m/>
    <m/>
    <m/>
    <s v="1.12"/>
  </r>
  <r>
    <x v="5"/>
    <n v="8"/>
    <s v="Fitz Hugh Sound (8-3)"/>
    <s v="1 &amp; 2 miles S of Koeye; commercial"/>
    <s v="sockeye"/>
    <x v="1"/>
    <s v="GN"/>
    <x v="4"/>
    <n v="6"/>
    <m/>
    <n v="7"/>
    <m/>
    <x v="1"/>
    <n v="7"/>
    <s v="R"/>
    <s v="R"/>
    <m/>
    <m/>
    <m/>
    <m/>
  </r>
  <r>
    <x v="5"/>
    <n v="8"/>
    <s v="Fitz Hugh Sound (8-3)"/>
    <s v="1 &amp; 2 miles S of Koeye; commercial"/>
    <s v="sockeye"/>
    <x v="1"/>
    <s v="GN"/>
    <x v="4"/>
    <n v="6"/>
    <m/>
    <n v="7"/>
    <m/>
    <x v="1"/>
    <n v="8"/>
    <n v="52"/>
    <n v="52"/>
    <m/>
    <m/>
    <m/>
    <s v="1.12 2.11"/>
  </r>
  <r>
    <x v="5"/>
    <n v="8"/>
    <s v="Fitz Hugh Sound (8-3)"/>
    <s v="1 &amp; 2 miles S of Koeye; commercial"/>
    <s v="sockeye"/>
    <x v="1"/>
    <s v="GN"/>
    <x v="4"/>
    <n v="6"/>
    <m/>
    <n v="7"/>
    <m/>
    <x v="1"/>
    <n v="9"/>
    <s v="R"/>
    <s v="R"/>
    <m/>
    <m/>
    <m/>
    <m/>
  </r>
  <r>
    <x v="5"/>
    <n v="8"/>
    <s v="Fitz Hugh Sound (8-3)"/>
    <s v="1 &amp; 2 miles S of Koeye; commercial"/>
    <s v="sockeye"/>
    <x v="1"/>
    <s v="GN"/>
    <x v="4"/>
    <n v="6"/>
    <m/>
    <n v="7"/>
    <m/>
    <x v="1"/>
    <n v="10"/>
    <s v="R"/>
    <n v="42"/>
    <m/>
    <m/>
    <m/>
    <s v="2.12"/>
  </r>
  <r>
    <x v="5"/>
    <n v="8"/>
    <s v="Fitz Hugh Sound (8-3)"/>
    <s v="1 &amp; 2 miles S of Koeye; commercial"/>
    <s v="sockeye"/>
    <x v="1"/>
    <s v="GN"/>
    <x v="4"/>
    <n v="6"/>
    <m/>
    <n v="7"/>
    <m/>
    <x v="1"/>
    <n v="11"/>
    <s v="R"/>
    <n v="52"/>
    <m/>
    <m/>
    <m/>
    <m/>
  </r>
  <r>
    <x v="5"/>
    <n v="8"/>
    <s v="Fitz Hugh Sound (8-3)"/>
    <s v="1 &amp; 2 miles S of Koeye; commercial"/>
    <s v="sockeye"/>
    <x v="1"/>
    <s v="GN"/>
    <x v="4"/>
    <n v="6"/>
    <m/>
    <n v="7"/>
    <m/>
    <x v="1"/>
    <n v="12"/>
    <s v="R"/>
    <s v="R"/>
    <m/>
    <m/>
    <m/>
    <m/>
  </r>
  <r>
    <x v="5"/>
    <n v="8"/>
    <s v="Fitz Hugh Sound (8-3)"/>
    <s v="1 &amp; 2 miles S of Koeye; commercial"/>
    <s v="sockeye"/>
    <x v="1"/>
    <s v="GN"/>
    <x v="4"/>
    <n v="6"/>
    <m/>
    <n v="7"/>
    <m/>
    <x v="1"/>
    <n v="13"/>
    <n v="42"/>
    <n v="42"/>
    <m/>
    <m/>
    <m/>
    <s v="1.12"/>
  </r>
  <r>
    <x v="5"/>
    <n v="8"/>
    <s v="Fitz Hugh Sound (8-3)"/>
    <s v="1 &amp; 2 miles S of Koeye; commercial"/>
    <s v="sockeye"/>
    <x v="1"/>
    <s v="GN"/>
    <x v="4"/>
    <n v="6"/>
    <m/>
    <n v="7"/>
    <m/>
    <x v="1"/>
    <n v="14"/>
    <s v="R"/>
    <n v="52"/>
    <m/>
    <m/>
    <m/>
    <m/>
  </r>
  <r>
    <x v="5"/>
    <n v="8"/>
    <s v="Fitz Hugh Sound (8-3)"/>
    <s v="1 &amp; 2 miles S of Koeye; commercial"/>
    <s v="sockeye"/>
    <x v="1"/>
    <s v="GN"/>
    <x v="4"/>
    <n v="6"/>
    <m/>
    <n v="7"/>
    <m/>
    <x v="1"/>
    <n v="15"/>
    <n v="52"/>
    <s v="R"/>
    <m/>
    <m/>
    <m/>
    <s v="1.18"/>
  </r>
  <r>
    <x v="5"/>
    <n v="8"/>
    <s v="Fitz Hugh Sound (8-3)"/>
    <s v="1 &amp; 2 miles S of Koeye; commercial"/>
    <s v="sockeye"/>
    <x v="1"/>
    <s v="GN"/>
    <x v="4"/>
    <n v="6"/>
    <m/>
    <n v="7"/>
    <m/>
    <x v="1"/>
    <n v="16"/>
    <n v="53"/>
    <n v="53"/>
    <m/>
    <m/>
    <m/>
    <s v="1.5+9"/>
  </r>
  <r>
    <x v="5"/>
    <n v="8"/>
    <s v="Fitz Hugh Sound (8-3)"/>
    <s v="1 &amp; 2 miles S of Koeye; commercial"/>
    <s v="sockeye"/>
    <x v="1"/>
    <s v="GN"/>
    <x v="4"/>
    <n v="6"/>
    <m/>
    <n v="7"/>
    <m/>
    <x v="1"/>
    <n v="17"/>
    <n v="42"/>
    <n v="42"/>
    <m/>
    <m/>
    <m/>
    <s v="1.9"/>
  </r>
  <r>
    <x v="5"/>
    <n v="8"/>
    <s v="Fitz Hugh Sound (8-3)"/>
    <s v="1 &amp; 2 miles S of Koeye; commercial"/>
    <s v="sockeye"/>
    <x v="1"/>
    <s v="GN"/>
    <x v="4"/>
    <n v="6"/>
    <m/>
    <n v="7"/>
    <m/>
    <x v="1"/>
    <n v="18"/>
    <n v="52"/>
    <n v="52"/>
    <m/>
    <m/>
    <m/>
    <s v="2.12"/>
  </r>
  <r>
    <x v="5"/>
    <n v="8"/>
    <s v="Fitz Hugh Sound (8-3)"/>
    <s v="1 &amp; 2 miles S of Koeye; commercial"/>
    <s v="sockeye"/>
    <x v="1"/>
    <s v="GN"/>
    <x v="4"/>
    <n v="6"/>
    <m/>
    <n v="7"/>
    <m/>
    <x v="1"/>
    <n v="19"/>
    <s v="R"/>
    <n v="52"/>
    <m/>
    <m/>
    <m/>
    <s v="2.12"/>
  </r>
  <r>
    <x v="5"/>
    <n v="8"/>
    <s v="Fitz Hugh Sound (8-3)"/>
    <s v="1 &amp; 2 miles S of Koeye; commercial"/>
    <s v="sockeye"/>
    <x v="1"/>
    <s v="GN"/>
    <x v="4"/>
    <n v="6"/>
    <m/>
    <n v="7"/>
    <m/>
    <x v="1"/>
    <n v="20"/>
    <n v="42"/>
    <n v="42"/>
    <m/>
    <m/>
    <m/>
    <s v="2.11"/>
  </r>
  <r>
    <x v="5"/>
    <n v="8"/>
    <s v="Fitz Hugh Sound (8-3)"/>
    <s v="1 &amp; 2 miles S of Koeye; commercial"/>
    <s v="sockeye"/>
    <x v="1"/>
    <s v="GN"/>
    <x v="4"/>
    <n v="6"/>
    <m/>
    <n v="7"/>
    <m/>
    <x v="1"/>
    <n v="21"/>
    <n v="42"/>
    <n v="42"/>
    <m/>
    <m/>
    <m/>
    <s v="1.R 2.10"/>
  </r>
  <r>
    <x v="5"/>
    <n v="8"/>
    <s v="Fitz Hugh Sound (8-3)"/>
    <s v="1 &amp; 2 miles S of Koeye; commercial"/>
    <s v="sockeye"/>
    <x v="1"/>
    <s v="GN"/>
    <x v="4"/>
    <n v="6"/>
    <m/>
    <n v="7"/>
    <m/>
    <x v="1"/>
    <n v="22"/>
    <s v="R"/>
    <n v="52"/>
    <m/>
    <m/>
    <m/>
    <m/>
  </r>
  <r>
    <x v="5"/>
    <n v="8"/>
    <s v="Fitz Hugh Sound (8-3)"/>
    <s v="1 &amp; 2 miles S of Koeye; commercial"/>
    <s v="sockeye"/>
    <x v="1"/>
    <s v="GN"/>
    <x v="4"/>
    <n v="6"/>
    <m/>
    <n v="7"/>
    <m/>
    <x v="1"/>
    <n v="23"/>
    <s v="NA"/>
    <n v="42"/>
    <m/>
    <m/>
    <m/>
    <s v="2.12"/>
  </r>
  <r>
    <x v="5"/>
    <n v="8"/>
    <s v="Fitz Hugh Sound (8-3)"/>
    <s v="1 &amp; 2 miles S of Koeye; commercial"/>
    <s v="sockeye"/>
    <x v="1"/>
    <s v="GN"/>
    <x v="4"/>
    <n v="6"/>
    <m/>
    <n v="7"/>
    <m/>
    <x v="1"/>
    <n v="24"/>
    <n v="52"/>
    <n v="52"/>
    <m/>
    <m/>
    <m/>
    <s v="1.13"/>
  </r>
  <r>
    <x v="5"/>
    <n v="8"/>
    <s v="Fitz Hugh Sound (8-3)"/>
    <s v="1 &amp; 2 miles S of Koeye; commercial"/>
    <s v="sockeye"/>
    <x v="1"/>
    <s v="GN"/>
    <x v="4"/>
    <n v="6"/>
    <m/>
    <n v="7"/>
    <m/>
    <x v="1"/>
    <n v="25"/>
    <s v="R"/>
    <s v="R"/>
    <m/>
    <m/>
    <m/>
    <m/>
  </r>
  <r>
    <x v="5"/>
    <n v="8"/>
    <s v="Fitz Hugh Sound (8-3)"/>
    <s v="1 &amp; 2 miles S of Koeye; commercial"/>
    <s v="sockeye"/>
    <x v="1"/>
    <s v="GN"/>
    <x v="4"/>
    <n v="7"/>
    <m/>
    <n v="7"/>
    <m/>
    <x v="2"/>
    <n v="1"/>
    <n v="42"/>
    <s v="R"/>
    <m/>
    <m/>
    <m/>
    <s v="1.13"/>
  </r>
  <r>
    <x v="5"/>
    <n v="8"/>
    <s v="Fitz Hugh Sound (8-3)"/>
    <s v="1 &amp; 2 miles S of Koeye; commercial"/>
    <s v="sockeye"/>
    <x v="1"/>
    <s v="GN"/>
    <x v="4"/>
    <n v="7"/>
    <m/>
    <n v="7"/>
    <m/>
    <x v="2"/>
    <n v="2"/>
    <n v="52"/>
    <s v="NA"/>
    <m/>
    <m/>
    <m/>
    <s v="1.12+5"/>
  </r>
  <r>
    <x v="5"/>
    <n v="8"/>
    <s v="Fitz Hugh Sound (8-3)"/>
    <s v="1 &amp; 2 miles S of Koeye; commercial"/>
    <s v="sockeye"/>
    <x v="1"/>
    <s v="GN"/>
    <x v="4"/>
    <n v="7"/>
    <m/>
    <n v="7"/>
    <m/>
    <x v="2"/>
    <n v="3"/>
    <n v="53"/>
    <n v="53"/>
    <m/>
    <m/>
    <m/>
    <s v="2.10+12"/>
  </r>
  <r>
    <x v="5"/>
    <n v="8"/>
    <s v="Fitz Hugh Sound (8-3)"/>
    <s v="1 &amp; 2 miles S of Koeye; commercial"/>
    <s v="sockeye"/>
    <x v="1"/>
    <s v="GN"/>
    <x v="4"/>
    <n v="7"/>
    <m/>
    <n v="7"/>
    <m/>
    <x v="2"/>
    <n v="4"/>
    <n v="42"/>
    <n v="42"/>
    <m/>
    <m/>
    <m/>
    <s v="1.12"/>
  </r>
  <r>
    <x v="5"/>
    <n v="8"/>
    <s v="Fitz Hugh Sound (8-3)"/>
    <s v="1 &amp; 2 miles S of Koeye; commercial"/>
    <s v="sockeye"/>
    <x v="1"/>
    <s v="GN"/>
    <x v="4"/>
    <n v="7"/>
    <m/>
    <n v="7"/>
    <m/>
    <x v="2"/>
    <n v="5"/>
    <n v="42"/>
    <n v="42"/>
    <m/>
    <m/>
    <m/>
    <s v="1.9"/>
  </r>
  <r>
    <x v="5"/>
    <n v="8"/>
    <s v="Fitz Hugh Sound (8-3)"/>
    <s v="1 &amp; 2 miles S of Koeye; commercial"/>
    <s v="sockeye"/>
    <x v="1"/>
    <s v="GN"/>
    <x v="4"/>
    <n v="7"/>
    <m/>
    <n v="7"/>
    <m/>
    <x v="2"/>
    <n v="6"/>
    <n v="52"/>
    <n v="52"/>
    <m/>
    <m/>
    <m/>
    <s v="1.10"/>
  </r>
  <r>
    <x v="5"/>
    <n v="8"/>
    <s v="Fitz Hugh Sound (8-3)"/>
    <s v="1 &amp; 2 miles S of Koeye; commercial"/>
    <s v="sockeye"/>
    <x v="1"/>
    <s v="GN"/>
    <x v="4"/>
    <n v="7"/>
    <m/>
    <n v="7"/>
    <m/>
    <x v="2"/>
    <n v="7"/>
    <n v="42"/>
    <n v="42"/>
    <m/>
    <m/>
    <m/>
    <s v="2.11"/>
  </r>
  <r>
    <x v="5"/>
    <n v="8"/>
    <s v="Fitz Hugh Sound (8-3)"/>
    <s v="1 &amp; 2 miles S of Koeye; commercial"/>
    <s v="sockeye"/>
    <x v="1"/>
    <s v="GN"/>
    <x v="4"/>
    <n v="7"/>
    <m/>
    <n v="7"/>
    <m/>
    <x v="2"/>
    <n v="8"/>
    <n v="52"/>
    <n v="52"/>
    <m/>
    <m/>
    <m/>
    <s v="2.14"/>
  </r>
  <r>
    <x v="5"/>
    <n v="8"/>
    <s v="Fitz Hugh Sound (8-3)"/>
    <s v="1 &amp; 2 miles S of Koeye; commercial"/>
    <s v="sockeye"/>
    <x v="1"/>
    <s v="GN"/>
    <x v="4"/>
    <n v="7"/>
    <m/>
    <n v="7"/>
    <m/>
    <x v="2"/>
    <n v="9"/>
    <n v="42"/>
    <n v="42"/>
    <m/>
    <m/>
    <m/>
    <s v="1.11"/>
  </r>
  <r>
    <x v="5"/>
    <n v="8"/>
    <s v="Fitz Hugh Sound (8-3)"/>
    <s v="1 &amp; 2 miles S of Koeye; commercial"/>
    <s v="sockeye"/>
    <x v="1"/>
    <s v="GN"/>
    <x v="4"/>
    <n v="7"/>
    <m/>
    <n v="7"/>
    <m/>
    <x v="2"/>
    <n v="10"/>
    <n v="52"/>
    <s v="R"/>
    <m/>
    <m/>
    <m/>
    <s v="1.9"/>
  </r>
  <r>
    <x v="5"/>
    <n v="8"/>
    <s v="Fitz Hugh Sound (8-3)"/>
    <s v="1 &amp; 2 miles S of Koeye; commercial"/>
    <s v="sockeye"/>
    <x v="1"/>
    <s v="GN"/>
    <x v="4"/>
    <n v="7"/>
    <m/>
    <n v="7"/>
    <m/>
    <x v="2"/>
    <n v="11"/>
    <n v="31"/>
    <n v="31"/>
    <m/>
    <m/>
    <m/>
    <s v="possible estuary growth but no (visible) FW type"/>
  </r>
  <r>
    <x v="6"/>
    <n v="8"/>
    <s v="Fitz Hugh Sound (8-16)"/>
    <s v="kwakume to addenbroke pt; commercial"/>
    <s v="sockeye"/>
    <x v="1"/>
    <s v="SN"/>
    <x v="4"/>
    <n v="12"/>
    <m/>
    <n v="7"/>
    <m/>
    <x v="3"/>
    <n v="1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3"/>
    <n v="2"/>
    <n v="42"/>
    <s v="R"/>
    <m/>
    <m/>
    <m/>
    <s v="1.13"/>
  </r>
  <r>
    <x v="6"/>
    <n v="8"/>
    <s v="Fitz Hugh Sound (8-16)"/>
    <s v="kwakume to addenbroke pt; commercial"/>
    <s v="sockeye"/>
    <x v="1"/>
    <s v="SN"/>
    <x v="4"/>
    <n v="12"/>
    <m/>
    <n v="7"/>
    <m/>
    <x v="3"/>
    <n v="3"/>
    <s v="R"/>
    <n v="42"/>
    <m/>
    <m/>
    <m/>
    <s v="2.9"/>
  </r>
  <r>
    <x v="6"/>
    <n v="8"/>
    <s v="Fitz Hugh Sound (8-16)"/>
    <s v="kwakume to addenbroke pt; commercial"/>
    <s v="sockeye"/>
    <x v="1"/>
    <s v="SN"/>
    <x v="4"/>
    <n v="12"/>
    <m/>
    <n v="7"/>
    <m/>
    <x v="3"/>
    <n v="4"/>
    <n v="42"/>
    <n v="4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3"/>
    <n v="5"/>
    <n v="52"/>
    <n v="52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3"/>
    <n v="6"/>
    <s v="NA"/>
    <n v="42"/>
    <m/>
    <m/>
    <m/>
    <s v="2.13"/>
  </r>
  <r>
    <x v="6"/>
    <n v="8"/>
    <s v="Fitz Hugh Sound (8-16)"/>
    <s v="kwakume to addenbroke pt; commercial"/>
    <s v="sockeye"/>
    <x v="1"/>
    <s v="SN"/>
    <x v="4"/>
    <n v="12"/>
    <m/>
    <n v="7"/>
    <m/>
    <x v="3"/>
    <n v="7"/>
    <n v="42"/>
    <s v="NA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3"/>
    <n v="8"/>
    <n v="52"/>
    <n v="52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3"/>
    <n v="9"/>
    <n v="42"/>
    <n v="4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3"/>
    <n v="10"/>
    <n v="42"/>
    <n v="42"/>
    <m/>
    <m/>
    <m/>
    <s v="1.12"/>
  </r>
  <r>
    <x v="6"/>
    <n v="8"/>
    <s v="Fitz Hugh Sound (8-16)"/>
    <s v="kwakume to addenbroke pt; commercial"/>
    <s v="sockeye"/>
    <x v="1"/>
    <s v="SN"/>
    <x v="4"/>
    <n v="12"/>
    <m/>
    <n v="7"/>
    <m/>
    <x v="3"/>
    <n v="11"/>
    <s v="NA"/>
    <n v="52"/>
    <m/>
    <m/>
    <m/>
    <s v="2.10"/>
  </r>
  <r>
    <x v="6"/>
    <n v="8"/>
    <s v="Fitz Hugh Sound (8-16)"/>
    <s v="kwakume to addenbroke pt; commercial"/>
    <s v="sockeye"/>
    <x v="1"/>
    <s v="SN"/>
    <x v="4"/>
    <n v="12"/>
    <m/>
    <n v="7"/>
    <m/>
    <x v="3"/>
    <n v="12"/>
    <s v="R"/>
    <s v="NA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3"/>
    <n v="13"/>
    <s v="NA"/>
    <n v="52"/>
    <m/>
    <m/>
    <m/>
    <s v="2.11"/>
  </r>
  <r>
    <x v="6"/>
    <n v="8"/>
    <s v="Fitz Hugh Sound (8-16)"/>
    <s v="kwakume to addenbroke pt; commercial"/>
    <s v="sockeye"/>
    <x v="1"/>
    <s v="SN"/>
    <x v="4"/>
    <n v="12"/>
    <m/>
    <n v="7"/>
    <m/>
    <x v="3"/>
    <n v="14"/>
    <n v="42"/>
    <n v="42"/>
    <m/>
    <m/>
    <m/>
    <s v="1.13"/>
  </r>
  <r>
    <x v="6"/>
    <n v="8"/>
    <s v="Fitz Hugh Sound (8-16)"/>
    <s v="kwakume to addenbroke pt; commercial"/>
    <s v="sockeye"/>
    <x v="1"/>
    <s v="SN"/>
    <x v="4"/>
    <n v="12"/>
    <m/>
    <n v="7"/>
    <m/>
    <x v="3"/>
    <n v="15"/>
    <s v="R"/>
    <n v="52"/>
    <m/>
    <m/>
    <m/>
    <s v="2.8+5"/>
  </r>
  <r>
    <x v="6"/>
    <n v="8"/>
    <s v="Fitz Hugh Sound (8-16)"/>
    <s v="kwakume to addenbroke pt; commercial"/>
    <s v="sockeye"/>
    <x v="1"/>
    <s v="SN"/>
    <x v="4"/>
    <n v="12"/>
    <m/>
    <n v="7"/>
    <m/>
    <x v="3"/>
    <n v="16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3"/>
    <n v="17"/>
    <s v="NA"/>
    <n v="42"/>
    <m/>
    <m/>
    <m/>
    <s v="2.13"/>
  </r>
  <r>
    <x v="6"/>
    <n v="8"/>
    <s v="Fitz Hugh Sound (8-16)"/>
    <s v="kwakume to addenbroke pt; commercial"/>
    <s v="sockeye"/>
    <x v="1"/>
    <s v="SN"/>
    <x v="4"/>
    <n v="12"/>
    <m/>
    <n v="7"/>
    <m/>
    <x v="3"/>
    <n v="18"/>
    <n v="42"/>
    <s v="NA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3"/>
    <n v="19"/>
    <n v="52"/>
    <n v="52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3"/>
    <n v="20"/>
    <n v="42"/>
    <n v="42"/>
    <m/>
    <m/>
    <m/>
    <s v="2.13"/>
  </r>
  <r>
    <x v="6"/>
    <n v="8"/>
    <s v="Fitz Hugh Sound (8-16)"/>
    <s v="kwakume to addenbroke pt; commercial"/>
    <s v="sockeye"/>
    <x v="1"/>
    <s v="SN"/>
    <x v="4"/>
    <n v="12"/>
    <m/>
    <n v="7"/>
    <m/>
    <x v="3"/>
    <n v="21"/>
    <n v="52"/>
    <s v="R"/>
    <m/>
    <m/>
    <m/>
    <s v="1.13"/>
  </r>
  <r>
    <x v="6"/>
    <n v="8"/>
    <s v="Fitz Hugh Sound (8-16)"/>
    <s v="kwakume to addenbroke pt; commercial"/>
    <s v="sockeye"/>
    <x v="1"/>
    <s v="SN"/>
    <x v="4"/>
    <n v="12"/>
    <m/>
    <n v="7"/>
    <m/>
    <x v="3"/>
    <n v="22"/>
    <n v="42"/>
    <n v="4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3"/>
    <n v="23"/>
    <n v="42"/>
    <n v="4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3"/>
    <n v="24"/>
    <s v="R"/>
    <n v="42"/>
    <m/>
    <m/>
    <m/>
    <s v="2.11"/>
  </r>
  <r>
    <x v="6"/>
    <n v="8"/>
    <s v="Fitz Hugh Sound (8-16)"/>
    <s v="kwakume to addenbroke pt; commercial"/>
    <s v="sockeye"/>
    <x v="1"/>
    <s v="SN"/>
    <x v="4"/>
    <n v="12"/>
    <m/>
    <n v="7"/>
    <m/>
    <x v="3"/>
    <n v="25"/>
    <n v="52"/>
    <n v="52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4"/>
    <n v="1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4"/>
    <n v="2"/>
    <n v="42"/>
    <n v="42"/>
    <m/>
    <m/>
    <m/>
    <s v="1.8"/>
  </r>
  <r>
    <x v="6"/>
    <n v="8"/>
    <s v="Fitz Hugh Sound (8-16)"/>
    <s v="kwakume to addenbroke pt; commercial"/>
    <s v="sockeye"/>
    <x v="1"/>
    <s v="SN"/>
    <x v="4"/>
    <n v="12"/>
    <m/>
    <n v="7"/>
    <m/>
    <x v="4"/>
    <n v="3"/>
    <n v="42"/>
    <n v="42"/>
    <m/>
    <m/>
    <m/>
    <s v="1.12"/>
  </r>
  <r>
    <x v="6"/>
    <n v="8"/>
    <s v="Fitz Hugh Sound (8-16)"/>
    <s v="kwakume to addenbroke pt; commercial"/>
    <s v="sockeye"/>
    <x v="1"/>
    <s v="SN"/>
    <x v="4"/>
    <n v="12"/>
    <m/>
    <n v="7"/>
    <m/>
    <x v="4"/>
    <n v="4"/>
    <n v="42"/>
    <n v="42"/>
    <m/>
    <m/>
    <m/>
    <s v="2.8"/>
  </r>
  <r>
    <x v="6"/>
    <n v="8"/>
    <s v="Fitz Hugh Sound (8-16)"/>
    <s v="kwakume to addenbroke pt; commercial"/>
    <s v="sockeye"/>
    <x v="1"/>
    <s v="SN"/>
    <x v="4"/>
    <n v="12"/>
    <m/>
    <n v="7"/>
    <m/>
    <x v="4"/>
    <n v="5"/>
    <s v="R"/>
    <n v="42"/>
    <m/>
    <m/>
    <m/>
    <s v="2.10+6"/>
  </r>
  <r>
    <x v="6"/>
    <n v="8"/>
    <s v="Fitz Hugh Sound (8-16)"/>
    <s v="kwakume to addenbroke pt; commercial"/>
    <s v="sockeye"/>
    <x v="1"/>
    <s v="SN"/>
    <x v="4"/>
    <n v="12"/>
    <m/>
    <n v="7"/>
    <m/>
    <x v="4"/>
    <n v="6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4"/>
    <n v="7"/>
    <n v="52"/>
    <n v="52"/>
    <m/>
    <m/>
    <m/>
    <s v="1.8+6"/>
  </r>
  <r>
    <x v="6"/>
    <n v="8"/>
    <s v="Fitz Hugh Sound (8-16)"/>
    <s v="kwakume to addenbroke pt; commercial"/>
    <s v="sockeye"/>
    <x v="1"/>
    <s v="SN"/>
    <x v="4"/>
    <n v="12"/>
    <m/>
    <n v="7"/>
    <m/>
    <x v="4"/>
    <n v="8"/>
    <n v="52"/>
    <n v="5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4"/>
    <n v="9"/>
    <s v="NA"/>
    <n v="42"/>
    <m/>
    <m/>
    <m/>
    <s v="2.8"/>
  </r>
  <r>
    <x v="6"/>
    <n v="8"/>
    <s v="Fitz Hugh Sound (8-16)"/>
    <s v="kwakume to addenbroke pt; commercial"/>
    <s v="sockeye"/>
    <x v="1"/>
    <s v="SN"/>
    <x v="4"/>
    <n v="12"/>
    <m/>
    <n v="7"/>
    <m/>
    <x v="4"/>
    <n v="10"/>
    <s v="R"/>
    <s v="NA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4"/>
    <n v="11"/>
    <n v="42"/>
    <n v="42"/>
    <m/>
    <m/>
    <m/>
    <s v="1.poor 2.9"/>
  </r>
  <r>
    <x v="6"/>
    <n v="8"/>
    <s v="Fitz Hugh Sound (8-16)"/>
    <s v="kwakume to addenbroke pt; commercial"/>
    <s v="sockeye"/>
    <x v="1"/>
    <s v="SN"/>
    <x v="4"/>
    <n v="12"/>
    <m/>
    <n v="7"/>
    <m/>
    <x v="4"/>
    <n v="12"/>
    <n v="42"/>
    <n v="42"/>
    <m/>
    <m/>
    <m/>
    <s v="1.15"/>
  </r>
  <r>
    <x v="6"/>
    <n v="8"/>
    <s v="Fitz Hugh Sound (8-16)"/>
    <s v="kwakume to addenbroke pt; commercial"/>
    <s v="sockeye"/>
    <x v="1"/>
    <s v="SN"/>
    <x v="4"/>
    <n v="12"/>
    <m/>
    <n v="7"/>
    <m/>
    <x v="4"/>
    <n v="13"/>
    <n v="52"/>
    <s v="R"/>
    <m/>
    <m/>
    <m/>
    <s v="1.9+2"/>
  </r>
  <r>
    <x v="6"/>
    <n v="8"/>
    <s v="Fitz Hugh Sound (8-16)"/>
    <s v="kwakume to addenbroke pt; commercial"/>
    <s v="sockeye"/>
    <x v="1"/>
    <s v="SN"/>
    <x v="4"/>
    <n v="12"/>
    <m/>
    <n v="7"/>
    <m/>
    <x v="4"/>
    <n v="14"/>
    <n v="42"/>
    <n v="42"/>
    <m/>
    <m/>
    <m/>
    <s v="2.13"/>
  </r>
  <r>
    <x v="6"/>
    <n v="8"/>
    <s v="Fitz Hugh Sound (8-16)"/>
    <s v="kwakume to addenbroke pt; commercial"/>
    <s v="sockeye"/>
    <x v="1"/>
    <s v="SN"/>
    <x v="4"/>
    <n v="12"/>
    <m/>
    <n v="7"/>
    <m/>
    <x v="4"/>
    <n v="15"/>
    <n v="42"/>
    <n v="42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4"/>
    <n v="16"/>
    <s v="NA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4"/>
    <n v="17"/>
    <n v="32"/>
    <s v="R"/>
    <m/>
    <m/>
    <m/>
    <s v="1.16"/>
  </r>
  <r>
    <x v="6"/>
    <n v="8"/>
    <s v="Fitz Hugh Sound (8-16)"/>
    <s v="kwakume to addenbroke pt; commercial"/>
    <s v="sockeye"/>
    <x v="1"/>
    <s v="SN"/>
    <x v="4"/>
    <n v="12"/>
    <m/>
    <n v="7"/>
    <m/>
    <x v="4"/>
    <n v="18"/>
    <n v="42"/>
    <s v="R"/>
    <m/>
    <m/>
    <m/>
    <s v="1.20+2"/>
  </r>
  <r>
    <x v="6"/>
    <n v="8"/>
    <s v="Fitz Hugh Sound (8-16)"/>
    <s v="kwakume to addenbroke pt; commercial"/>
    <s v="sockeye"/>
    <x v="1"/>
    <s v="SN"/>
    <x v="4"/>
    <n v="12"/>
    <m/>
    <n v="7"/>
    <m/>
    <x v="4"/>
    <n v="19"/>
    <n v="52"/>
    <n v="52"/>
    <m/>
    <m/>
    <m/>
    <s v="1.13"/>
  </r>
  <r>
    <x v="6"/>
    <n v="8"/>
    <s v="Fitz Hugh Sound (8-16)"/>
    <s v="kwakume to addenbroke pt; commercial"/>
    <s v="sockeye"/>
    <x v="1"/>
    <s v="SN"/>
    <x v="4"/>
    <n v="12"/>
    <m/>
    <n v="7"/>
    <m/>
    <x v="4"/>
    <n v="20"/>
    <n v="52"/>
    <s v="R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4"/>
    <n v="21"/>
    <s v="NA"/>
    <s v="NA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4"/>
    <n v="22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4"/>
    <n v="23"/>
    <n v="42"/>
    <n v="42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4"/>
    <n v="24"/>
    <n v="42"/>
    <n v="42"/>
    <m/>
    <m/>
    <m/>
    <s v="1.12"/>
  </r>
  <r>
    <x v="6"/>
    <n v="8"/>
    <s v="Fitz Hugh Sound (8-16)"/>
    <s v="kwakume to addenbroke pt; commercial"/>
    <s v="sockeye"/>
    <x v="1"/>
    <s v="SN"/>
    <x v="4"/>
    <n v="12"/>
    <m/>
    <n v="7"/>
    <m/>
    <x v="4"/>
    <n v="25"/>
    <n v="52"/>
    <n v="52"/>
    <m/>
    <m/>
    <m/>
    <s v="1.9"/>
  </r>
  <r>
    <x v="6"/>
    <n v="8"/>
    <s v="Fitz Hugh Sound (8-16)"/>
    <s v="kwakume to addenbroke pt; commercial"/>
    <s v="sockeye"/>
    <x v="1"/>
    <s v="SN"/>
    <x v="4"/>
    <n v="12"/>
    <m/>
    <n v="7"/>
    <m/>
    <x v="5"/>
    <n v="1"/>
    <s v="R"/>
    <n v="42"/>
    <m/>
    <m/>
    <m/>
    <s v="2.12"/>
  </r>
  <r>
    <x v="6"/>
    <n v="8"/>
    <s v="Fitz Hugh Sound (8-16)"/>
    <s v="kwakume to addenbroke pt; commercial"/>
    <s v="sockeye"/>
    <x v="1"/>
    <s v="SN"/>
    <x v="4"/>
    <n v="12"/>
    <m/>
    <n v="7"/>
    <m/>
    <x v="5"/>
    <n v="2"/>
    <n v="52"/>
    <n v="52"/>
    <m/>
    <m/>
    <m/>
    <s v="2.6"/>
  </r>
  <r>
    <x v="6"/>
    <n v="8"/>
    <s v="Fitz Hugh Sound (8-16)"/>
    <s v="kwakume to addenbroke pt; commercial"/>
    <s v="sockeye"/>
    <x v="1"/>
    <s v="SN"/>
    <x v="4"/>
    <n v="12"/>
    <m/>
    <n v="7"/>
    <m/>
    <x v="5"/>
    <n v="3"/>
    <n v="42"/>
    <n v="42"/>
    <m/>
    <m/>
    <m/>
    <s v="1.15"/>
  </r>
  <r>
    <x v="6"/>
    <n v="8"/>
    <s v="Fitz Hugh Sound (8-16)"/>
    <s v="kwakume to addenbroke pt; commercial"/>
    <s v="sockeye"/>
    <x v="1"/>
    <s v="SN"/>
    <x v="4"/>
    <n v="12"/>
    <m/>
    <n v="7"/>
    <m/>
    <x v="5"/>
    <n v="4"/>
    <n v="52"/>
    <n v="52"/>
    <m/>
    <m/>
    <m/>
    <s v="2.?"/>
  </r>
  <r>
    <x v="6"/>
    <n v="8"/>
    <s v="Fitz Hugh Sound (8-16)"/>
    <s v="kwakume to addenbroke pt; commercial"/>
    <s v="sockeye"/>
    <x v="1"/>
    <s v="SN"/>
    <x v="4"/>
    <n v="12"/>
    <m/>
    <n v="7"/>
    <m/>
    <x v="5"/>
    <n v="5"/>
    <n v="42"/>
    <n v="42"/>
    <m/>
    <m/>
    <m/>
    <s v="2.11"/>
  </r>
  <r>
    <x v="6"/>
    <n v="8"/>
    <s v="Fitz Hugh Sound (8-16)"/>
    <s v="kwakume to addenbroke pt; commercial"/>
    <s v="sockeye"/>
    <x v="1"/>
    <s v="SN"/>
    <x v="4"/>
    <n v="12"/>
    <m/>
    <n v="7"/>
    <m/>
    <x v="5"/>
    <n v="6"/>
    <s v="NA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5"/>
    <n v="7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5"/>
    <n v="8"/>
    <s v="R"/>
    <n v="42"/>
    <m/>
    <m/>
    <m/>
    <s v="2.7"/>
  </r>
  <r>
    <x v="6"/>
    <n v="8"/>
    <s v="Fitz Hugh Sound (8-16)"/>
    <s v="kwakume to addenbroke pt; commercial"/>
    <s v="sockeye"/>
    <x v="1"/>
    <s v="SN"/>
    <x v="4"/>
    <n v="12"/>
    <m/>
    <n v="7"/>
    <m/>
    <x v="5"/>
    <n v="9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5"/>
    <n v="10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5"/>
    <n v="11"/>
    <n v="42"/>
    <s v="NA"/>
    <m/>
    <m/>
    <m/>
    <s v="1.poor"/>
  </r>
  <r>
    <x v="6"/>
    <n v="8"/>
    <s v="Fitz Hugh Sound (8-16)"/>
    <s v="kwakume to addenbroke pt; commercial"/>
    <s v="sockeye"/>
    <x v="1"/>
    <s v="SN"/>
    <x v="4"/>
    <n v="12"/>
    <m/>
    <n v="7"/>
    <m/>
    <x v="5"/>
    <n v="12"/>
    <s v="NA"/>
    <n v="42"/>
    <m/>
    <m/>
    <m/>
    <s v="2.7+4"/>
  </r>
  <r>
    <x v="6"/>
    <n v="8"/>
    <s v="Fitz Hugh Sound (8-16)"/>
    <s v="kwakume to addenbroke pt; commercial"/>
    <s v="sockeye"/>
    <x v="1"/>
    <s v="SN"/>
    <x v="4"/>
    <n v="12"/>
    <m/>
    <n v="7"/>
    <m/>
    <x v="5"/>
    <n v="13"/>
    <n v="42"/>
    <n v="42"/>
    <m/>
    <m/>
    <m/>
    <s v="2.8"/>
  </r>
  <r>
    <x v="6"/>
    <n v="8"/>
    <s v="Fitz Hugh Sound (8-16)"/>
    <s v="kwakume to addenbroke pt; commercial"/>
    <s v="sockeye"/>
    <x v="1"/>
    <s v="SN"/>
    <x v="4"/>
    <n v="12"/>
    <m/>
    <n v="7"/>
    <m/>
    <x v="5"/>
    <n v="14"/>
    <s v="R"/>
    <n v="42"/>
    <m/>
    <m/>
    <m/>
    <s v="2.10"/>
  </r>
  <r>
    <x v="6"/>
    <n v="8"/>
    <s v="Fitz Hugh Sound (8-16)"/>
    <s v="kwakume to addenbroke pt; commercial"/>
    <s v="sockeye"/>
    <x v="1"/>
    <s v="SN"/>
    <x v="4"/>
    <n v="12"/>
    <m/>
    <n v="7"/>
    <m/>
    <x v="5"/>
    <n v="15"/>
    <n v="42"/>
    <n v="42"/>
    <m/>
    <m/>
    <m/>
    <s v="1.7+5"/>
  </r>
  <r>
    <x v="6"/>
    <n v="8"/>
    <s v="Fitz Hugh Sound (8-16)"/>
    <s v="kwakume to addenbroke pt; commercial"/>
    <s v="sockeye"/>
    <x v="1"/>
    <s v="SN"/>
    <x v="4"/>
    <n v="12"/>
    <m/>
    <n v="7"/>
    <m/>
    <x v="5"/>
    <n v="16"/>
    <s v="NA"/>
    <n v="52"/>
    <m/>
    <m/>
    <m/>
    <s v="2.8"/>
  </r>
  <r>
    <x v="6"/>
    <n v="8"/>
    <s v="Fitz Hugh Sound (8-16)"/>
    <s v="kwakume to addenbroke pt; commercial"/>
    <s v="sockeye"/>
    <x v="1"/>
    <s v="SN"/>
    <x v="4"/>
    <n v="12"/>
    <m/>
    <n v="7"/>
    <m/>
    <x v="5"/>
    <n v="17"/>
    <n v="42"/>
    <n v="42"/>
    <m/>
    <m/>
    <m/>
    <s v="1.13 2.11"/>
  </r>
  <r>
    <x v="6"/>
    <n v="8"/>
    <s v="Fitz Hugh Sound (8-16)"/>
    <s v="kwakume to addenbroke pt; commercial"/>
    <s v="sockeye"/>
    <x v="1"/>
    <s v="SN"/>
    <x v="4"/>
    <n v="12"/>
    <m/>
    <n v="7"/>
    <m/>
    <x v="5"/>
    <n v="18"/>
    <s v="R"/>
    <n v="42"/>
    <m/>
    <m/>
    <m/>
    <s v="2.13"/>
  </r>
  <r>
    <x v="6"/>
    <n v="8"/>
    <s v="Fitz Hugh Sound (8-16)"/>
    <s v="kwakume to addenbroke pt; commercial"/>
    <s v="sockeye"/>
    <x v="1"/>
    <s v="SN"/>
    <x v="4"/>
    <n v="12"/>
    <m/>
    <n v="7"/>
    <m/>
    <x v="5"/>
    <n v="19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5"/>
    <n v="20"/>
    <n v="42"/>
    <n v="42"/>
    <m/>
    <m/>
    <m/>
    <s v="1.8"/>
  </r>
  <r>
    <x v="6"/>
    <n v="8"/>
    <s v="Fitz Hugh Sound (8-16)"/>
    <s v="kwakume to addenbroke pt; commercial"/>
    <s v="sockeye"/>
    <x v="1"/>
    <s v="SN"/>
    <x v="4"/>
    <n v="12"/>
    <m/>
    <n v="7"/>
    <m/>
    <x v="5"/>
    <n v="21"/>
    <n v="42"/>
    <n v="42"/>
    <m/>
    <m/>
    <m/>
    <s v="2.10"/>
  </r>
  <r>
    <x v="6"/>
    <n v="8"/>
    <s v="Fitz Hugh Sound (8-16)"/>
    <s v="kwakume to addenbroke pt; commercial"/>
    <s v="sockeye"/>
    <x v="1"/>
    <s v="SN"/>
    <x v="4"/>
    <n v="12"/>
    <m/>
    <n v="7"/>
    <m/>
    <x v="5"/>
    <n v="22"/>
    <s v="NA"/>
    <n v="42"/>
    <m/>
    <m/>
    <m/>
    <s v="2.6+5"/>
  </r>
  <r>
    <x v="6"/>
    <n v="8"/>
    <s v="Fitz Hugh Sound (8-16)"/>
    <s v="kwakume to addenbroke pt; commercial"/>
    <s v="sockeye"/>
    <x v="1"/>
    <s v="SN"/>
    <x v="4"/>
    <n v="12"/>
    <m/>
    <n v="7"/>
    <m/>
    <x v="5"/>
    <n v="23"/>
    <s v="NA"/>
    <s v="NA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5"/>
    <n v="24"/>
    <n v="42"/>
    <s v="R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5"/>
    <n v="25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6"/>
    <n v="1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6"/>
    <n v="2"/>
    <n v="42"/>
    <n v="42"/>
    <m/>
    <m/>
    <m/>
    <s v="1.12"/>
  </r>
  <r>
    <x v="6"/>
    <n v="8"/>
    <s v="Fitz Hugh Sound (8-16)"/>
    <s v="kwakume to addenbroke pt; commercial"/>
    <s v="sockeye"/>
    <x v="1"/>
    <s v="SN"/>
    <x v="4"/>
    <n v="12"/>
    <m/>
    <n v="7"/>
    <m/>
    <x v="6"/>
    <n v="3"/>
    <n v="42"/>
    <n v="42"/>
    <m/>
    <m/>
    <m/>
    <s v="1.12"/>
  </r>
  <r>
    <x v="6"/>
    <n v="8"/>
    <s v="Fitz Hugh Sound (8-16)"/>
    <s v="kwakume to addenbroke pt; commercial"/>
    <s v="sockeye"/>
    <x v="1"/>
    <s v="SN"/>
    <x v="4"/>
    <n v="12"/>
    <m/>
    <n v="7"/>
    <m/>
    <x v="6"/>
    <n v="4"/>
    <n v="53"/>
    <n v="53"/>
    <m/>
    <m/>
    <m/>
    <s v="6+9"/>
  </r>
  <r>
    <x v="6"/>
    <n v="8"/>
    <s v="Fitz Hugh Sound (8-16)"/>
    <s v="kwakume to addenbroke pt; commercial"/>
    <s v="sockeye"/>
    <x v="1"/>
    <s v="SN"/>
    <x v="4"/>
    <n v="12"/>
    <m/>
    <n v="7"/>
    <m/>
    <x v="6"/>
    <n v="5"/>
    <s v="R"/>
    <n v="42"/>
    <m/>
    <m/>
    <m/>
    <s v="2.11"/>
  </r>
  <r>
    <x v="6"/>
    <n v="8"/>
    <s v="Fitz Hugh Sound (8-16)"/>
    <s v="kwakume to addenbroke pt; commercial"/>
    <s v="sockeye"/>
    <x v="1"/>
    <s v="SN"/>
    <x v="4"/>
    <n v="12"/>
    <m/>
    <n v="7"/>
    <m/>
    <x v="6"/>
    <n v="6"/>
    <n v="42"/>
    <n v="4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6"/>
    <n v="7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6"/>
    <n v="8"/>
    <n v="42"/>
    <n v="42"/>
    <m/>
    <m/>
    <m/>
    <s v="2.11"/>
  </r>
  <r>
    <x v="6"/>
    <n v="8"/>
    <s v="Fitz Hugh Sound (8-16)"/>
    <s v="kwakume to addenbroke pt; commercial"/>
    <s v="sockeye"/>
    <x v="1"/>
    <s v="SN"/>
    <x v="4"/>
    <n v="12"/>
    <m/>
    <n v="7"/>
    <m/>
    <x v="6"/>
    <n v="9"/>
    <n v="42"/>
    <n v="42"/>
    <m/>
    <m/>
    <m/>
    <s v="2.9"/>
  </r>
  <r>
    <x v="6"/>
    <n v="8"/>
    <s v="Fitz Hugh Sound (8-16)"/>
    <s v="kwakume to addenbroke pt; commercial"/>
    <s v="sockeye"/>
    <x v="1"/>
    <s v="SN"/>
    <x v="4"/>
    <n v="12"/>
    <m/>
    <n v="7"/>
    <m/>
    <x v="6"/>
    <n v="10"/>
    <n v="42"/>
    <s v="NA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6"/>
    <n v="11"/>
    <n v="42"/>
    <n v="42"/>
    <m/>
    <m/>
    <m/>
    <s v="1.13"/>
  </r>
  <r>
    <x v="6"/>
    <n v="8"/>
    <s v="Fitz Hugh Sound (8-16)"/>
    <s v="kwakume to addenbroke pt; commercial"/>
    <s v="sockeye"/>
    <x v="1"/>
    <s v="SN"/>
    <x v="4"/>
    <n v="12"/>
    <m/>
    <n v="7"/>
    <m/>
    <x v="6"/>
    <n v="12"/>
    <n v="42"/>
    <n v="42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6"/>
    <n v="13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6"/>
    <n v="14"/>
    <n v="32"/>
    <s v="R"/>
    <m/>
    <m/>
    <m/>
    <s v="1.16+2"/>
  </r>
  <r>
    <x v="6"/>
    <n v="8"/>
    <s v="Fitz Hugh Sound (8-16)"/>
    <s v="kwakume to addenbroke pt; commercial"/>
    <s v="sockeye"/>
    <x v="1"/>
    <s v="SN"/>
    <x v="4"/>
    <n v="12"/>
    <m/>
    <n v="7"/>
    <m/>
    <x v="6"/>
    <n v="15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6"/>
    <n v="16"/>
    <n v="42"/>
    <s v="R"/>
    <m/>
    <m/>
    <m/>
    <s v="1.7"/>
  </r>
  <r>
    <x v="6"/>
    <n v="8"/>
    <s v="Fitz Hugh Sound (8-16)"/>
    <s v="kwakume to addenbroke pt; commercial"/>
    <s v="sockeye"/>
    <x v="1"/>
    <s v="SN"/>
    <x v="4"/>
    <n v="12"/>
    <m/>
    <n v="7"/>
    <m/>
    <x v="6"/>
    <n v="17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6"/>
    <n v="18"/>
    <s v="NA"/>
    <n v="42"/>
    <m/>
    <m/>
    <m/>
    <s v="2.11"/>
  </r>
  <r>
    <x v="6"/>
    <n v="8"/>
    <s v="Fitz Hugh Sound (8-16)"/>
    <s v="kwakume to addenbroke pt; commercial"/>
    <s v="sockeye"/>
    <x v="1"/>
    <s v="SN"/>
    <x v="4"/>
    <n v="12"/>
    <m/>
    <n v="7"/>
    <m/>
    <x v="6"/>
    <n v="19"/>
    <s v="NA"/>
    <n v="42"/>
    <m/>
    <m/>
    <m/>
    <s v="2.10"/>
  </r>
  <r>
    <x v="6"/>
    <n v="8"/>
    <s v="Fitz Hugh Sound (8-16)"/>
    <s v="kwakume to addenbroke pt; commercial"/>
    <s v="sockeye"/>
    <x v="1"/>
    <s v="SN"/>
    <x v="4"/>
    <n v="12"/>
    <m/>
    <n v="7"/>
    <m/>
    <x v="6"/>
    <n v="20"/>
    <n v="42"/>
    <n v="42"/>
    <m/>
    <m/>
    <m/>
    <s v="1.11"/>
  </r>
  <r>
    <x v="6"/>
    <n v="8"/>
    <s v="Fitz Hugh Sound (8-16)"/>
    <s v="kwakume to addenbroke pt; commercial"/>
    <s v="sockeye"/>
    <x v="1"/>
    <s v="SN"/>
    <x v="4"/>
    <n v="12"/>
    <m/>
    <n v="7"/>
    <m/>
    <x v="6"/>
    <n v="21"/>
    <n v="42"/>
    <n v="42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6"/>
    <n v="22"/>
    <n v="42"/>
    <s v="NA"/>
    <m/>
    <m/>
    <m/>
    <s v="1.10"/>
  </r>
  <r>
    <x v="6"/>
    <n v="8"/>
    <s v="Fitz Hugh Sound (8-16)"/>
    <s v="kwakume to addenbroke pt; commercial"/>
    <s v="sockeye"/>
    <x v="1"/>
    <s v="SN"/>
    <x v="4"/>
    <n v="12"/>
    <m/>
    <n v="7"/>
    <m/>
    <x v="6"/>
    <n v="23"/>
    <n v="42"/>
    <n v="42"/>
    <m/>
    <m/>
    <m/>
    <s v="1.13"/>
  </r>
  <r>
    <x v="6"/>
    <n v="8"/>
    <s v="Fitz Hugh Sound (8-16)"/>
    <s v="kwakume to addenbroke pt; commercial"/>
    <s v="sockeye"/>
    <x v="1"/>
    <s v="SN"/>
    <x v="4"/>
    <n v="12"/>
    <m/>
    <n v="7"/>
    <m/>
    <x v="6"/>
    <n v="24"/>
    <s v="R"/>
    <s v="R"/>
    <m/>
    <m/>
    <m/>
    <m/>
  </r>
  <r>
    <x v="6"/>
    <n v="8"/>
    <s v="Fitz Hugh Sound (8-16)"/>
    <s v="kwakume to addenbroke pt; commercial"/>
    <s v="sockeye"/>
    <x v="1"/>
    <s v="SN"/>
    <x v="4"/>
    <n v="12"/>
    <m/>
    <n v="7"/>
    <m/>
    <x v="6"/>
    <n v="25"/>
    <n v="31"/>
    <s v="NA"/>
    <m/>
    <m/>
    <m/>
    <s v="1.R"/>
  </r>
  <r>
    <x v="7"/>
    <n v="8"/>
    <s v="Fitz Hugh Sound (8-3)"/>
    <s v="koeye area; commercial"/>
    <s v="sockeye"/>
    <x v="1"/>
    <s v="GN"/>
    <x v="5"/>
    <n v="4"/>
    <m/>
    <n v="7"/>
    <m/>
    <x v="0"/>
    <n v="1"/>
    <n v="42"/>
    <n v="42"/>
    <m/>
    <m/>
    <m/>
    <s v="1.14; stress in FW for both"/>
  </r>
  <r>
    <x v="7"/>
    <n v="8"/>
    <s v="Fitz Hugh Sound (8-3)"/>
    <s v="koeye area; commercial"/>
    <s v="sockeye"/>
    <x v="1"/>
    <s v="GN"/>
    <x v="5"/>
    <n v="4"/>
    <m/>
    <n v="7"/>
    <m/>
    <x v="0"/>
    <n v="2"/>
    <n v="42"/>
    <n v="42"/>
    <m/>
    <m/>
    <m/>
    <s v="1.7"/>
  </r>
  <r>
    <x v="7"/>
    <n v="8"/>
    <s v="Fitz Hugh Sound (8-3)"/>
    <s v="koeye area; commercial"/>
    <s v="sockeye"/>
    <x v="1"/>
    <s v="GN"/>
    <x v="5"/>
    <n v="4"/>
    <m/>
    <n v="7"/>
    <m/>
    <x v="0"/>
    <n v="3"/>
    <s v="NA"/>
    <s v="NA"/>
    <m/>
    <m/>
    <m/>
    <m/>
  </r>
  <r>
    <x v="7"/>
    <n v="8"/>
    <s v="Fitz Hugh Sound (8-3)"/>
    <s v="koeye area; commercial"/>
    <s v="sockeye"/>
    <x v="1"/>
    <s v="GN"/>
    <x v="5"/>
    <n v="4"/>
    <m/>
    <n v="7"/>
    <m/>
    <x v="0"/>
    <n v="4"/>
    <s v="R"/>
    <n v="42"/>
    <m/>
    <m/>
    <m/>
    <s v="2.11+3"/>
  </r>
  <r>
    <x v="7"/>
    <n v="8"/>
    <s v="Fitz Hugh Sound (8-3)"/>
    <s v="koeye area; commercial"/>
    <s v="sockeye"/>
    <x v="1"/>
    <s v="GN"/>
    <x v="5"/>
    <n v="4"/>
    <m/>
    <n v="7"/>
    <m/>
    <x v="0"/>
    <n v="5"/>
    <s v="NA"/>
    <s v="R"/>
    <m/>
    <m/>
    <m/>
    <m/>
  </r>
  <r>
    <x v="7"/>
    <n v="8"/>
    <s v="Fitz Hugh Sound (8-3)"/>
    <s v="koeye area; commercial"/>
    <s v="sockeye"/>
    <x v="1"/>
    <s v="GN"/>
    <x v="5"/>
    <n v="4"/>
    <m/>
    <n v="7"/>
    <m/>
    <x v="0"/>
    <n v="6"/>
    <n v="42"/>
    <n v="42"/>
    <m/>
    <m/>
    <m/>
    <s v="1.13+2"/>
  </r>
  <r>
    <x v="7"/>
    <n v="8"/>
    <s v="Fitz Hugh Sound (8-3)"/>
    <s v="koeye area; commercial"/>
    <s v="sockeye"/>
    <x v="1"/>
    <s v="GN"/>
    <x v="5"/>
    <n v="4"/>
    <m/>
    <n v="7"/>
    <m/>
    <x v="0"/>
    <n v="7"/>
    <n v="42"/>
    <n v="42"/>
    <m/>
    <m/>
    <m/>
    <s v="2.11+3"/>
  </r>
  <r>
    <x v="7"/>
    <n v="8"/>
    <s v="Fitz Hugh Sound (8-3)"/>
    <s v="koeye area; commercial"/>
    <s v="sockeye"/>
    <x v="1"/>
    <s v="GN"/>
    <x v="5"/>
    <n v="4"/>
    <m/>
    <n v="7"/>
    <m/>
    <x v="0"/>
    <n v="8"/>
    <n v="42"/>
    <n v="42"/>
    <m/>
    <m/>
    <m/>
    <s v="2.13+3"/>
  </r>
  <r>
    <x v="7"/>
    <n v="8"/>
    <s v="Fitz Hugh Sound (8-3)"/>
    <s v="koeye area; commercial"/>
    <s v="sockeye"/>
    <x v="1"/>
    <s v="GN"/>
    <x v="5"/>
    <n v="4"/>
    <m/>
    <n v="7"/>
    <m/>
    <x v="0"/>
    <n v="9"/>
    <n v="52"/>
    <n v="52"/>
    <m/>
    <m/>
    <m/>
    <s v="1.18"/>
  </r>
  <r>
    <x v="7"/>
    <n v="8"/>
    <s v="Fitz Hugh Sound (8-3)"/>
    <s v="koeye area; commercial"/>
    <s v="sockeye"/>
    <x v="1"/>
    <s v="GN"/>
    <x v="5"/>
    <n v="4"/>
    <m/>
    <n v="7"/>
    <m/>
    <x v="0"/>
    <n v="10"/>
    <n v="42"/>
    <n v="42"/>
    <m/>
    <m/>
    <m/>
    <s v="2.10"/>
  </r>
  <r>
    <x v="7"/>
    <n v="8"/>
    <s v="Fitz Hugh Sound (8-3)"/>
    <s v="koeye area; commercial"/>
    <s v="sockeye"/>
    <x v="1"/>
    <s v="GN"/>
    <x v="5"/>
    <n v="4"/>
    <m/>
    <n v="7"/>
    <m/>
    <x v="0"/>
    <n v="11"/>
    <n v="42"/>
    <n v="42"/>
    <m/>
    <m/>
    <m/>
    <s v="1.11+3"/>
  </r>
  <r>
    <x v="7"/>
    <n v="8"/>
    <s v="Fitz Hugh Sound (8-3)"/>
    <s v="koeye area; commercial"/>
    <s v="sockeye"/>
    <x v="1"/>
    <s v="GN"/>
    <x v="5"/>
    <n v="4"/>
    <m/>
    <n v="7"/>
    <m/>
    <x v="0"/>
    <n v="12"/>
    <s v="R"/>
    <n v="42"/>
    <m/>
    <m/>
    <m/>
    <s v="2.9+8"/>
  </r>
  <r>
    <x v="7"/>
    <n v="8"/>
    <s v="Fitz Hugh Sound (8-3)"/>
    <s v="koeye area; commercial"/>
    <s v="sockeye"/>
    <x v="1"/>
    <s v="GN"/>
    <x v="5"/>
    <n v="4"/>
    <m/>
    <n v="7"/>
    <m/>
    <x v="0"/>
    <n v="13"/>
    <n v="42"/>
    <n v="42"/>
    <m/>
    <m/>
    <m/>
    <s v="2.14+2"/>
  </r>
  <r>
    <x v="7"/>
    <n v="8"/>
    <s v="Fitz Hugh Sound (8-3)"/>
    <s v="koeye area; commercial"/>
    <s v="sockeye"/>
    <x v="1"/>
    <s v="GN"/>
    <x v="5"/>
    <n v="4"/>
    <m/>
    <n v="7"/>
    <m/>
    <x v="0"/>
    <n v="14"/>
    <n v="42"/>
    <n v="42"/>
    <m/>
    <m/>
    <m/>
    <s v="1.12"/>
  </r>
  <r>
    <x v="7"/>
    <n v="8"/>
    <s v="Fitz Hugh Sound (8-3)"/>
    <s v="koeye area; commercial"/>
    <s v="sockeye"/>
    <x v="1"/>
    <s v="GN"/>
    <x v="5"/>
    <n v="4"/>
    <m/>
    <n v="7"/>
    <m/>
    <x v="0"/>
    <n v="15"/>
    <n v="63"/>
    <n v="63"/>
    <m/>
    <m/>
    <m/>
    <s v="1.8+15"/>
  </r>
  <r>
    <x v="7"/>
    <n v="8"/>
    <s v="Fitz Hugh Sound (8-3)"/>
    <s v="koeye area; commercial"/>
    <s v="sockeye"/>
    <x v="1"/>
    <s v="GN"/>
    <x v="5"/>
    <n v="4"/>
    <m/>
    <n v="7"/>
    <m/>
    <x v="0"/>
    <n v="16"/>
    <n v="42"/>
    <n v="42"/>
    <m/>
    <m/>
    <m/>
    <s v="2.8+3"/>
  </r>
  <r>
    <x v="7"/>
    <n v="8"/>
    <s v="Fitz Hugh Sound (8-3)"/>
    <s v="koeye area; commercial"/>
    <s v="sockeye"/>
    <x v="1"/>
    <s v="GN"/>
    <x v="5"/>
    <n v="4"/>
    <m/>
    <n v="7"/>
    <m/>
    <x v="0"/>
    <n v="17"/>
    <n v="53"/>
    <n v="53"/>
    <m/>
    <m/>
    <m/>
    <s v="2.7+15"/>
  </r>
  <r>
    <x v="7"/>
    <n v="8"/>
    <s v="Fitz Hugh Sound (8-3)"/>
    <s v="koeye area; commercial"/>
    <s v="sockeye"/>
    <x v="1"/>
    <s v="GN"/>
    <x v="5"/>
    <n v="4"/>
    <m/>
    <n v="7"/>
    <m/>
    <x v="0"/>
    <n v="18"/>
    <n v="42"/>
    <n v="42"/>
    <m/>
    <m/>
    <m/>
    <s v="2.17+3"/>
  </r>
  <r>
    <x v="7"/>
    <n v="8"/>
    <s v="Fitz Hugh Sound (8-3)"/>
    <s v="koeye area; commercial"/>
    <s v="sockeye"/>
    <x v="1"/>
    <s v="GN"/>
    <x v="5"/>
    <n v="4"/>
    <m/>
    <n v="7"/>
    <m/>
    <x v="0"/>
    <n v="19"/>
    <n v="42"/>
    <n v="42"/>
    <m/>
    <m/>
    <m/>
    <s v="2.11+6"/>
  </r>
  <r>
    <x v="7"/>
    <n v="8"/>
    <s v="Fitz Hugh Sound (8-3)"/>
    <s v="koeye area; commercial"/>
    <s v="sockeye"/>
    <x v="1"/>
    <s v="GN"/>
    <x v="5"/>
    <n v="4"/>
    <m/>
    <n v="7"/>
    <m/>
    <x v="0"/>
    <n v="20"/>
    <n v="53"/>
    <n v="53"/>
    <m/>
    <m/>
    <m/>
    <s v="4+9"/>
  </r>
  <r>
    <x v="7"/>
    <n v="8"/>
    <s v="Fitz Hugh Sound (8-3)"/>
    <s v="koeye area; commercial"/>
    <s v="sockeye"/>
    <x v="1"/>
    <s v="GN"/>
    <x v="5"/>
    <n v="4"/>
    <m/>
    <n v="7"/>
    <m/>
    <x v="0"/>
    <n v="21"/>
    <n v="52"/>
    <n v="52"/>
    <m/>
    <m/>
    <m/>
    <m/>
  </r>
  <r>
    <x v="7"/>
    <n v="8"/>
    <s v="Fitz Hugh Sound (8-3)"/>
    <s v="koeye area; commercial"/>
    <s v="sockeye"/>
    <x v="1"/>
    <s v="GN"/>
    <x v="5"/>
    <n v="4"/>
    <m/>
    <n v="7"/>
    <m/>
    <x v="0"/>
    <n v="22"/>
    <s v="R"/>
    <s v="R"/>
    <m/>
    <m/>
    <m/>
    <m/>
  </r>
  <r>
    <x v="7"/>
    <n v="8"/>
    <s v="Fitz Hugh Sound (8-3)"/>
    <s v="koeye area; commercial"/>
    <s v="sockeye"/>
    <x v="1"/>
    <s v="GN"/>
    <x v="5"/>
    <n v="4"/>
    <m/>
    <n v="7"/>
    <m/>
    <x v="0"/>
    <n v="23"/>
    <n v="52"/>
    <n v="52"/>
    <m/>
    <m/>
    <m/>
    <s v="1.13+3"/>
  </r>
  <r>
    <x v="7"/>
    <n v="8"/>
    <s v="Fitz Hugh Sound (8-3)"/>
    <s v="koeye area; commercial"/>
    <s v="sockeye"/>
    <x v="1"/>
    <s v="GN"/>
    <x v="5"/>
    <n v="4"/>
    <m/>
    <n v="7"/>
    <m/>
    <x v="0"/>
    <n v="24"/>
    <s v="R"/>
    <s v="R"/>
    <m/>
    <m/>
    <m/>
    <m/>
  </r>
  <r>
    <x v="7"/>
    <n v="8"/>
    <s v="Fitz Hugh Sound (8-3)"/>
    <s v="koeye area; commercial"/>
    <s v="sockeye"/>
    <x v="1"/>
    <s v="GN"/>
    <x v="5"/>
    <n v="4"/>
    <m/>
    <n v="7"/>
    <m/>
    <x v="0"/>
    <n v="25"/>
    <n v="42"/>
    <n v="42"/>
    <m/>
    <m/>
    <m/>
    <s v="1.10+3"/>
  </r>
  <r>
    <x v="7"/>
    <n v="8"/>
    <s v="Fitz Hugh Sound (8-3)"/>
    <s v="N of koeye boundary; commercial"/>
    <s v="sockeye"/>
    <x v="1"/>
    <s v="GN"/>
    <x v="5"/>
    <n v="5"/>
    <m/>
    <n v="7"/>
    <m/>
    <x v="1"/>
    <n v="1"/>
    <n v="42"/>
    <n v="42"/>
    <m/>
    <m/>
    <m/>
    <s v="2.9"/>
  </r>
  <r>
    <x v="7"/>
    <n v="8"/>
    <s v="Fitz Hugh Sound (8-3)"/>
    <s v="N of koeye boundary; commercial"/>
    <s v="sockeye"/>
    <x v="1"/>
    <s v="GN"/>
    <x v="5"/>
    <n v="5"/>
    <m/>
    <n v="7"/>
    <m/>
    <x v="1"/>
    <n v="2"/>
    <n v="42"/>
    <n v="42"/>
    <m/>
    <m/>
    <m/>
    <s v="1.13+3"/>
  </r>
  <r>
    <x v="7"/>
    <n v="8"/>
    <s v="Fitz Hugh Sound (8-3)"/>
    <s v="N of koeye boundary; commercial"/>
    <s v="sockeye"/>
    <x v="1"/>
    <s v="GN"/>
    <x v="5"/>
    <n v="5"/>
    <m/>
    <n v="7"/>
    <m/>
    <x v="1"/>
    <n v="3"/>
    <s v="R"/>
    <n v="42"/>
    <m/>
    <m/>
    <m/>
    <s v="2.11+3"/>
  </r>
  <r>
    <x v="7"/>
    <n v="8"/>
    <s v="Fitz Hugh Sound (8-3)"/>
    <s v="N of koeye boundary; commercial"/>
    <s v="sockeye"/>
    <x v="1"/>
    <s v="GN"/>
    <x v="5"/>
    <n v="5"/>
    <m/>
    <n v="7"/>
    <m/>
    <x v="1"/>
    <n v="4"/>
    <n v="42"/>
    <n v="42"/>
    <m/>
    <m/>
    <m/>
    <s v="1.18"/>
  </r>
  <r>
    <x v="7"/>
    <n v="8"/>
    <s v="Fitz Hugh Sound (8-3)"/>
    <s v="N of koeye boundary; commercial"/>
    <s v="sockeye"/>
    <x v="1"/>
    <s v="GN"/>
    <x v="5"/>
    <n v="5"/>
    <m/>
    <n v="7"/>
    <m/>
    <x v="1"/>
    <n v="5"/>
    <n v="42"/>
    <n v="42"/>
    <m/>
    <m/>
    <m/>
    <s v="1.11+2"/>
  </r>
  <r>
    <x v="7"/>
    <n v="8"/>
    <s v="Fitz Hugh Sound (8-3)"/>
    <s v="N of koeye boundary; commercial"/>
    <s v="sockeye"/>
    <x v="1"/>
    <s v="GN"/>
    <x v="5"/>
    <n v="5"/>
    <m/>
    <n v="7"/>
    <m/>
    <x v="1"/>
    <n v="6"/>
    <n v="42"/>
    <n v="42"/>
    <m/>
    <m/>
    <m/>
    <s v="stress in FW; 2.13"/>
  </r>
  <r>
    <x v="7"/>
    <n v="8"/>
    <s v="Fitz Hugh Sound (8-3)"/>
    <s v="N of koeye boundary; commercial"/>
    <s v="sockeye"/>
    <x v="1"/>
    <s v="GN"/>
    <x v="5"/>
    <n v="5"/>
    <m/>
    <n v="7"/>
    <m/>
    <x v="1"/>
    <n v="7"/>
    <n v="42"/>
    <n v="42"/>
    <m/>
    <m/>
    <m/>
    <s v="2.12+3"/>
  </r>
  <r>
    <x v="7"/>
    <n v="8"/>
    <s v="Fitz Hugh Sound (8-3)"/>
    <s v="N of koeye boundary; commercial"/>
    <s v="sockeye"/>
    <x v="1"/>
    <s v="GN"/>
    <x v="5"/>
    <n v="5"/>
    <m/>
    <n v="7"/>
    <m/>
    <x v="1"/>
    <n v="8"/>
    <n v="42"/>
    <s v="NA"/>
    <m/>
    <m/>
    <m/>
    <s v="1.10+3"/>
  </r>
  <r>
    <x v="7"/>
    <n v="8"/>
    <s v="Fitz Hugh Sound (8-3)"/>
    <s v="N of koeye boundary; commercial"/>
    <s v="sockeye"/>
    <x v="1"/>
    <s v="GN"/>
    <x v="5"/>
    <n v="5"/>
    <m/>
    <n v="7"/>
    <m/>
    <x v="1"/>
    <n v="9"/>
    <n v="42"/>
    <n v="42"/>
    <m/>
    <m/>
    <m/>
    <s v="stress in FW; 1.16+2"/>
  </r>
  <r>
    <x v="7"/>
    <n v="8"/>
    <s v="Fitz Hugh Sound (8-3)"/>
    <s v="N of koeye boundary; commercial"/>
    <s v="sockeye"/>
    <x v="1"/>
    <s v="GN"/>
    <x v="5"/>
    <n v="5"/>
    <m/>
    <n v="7"/>
    <m/>
    <x v="1"/>
    <n v="10"/>
    <n v="42"/>
    <n v="42"/>
    <m/>
    <m/>
    <m/>
    <s v="2.13+3"/>
  </r>
  <r>
    <x v="7"/>
    <n v="8"/>
    <s v="Fitz Hugh Sound (8-3)"/>
    <s v="N of koeye boundary; commercial"/>
    <s v="sockeye"/>
    <x v="1"/>
    <s v="GN"/>
    <x v="5"/>
    <n v="5"/>
    <m/>
    <n v="7"/>
    <m/>
    <x v="1"/>
    <n v="11"/>
    <n v="31"/>
    <n v="31"/>
    <m/>
    <m/>
    <m/>
    <m/>
  </r>
  <r>
    <x v="7"/>
    <n v="8"/>
    <s v="Fitz Hugh Sound (8-3)"/>
    <s v="N of koeye boundary; commercial"/>
    <s v="sockeye"/>
    <x v="1"/>
    <s v="GN"/>
    <x v="5"/>
    <n v="5"/>
    <m/>
    <n v="7"/>
    <m/>
    <x v="1"/>
    <n v="12"/>
    <s v="R"/>
    <s v="R"/>
    <m/>
    <m/>
    <m/>
    <m/>
  </r>
  <r>
    <x v="7"/>
    <n v="8"/>
    <s v="Fitz Hugh Sound (8-3)"/>
    <s v="N of koeye boundary; commercial"/>
    <s v="sockeye"/>
    <x v="1"/>
    <s v="GN"/>
    <x v="5"/>
    <n v="5"/>
    <m/>
    <n v="7"/>
    <m/>
    <x v="1"/>
    <n v="13"/>
    <s v="R"/>
    <s v="R"/>
    <m/>
    <m/>
    <m/>
    <m/>
  </r>
  <r>
    <x v="7"/>
    <n v="8"/>
    <s v="Fitz Hugh Sound (8-3)"/>
    <s v="N of koeye boundary; commercial"/>
    <s v="sockeye"/>
    <x v="1"/>
    <s v="GN"/>
    <x v="5"/>
    <n v="5"/>
    <m/>
    <n v="7"/>
    <m/>
    <x v="1"/>
    <n v="14"/>
    <n v="42"/>
    <s v="R"/>
    <m/>
    <m/>
    <m/>
    <s v="1.9+3"/>
  </r>
  <r>
    <x v="7"/>
    <n v="8"/>
    <s v="Fitz Hugh Sound (8-3)"/>
    <s v="N of koeye boundary; commercial"/>
    <s v="sockeye"/>
    <x v="1"/>
    <s v="GN"/>
    <x v="5"/>
    <n v="5"/>
    <m/>
    <n v="7"/>
    <m/>
    <x v="1"/>
    <n v="15"/>
    <n v="53"/>
    <n v="53"/>
    <m/>
    <m/>
    <m/>
    <s v="2.5+10"/>
  </r>
  <r>
    <x v="7"/>
    <n v="8"/>
    <s v="Fitz Hugh Sound (8-3)"/>
    <s v="N of koeye boundary; commercial"/>
    <s v="sockeye"/>
    <x v="1"/>
    <s v="GN"/>
    <x v="5"/>
    <n v="5"/>
    <m/>
    <n v="7"/>
    <m/>
    <x v="1"/>
    <n v="16"/>
    <n v="52"/>
    <n v="52"/>
    <m/>
    <m/>
    <m/>
    <s v="1.13+4"/>
  </r>
  <r>
    <x v="7"/>
    <n v="8"/>
    <s v="Fitz Hugh Sound (8-3)"/>
    <s v="N of koeye boundary; commercial"/>
    <s v="sockeye"/>
    <x v="1"/>
    <s v="GN"/>
    <x v="5"/>
    <n v="5"/>
    <m/>
    <n v="7"/>
    <m/>
    <x v="1"/>
    <n v="17"/>
    <n v="52"/>
    <s v="NA"/>
    <m/>
    <m/>
    <m/>
    <s v="1.7+3"/>
  </r>
  <r>
    <x v="7"/>
    <n v="8"/>
    <s v="Fitz Hugh Sound (8-3)"/>
    <s v="N of koeye boundary; commercial"/>
    <s v="sockeye"/>
    <x v="1"/>
    <s v="GN"/>
    <x v="5"/>
    <n v="5"/>
    <m/>
    <n v="7"/>
    <m/>
    <x v="1"/>
    <n v="18"/>
    <n v="42"/>
    <n v="42"/>
    <m/>
    <m/>
    <m/>
    <s v="1.15"/>
  </r>
  <r>
    <x v="7"/>
    <n v="8"/>
    <s v="Fitz Hugh Sound (8-3)"/>
    <s v="N of koeye boundary; commercial"/>
    <s v="sockeye"/>
    <x v="1"/>
    <s v="GN"/>
    <x v="5"/>
    <n v="5"/>
    <m/>
    <n v="7"/>
    <m/>
    <x v="1"/>
    <n v="19"/>
    <n v="42"/>
    <n v="42"/>
    <m/>
    <m/>
    <m/>
    <s v="2.11+2"/>
  </r>
  <r>
    <x v="7"/>
    <n v="8"/>
    <s v="Fitz Hugh Sound (8-3)"/>
    <s v="N of koeye boundary; commercial"/>
    <s v="sockeye"/>
    <x v="1"/>
    <s v="GN"/>
    <x v="5"/>
    <n v="5"/>
    <m/>
    <n v="7"/>
    <m/>
    <x v="1"/>
    <n v="20"/>
    <n v="42"/>
    <s v="NA"/>
    <m/>
    <m/>
    <m/>
    <s v="1.16"/>
  </r>
  <r>
    <x v="7"/>
    <n v="8"/>
    <s v="Fitz Hugh Sound (8-3)"/>
    <s v="N of koeye boundary; commercial"/>
    <s v="sockeye"/>
    <x v="1"/>
    <s v="GN"/>
    <x v="5"/>
    <n v="5"/>
    <m/>
    <n v="7"/>
    <m/>
    <x v="1"/>
    <n v="21"/>
    <n v="42"/>
    <s v="NA"/>
    <m/>
    <m/>
    <m/>
    <s v="1.13+2"/>
  </r>
  <r>
    <x v="7"/>
    <n v="8"/>
    <s v="Fitz Hugh Sound (8-3)"/>
    <s v="N of koeye boundary; commercial"/>
    <s v="sockeye"/>
    <x v="1"/>
    <s v="GN"/>
    <x v="5"/>
    <n v="5"/>
    <m/>
    <n v="7"/>
    <m/>
    <x v="1"/>
    <n v="22"/>
    <n v="42"/>
    <n v="42"/>
    <m/>
    <m/>
    <m/>
    <s v="1.6"/>
  </r>
  <r>
    <x v="7"/>
    <n v="8"/>
    <s v="Fitz Hugh Sound (8-3)"/>
    <s v="N of koeye boundary; commercial"/>
    <s v="sockeye"/>
    <x v="1"/>
    <s v="GN"/>
    <x v="5"/>
    <n v="5"/>
    <m/>
    <n v="7"/>
    <m/>
    <x v="1"/>
    <n v="23"/>
    <n v="42"/>
    <s v="R"/>
    <m/>
    <m/>
    <m/>
    <s v="1.8"/>
  </r>
  <r>
    <x v="7"/>
    <n v="8"/>
    <s v="Fitz Hugh Sound (8-3)"/>
    <s v="N of koeye boundary; commercial"/>
    <s v="sockeye"/>
    <x v="1"/>
    <s v="GN"/>
    <x v="5"/>
    <n v="5"/>
    <m/>
    <n v="7"/>
    <m/>
    <x v="1"/>
    <n v="24"/>
    <n v="42"/>
    <n v="42"/>
    <m/>
    <m/>
    <m/>
    <s v="1.13+3"/>
  </r>
  <r>
    <x v="7"/>
    <n v="8"/>
    <s v="Fitz Hugh Sound (8-3)"/>
    <s v="N of koeye boundary; commercial"/>
    <s v="sockeye"/>
    <x v="1"/>
    <s v="GN"/>
    <x v="5"/>
    <n v="5"/>
    <m/>
    <n v="7"/>
    <m/>
    <x v="1"/>
    <n v="25"/>
    <n v="42"/>
    <n v="42"/>
    <m/>
    <m/>
    <m/>
    <s v="2.14"/>
  </r>
  <r>
    <x v="7"/>
    <n v="8"/>
    <s v="Fitz Hugh Sound (8-3)"/>
    <s v="1/2 mile north of koeye area; commercial"/>
    <s v="sockeye"/>
    <x v="1"/>
    <s v="GN"/>
    <x v="5"/>
    <n v="5"/>
    <m/>
    <n v="7"/>
    <m/>
    <x v="2"/>
    <n v="1"/>
    <n v="42"/>
    <n v="42"/>
    <m/>
    <m/>
    <m/>
    <s v="1.7+4"/>
  </r>
  <r>
    <x v="7"/>
    <n v="8"/>
    <s v="Fitz Hugh Sound (8-3)"/>
    <s v="1/2 mile north of koeye area; commercial"/>
    <s v="sockeye"/>
    <x v="1"/>
    <s v="GN"/>
    <x v="5"/>
    <n v="5"/>
    <m/>
    <n v="7"/>
    <m/>
    <x v="2"/>
    <n v="2"/>
    <n v="42"/>
    <n v="42"/>
    <m/>
    <m/>
    <m/>
    <s v="1.14, STRESS IN FW"/>
  </r>
  <r>
    <x v="7"/>
    <n v="8"/>
    <s v="Fitz Hugh Sound (8-3)"/>
    <s v="1/2 mile north of koeye area; commercial"/>
    <s v="sockeye"/>
    <x v="1"/>
    <s v="GN"/>
    <x v="5"/>
    <n v="5"/>
    <m/>
    <n v="7"/>
    <m/>
    <x v="2"/>
    <n v="3"/>
    <n v="52"/>
    <n v="52"/>
    <m/>
    <m/>
    <m/>
    <s v="1.13"/>
  </r>
  <r>
    <x v="7"/>
    <n v="8"/>
    <s v="Fitz Hugh Sound (8-3)"/>
    <s v="1/2 mile north of koeye area; commercial"/>
    <s v="sockeye"/>
    <x v="1"/>
    <s v="GN"/>
    <x v="5"/>
    <n v="5"/>
    <m/>
    <n v="7"/>
    <m/>
    <x v="2"/>
    <n v="4"/>
    <n v="42"/>
    <n v="42"/>
    <m/>
    <m/>
    <m/>
    <s v="STRESS IN FW; 2.13"/>
  </r>
  <r>
    <x v="7"/>
    <n v="8"/>
    <s v="Fitz Hugh Sound (8-3)"/>
    <s v="1/2 mile north of koeye area; commercial"/>
    <s v="sockeye"/>
    <x v="1"/>
    <s v="GN"/>
    <x v="5"/>
    <n v="5"/>
    <m/>
    <n v="7"/>
    <m/>
    <x v="2"/>
    <n v="5"/>
    <n v="42"/>
    <n v="42"/>
    <m/>
    <m/>
    <m/>
    <s v="1.10+3"/>
  </r>
  <r>
    <x v="7"/>
    <n v="8"/>
    <s v="Fitz Hugh Sound (8-3)"/>
    <s v="1/2 mile north of koeye area; commercial"/>
    <s v="sockeye"/>
    <x v="1"/>
    <s v="GN"/>
    <x v="5"/>
    <n v="5"/>
    <m/>
    <n v="7"/>
    <m/>
    <x v="2"/>
    <n v="6"/>
    <n v="42"/>
    <n v="42"/>
    <m/>
    <m/>
    <m/>
    <s v="2.10"/>
  </r>
  <r>
    <x v="7"/>
    <n v="8"/>
    <s v="Fitz Hugh Sound (8-3)"/>
    <s v="1/2 mile north of koeye area; commercial"/>
    <s v="sockeye"/>
    <x v="1"/>
    <s v="GN"/>
    <x v="5"/>
    <n v="5"/>
    <m/>
    <n v="7"/>
    <m/>
    <x v="2"/>
    <n v="7"/>
    <s v="R"/>
    <s v="R"/>
    <m/>
    <m/>
    <m/>
    <m/>
  </r>
  <r>
    <x v="7"/>
    <n v="8"/>
    <s v="Fitz Hugh Sound (8-3)"/>
    <s v="1/2 mile north of koeye area; commercial"/>
    <s v="sockeye"/>
    <x v="1"/>
    <s v="GN"/>
    <x v="5"/>
    <n v="5"/>
    <m/>
    <n v="7"/>
    <m/>
    <x v="2"/>
    <n v="8"/>
    <n v="42"/>
    <n v="42"/>
    <m/>
    <m/>
    <m/>
    <s v="STRESS IN FW; 2.13"/>
  </r>
  <r>
    <x v="7"/>
    <n v="8"/>
    <s v="Fitz Hugh Sound (8-3)"/>
    <s v="1/2 mile north of koeye area; commercial"/>
    <s v="sockeye"/>
    <x v="1"/>
    <s v="GN"/>
    <x v="5"/>
    <n v="5"/>
    <m/>
    <n v="7"/>
    <m/>
    <x v="2"/>
    <n v="9"/>
    <n v="42"/>
    <n v="42"/>
    <m/>
    <m/>
    <m/>
    <s v="2.8+3"/>
  </r>
  <r>
    <x v="7"/>
    <n v="8"/>
    <s v="Fitz Hugh Sound (8-3)"/>
    <s v="1/2 mile north of koeye area; commercial"/>
    <s v="sockeye"/>
    <x v="1"/>
    <s v="GN"/>
    <x v="5"/>
    <n v="5"/>
    <m/>
    <n v="7"/>
    <m/>
    <x v="2"/>
    <n v="10"/>
    <n v="52"/>
    <s v="R"/>
    <m/>
    <m/>
    <m/>
    <s v="1.POOR"/>
  </r>
  <r>
    <x v="8"/>
    <n v="8"/>
    <s v="fisher channel"/>
    <s v="commercial"/>
    <s v="sockeye"/>
    <x v="1"/>
    <s v="GN"/>
    <x v="5"/>
    <n v="5"/>
    <m/>
    <n v="7"/>
    <m/>
    <x v="0"/>
    <n v="1"/>
    <n v="53"/>
    <n v="53"/>
    <m/>
    <m/>
    <m/>
    <s v="1.8+17"/>
  </r>
  <r>
    <x v="8"/>
    <n v="8"/>
    <s v="fisher channel"/>
    <s v="commercial"/>
    <s v="sockeye"/>
    <x v="1"/>
    <s v="GN"/>
    <x v="5"/>
    <n v="5"/>
    <m/>
    <n v="7"/>
    <m/>
    <x v="0"/>
    <n v="2"/>
    <n v="42"/>
    <n v="42"/>
    <m/>
    <m/>
    <m/>
    <s v="2.11+2"/>
  </r>
  <r>
    <x v="8"/>
    <n v="8"/>
    <s v="fisher channel"/>
    <s v="commercial"/>
    <s v="sockeye"/>
    <x v="1"/>
    <s v="GN"/>
    <x v="5"/>
    <n v="5"/>
    <m/>
    <n v="7"/>
    <m/>
    <x v="0"/>
    <n v="3"/>
    <n v="42"/>
    <n v="42"/>
    <m/>
    <m/>
    <m/>
    <s v="2.12"/>
  </r>
  <r>
    <x v="8"/>
    <n v="8"/>
    <s v="fisher channel"/>
    <s v="commercial"/>
    <s v="sockeye"/>
    <x v="1"/>
    <s v="GN"/>
    <x v="5"/>
    <n v="5"/>
    <m/>
    <n v="7"/>
    <m/>
    <x v="0"/>
    <n v="4"/>
    <n v="52"/>
    <n v="52"/>
    <m/>
    <m/>
    <m/>
    <s v="1.8"/>
  </r>
  <r>
    <x v="8"/>
    <n v="8"/>
    <s v="fisher channel"/>
    <s v="commercial"/>
    <s v="sockeye"/>
    <x v="1"/>
    <s v="GN"/>
    <x v="5"/>
    <n v="5"/>
    <m/>
    <n v="7"/>
    <m/>
    <x v="0"/>
    <n v="5"/>
    <n v="52"/>
    <n v="52"/>
    <m/>
    <m/>
    <m/>
    <s v="1.7"/>
  </r>
  <r>
    <x v="8"/>
    <n v="8"/>
    <s v="fisher channel"/>
    <s v="commercial"/>
    <s v="sockeye"/>
    <x v="1"/>
    <s v="GN"/>
    <x v="5"/>
    <n v="5"/>
    <m/>
    <n v="7"/>
    <m/>
    <x v="0"/>
    <n v="6"/>
    <n v="42"/>
    <n v="42"/>
    <m/>
    <m/>
    <m/>
    <s v="2.12+3"/>
  </r>
  <r>
    <x v="8"/>
    <n v="8"/>
    <s v="fisher channel"/>
    <s v="commercial"/>
    <s v="sockeye"/>
    <x v="1"/>
    <s v="GN"/>
    <x v="5"/>
    <n v="5"/>
    <m/>
    <n v="7"/>
    <m/>
    <x v="0"/>
    <n v="7"/>
    <s v="R"/>
    <n v="42"/>
    <m/>
    <m/>
    <m/>
    <s v="2.11+2"/>
  </r>
  <r>
    <x v="8"/>
    <n v="8"/>
    <s v="fisher channel"/>
    <s v="commercial"/>
    <s v="sockeye"/>
    <x v="1"/>
    <s v="GN"/>
    <x v="5"/>
    <n v="5"/>
    <m/>
    <n v="7"/>
    <m/>
    <x v="0"/>
    <n v="8"/>
    <n v="53"/>
    <n v="53"/>
    <m/>
    <m/>
    <m/>
    <s v="2.4+9"/>
  </r>
  <r>
    <x v="8"/>
    <n v="8"/>
    <s v="fisher channel"/>
    <s v="commercial"/>
    <s v="sockeye"/>
    <x v="1"/>
    <s v="GN"/>
    <x v="5"/>
    <n v="5"/>
    <m/>
    <n v="7"/>
    <m/>
    <x v="0"/>
    <n v="9"/>
    <n v="42"/>
    <s v="R"/>
    <m/>
    <m/>
    <m/>
    <s v="1.12, stress in FW"/>
  </r>
  <r>
    <x v="8"/>
    <n v="8"/>
    <s v="fisher channel"/>
    <s v="commercial"/>
    <s v="sockeye"/>
    <x v="1"/>
    <s v="GN"/>
    <x v="5"/>
    <n v="5"/>
    <m/>
    <n v="7"/>
    <m/>
    <x v="0"/>
    <n v="10"/>
    <n v="42"/>
    <s v="R"/>
    <m/>
    <m/>
    <m/>
    <s v="1.13+3"/>
  </r>
  <r>
    <x v="8"/>
    <n v="8"/>
    <s v="fisher channel"/>
    <s v="commercial"/>
    <s v="pink"/>
    <x v="1"/>
    <s v="GN"/>
    <x v="5"/>
    <n v="5"/>
    <m/>
    <n v="7"/>
    <m/>
    <x v="0"/>
    <n v="11"/>
    <n v="21"/>
    <n v="21"/>
    <m/>
    <m/>
    <m/>
    <s v="pink"/>
  </r>
  <r>
    <x v="8"/>
    <n v="8"/>
    <s v="fisher channel"/>
    <s v="commercial"/>
    <s v="sockeye"/>
    <x v="1"/>
    <s v="GN"/>
    <x v="5"/>
    <n v="5"/>
    <m/>
    <n v="7"/>
    <m/>
    <x v="0"/>
    <n v="12"/>
    <n v="42"/>
    <n v="42"/>
    <m/>
    <m/>
    <m/>
    <s v="2.11"/>
  </r>
  <r>
    <x v="8"/>
    <n v="8"/>
    <s v="fisher channel"/>
    <s v="commercial"/>
    <s v="sockeye"/>
    <x v="1"/>
    <s v="GN"/>
    <x v="5"/>
    <n v="5"/>
    <m/>
    <n v="7"/>
    <m/>
    <x v="0"/>
    <n v="13"/>
    <s v="NA"/>
    <n v="42"/>
    <m/>
    <m/>
    <m/>
    <s v="2.14"/>
  </r>
  <r>
    <x v="8"/>
    <n v="8"/>
    <s v="fisher channel"/>
    <s v="commercial"/>
    <s v="sockeye"/>
    <x v="1"/>
    <s v="GN"/>
    <x v="5"/>
    <n v="5"/>
    <m/>
    <n v="7"/>
    <m/>
    <x v="0"/>
    <n v="14"/>
    <n v="42"/>
    <n v="42"/>
    <m/>
    <m/>
    <m/>
    <s v="2.11+3"/>
  </r>
  <r>
    <x v="8"/>
    <n v="8"/>
    <s v="fisher channel"/>
    <s v="commercial"/>
    <s v="sockeye"/>
    <x v="1"/>
    <s v="GN"/>
    <x v="5"/>
    <n v="5"/>
    <m/>
    <n v="7"/>
    <m/>
    <x v="0"/>
    <n v="15"/>
    <s v="R"/>
    <s v="NA"/>
    <m/>
    <m/>
    <m/>
    <m/>
  </r>
  <r>
    <x v="8"/>
    <n v="8"/>
    <s v="fisher channel"/>
    <s v="commercial"/>
    <s v="sockeye"/>
    <x v="1"/>
    <s v="GN"/>
    <x v="5"/>
    <n v="5"/>
    <m/>
    <n v="7"/>
    <m/>
    <x v="0"/>
    <n v="16"/>
    <n v="42"/>
    <n v="42"/>
    <m/>
    <m/>
    <m/>
    <s v="stress in FW; 1.12"/>
  </r>
  <r>
    <x v="8"/>
    <n v="8"/>
    <s v="fisher channel"/>
    <s v="commercial"/>
    <s v="sockeye"/>
    <x v="1"/>
    <s v="GN"/>
    <x v="5"/>
    <n v="5"/>
    <m/>
    <n v="7"/>
    <m/>
    <x v="0"/>
    <n v="17"/>
    <n v="42"/>
    <n v="42"/>
    <m/>
    <m/>
    <m/>
    <s v="1.9"/>
  </r>
  <r>
    <x v="8"/>
    <n v="8"/>
    <s v="fisher channel"/>
    <s v="commercial"/>
    <s v="sockeye"/>
    <x v="1"/>
    <s v="GN"/>
    <x v="5"/>
    <n v="5"/>
    <m/>
    <n v="7"/>
    <m/>
    <x v="0"/>
    <n v="18"/>
    <n v="42"/>
    <n v="42"/>
    <m/>
    <m/>
    <m/>
    <s v="1.14"/>
  </r>
  <r>
    <x v="8"/>
    <n v="8"/>
    <s v="fisher channel"/>
    <s v="commercial"/>
    <s v="sockeye"/>
    <x v="1"/>
    <s v="GN"/>
    <x v="5"/>
    <n v="5"/>
    <m/>
    <n v="7"/>
    <m/>
    <x v="0"/>
    <n v="19"/>
    <s v="R"/>
    <n v="52"/>
    <m/>
    <m/>
    <m/>
    <s v="2.6"/>
  </r>
  <r>
    <x v="8"/>
    <n v="8"/>
    <s v="fisher channel"/>
    <s v="commercial"/>
    <s v="sockeye"/>
    <x v="1"/>
    <s v="GN"/>
    <x v="5"/>
    <n v="5"/>
    <m/>
    <n v="7"/>
    <m/>
    <x v="0"/>
    <n v="20"/>
    <n v="42"/>
    <s v="NA"/>
    <m/>
    <m/>
    <m/>
    <s v="1.11; 2.poor"/>
  </r>
  <r>
    <x v="8"/>
    <n v="8"/>
    <s v="fisher channel"/>
    <s v="commercial"/>
    <s v="sockeye"/>
    <x v="1"/>
    <s v="GN"/>
    <x v="5"/>
    <n v="5"/>
    <m/>
    <n v="7"/>
    <m/>
    <x v="0"/>
    <n v="21"/>
    <n v="42"/>
    <n v="42"/>
    <m/>
    <m/>
    <m/>
    <s v="1.20+2"/>
  </r>
  <r>
    <x v="8"/>
    <n v="8"/>
    <s v="fisher channel"/>
    <s v="commercial"/>
    <s v="sockeye"/>
    <x v="1"/>
    <s v="GN"/>
    <x v="5"/>
    <n v="5"/>
    <m/>
    <n v="7"/>
    <m/>
    <x v="0"/>
    <n v="22"/>
    <n v="42"/>
    <s v="R"/>
    <m/>
    <m/>
    <m/>
    <s v="1.14"/>
  </r>
  <r>
    <x v="8"/>
    <n v="8"/>
    <s v="fisher channel"/>
    <s v="commercial"/>
    <s v="sockeye"/>
    <x v="1"/>
    <s v="GN"/>
    <x v="5"/>
    <n v="5"/>
    <m/>
    <n v="7"/>
    <m/>
    <x v="0"/>
    <n v="23"/>
    <n v="42"/>
    <n v="42"/>
    <m/>
    <m/>
    <m/>
    <s v="2.13+3"/>
  </r>
  <r>
    <x v="8"/>
    <n v="8"/>
    <s v="fisher channel"/>
    <s v="commercial"/>
    <s v="sockeye"/>
    <x v="1"/>
    <s v="GN"/>
    <x v="5"/>
    <n v="5"/>
    <m/>
    <n v="7"/>
    <m/>
    <x v="0"/>
    <n v="24"/>
    <s v="NA"/>
    <n v="42"/>
    <m/>
    <m/>
    <m/>
    <s v="2.13+4"/>
  </r>
  <r>
    <x v="8"/>
    <n v="8"/>
    <s v="fisher channel"/>
    <s v="commercial"/>
    <s v="sockeye"/>
    <x v="1"/>
    <s v="GN"/>
    <x v="5"/>
    <n v="5"/>
    <m/>
    <n v="7"/>
    <m/>
    <x v="0"/>
    <n v="25"/>
    <n v="42"/>
    <n v="42"/>
    <m/>
    <m/>
    <m/>
    <s v="1.12; 2.poor"/>
  </r>
  <r>
    <x v="8"/>
    <n v="8"/>
    <s v="fisher channel"/>
    <s v="commercial"/>
    <s v="sockeye"/>
    <x v="1"/>
    <s v="GN"/>
    <x v="5"/>
    <n v="5"/>
    <m/>
    <n v="7"/>
    <m/>
    <x v="1"/>
    <n v="1"/>
    <s v="NA"/>
    <n v="42"/>
    <m/>
    <m/>
    <m/>
    <s v="2.12+2"/>
  </r>
  <r>
    <x v="8"/>
    <n v="8"/>
    <s v="fisher channel"/>
    <s v="commercial"/>
    <s v="sockeye"/>
    <x v="1"/>
    <s v="GN"/>
    <x v="5"/>
    <n v="5"/>
    <m/>
    <n v="7"/>
    <m/>
    <x v="1"/>
    <n v="2"/>
    <n v="52"/>
    <n v="52"/>
    <m/>
    <m/>
    <m/>
    <s v="1.11+2"/>
  </r>
  <r>
    <x v="8"/>
    <n v="8"/>
    <s v="fisher channel"/>
    <s v="commercial"/>
    <s v="sockeye"/>
    <x v="1"/>
    <s v="GN"/>
    <x v="5"/>
    <n v="5"/>
    <m/>
    <n v="7"/>
    <m/>
    <x v="1"/>
    <n v="3"/>
    <s v="NA"/>
    <n v="42"/>
    <m/>
    <m/>
    <m/>
    <s v="2.13+2; stress in FW"/>
  </r>
  <r>
    <x v="8"/>
    <n v="8"/>
    <s v="fisher channel"/>
    <s v="commercial"/>
    <s v="sockeye"/>
    <x v="1"/>
    <s v="GN"/>
    <x v="5"/>
    <n v="5"/>
    <m/>
    <n v="7"/>
    <m/>
    <x v="1"/>
    <n v="4"/>
    <n v="53"/>
    <n v="53"/>
    <m/>
    <m/>
    <m/>
    <s v="2.9+17"/>
  </r>
  <r>
    <x v="8"/>
    <n v="8"/>
    <s v="fisher channel"/>
    <s v="commercial"/>
    <s v="sockeye"/>
    <x v="1"/>
    <s v="GN"/>
    <x v="5"/>
    <n v="5"/>
    <m/>
    <n v="7"/>
    <m/>
    <x v="1"/>
    <n v="5"/>
    <n v="42"/>
    <n v="42"/>
    <m/>
    <m/>
    <m/>
    <s v="stress in FW; 1.15"/>
  </r>
  <r>
    <x v="8"/>
    <n v="8"/>
    <s v="fisher channel"/>
    <s v="commercial"/>
    <s v="sockeye"/>
    <x v="1"/>
    <s v="GN"/>
    <x v="5"/>
    <n v="5"/>
    <m/>
    <n v="7"/>
    <m/>
    <x v="1"/>
    <n v="6"/>
    <n v="42"/>
    <n v="42"/>
    <m/>
    <m/>
    <m/>
    <s v="1.13; 2.stress in FW"/>
  </r>
  <r>
    <x v="8"/>
    <n v="8"/>
    <s v="fisher channel"/>
    <s v="commercial"/>
    <s v="sockeye"/>
    <x v="1"/>
    <s v="GN"/>
    <x v="5"/>
    <n v="5"/>
    <m/>
    <n v="7"/>
    <m/>
    <x v="1"/>
    <n v="7"/>
    <n v="42"/>
    <n v="42"/>
    <m/>
    <m/>
    <m/>
    <s v="1.13"/>
  </r>
  <r>
    <x v="8"/>
    <n v="8"/>
    <s v="fisher channel"/>
    <s v="commercial"/>
    <s v="sockeye"/>
    <x v="1"/>
    <s v="GN"/>
    <x v="5"/>
    <n v="5"/>
    <m/>
    <n v="7"/>
    <m/>
    <x v="1"/>
    <n v="8"/>
    <s v="R"/>
    <n v="42"/>
    <m/>
    <m/>
    <m/>
    <s v="2.12"/>
  </r>
  <r>
    <x v="8"/>
    <n v="8"/>
    <s v="fisher channel"/>
    <s v="commercial"/>
    <s v="sockeye"/>
    <x v="1"/>
    <s v="GN"/>
    <x v="5"/>
    <n v="5"/>
    <m/>
    <n v="7"/>
    <m/>
    <x v="1"/>
    <n v="9"/>
    <n v="42"/>
    <n v="42"/>
    <m/>
    <m/>
    <m/>
    <s v="2.14+2"/>
  </r>
  <r>
    <x v="8"/>
    <n v="8"/>
    <s v="fisher channel"/>
    <s v="commercial"/>
    <s v="sockeye"/>
    <x v="1"/>
    <s v="GN"/>
    <x v="5"/>
    <n v="5"/>
    <m/>
    <n v="7"/>
    <m/>
    <x v="1"/>
    <n v="10"/>
    <n v="42"/>
    <n v="42"/>
    <m/>
    <m/>
    <m/>
    <s v="1.10"/>
  </r>
  <r>
    <x v="8"/>
    <n v="8"/>
    <s v="fisher channel"/>
    <s v="commercial"/>
    <s v="sockeye"/>
    <x v="1"/>
    <s v="GN"/>
    <x v="5"/>
    <n v="5"/>
    <m/>
    <n v="7"/>
    <m/>
    <x v="1"/>
    <n v="11"/>
    <n v="52"/>
    <n v="52"/>
    <m/>
    <m/>
    <m/>
    <s v="1.16"/>
  </r>
  <r>
    <x v="8"/>
    <n v="8"/>
    <s v="fisher channel"/>
    <s v="commercial"/>
    <s v="sockeye"/>
    <x v="1"/>
    <s v="GN"/>
    <x v="5"/>
    <n v="5"/>
    <m/>
    <n v="7"/>
    <m/>
    <x v="1"/>
    <n v="12"/>
    <n v="42"/>
    <s v="R"/>
    <m/>
    <m/>
    <m/>
    <s v="1.15"/>
  </r>
  <r>
    <x v="8"/>
    <n v="8"/>
    <s v="fisher channel"/>
    <s v="commercial"/>
    <s v="sockeye"/>
    <x v="1"/>
    <s v="GN"/>
    <x v="5"/>
    <n v="5"/>
    <m/>
    <n v="7"/>
    <m/>
    <x v="1"/>
    <n v="13"/>
    <n v="52"/>
    <n v="52"/>
    <m/>
    <m/>
    <m/>
    <s v="2.8"/>
  </r>
  <r>
    <x v="8"/>
    <n v="8"/>
    <s v="fisher channel"/>
    <s v="commercial"/>
    <s v="sockeye"/>
    <x v="1"/>
    <s v="GN"/>
    <x v="5"/>
    <n v="5"/>
    <m/>
    <n v="7"/>
    <m/>
    <x v="1"/>
    <n v="14"/>
    <n v="42"/>
    <n v="42"/>
    <m/>
    <m/>
    <m/>
    <s v="1.11"/>
  </r>
  <r>
    <x v="8"/>
    <n v="8"/>
    <s v="fisher channel"/>
    <s v="commercial"/>
    <s v="sockeye"/>
    <x v="1"/>
    <s v="GN"/>
    <x v="5"/>
    <n v="5"/>
    <m/>
    <n v="7"/>
    <m/>
    <x v="1"/>
    <n v="15"/>
    <n v="52"/>
    <n v="52"/>
    <m/>
    <m/>
    <m/>
    <s v="1.14"/>
  </r>
  <r>
    <x v="8"/>
    <n v="8"/>
    <s v="fisher channel"/>
    <s v="commercial"/>
    <s v="sockeye"/>
    <x v="1"/>
    <s v="GN"/>
    <x v="5"/>
    <n v="5"/>
    <m/>
    <n v="7"/>
    <m/>
    <x v="1"/>
    <n v="16"/>
    <n v="42"/>
    <n v="42"/>
    <m/>
    <m/>
    <m/>
    <s v="1.17; stress in FW"/>
  </r>
  <r>
    <x v="8"/>
    <n v="8"/>
    <s v="fisher channel"/>
    <s v="commercial"/>
    <s v="sockeye"/>
    <x v="1"/>
    <s v="GN"/>
    <x v="5"/>
    <n v="5"/>
    <m/>
    <n v="7"/>
    <m/>
    <x v="1"/>
    <n v="17"/>
    <n v="42"/>
    <n v="42"/>
    <m/>
    <m/>
    <m/>
    <s v="1.13"/>
  </r>
  <r>
    <x v="8"/>
    <n v="8"/>
    <s v="fisher channel"/>
    <s v="commercial"/>
    <s v="sockeye"/>
    <x v="1"/>
    <s v="GN"/>
    <x v="5"/>
    <n v="5"/>
    <m/>
    <n v="7"/>
    <m/>
    <x v="1"/>
    <n v="18"/>
    <n v="42"/>
    <n v="42"/>
    <m/>
    <m/>
    <m/>
    <s v="1.12+2"/>
  </r>
  <r>
    <x v="8"/>
    <n v="8"/>
    <s v="fisher channel"/>
    <s v="commercial"/>
    <s v="sockeye"/>
    <x v="1"/>
    <s v="GN"/>
    <x v="5"/>
    <n v="5"/>
    <m/>
    <n v="7"/>
    <m/>
    <x v="1"/>
    <n v="19"/>
    <n v="42"/>
    <n v="42"/>
    <m/>
    <m/>
    <m/>
    <s v="1.10+3"/>
  </r>
  <r>
    <x v="8"/>
    <n v="8"/>
    <s v="fisher channel"/>
    <s v="commercial"/>
    <s v="sockeye"/>
    <x v="1"/>
    <s v="GN"/>
    <x v="5"/>
    <n v="5"/>
    <m/>
    <n v="7"/>
    <m/>
    <x v="1"/>
    <n v="20"/>
    <n v="42"/>
    <s v="R"/>
    <m/>
    <m/>
    <m/>
    <s v="1.9"/>
  </r>
  <r>
    <x v="8"/>
    <n v="8"/>
    <s v="fisher channel"/>
    <s v="commercial"/>
    <s v="sockeye"/>
    <x v="1"/>
    <s v="GN"/>
    <x v="5"/>
    <n v="5"/>
    <m/>
    <n v="7"/>
    <m/>
    <x v="1"/>
    <n v="21"/>
    <n v="52"/>
    <n v="52"/>
    <m/>
    <m/>
    <m/>
    <s v="1.15+2"/>
  </r>
  <r>
    <x v="8"/>
    <n v="8"/>
    <s v="fisher channel"/>
    <s v="commercial"/>
    <s v="sockeye"/>
    <x v="1"/>
    <s v="GN"/>
    <x v="5"/>
    <n v="5"/>
    <m/>
    <n v="7"/>
    <m/>
    <x v="1"/>
    <n v="22"/>
    <n v="42"/>
    <n v="42"/>
    <m/>
    <m/>
    <m/>
    <s v="2.10+4"/>
  </r>
  <r>
    <x v="8"/>
    <n v="8"/>
    <s v="fisher channel"/>
    <s v="commercial"/>
    <s v="sockeye"/>
    <x v="1"/>
    <s v="GN"/>
    <x v="5"/>
    <n v="5"/>
    <m/>
    <n v="7"/>
    <m/>
    <x v="1"/>
    <n v="23"/>
    <n v="52"/>
    <n v="52"/>
    <m/>
    <m/>
    <m/>
    <s v="2.8"/>
  </r>
  <r>
    <x v="8"/>
    <n v="8"/>
    <s v="fisher channel"/>
    <s v="commercial"/>
    <s v="sockeye"/>
    <x v="1"/>
    <s v="GN"/>
    <x v="5"/>
    <n v="5"/>
    <m/>
    <n v="7"/>
    <m/>
    <x v="1"/>
    <n v="24"/>
    <s v="R"/>
    <s v="R"/>
    <m/>
    <m/>
    <m/>
    <m/>
  </r>
  <r>
    <x v="8"/>
    <n v="8"/>
    <s v="fisher channel"/>
    <s v="commercial"/>
    <s v="sockeye"/>
    <x v="1"/>
    <s v="GN"/>
    <x v="5"/>
    <n v="5"/>
    <m/>
    <n v="7"/>
    <m/>
    <x v="1"/>
    <n v="25"/>
    <n v="53"/>
    <n v="53"/>
    <m/>
    <m/>
    <m/>
    <s v="1.5+11"/>
  </r>
  <r>
    <x v="9"/>
    <n v="8"/>
    <s v="fisher channel (8-5)"/>
    <s v="port john; commercial"/>
    <s v="sockeye"/>
    <x v="1"/>
    <s v="SN"/>
    <x v="5"/>
    <n v="11"/>
    <m/>
    <n v="7"/>
    <m/>
    <x v="0"/>
    <n v="1"/>
    <n v="42"/>
    <n v="42"/>
    <m/>
    <m/>
    <m/>
    <s v="1.12+3"/>
  </r>
  <r>
    <x v="9"/>
    <n v="8"/>
    <s v="fisher channel (8-5)"/>
    <s v="port john; commercial"/>
    <s v="sockeye"/>
    <x v="1"/>
    <s v="SN"/>
    <x v="5"/>
    <n v="11"/>
    <m/>
    <n v="7"/>
    <m/>
    <x v="0"/>
    <n v="2"/>
    <s v="R"/>
    <n v="42"/>
    <m/>
    <m/>
    <m/>
    <s v="2.stress in fw; 3"/>
  </r>
  <r>
    <x v="9"/>
    <n v="8"/>
    <s v="fisher channel (8-5)"/>
    <s v="port john; commercial"/>
    <s v="sockeye"/>
    <x v="1"/>
    <s v="SN"/>
    <x v="5"/>
    <n v="11"/>
    <m/>
    <n v="7"/>
    <m/>
    <x v="0"/>
    <n v="3"/>
    <s v="R"/>
    <s v="R"/>
    <m/>
    <m/>
    <m/>
    <m/>
  </r>
  <r>
    <x v="9"/>
    <n v="8"/>
    <s v="fisher channel (8-5)"/>
    <s v="port john; commercial"/>
    <s v="sockeye"/>
    <x v="1"/>
    <s v="SN"/>
    <x v="5"/>
    <n v="11"/>
    <m/>
    <n v="7"/>
    <m/>
    <x v="0"/>
    <n v="4"/>
    <n v="42"/>
    <n v="42"/>
    <m/>
    <m/>
    <m/>
    <s v="2.13"/>
  </r>
  <r>
    <x v="9"/>
    <n v="8"/>
    <s v="fisher channel (8-5)"/>
    <s v="port john; commercial"/>
    <s v="sockeye"/>
    <x v="1"/>
    <s v="SN"/>
    <x v="5"/>
    <n v="11"/>
    <m/>
    <n v="7"/>
    <m/>
    <x v="0"/>
    <n v="5"/>
    <n v="42"/>
    <n v="42"/>
    <m/>
    <m/>
    <m/>
    <s v="2.12"/>
  </r>
  <r>
    <x v="9"/>
    <n v="8"/>
    <s v="fisher channel (8-5)"/>
    <s v="port john; commercial"/>
    <s v="sockeye"/>
    <x v="1"/>
    <s v="SN"/>
    <x v="5"/>
    <n v="11"/>
    <m/>
    <n v="7"/>
    <m/>
    <x v="0"/>
    <n v="6"/>
    <n v="42"/>
    <n v="42"/>
    <m/>
    <m/>
    <m/>
    <s v="2.12"/>
  </r>
  <r>
    <x v="9"/>
    <n v="8"/>
    <s v="fisher channel (8-5)"/>
    <s v="port john; commercial"/>
    <s v="sockeye"/>
    <x v="1"/>
    <s v="SN"/>
    <x v="5"/>
    <n v="11"/>
    <m/>
    <n v="7"/>
    <m/>
    <x v="0"/>
    <n v="7"/>
    <n v="42"/>
    <n v="42"/>
    <m/>
    <m/>
    <m/>
    <s v="2.10"/>
  </r>
  <r>
    <x v="9"/>
    <n v="8"/>
    <s v="fisher channel (8-5)"/>
    <s v="port john; commercial"/>
    <s v="sockeye"/>
    <x v="1"/>
    <s v="SN"/>
    <x v="5"/>
    <n v="11"/>
    <m/>
    <n v="7"/>
    <m/>
    <x v="0"/>
    <n v="8"/>
    <n v="42"/>
    <n v="42"/>
    <m/>
    <m/>
    <m/>
    <s v="2.14"/>
  </r>
  <r>
    <x v="9"/>
    <n v="8"/>
    <s v="fisher channel (8-5)"/>
    <s v="port john; commercial"/>
    <s v="sockeye"/>
    <x v="1"/>
    <s v="SN"/>
    <x v="5"/>
    <n v="11"/>
    <m/>
    <n v="7"/>
    <m/>
    <x v="0"/>
    <n v="9"/>
    <n v="42"/>
    <n v="42"/>
    <m/>
    <m/>
    <m/>
    <s v="2.11"/>
  </r>
  <r>
    <x v="9"/>
    <n v="8"/>
    <s v="fisher channel (8-5)"/>
    <s v="port john; commercial"/>
    <s v="sockeye"/>
    <x v="1"/>
    <s v="SN"/>
    <x v="5"/>
    <n v="11"/>
    <m/>
    <n v="7"/>
    <m/>
    <x v="0"/>
    <n v="10"/>
    <n v="42"/>
    <n v="42"/>
    <m/>
    <m/>
    <m/>
    <s v="2.12"/>
  </r>
  <r>
    <x v="9"/>
    <n v="8"/>
    <s v="fisher channel (8-5)"/>
    <s v="port john; commercial"/>
    <s v="sockeye"/>
    <x v="1"/>
    <s v="SN"/>
    <x v="5"/>
    <n v="11"/>
    <m/>
    <n v="7"/>
    <m/>
    <x v="0"/>
    <n v="11"/>
    <s v="R"/>
    <n v="42"/>
    <m/>
    <m/>
    <m/>
    <s v="2.12"/>
  </r>
  <r>
    <x v="9"/>
    <n v="8"/>
    <s v="fisher channel (8-5)"/>
    <s v="port john; commercial"/>
    <s v="sockeye"/>
    <x v="1"/>
    <s v="SN"/>
    <x v="5"/>
    <n v="11"/>
    <m/>
    <n v="7"/>
    <m/>
    <x v="0"/>
    <n v="12"/>
    <n v="42"/>
    <n v="42"/>
    <m/>
    <m/>
    <m/>
    <s v="stress in FW; 1.14"/>
  </r>
  <r>
    <x v="9"/>
    <n v="8"/>
    <s v="fisher channel (8-5)"/>
    <s v="port john; commercial"/>
    <s v="sockeye"/>
    <x v="1"/>
    <s v="SN"/>
    <x v="5"/>
    <n v="11"/>
    <m/>
    <n v="7"/>
    <m/>
    <x v="0"/>
    <n v="13"/>
    <n v="42"/>
    <s v="R"/>
    <m/>
    <m/>
    <m/>
    <s v="1.14"/>
  </r>
  <r>
    <x v="9"/>
    <n v="8"/>
    <s v="fisher channel (8-5)"/>
    <s v="port john; commercial"/>
    <s v="sockeye"/>
    <x v="1"/>
    <s v="SN"/>
    <x v="5"/>
    <n v="11"/>
    <m/>
    <n v="7"/>
    <m/>
    <x v="0"/>
    <n v="14"/>
    <n v="42"/>
    <n v="42"/>
    <m/>
    <m/>
    <m/>
    <s v="2.11+2"/>
  </r>
  <r>
    <x v="9"/>
    <n v="8"/>
    <s v="fisher channel (8-5)"/>
    <s v="port john; commercial"/>
    <s v="sockeye"/>
    <x v="1"/>
    <s v="SN"/>
    <x v="5"/>
    <n v="11"/>
    <m/>
    <n v="7"/>
    <m/>
    <x v="0"/>
    <n v="15"/>
    <n v="42"/>
    <n v="42"/>
    <m/>
    <m/>
    <m/>
    <s v="stress in FW;1.14"/>
  </r>
  <r>
    <x v="9"/>
    <n v="8"/>
    <s v="fisher channel (8-5)"/>
    <s v="port john; commercial"/>
    <s v="sockeye"/>
    <x v="1"/>
    <s v="SN"/>
    <x v="5"/>
    <n v="11"/>
    <m/>
    <n v="7"/>
    <m/>
    <x v="0"/>
    <n v="16"/>
    <n v="42"/>
    <s v="NA"/>
    <m/>
    <m/>
    <m/>
    <s v="1.14"/>
  </r>
  <r>
    <x v="9"/>
    <n v="8"/>
    <s v="fisher channel (8-5)"/>
    <s v="port john; commercial"/>
    <s v="sockeye"/>
    <x v="1"/>
    <s v="SN"/>
    <x v="5"/>
    <n v="11"/>
    <m/>
    <n v="7"/>
    <m/>
    <x v="0"/>
    <n v="17"/>
    <s v="NA"/>
    <n v="43"/>
    <m/>
    <m/>
    <m/>
    <s v="2.8+19"/>
  </r>
  <r>
    <x v="9"/>
    <n v="8"/>
    <s v="fisher channel (8-5)"/>
    <s v="port john; commercial"/>
    <s v="sockeye"/>
    <x v="1"/>
    <s v="SN"/>
    <x v="5"/>
    <n v="11"/>
    <m/>
    <n v="7"/>
    <m/>
    <x v="0"/>
    <n v="18"/>
    <s v="NA"/>
    <s v="R"/>
    <m/>
    <m/>
    <m/>
    <m/>
  </r>
  <r>
    <x v="9"/>
    <n v="8"/>
    <s v="fisher channel (8-5)"/>
    <s v="port john; commercial"/>
    <s v="sockeye"/>
    <x v="1"/>
    <s v="SN"/>
    <x v="5"/>
    <n v="11"/>
    <m/>
    <n v="7"/>
    <m/>
    <x v="0"/>
    <n v="19"/>
    <n v="42"/>
    <n v="42"/>
    <m/>
    <m/>
    <m/>
    <s v="2.15"/>
  </r>
  <r>
    <x v="9"/>
    <n v="8"/>
    <s v="fisher channel (8-5)"/>
    <s v="port john; commercial"/>
    <s v="sockeye"/>
    <x v="1"/>
    <s v="SN"/>
    <x v="5"/>
    <n v="11"/>
    <m/>
    <n v="7"/>
    <m/>
    <x v="0"/>
    <n v="20"/>
    <s v="R"/>
    <n v="42"/>
    <m/>
    <m/>
    <m/>
    <s v="2.8+4"/>
  </r>
  <r>
    <x v="9"/>
    <n v="8"/>
    <s v="fisher channel (8-5)"/>
    <s v="port john; commercial"/>
    <s v="sockeye"/>
    <x v="1"/>
    <s v="SN"/>
    <x v="5"/>
    <n v="11"/>
    <m/>
    <n v="7"/>
    <m/>
    <x v="0"/>
    <n v="21"/>
    <m/>
    <m/>
    <m/>
    <m/>
    <m/>
    <s v="poor"/>
  </r>
  <r>
    <x v="9"/>
    <n v="8"/>
    <s v="fisher channel (8-5)"/>
    <s v="port john; commercial"/>
    <s v="sockeye"/>
    <x v="1"/>
    <s v="SN"/>
    <x v="5"/>
    <n v="11"/>
    <m/>
    <n v="7"/>
    <m/>
    <x v="0"/>
    <n v="22"/>
    <n v="42"/>
    <n v="42"/>
    <m/>
    <m/>
    <m/>
    <s v="1.11"/>
  </r>
  <r>
    <x v="9"/>
    <n v="8"/>
    <s v="fisher channel (8-5)"/>
    <s v="port john; commercial"/>
    <s v="sockeye"/>
    <x v="1"/>
    <s v="SN"/>
    <x v="5"/>
    <n v="11"/>
    <m/>
    <n v="7"/>
    <m/>
    <x v="0"/>
    <n v="23"/>
    <s v="R"/>
    <s v="R"/>
    <m/>
    <m/>
    <m/>
    <m/>
  </r>
  <r>
    <x v="9"/>
    <n v="8"/>
    <s v="fisher channel (8-5)"/>
    <s v="port john; commercial"/>
    <s v="sockeye"/>
    <x v="1"/>
    <s v="SN"/>
    <x v="5"/>
    <n v="11"/>
    <m/>
    <n v="7"/>
    <m/>
    <x v="0"/>
    <n v="24"/>
    <n v="42"/>
    <n v="42"/>
    <m/>
    <m/>
    <m/>
    <s v="stress in fw; 2.13"/>
  </r>
  <r>
    <x v="9"/>
    <n v="8"/>
    <s v="fisher channel (8-5)"/>
    <s v="port john; commercial"/>
    <s v="sockeye"/>
    <x v="1"/>
    <s v="SN"/>
    <x v="5"/>
    <n v="11"/>
    <m/>
    <n v="7"/>
    <m/>
    <x v="0"/>
    <n v="25"/>
    <n v="42"/>
    <n v="42"/>
    <m/>
    <m/>
    <m/>
    <s v="2.17; stress in fw"/>
  </r>
  <r>
    <x v="9"/>
    <n v="8"/>
    <s v="fisher channel (8-5)"/>
    <s v="port john; commercial"/>
    <s v="sockeye"/>
    <x v="1"/>
    <s v="SN"/>
    <x v="5"/>
    <n v="11"/>
    <m/>
    <n v="7"/>
    <m/>
    <x v="1"/>
    <n v="1"/>
    <n v="42"/>
    <n v="42"/>
    <m/>
    <m/>
    <m/>
    <s v="stress in FW; 1.13"/>
  </r>
  <r>
    <x v="9"/>
    <n v="8"/>
    <s v="fisher channel (8-5)"/>
    <s v="port john; commercial"/>
    <s v="sockeye"/>
    <x v="1"/>
    <s v="SN"/>
    <x v="5"/>
    <n v="11"/>
    <m/>
    <n v="7"/>
    <m/>
    <x v="1"/>
    <n v="2"/>
    <n v="42"/>
    <n v="42"/>
    <m/>
    <m/>
    <m/>
    <s v="stress in fw; 2.12"/>
  </r>
  <r>
    <x v="9"/>
    <n v="8"/>
    <s v="fisher channel (8-5)"/>
    <s v="port john; commercial"/>
    <s v="sockeye"/>
    <x v="1"/>
    <s v="SN"/>
    <x v="5"/>
    <n v="11"/>
    <m/>
    <n v="7"/>
    <m/>
    <x v="1"/>
    <n v="3"/>
    <n v="42"/>
    <s v="R"/>
    <m/>
    <m/>
    <m/>
    <s v="1.11+2"/>
  </r>
  <r>
    <x v="9"/>
    <n v="8"/>
    <s v="fisher channel (8-5)"/>
    <s v="port john; commercial"/>
    <s v="sockeye"/>
    <x v="1"/>
    <s v="SN"/>
    <x v="5"/>
    <n v="11"/>
    <m/>
    <n v="7"/>
    <m/>
    <x v="1"/>
    <n v="4"/>
    <n v="42"/>
    <n v="42"/>
    <m/>
    <m/>
    <m/>
    <s v="2.?"/>
  </r>
  <r>
    <x v="9"/>
    <n v="8"/>
    <s v="fisher channel (8-5)"/>
    <s v="port john; commercial"/>
    <s v="sockeye"/>
    <x v="1"/>
    <s v="SN"/>
    <x v="5"/>
    <n v="11"/>
    <m/>
    <n v="7"/>
    <m/>
    <x v="1"/>
    <n v="5"/>
    <n v="42"/>
    <s v="NA"/>
    <m/>
    <m/>
    <m/>
    <s v="1.stress in fw; 15"/>
  </r>
  <r>
    <x v="9"/>
    <n v="8"/>
    <s v="fisher channel (8-5)"/>
    <s v="port john; commercial"/>
    <s v="sockeye"/>
    <x v="1"/>
    <s v="SN"/>
    <x v="5"/>
    <n v="11"/>
    <m/>
    <n v="7"/>
    <m/>
    <x v="1"/>
    <n v="6"/>
    <n v="42"/>
    <n v="42"/>
    <m/>
    <m/>
    <m/>
    <s v="1.14"/>
  </r>
  <r>
    <x v="9"/>
    <n v="8"/>
    <s v="fisher channel (8-5)"/>
    <s v="port john; commercial"/>
    <s v="sockeye"/>
    <x v="1"/>
    <s v="SN"/>
    <x v="5"/>
    <n v="11"/>
    <m/>
    <n v="7"/>
    <m/>
    <x v="1"/>
    <n v="7"/>
    <n v="42"/>
    <n v="42"/>
    <m/>
    <m/>
    <m/>
    <s v="stress in FW; 1.12"/>
  </r>
  <r>
    <x v="9"/>
    <n v="8"/>
    <s v="fisher channel (8-5)"/>
    <s v="port john; commercial"/>
    <s v="sockeye"/>
    <x v="1"/>
    <s v="SN"/>
    <x v="5"/>
    <n v="11"/>
    <m/>
    <n v="7"/>
    <m/>
    <x v="1"/>
    <n v="8"/>
    <n v="42"/>
    <n v="42"/>
    <m/>
    <m/>
    <m/>
    <s v="1.stress in FW; 2.15"/>
  </r>
  <r>
    <x v="9"/>
    <n v="8"/>
    <s v="fisher channel (8-5)"/>
    <s v="port john; commercial"/>
    <s v="sockeye"/>
    <x v="1"/>
    <s v="SN"/>
    <x v="5"/>
    <n v="11"/>
    <m/>
    <n v="7"/>
    <m/>
    <x v="1"/>
    <n v="9"/>
    <n v="42"/>
    <n v="42"/>
    <m/>
    <m/>
    <m/>
    <s v="2. stress in FW; 12"/>
  </r>
  <r>
    <x v="9"/>
    <n v="8"/>
    <s v="fisher channel (8-5)"/>
    <s v="port john; commercial"/>
    <s v="sockeye"/>
    <x v="1"/>
    <s v="SN"/>
    <x v="5"/>
    <n v="11"/>
    <m/>
    <n v="7"/>
    <m/>
    <x v="1"/>
    <n v="10"/>
    <n v="42"/>
    <s v="R"/>
    <m/>
    <m/>
    <m/>
    <s v="1.stress in FW; 14"/>
  </r>
  <r>
    <x v="9"/>
    <n v="8"/>
    <s v="fisher channel (8-5)"/>
    <s v="port john; commercial"/>
    <s v="sockeye"/>
    <x v="1"/>
    <s v="SN"/>
    <x v="5"/>
    <n v="11"/>
    <m/>
    <n v="7"/>
    <m/>
    <x v="1"/>
    <n v="11"/>
    <n v="42"/>
    <n v="42"/>
    <m/>
    <m/>
    <m/>
    <s v="1.11"/>
  </r>
  <r>
    <x v="9"/>
    <n v="8"/>
    <s v="fisher channel (8-5)"/>
    <s v="port john; commercial"/>
    <s v="sockeye"/>
    <x v="1"/>
    <s v="SN"/>
    <x v="5"/>
    <n v="11"/>
    <m/>
    <n v="7"/>
    <m/>
    <x v="1"/>
    <n v="12"/>
    <n v="42"/>
    <n v="42"/>
    <m/>
    <m/>
    <m/>
    <s v="1.12"/>
  </r>
  <r>
    <x v="9"/>
    <n v="8"/>
    <s v="fisher channel (8-5)"/>
    <s v="port john; commercial"/>
    <s v="sockeye"/>
    <x v="1"/>
    <s v="SN"/>
    <x v="5"/>
    <n v="11"/>
    <m/>
    <n v="7"/>
    <m/>
    <x v="1"/>
    <n v="13"/>
    <n v="42"/>
    <n v="42"/>
    <m/>
    <m/>
    <m/>
    <s v="1.14"/>
  </r>
  <r>
    <x v="9"/>
    <n v="8"/>
    <s v="fisher channel (8-5)"/>
    <s v="port john; commercial"/>
    <s v="sockeye"/>
    <x v="1"/>
    <s v="SN"/>
    <x v="5"/>
    <n v="11"/>
    <m/>
    <n v="7"/>
    <m/>
    <x v="1"/>
    <n v="14"/>
    <n v="42"/>
    <n v="42"/>
    <m/>
    <m/>
    <m/>
    <s v="1.stress in FW; 16"/>
  </r>
  <r>
    <x v="9"/>
    <n v="8"/>
    <s v="fisher channel (8-5)"/>
    <s v="port john; commercial"/>
    <s v="sockeye"/>
    <x v="1"/>
    <s v="SN"/>
    <x v="5"/>
    <n v="11"/>
    <m/>
    <n v="7"/>
    <m/>
    <x v="1"/>
    <n v="15"/>
    <n v="42"/>
    <n v="42"/>
    <m/>
    <m/>
    <m/>
    <s v="1.10"/>
  </r>
  <r>
    <x v="9"/>
    <n v="8"/>
    <s v="fisher channel (8-5)"/>
    <s v="port john; commercial"/>
    <s v="sockeye"/>
    <x v="1"/>
    <s v="SN"/>
    <x v="5"/>
    <n v="11"/>
    <m/>
    <n v="7"/>
    <m/>
    <x v="1"/>
    <n v="16"/>
    <s v="NA"/>
    <n v="52"/>
    <m/>
    <m/>
    <m/>
    <s v="2.8"/>
  </r>
  <r>
    <x v="9"/>
    <n v="8"/>
    <s v="fisher channel (8-5)"/>
    <s v="port john; commercial"/>
    <s v="sockeye"/>
    <x v="1"/>
    <s v="SN"/>
    <x v="5"/>
    <n v="11"/>
    <m/>
    <n v="7"/>
    <m/>
    <x v="1"/>
    <n v="17"/>
    <n v="42"/>
    <n v="42"/>
    <m/>
    <m/>
    <m/>
    <s v="1.10"/>
  </r>
  <r>
    <x v="9"/>
    <n v="8"/>
    <s v="fisher channel (8-5)"/>
    <s v="port john; commercial"/>
    <s v="sockeye"/>
    <x v="1"/>
    <s v="SN"/>
    <x v="5"/>
    <n v="11"/>
    <m/>
    <n v="7"/>
    <m/>
    <x v="1"/>
    <n v="18"/>
    <n v="42"/>
    <n v="42"/>
    <m/>
    <m/>
    <m/>
    <s v="1.10"/>
  </r>
  <r>
    <x v="9"/>
    <n v="8"/>
    <s v="fisher channel (8-5)"/>
    <s v="port john; commercial"/>
    <s v="sockeye"/>
    <x v="1"/>
    <s v="SN"/>
    <x v="5"/>
    <n v="11"/>
    <m/>
    <n v="7"/>
    <m/>
    <x v="1"/>
    <n v="19"/>
    <n v="42"/>
    <n v="42"/>
    <m/>
    <m/>
    <m/>
    <s v="1.9"/>
  </r>
  <r>
    <x v="9"/>
    <n v="8"/>
    <s v="fisher channel (8-5)"/>
    <s v="port john; commercial"/>
    <s v="sockeye"/>
    <x v="1"/>
    <s v="SN"/>
    <x v="5"/>
    <n v="11"/>
    <m/>
    <n v="7"/>
    <m/>
    <x v="1"/>
    <n v="20"/>
    <n v="42"/>
    <n v="42"/>
    <m/>
    <m/>
    <m/>
    <s v="1.11"/>
  </r>
  <r>
    <x v="9"/>
    <n v="8"/>
    <s v="fisher channel (8-5)"/>
    <s v="port john; commercial"/>
    <s v="sockeye"/>
    <x v="1"/>
    <s v="SN"/>
    <x v="5"/>
    <n v="11"/>
    <m/>
    <n v="7"/>
    <m/>
    <x v="1"/>
    <n v="21"/>
    <n v="42"/>
    <n v="42"/>
    <m/>
    <m/>
    <m/>
    <s v="1.15"/>
  </r>
  <r>
    <x v="9"/>
    <n v="8"/>
    <s v="fisher channel (8-5)"/>
    <s v="port john; commercial"/>
    <s v="sockeye"/>
    <x v="1"/>
    <s v="SN"/>
    <x v="5"/>
    <n v="11"/>
    <m/>
    <n v="7"/>
    <m/>
    <x v="1"/>
    <n v="22"/>
    <n v="42"/>
    <n v="42"/>
    <m/>
    <m/>
    <m/>
    <s v="1.11"/>
  </r>
  <r>
    <x v="9"/>
    <n v="8"/>
    <s v="fisher channel (8-5)"/>
    <s v="port john; commercial"/>
    <s v="sockeye"/>
    <x v="1"/>
    <s v="SN"/>
    <x v="5"/>
    <n v="11"/>
    <m/>
    <n v="7"/>
    <m/>
    <x v="1"/>
    <n v="23"/>
    <n v="42"/>
    <n v="42"/>
    <m/>
    <m/>
    <m/>
    <s v="1.15, 2.stress in FW"/>
  </r>
  <r>
    <x v="9"/>
    <n v="8"/>
    <s v="fisher channel (8-5)"/>
    <s v="port john; commercial"/>
    <s v="sockeye"/>
    <x v="1"/>
    <s v="SN"/>
    <x v="5"/>
    <n v="11"/>
    <m/>
    <n v="7"/>
    <m/>
    <x v="1"/>
    <n v="24"/>
    <n v="42"/>
    <n v="42"/>
    <m/>
    <m/>
    <m/>
    <s v="1.13"/>
  </r>
  <r>
    <x v="9"/>
    <n v="8"/>
    <s v="fisher channel (8-5)"/>
    <s v="port john; commercial"/>
    <s v="sockeye"/>
    <x v="1"/>
    <s v="SN"/>
    <x v="5"/>
    <n v="11"/>
    <m/>
    <n v="7"/>
    <m/>
    <x v="1"/>
    <n v="25"/>
    <n v="42"/>
    <n v="42"/>
    <m/>
    <m/>
    <m/>
    <s v="stress in FW; 1.14"/>
  </r>
  <r>
    <x v="10"/>
    <n v="8"/>
    <s v="namu (8-4)"/>
    <m/>
    <s v="sockeye"/>
    <x v="5"/>
    <s v="GN/SN"/>
    <x v="6"/>
    <n v="10"/>
    <m/>
    <n v="7"/>
    <m/>
    <x v="0"/>
    <n v="1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2"/>
    <n v="42"/>
    <m/>
    <m/>
    <m/>
    <m/>
    <s v="16"/>
  </r>
  <r>
    <x v="10"/>
    <n v="8"/>
    <s v="namu (8-4)"/>
    <m/>
    <s v="sockeye"/>
    <x v="5"/>
    <s v="GN/SN"/>
    <x v="6"/>
    <n v="10"/>
    <m/>
    <n v="7"/>
    <m/>
    <x v="0"/>
    <n v="3"/>
    <n v="42"/>
    <m/>
    <m/>
    <m/>
    <m/>
    <s v="15"/>
  </r>
  <r>
    <x v="10"/>
    <n v="8"/>
    <s v="namu (8-4)"/>
    <m/>
    <s v="sockeye"/>
    <x v="5"/>
    <s v="GN/SN"/>
    <x v="6"/>
    <n v="10"/>
    <m/>
    <n v="7"/>
    <m/>
    <x v="0"/>
    <n v="4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5"/>
    <n v="42"/>
    <m/>
    <m/>
    <m/>
    <m/>
    <s v="16"/>
  </r>
  <r>
    <x v="10"/>
    <n v="8"/>
    <s v="namu (8-4)"/>
    <m/>
    <s v="sockeye"/>
    <x v="5"/>
    <s v="GN/SN"/>
    <x v="6"/>
    <n v="10"/>
    <m/>
    <n v="7"/>
    <m/>
    <x v="0"/>
    <n v="6"/>
    <n v="42"/>
    <m/>
    <m/>
    <m/>
    <m/>
    <s v="16"/>
  </r>
  <r>
    <x v="10"/>
    <n v="8"/>
    <s v="namu (8-4)"/>
    <m/>
    <s v="sockeye"/>
    <x v="5"/>
    <s v="GN/SN"/>
    <x v="6"/>
    <n v="10"/>
    <m/>
    <n v="7"/>
    <m/>
    <x v="0"/>
    <n v="7"/>
    <n v="52"/>
    <m/>
    <m/>
    <m/>
    <m/>
    <s v="10"/>
  </r>
  <r>
    <x v="10"/>
    <n v="8"/>
    <s v="namu (8-4)"/>
    <m/>
    <s v="sockeye"/>
    <x v="5"/>
    <s v="GN/SN"/>
    <x v="6"/>
    <n v="10"/>
    <m/>
    <n v="7"/>
    <m/>
    <x v="0"/>
    <n v="8"/>
    <n v="52"/>
    <m/>
    <m/>
    <m/>
    <m/>
    <s v="10+5"/>
  </r>
  <r>
    <x v="10"/>
    <n v="8"/>
    <s v="namu (8-4)"/>
    <m/>
    <s v="sockeye"/>
    <x v="5"/>
    <s v="GN/SN"/>
    <x v="6"/>
    <n v="10"/>
    <m/>
    <n v="7"/>
    <m/>
    <x v="0"/>
    <n v="9"/>
    <n v="52"/>
    <m/>
    <m/>
    <m/>
    <m/>
    <s v="9"/>
  </r>
  <r>
    <x v="10"/>
    <n v="8"/>
    <s v="namu (8-4)"/>
    <m/>
    <s v="sockeye"/>
    <x v="5"/>
    <s v="GN/SN"/>
    <x v="6"/>
    <n v="10"/>
    <m/>
    <n v="7"/>
    <m/>
    <x v="0"/>
    <n v="10"/>
    <n v="42"/>
    <m/>
    <m/>
    <m/>
    <m/>
    <s v="7+3"/>
  </r>
  <r>
    <x v="10"/>
    <n v="8"/>
    <s v="namu (8-4)"/>
    <m/>
    <s v="sockeye"/>
    <x v="5"/>
    <s v="GN/SN"/>
    <x v="6"/>
    <n v="10"/>
    <m/>
    <n v="7"/>
    <m/>
    <x v="0"/>
    <n v="11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12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13"/>
    <n v="31"/>
    <m/>
    <m/>
    <m/>
    <m/>
    <m/>
  </r>
  <r>
    <x v="10"/>
    <n v="8"/>
    <s v="namu (8-4)"/>
    <m/>
    <s v="sockeye"/>
    <x v="5"/>
    <s v="GN/SN"/>
    <x v="6"/>
    <n v="10"/>
    <m/>
    <n v="7"/>
    <m/>
    <x v="0"/>
    <n v="14"/>
    <n v="42"/>
    <m/>
    <m/>
    <m/>
    <m/>
    <s v="12"/>
  </r>
  <r>
    <x v="10"/>
    <n v="8"/>
    <s v="namu (8-4)"/>
    <m/>
    <s v="sockeye"/>
    <x v="5"/>
    <s v="GN/SN"/>
    <x v="6"/>
    <n v="10"/>
    <m/>
    <n v="7"/>
    <m/>
    <x v="0"/>
    <n v="15"/>
    <n v="52"/>
    <m/>
    <m/>
    <m/>
    <m/>
    <s v="8"/>
  </r>
  <r>
    <x v="10"/>
    <n v="8"/>
    <s v="namu (8-4)"/>
    <m/>
    <s v="sockeye"/>
    <x v="5"/>
    <s v="GN/SN"/>
    <x v="6"/>
    <n v="10"/>
    <m/>
    <n v="7"/>
    <m/>
    <x v="0"/>
    <n v="16"/>
    <n v="52"/>
    <m/>
    <m/>
    <m/>
    <m/>
    <s v="16"/>
  </r>
  <r>
    <x v="10"/>
    <n v="8"/>
    <s v="namu (8-4)"/>
    <m/>
    <s v="sockeye"/>
    <x v="5"/>
    <s v="GN/SN"/>
    <x v="6"/>
    <n v="10"/>
    <m/>
    <n v="7"/>
    <m/>
    <x v="0"/>
    <n v="17"/>
    <n v="52"/>
    <m/>
    <m/>
    <m/>
    <m/>
    <s v="16"/>
  </r>
  <r>
    <x v="10"/>
    <n v="8"/>
    <s v="namu (8-4)"/>
    <m/>
    <s v="sockeye"/>
    <x v="5"/>
    <s v="GN/SN"/>
    <x v="6"/>
    <n v="10"/>
    <m/>
    <n v="7"/>
    <m/>
    <x v="0"/>
    <n v="18"/>
    <n v="52"/>
    <m/>
    <m/>
    <m/>
    <m/>
    <s v="10"/>
  </r>
  <r>
    <x v="10"/>
    <n v="8"/>
    <s v="namu (8-4)"/>
    <m/>
    <s v="sockeye"/>
    <x v="5"/>
    <s v="GN/SN"/>
    <x v="6"/>
    <n v="10"/>
    <m/>
    <n v="7"/>
    <m/>
    <x v="0"/>
    <n v="19"/>
    <n v="52"/>
    <m/>
    <m/>
    <m/>
    <m/>
    <s v="poor"/>
  </r>
  <r>
    <x v="10"/>
    <n v="8"/>
    <s v="namu (8-4)"/>
    <m/>
    <s v="sockeye"/>
    <x v="5"/>
    <s v="GN/SN"/>
    <x v="6"/>
    <n v="10"/>
    <m/>
    <n v="7"/>
    <m/>
    <x v="0"/>
    <n v="20"/>
    <n v="52"/>
    <m/>
    <m/>
    <m/>
    <m/>
    <s v="7+4"/>
  </r>
  <r>
    <x v="10"/>
    <n v="8"/>
    <s v="namu (8-4)"/>
    <m/>
    <s v="sockeye"/>
    <x v="5"/>
    <s v="GN/SN"/>
    <x v="6"/>
    <n v="10"/>
    <m/>
    <n v="7"/>
    <m/>
    <x v="0"/>
    <n v="21"/>
    <n v="53"/>
    <m/>
    <m/>
    <m/>
    <m/>
    <s v="8+11"/>
  </r>
  <r>
    <x v="10"/>
    <n v="8"/>
    <s v="namu (8-4)"/>
    <m/>
    <s v="sockeye"/>
    <x v="5"/>
    <s v="GN/SN"/>
    <x v="6"/>
    <n v="10"/>
    <m/>
    <n v="7"/>
    <m/>
    <x v="0"/>
    <n v="22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23"/>
    <n v="53"/>
    <m/>
    <m/>
    <m/>
    <m/>
    <s v="12+11"/>
  </r>
  <r>
    <x v="10"/>
    <n v="8"/>
    <s v="namu (8-4)"/>
    <m/>
    <s v="sockeye"/>
    <x v="5"/>
    <s v="GN/SN"/>
    <x v="6"/>
    <n v="10"/>
    <m/>
    <n v="7"/>
    <m/>
    <x v="0"/>
    <n v="24"/>
    <n v="52"/>
    <m/>
    <m/>
    <m/>
    <m/>
    <s v="13"/>
  </r>
  <r>
    <x v="10"/>
    <n v="8"/>
    <s v="namu (8-4)"/>
    <m/>
    <s v="sockeye"/>
    <x v="5"/>
    <s v="GN/SN"/>
    <x v="6"/>
    <n v="10"/>
    <m/>
    <n v="7"/>
    <m/>
    <x v="0"/>
    <n v="25"/>
    <n v="52"/>
    <m/>
    <m/>
    <m/>
    <m/>
    <s v="10"/>
  </r>
  <r>
    <x v="10"/>
    <n v="8"/>
    <s v="namu (8-4)"/>
    <m/>
    <s v="sockeye"/>
    <x v="5"/>
    <s v="GN/SN"/>
    <x v="6"/>
    <n v="10"/>
    <m/>
    <n v="7"/>
    <m/>
    <x v="0"/>
    <n v="26"/>
    <n v="52"/>
    <m/>
    <m/>
    <m/>
    <m/>
    <s v="7"/>
  </r>
  <r>
    <x v="10"/>
    <n v="8"/>
    <s v="namu (8-4)"/>
    <m/>
    <s v="sockeye"/>
    <x v="5"/>
    <s v="GN/SN"/>
    <x v="6"/>
    <n v="10"/>
    <m/>
    <n v="7"/>
    <m/>
    <x v="0"/>
    <n v="27"/>
    <n v="42"/>
    <m/>
    <m/>
    <m/>
    <m/>
    <s v="15+4"/>
  </r>
  <r>
    <x v="10"/>
    <n v="8"/>
    <s v="namu (8-4)"/>
    <m/>
    <s v="sockeye"/>
    <x v="5"/>
    <s v="GN/SN"/>
    <x v="6"/>
    <n v="10"/>
    <m/>
    <n v="7"/>
    <m/>
    <x v="0"/>
    <n v="28"/>
    <n v="53"/>
    <m/>
    <m/>
    <m/>
    <m/>
    <s v="13+18"/>
  </r>
  <r>
    <x v="10"/>
    <n v="8"/>
    <s v="namu (8-4)"/>
    <m/>
    <s v="sockeye"/>
    <x v="5"/>
    <s v="GN/SN"/>
    <x v="6"/>
    <n v="10"/>
    <m/>
    <n v="7"/>
    <m/>
    <x v="0"/>
    <n v="29"/>
    <n v="52"/>
    <m/>
    <m/>
    <m/>
    <m/>
    <s v="9"/>
  </r>
  <r>
    <x v="10"/>
    <n v="8"/>
    <s v="namu (8-4)"/>
    <m/>
    <s v="sockeye"/>
    <x v="5"/>
    <s v="GN/SN"/>
    <x v="6"/>
    <n v="10"/>
    <m/>
    <n v="7"/>
    <m/>
    <x v="0"/>
    <n v="30"/>
    <n v="52"/>
    <m/>
    <m/>
    <m/>
    <m/>
    <s v="14"/>
  </r>
  <r>
    <x v="10"/>
    <n v="8"/>
    <s v="namu (8-4)"/>
    <m/>
    <s v="sockeye"/>
    <x v="5"/>
    <s v="GN/SN"/>
    <x v="6"/>
    <n v="10"/>
    <m/>
    <n v="7"/>
    <m/>
    <x v="0"/>
    <n v="31"/>
    <n v="42"/>
    <m/>
    <m/>
    <m/>
    <m/>
    <s v="16"/>
  </r>
  <r>
    <x v="10"/>
    <n v="8"/>
    <s v="namu (8-4)"/>
    <m/>
    <s v="sockeye"/>
    <x v="5"/>
    <s v="GN/SN"/>
    <x v="6"/>
    <n v="10"/>
    <m/>
    <n v="7"/>
    <m/>
    <x v="0"/>
    <n v="32"/>
    <n v="42"/>
    <m/>
    <m/>
    <m/>
    <m/>
    <s v="13"/>
  </r>
  <r>
    <x v="10"/>
    <n v="8"/>
    <s v="namu (8-4)"/>
    <m/>
    <s v="sockeye"/>
    <x v="5"/>
    <s v="GN/SN"/>
    <x v="6"/>
    <n v="10"/>
    <m/>
    <n v="7"/>
    <m/>
    <x v="0"/>
    <n v="33"/>
    <n v="42"/>
    <m/>
    <m/>
    <m/>
    <m/>
    <s v="14"/>
  </r>
  <r>
    <x v="10"/>
    <n v="8"/>
    <s v="namu (8-4)"/>
    <m/>
    <s v="sockeye"/>
    <x v="5"/>
    <s v="GN/SN"/>
    <x v="6"/>
    <n v="10"/>
    <m/>
    <n v="7"/>
    <m/>
    <x v="0"/>
    <n v="34"/>
    <n v="42"/>
    <m/>
    <m/>
    <m/>
    <m/>
    <s v="13"/>
  </r>
  <r>
    <x v="10"/>
    <n v="8"/>
    <s v="namu (8-4)"/>
    <m/>
    <s v="sockeye"/>
    <x v="5"/>
    <s v="GN/SN"/>
    <x v="6"/>
    <n v="10"/>
    <m/>
    <n v="7"/>
    <m/>
    <x v="0"/>
    <n v="35"/>
    <m/>
    <m/>
    <m/>
    <m/>
    <m/>
    <s v="poor"/>
  </r>
  <r>
    <x v="10"/>
    <n v="8"/>
    <s v="namu (8-4)"/>
    <m/>
    <s v="sockeye"/>
    <x v="5"/>
    <s v="GN/SN"/>
    <x v="6"/>
    <n v="10"/>
    <m/>
    <n v="7"/>
    <m/>
    <x v="0"/>
    <n v="36"/>
    <n v="42"/>
    <m/>
    <m/>
    <m/>
    <m/>
    <s v="14"/>
  </r>
  <r>
    <x v="10"/>
    <n v="8"/>
    <s v="namu (8-4)"/>
    <m/>
    <s v="sockeye"/>
    <x v="5"/>
    <s v="GN/SN"/>
    <x v="6"/>
    <n v="10"/>
    <m/>
    <n v="7"/>
    <m/>
    <x v="0"/>
    <n v="37"/>
    <n v="42"/>
    <m/>
    <m/>
    <m/>
    <m/>
    <s v="poor"/>
  </r>
  <r>
    <x v="10"/>
    <n v="8"/>
    <s v="namu (8-4)"/>
    <m/>
    <s v="sockeye"/>
    <x v="5"/>
    <s v="GN/SN"/>
    <x v="6"/>
    <n v="10"/>
    <m/>
    <n v="7"/>
    <m/>
    <x v="0"/>
    <n v="38"/>
    <n v="52"/>
    <m/>
    <m/>
    <m/>
    <m/>
    <s v="9+3"/>
  </r>
  <r>
    <x v="10"/>
    <n v="8"/>
    <s v="namu (8-4)"/>
    <m/>
    <s v="sockeye"/>
    <x v="5"/>
    <s v="GN/SN"/>
    <x v="6"/>
    <n v="10"/>
    <m/>
    <n v="7"/>
    <m/>
    <x v="0"/>
    <n v="39"/>
    <n v="52"/>
    <m/>
    <m/>
    <m/>
    <m/>
    <s v="9+2"/>
  </r>
  <r>
    <x v="10"/>
    <n v="8"/>
    <s v="namu (8-4)"/>
    <m/>
    <s v="sockeye"/>
    <x v="5"/>
    <s v="GN/SN"/>
    <x v="6"/>
    <n v="10"/>
    <m/>
    <n v="7"/>
    <m/>
    <x v="0"/>
    <n v="40"/>
    <n v="52"/>
    <m/>
    <m/>
    <m/>
    <m/>
    <s v="R"/>
  </r>
  <r>
    <x v="10"/>
    <n v="8"/>
    <s v="namu (8-4)"/>
    <m/>
    <s v="sockeye"/>
    <x v="5"/>
    <s v="GN/SN"/>
    <x v="6"/>
    <n v="10"/>
    <m/>
    <n v="7"/>
    <m/>
    <x v="0"/>
    <n v="41"/>
    <n v="52"/>
    <m/>
    <m/>
    <m/>
    <m/>
    <s v="10"/>
  </r>
  <r>
    <x v="10"/>
    <n v="8"/>
    <s v="namu (8-4)"/>
    <m/>
    <s v="sockeye"/>
    <x v="5"/>
    <s v="GN/SN"/>
    <x v="6"/>
    <n v="10"/>
    <m/>
    <n v="7"/>
    <m/>
    <x v="0"/>
    <n v="42"/>
    <n v="52"/>
    <m/>
    <m/>
    <m/>
    <m/>
    <s v="8"/>
  </r>
  <r>
    <x v="10"/>
    <n v="8"/>
    <s v="namu (8-4)"/>
    <m/>
    <s v="sockeye"/>
    <x v="5"/>
    <s v="GN/SN"/>
    <x v="6"/>
    <n v="10"/>
    <m/>
    <n v="7"/>
    <m/>
    <x v="0"/>
    <n v="43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44"/>
    <n v="52"/>
    <m/>
    <m/>
    <m/>
    <m/>
    <s v="12"/>
  </r>
  <r>
    <x v="10"/>
    <n v="8"/>
    <s v="namu (8-4)"/>
    <m/>
    <s v="sockeye"/>
    <x v="5"/>
    <s v="GN/SN"/>
    <x v="6"/>
    <n v="10"/>
    <m/>
    <n v="7"/>
    <m/>
    <x v="0"/>
    <n v="45"/>
    <n v="52"/>
    <m/>
    <m/>
    <m/>
    <m/>
    <s v="8"/>
  </r>
  <r>
    <x v="10"/>
    <n v="8"/>
    <s v="namu (8-4)"/>
    <m/>
    <s v="sockeye"/>
    <x v="5"/>
    <s v="GN/SN"/>
    <x v="6"/>
    <n v="10"/>
    <m/>
    <n v="7"/>
    <m/>
    <x v="0"/>
    <n v="46"/>
    <s v="R"/>
    <m/>
    <m/>
    <m/>
    <m/>
    <m/>
  </r>
  <r>
    <x v="10"/>
    <n v="8"/>
    <s v="namu (8-4)"/>
    <m/>
    <s v="sockeye"/>
    <x v="5"/>
    <s v="GN/SN"/>
    <x v="6"/>
    <n v="10"/>
    <m/>
    <n v="7"/>
    <m/>
    <x v="0"/>
    <n v="47"/>
    <m/>
    <m/>
    <m/>
    <m/>
    <m/>
    <m/>
  </r>
  <r>
    <x v="10"/>
    <n v="8"/>
    <s v="namu (8-4)"/>
    <m/>
    <s v="sockeye"/>
    <x v="5"/>
    <s v="GN/SN"/>
    <x v="6"/>
    <n v="10"/>
    <m/>
    <n v="7"/>
    <m/>
    <x v="0"/>
    <n v="48"/>
    <n v="52"/>
    <m/>
    <m/>
    <m/>
    <m/>
    <s v="8"/>
  </r>
  <r>
    <x v="10"/>
    <n v="8"/>
    <s v="namu (8-4)"/>
    <m/>
    <s v="sockeye"/>
    <x v="5"/>
    <s v="GN/SN"/>
    <x v="6"/>
    <n v="10"/>
    <m/>
    <n v="7"/>
    <m/>
    <x v="0"/>
    <n v="49"/>
    <n v="52"/>
    <m/>
    <m/>
    <m/>
    <m/>
    <s v="7"/>
  </r>
  <r>
    <x v="10"/>
    <n v="8"/>
    <s v="namu (8-4)"/>
    <m/>
    <s v="sockeye"/>
    <x v="5"/>
    <s v="GN/SN"/>
    <x v="6"/>
    <n v="10"/>
    <m/>
    <n v="7"/>
    <m/>
    <x v="0"/>
    <n v="50"/>
    <n v="42"/>
    <m/>
    <m/>
    <m/>
    <m/>
    <s v="12"/>
  </r>
  <r>
    <x v="10"/>
    <n v="8"/>
    <s v="namu (8-4)"/>
    <m/>
    <s v="sockeye"/>
    <x v="5"/>
    <s v="GN/SN"/>
    <x v="6"/>
    <n v="10"/>
    <m/>
    <n v="7"/>
    <m/>
    <x v="1"/>
    <n v="1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3"/>
    <s v="NA"/>
    <m/>
    <m/>
    <m/>
    <m/>
    <m/>
  </r>
  <r>
    <x v="10"/>
    <n v="8"/>
    <s v="namu (8-4)"/>
    <m/>
    <s v="sockeye"/>
    <x v="5"/>
    <s v="GN/SN"/>
    <x v="6"/>
    <n v="10"/>
    <m/>
    <n v="7"/>
    <m/>
    <x v="1"/>
    <n v="4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5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6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7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8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9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10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11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12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13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14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15"/>
    <s v="R"/>
    <m/>
    <m/>
    <m/>
    <m/>
    <m/>
  </r>
  <r>
    <x v="10"/>
    <n v="8"/>
    <s v="namu (8-4)"/>
    <m/>
    <s v="sockeye"/>
    <x v="5"/>
    <s v="GN/SN"/>
    <x v="6"/>
    <n v="10"/>
    <m/>
    <n v="7"/>
    <m/>
    <x v="1"/>
    <n v="16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17"/>
    <s v="R"/>
    <m/>
    <m/>
    <m/>
    <m/>
    <m/>
  </r>
  <r>
    <x v="10"/>
    <n v="8"/>
    <s v="namu (8-4)"/>
    <m/>
    <s v="sockeye"/>
    <x v="5"/>
    <s v="GN/SN"/>
    <x v="6"/>
    <n v="10"/>
    <m/>
    <n v="7"/>
    <m/>
    <x v="1"/>
    <n v="18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19"/>
    <s v="R"/>
    <m/>
    <m/>
    <m/>
    <m/>
    <m/>
  </r>
  <r>
    <x v="10"/>
    <n v="8"/>
    <s v="namu (8-4)"/>
    <m/>
    <s v="sockeye"/>
    <x v="5"/>
    <s v="GN/SN"/>
    <x v="6"/>
    <n v="10"/>
    <m/>
    <n v="7"/>
    <m/>
    <x v="1"/>
    <n v="20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1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2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3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4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5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26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27"/>
    <s v="R"/>
    <m/>
    <m/>
    <m/>
    <m/>
    <m/>
  </r>
  <r>
    <x v="10"/>
    <n v="8"/>
    <s v="namu (8-4)"/>
    <m/>
    <s v="sockeye"/>
    <x v="5"/>
    <s v="GN/SN"/>
    <x v="6"/>
    <n v="10"/>
    <m/>
    <n v="7"/>
    <m/>
    <x v="1"/>
    <n v="28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29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30"/>
    <s v="R"/>
    <m/>
    <m/>
    <m/>
    <m/>
    <m/>
  </r>
  <r>
    <x v="10"/>
    <n v="8"/>
    <s v="namu (8-4)"/>
    <m/>
    <s v="sockeye"/>
    <x v="5"/>
    <s v="GN/SN"/>
    <x v="6"/>
    <n v="10"/>
    <m/>
    <n v="7"/>
    <m/>
    <x v="1"/>
    <n v="31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32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33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34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35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36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37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38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39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40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41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42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43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44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45"/>
    <n v="42"/>
    <m/>
    <m/>
    <m/>
    <m/>
    <m/>
  </r>
  <r>
    <x v="10"/>
    <n v="8"/>
    <s v="namu (8-4)"/>
    <m/>
    <s v="sockeye"/>
    <x v="5"/>
    <s v="GN/SN"/>
    <x v="6"/>
    <n v="10"/>
    <m/>
    <n v="7"/>
    <m/>
    <x v="1"/>
    <n v="46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47"/>
    <s v="R"/>
    <m/>
    <m/>
    <m/>
    <m/>
    <m/>
  </r>
  <r>
    <x v="10"/>
    <n v="8"/>
    <s v="namu (8-4)"/>
    <m/>
    <s v="sockeye"/>
    <x v="5"/>
    <s v="GN/SN"/>
    <x v="6"/>
    <n v="10"/>
    <m/>
    <n v="7"/>
    <m/>
    <x v="1"/>
    <n v="48"/>
    <n v="52"/>
    <m/>
    <m/>
    <m/>
    <m/>
    <m/>
  </r>
  <r>
    <x v="10"/>
    <n v="8"/>
    <s v="namu (8-4)"/>
    <m/>
    <s v="sockeye"/>
    <x v="5"/>
    <s v="GN/SN"/>
    <x v="6"/>
    <n v="10"/>
    <m/>
    <n v="7"/>
    <m/>
    <x v="1"/>
    <n v="49"/>
    <n v="53"/>
    <m/>
    <m/>
    <m/>
    <m/>
    <m/>
  </r>
  <r>
    <x v="10"/>
    <n v="8"/>
    <s v="namu (8-4)"/>
    <m/>
    <s v="sockeye"/>
    <x v="5"/>
    <s v="GN/SN"/>
    <x v="6"/>
    <n v="10"/>
    <m/>
    <n v="7"/>
    <m/>
    <x v="1"/>
    <n v="50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1"/>
    <s v="R"/>
    <m/>
    <m/>
    <m/>
    <m/>
    <m/>
  </r>
  <r>
    <x v="10"/>
    <n v="8"/>
    <s v="namu (8-4)"/>
    <m/>
    <s v="sockeye"/>
    <x v="5"/>
    <s v="GN/SN"/>
    <x v="6"/>
    <n v="10"/>
    <m/>
    <n v="7"/>
    <m/>
    <x v="2"/>
    <n v="2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3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4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5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6"/>
    <s v="R"/>
    <m/>
    <m/>
    <m/>
    <m/>
    <m/>
  </r>
  <r>
    <x v="10"/>
    <n v="8"/>
    <s v="namu (8-4)"/>
    <m/>
    <s v="sockeye"/>
    <x v="5"/>
    <s v="GN/SN"/>
    <x v="6"/>
    <n v="10"/>
    <m/>
    <n v="7"/>
    <m/>
    <x v="2"/>
    <n v="7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8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9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10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11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12"/>
    <m/>
    <m/>
    <m/>
    <m/>
    <m/>
    <s v="poor"/>
  </r>
  <r>
    <x v="10"/>
    <n v="8"/>
    <s v="namu (8-4)"/>
    <m/>
    <s v="sockeye"/>
    <x v="5"/>
    <s v="GN/SN"/>
    <x v="6"/>
    <n v="10"/>
    <m/>
    <n v="7"/>
    <m/>
    <x v="2"/>
    <n v="13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14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15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16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17"/>
    <n v="63"/>
    <m/>
    <m/>
    <m/>
    <m/>
    <m/>
  </r>
  <r>
    <x v="10"/>
    <n v="8"/>
    <s v="namu (8-4)"/>
    <m/>
    <s v="sockeye"/>
    <x v="5"/>
    <s v="GN/SN"/>
    <x v="6"/>
    <n v="10"/>
    <m/>
    <n v="7"/>
    <m/>
    <x v="2"/>
    <n v="18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19"/>
    <m/>
    <m/>
    <m/>
    <m/>
    <m/>
    <s v="sp?"/>
  </r>
  <r>
    <x v="10"/>
    <n v="8"/>
    <s v="namu (8-4)"/>
    <m/>
    <s v="sockeye"/>
    <x v="5"/>
    <s v="GN/SN"/>
    <x v="6"/>
    <n v="10"/>
    <m/>
    <n v="7"/>
    <m/>
    <x v="2"/>
    <n v="20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21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22"/>
    <s v="R"/>
    <m/>
    <m/>
    <m/>
    <m/>
    <m/>
  </r>
  <r>
    <x v="10"/>
    <n v="8"/>
    <s v="namu (8-4)"/>
    <m/>
    <s v="sockeye"/>
    <x v="5"/>
    <s v="GN/SN"/>
    <x v="6"/>
    <n v="10"/>
    <m/>
    <n v="7"/>
    <m/>
    <x v="2"/>
    <n v="23"/>
    <s v="R"/>
    <m/>
    <m/>
    <m/>
    <m/>
    <m/>
  </r>
  <r>
    <x v="10"/>
    <n v="8"/>
    <s v="namu (8-4)"/>
    <m/>
    <s v="sockeye"/>
    <x v="5"/>
    <s v="GN/SN"/>
    <x v="6"/>
    <n v="10"/>
    <m/>
    <n v="7"/>
    <m/>
    <x v="2"/>
    <n v="24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25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26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27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28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29"/>
    <s v="R"/>
    <m/>
    <m/>
    <m/>
    <m/>
    <m/>
  </r>
  <r>
    <x v="10"/>
    <n v="8"/>
    <s v="namu (8-4)"/>
    <m/>
    <s v="sockeye"/>
    <x v="5"/>
    <s v="GN/SN"/>
    <x v="6"/>
    <n v="10"/>
    <m/>
    <n v="7"/>
    <m/>
    <x v="2"/>
    <n v="30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31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32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33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34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35"/>
    <s v="R"/>
    <m/>
    <m/>
    <m/>
    <m/>
    <m/>
  </r>
  <r>
    <x v="10"/>
    <n v="8"/>
    <s v="namu (8-4)"/>
    <m/>
    <s v="sockeye"/>
    <x v="5"/>
    <s v="GN/SN"/>
    <x v="6"/>
    <n v="10"/>
    <m/>
    <n v="7"/>
    <m/>
    <x v="2"/>
    <n v="36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37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38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39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40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41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42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43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44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45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46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47"/>
    <n v="52"/>
    <m/>
    <m/>
    <m/>
    <m/>
    <m/>
  </r>
  <r>
    <x v="10"/>
    <n v="8"/>
    <s v="namu (8-4)"/>
    <m/>
    <s v="sockeye"/>
    <x v="5"/>
    <s v="GN/SN"/>
    <x v="6"/>
    <n v="10"/>
    <m/>
    <n v="7"/>
    <m/>
    <x v="2"/>
    <n v="48"/>
    <n v="42"/>
    <m/>
    <m/>
    <m/>
    <m/>
    <m/>
  </r>
  <r>
    <x v="10"/>
    <n v="8"/>
    <s v="namu (8-4)"/>
    <m/>
    <s v="sockeye"/>
    <x v="5"/>
    <s v="GN/SN"/>
    <x v="6"/>
    <n v="10"/>
    <m/>
    <n v="7"/>
    <m/>
    <x v="2"/>
    <n v="49"/>
    <n v="53"/>
    <m/>
    <m/>
    <m/>
    <m/>
    <m/>
  </r>
  <r>
    <x v="10"/>
    <n v="8"/>
    <s v="namu (8-4)"/>
    <m/>
    <s v="sockeye"/>
    <x v="5"/>
    <s v="GN/SN"/>
    <x v="6"/>
    <n v="10"/>
    <m/>
    <n v="7"/>
    <m/>
    <x v="2"/>
    <n v="50"/>
    <s v="R"/>
    <m/>
    <m/>
    <m/>
    <m/>
    <m/>
  </r>
  <r>
    <x v="10"/>
    <n v="8"/>
    <s v="namu (8-4)"/>
    <m/>
    <s v="sockeye"/>
    <x v="5"/>
    <s v="GN/SN"/>
    <x v="6"/>
    <n v="10"/>
    <m/>
    <n v="7"/>
    <m/>
    <x v="3"/>
    <n v="1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3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4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5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6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7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8"/>
    <n v="53"/>
    <m/>
    <m/>
    <m/>
    <m/>
    <m/>
  </r>
  <r>
    <x v="10"/>
    <n v="8"/>
    <s v="namu (8-4)"/>
    <m/>
    <s v="sockeye"/>
    <x v="5"/>
    <s v="GN/SN"/>
    <x v="6"/>
    <n v="10"/>
    <m/>
    <n v="7"/>
    <m/>
    <x v="3"/>
    <n v="9"/>
    <n v="53"/>
    <m/>
    <m/>
    <m/>
    <m/>
    <s v="10+11"/>
  </r>
  <r>
    <x v="10"/>
    <n v="8"/>
    <s v="namu (8-4)"/>
    <m/>
    <s v="sockeye"/>
    <x v="5"/>
    <s v="GN/SN"/>
    <x v="6"/>
    <n v="10"/>
    <m/>
    <n v="7"/>
    <m/>
    <x v="3"/>
    <n v="10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11"/>
    <s v="R"/>
    <m/>
    <m/>
    <m/>
    <m/>
    <m/>
  </r>
  <r>
    <x v="10"/>
    <n v="8"/>
    <s v="namu (8-4)"/>
    <m/>
    <s v="sockeye"/>
    <x v="5"/>
    <s v="GN/SN"/>
    <x v="6"/>
    <n v="10"/>
    <m/>
    <n v="7"/>
    <m/>
    <x v="3"/>
    <n v="12"/>
    <s v="NA"/>
    <m/>
    <m/>
    <m/>
    <m/>
    <m/>
  </r>
  <r>
    <x v="10"/>
    <n v="8"/>
    <s v="namu (8-4)"/>
    <m/>
    <s v="sockeye"/>
    <x v="5"/>
    <s v="GN/SN"/>
    <x v="6"/>
    <n v="10"/>
    <m/>
    <n v="7"/>
    <m/>
    <x v="3"/>
    <n v="13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14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15"/>
    <s v="R"/>
    <m/>
    <m/>
    <m/>
    <m/>
    <m/>
  </r>
  <r>
    <x v="10"/>
    <n v="8"/>
    <s v="namu (8-4)"/>
    <m/>
    <s v="sockeye"/>
    <x v="5"/>
    <s v="GN/SN"/>
    <x v="6"/>
    <n v="10"/>
    <m/>
    <n v="7"/>
    <m/>
    <x v="3"/>
    <n v="16"/>
    <s v="NA"/>
    <m/>
    <m/>
    <m/>
    <m/>
    <m/>
  </r>
  <r>
    <x v="10"/>
    <n v="8"/>
    <s v="namu (8-4)"/>
    <m/>
    <s v="sockeye"/>
    <x v="5"/>
    <s v="GN/SN"/>
    <x v="6"/>
    <n v="10"/>
    <m/>
    <n v="7"/>
    <m/>
    <x v="3"/>
    <n v="17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18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19"/>
    <n v="53"/>
    <m/>
    <m/>
    <m/>
    <m/>
    <m/>
  </r>
  <r>
    <x v="10"/>
    <n v="8"/>
    <s v="namu (8-4)"/>
    <m/>
    <s v="sockeye"/>
    <x v="5"/>
    <s v="GN/SN"/>
    <x v="6"/>
    <n v="10"/>
    <m/>
    <n v="7"/>
    <m/>
    <x v="3"/>
    <n v="20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1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2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3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4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25"/>
    <s v="NA"/>
    <m/>
    <m/>
    <m/>
    <m/>
    <m/>
  </r>
  <r>
    <x v="10"/>
    <n v="8"/>
    <s v="namu (8-4)"/>
    <m/>
    <s v="sockeye"/>
    <x v="5"/>
    <s v="GN/SN"/>
    <x v="6"/>
    <n v="10"/>
    <m/>
    <n v="7"/>
    <m/>
    <x v="3"/>
    <n v="26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7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8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29"/>
    <s v="R"/>
    <m/>
    <m/>
    <m/>
    <m/>
    <m/>
  </r>
  <r>
    <x v="10"/>
    <n v="8"/>
    <s v="namu (8-4)"/>
    <m/>
    <s v="sockeye"/>
    <x v="5"/>
    <s v="GN/SN"/>
    <x v="6"/>
    <n v="10"/>
    <m/>
    <n v="7"/>
    <m/>
    <x v="3"/>
    <n v="30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31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32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33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34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35"/>
    <s v="NA"/>
    <m/>
    <m/>
    <m/>
    <m/>
    <m/>
  </r>
  <r>
    <x v="10"/>
    <n v="8"/>
    <s v="namu (8-4)"/>
    <m/>
    <s v="sockeye"/>
    <x v="5"/>
    <s v="GN/SN"/>
    <x v="6"/>
    <n v="10"/>
    <m/>
    <n v="7"/>
    <m/>
    <x v="3"/>
    <n v="36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37"/>
    <m/>
    <m/>
    <m/>
    <m/>
    <m/>
    <s v="sp?"/>
  </r>
  <r>
    <x v="10"/>
    <n v="8"/>
    <s v="namu (8-4)"/>
    <m/>
    <s v="sockeye"/>
    <x v="5"/>
    <s v="GN/SN"/>
    <x v="6"/>
    <n v="10"/>
    <m/>
    <n v="7"/>
    <m/>
    <x v="3"/>
    <n v="38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39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40"/>
    <s v="R"/>
    <m/>
    <m/>
    <m/>
    <m/>
    <m/>
  </r>
  <r>
    <x v="10"/>
    <n v="8"/>
    <s v="namu (8-4)"/>
    <m/>
    <s v="sockeye"/>
    <x v="5"/>
    <s v="GN/SN"/>
    <x v="6"/>
    <n v="10"/>
    <m/>
    <n v="7"/>
    <m/>
    <x v="3"/>
    <n v="41"/>
    <n v="53"/>
    <m/>
    <m/>
    <m/>
    <m/>
    <m/>
  </r>
  <r>
    <x v="10"/>
    <n v="8"/>
    <s v="namu (8-4)"/>
    <m/>
    <s v="sockeye"/>
    <x v="5"/>
    <s v="GN/SN"/>
    <x v="6"/>
    <n v="10"/>
    <m/>
    <n v="7"/>
    <m/>
    <x v="3"/>
    <n v="42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43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44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45"/>
    <n v="52"/>
    <m/>
    <m/>
    <m/>
    <m/>
    <m/>
  </r>
  <r>
    <x v="10"/>
    <n v="8"/>
    <s v="namu (8-4)"/>
    <m/>
    <s v="sockeye"/>
    <x v="5"/>
    <s v="GN/SN"/>
    <x v="6"/>
    <n v="10"/>
    <m/>
    <n v="7"/>
    <m/>
    <x v="3"/>
    <n v="46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47"/>
    <s v="R"/>
    <m/>
    <m/>
    <m/>
    <m/>
    <m/>
  </r>
  <r>
    <x v="10"/>
    <n v="8"/>
    <s v="namu (8-4)"/>
    <m/>
    <s v="sockeye"/>
    <x v="5"/>
    <s v="GN/SN"/>
    <x v="6"/>
    <n v="10"/>
    <m/>
    <n v="7"/>
    <m/>
    <x v="3"/>
    <n v="48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49"/>
    <n v="42"/>
    <m/>
    <m/>
    <m/>
    <m/>
    <m/>
  </r>
  <r>
    <x v="10"/>
    <n v="8"/>
    <s v="namu (8-4)"/>
    <m/>
    <s v="sockeye"/>
    <x v="5"/>
    <s v="GN/SN"/>
    <x v="6"/>
    <n v="10"/>
    <m/>
    <n v="7"/>
    <m/>
    <x v="3"/>
    <n v="50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1"/>
    <m/>
    <m/>
    <m/>
    <m/>
    <m/>
    <s v="sp?"/>
  </r>
  <r>
    <x v="10"/>
    <n v="8"/>
    <s v="namu (8-4)"/>
    <m/>
    <s v="sockeye"/>
    <x v="5"/>
    <s v="GN/SN"/>
    <x v="6"/>
    <n v="10"/>
    <m/>
    <n v="7"/>
    <m/>
    <x v="4"/>
    <n v="2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3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4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5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6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7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8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9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10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11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12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13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14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15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16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17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18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19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20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21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22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23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24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25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26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27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28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29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30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31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32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33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34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35"/>
    <n v="41"/>
    <m/>
    <m/>
    <m/>
    <m/>
    <m/>
  </r>
  <r>
    <x v="10"/>
    <n v="8"/>
    <s v="namu (8-4)"/>
    <m/>
    <s v="sockeye"/>
    <x v="5"/>
    <s v="GN/SN"/>
    <x v="6"/>
    <n v="10"/>
    <m/>
    <n v="7"/>
    <m/>
    <x v="4"/>
    <n v="36"/>
    <s v="NA"/>
    <m/>
    <m/>
    <m/>
    <m/>
    <m/>
  </r>
  <r>
    <x v="10"/>
    <n v="8"/>
    <s v="namu (8-4)"/>
    <m/>
    <s v="sockeye"/>
    <x v="5"/>
    <s v="GN/SN"/>
    <x v="6"/>
    <n v="10"/>
    <m/>
    <n v="7"/>
    <m/>
    <x v="4"/>
    <n v="37"/>
    <s v="R"/>
    <m/>
    <m/>
    <m/>
    <m/>
    <m/>
  </r>
  <r>
    <x v="10"/>
    <n v="8"/>
    <s v="namu (8-4)"/>
    <m/>
    <s v="sockeye"/>
    <x v="5"/>
    <s v="GN/SN"/>
    <x v="6"/>
    <n v="10"/>
    <m/>
    <n v="7"/>
    <m/>
    <x v="4"/>
    <n v="38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39"/>
    <n v="53"/>
    <m/>
    <m/>
    <m/>
    <m/>
    <s v="10+14"/>
  </r>
  <r>
    <x v="10"/>
    <n v="8"/>
    <s v="namu (8-4)"/>
    <m/>
    <s v="sockeye"/>
    <x v="5"/>
    <s v="GN/SN"/>
    <x v="6"/>
    <n v="10"/>
    <m/>
    <n v="7"/>
    <m/>
    <x v="4"/>
    <n v="40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41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42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43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44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45"/>
    <n v="52"/>
    <m/>
    <m/>
    <m/>
    <m/>
    <m/>
  </r>
  <r>
    <x v="10"/>
    <n v="8"/>
    <s v="namu (8-4)"/>
    <m/>
    <s v="sockeye"/>
    <x v="5"/>
    <s v="GN/SN"/>
    <x v="6"/>
    <n v="10"/>
    <m/>
    <n v="7"/>
    <m/>
    <x v="4"/>
    <n v="46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47"/>
    <n v="53"/>
    <m/>
    <m/>
    <m/>
    <m/>
    <m/>
  </r>
  <r>
    <x v="10"/>
    <n v="8"/>
    <s v="namu (8-4)"/>
    <m/>
    <s v="sockeye"/>
    <x v="5"/>
    <s v="GN/SN"/>
    <x v="6"/>
    <n v="10"/>
    <m/>
    <n v="7"/>
    <m/>
    <x v="4"/>
    <n v="48"/>
    <m/>
    <m/>
    <m/>
    <m/>
    <m/>
    <s v="sp?"/>
  </r>
  <r>
    <x v="10"/>
    <n v="8"/>
    <s v="namu (8-4)"/>
    <m/>
    <s v="sockeye"/>
    <x v="5"/>
    <s v="GN/SN"/>
    <x v="6"/>
    <n v="10"/>
    <m/>
    <n v="7"/>
    <m/>
    <x v="4"/>
    <n v="49"/>
    <n v="42"/>
    <m/>
    <m/>
    <m/>
    <m/>
    <m/>
  </r>
  <r>
    <x v="10"/>
    <n v="8"/>
    <s v="namu (8-4)"/>
    <m/>
    <s v="sockeye"/>
    <x v="5"/>
    <s v="GN/SN"/>
    <x v="6"/>
    <n v="10"/>
    <m/>
    <n v="7"/>
    <m/>
    <x v="4"/>
    <n v="50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1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2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"/>
    <n v="53"/>
    <m/>
    <m/>
    <m/>
    <m/>
    <s v="10+16"/>
  </r>
  <r>
    <x v="10"/>
    <n v="8"/>
    <s v="namu (8-4)"/>
    <m/>
    <s v="sockeye"/>
    <x v="5"/>
    <s v="GN/SN"/>
    <x v="6"/>
    <n v="10"/>
    <m/>
    <n v="7"/>
    <m/>
    <x v="5"/>
    <n v="4"/>
    <m/>
    <m/>
    <m/>
    <m/>
    <m/>
    <s v="poor"/>
  </r>
  <r>
    <x v="10"/>
    <n v="8"/>
    <s v="namu (8-4)"/>
    <m/>
    <s v="sockeye"/>
    <x v="5"/>
    <s v="GN/SN"/>
    <x v="6"/>
    <n v="10"/>
    <m/>
    <n v="7"/>
    <m/>
    <x v="5"/>
    <n v="5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6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7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8"/>
    <s v="NA"/>
    <m/>
    <m/>
    <m/>
    <m/>
    <m/>
  </r>
  <r>
    <x v="10"/>
    <n v="8"/>
    <s v="namu (8-4)"/>
    <m/>
    <s v="sockeye"/>
    <x v="5"/>
    <s v="GN/SN"/>
    <x v="6"/>
    <n v="10"/>
    <m/>
    <n v="7"/>
    <m/>
    <x v="5"/>
    <n v="9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10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11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12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13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14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15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16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17"/>
    <n v="63"/>
    <m/>
    <m/>
    <m/>
    <m/>
    <m/>
  </r>
  <r>
    <x v="10"/>
    <n v="8"/>
    <s v="namu (8-4)"/>
    <m/>
    <s v="sockeye"/>
    <x v="5"/>
    <s v="GN/SN"/>
    <x v="6"/>
    <n v="10"/>
    <m/>
    <n v="7"/>
    <m/>
    <x v="5"/>
    <n v="18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19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20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21"/>
    <m/>
    <m/>
    <m/>
    <m/>
    <m/>
    <s v="poor"/>
  </r>
  <r>
    <x v="10"/>
    <n v="8"/>
    <s v="namu (8-4)"/>
    <m/>
    <s v="sockeye"/>
    <x v="5"/>
    <s v="GN/SN"/>
    <x v="6"/>
    <n v="10"/>
    <m/>
    <n v="7"/>
    <m/>
    <x v="5"/>
    <n v="22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23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24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25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26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27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28"/>
    <n v="53"/>
    <m/>
    <m/>
    <m/>
    <m/>
    <m/>
  </r>
  <r>
    <x v="10"/>
    <n v="8"/>
    <s v="namu (8-4)"/>
    <m/>
    <s v="sockeye"/>
    <x v="5"/>
    <s v="GN/SN"/>
    <x v="6"/>
    <n v="10"/>
    <m/>
    <n v="7"/>
    <m/>
    <x v="5"/>
    <n v="29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0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1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2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3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4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35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36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37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38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39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40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41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42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43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44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45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46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47"/>
    <n v="52"/>
    <m/>
    <m/>
    <m/>
    <m/>
    <m/>
  </r>
  <r>
    <x v="10"/>
    <n v="8"/>
    <s v="namu (8-4)"/>
    <m/>
    <s v="sockeye"/>
    <x v="5"/>
    <s v="GN/SN"/>
    <x v="6"/>
    <n v="10"/>
    <m/>
    <n v="7"/>
    <m/>
    <x v="5"/>
    <n v="48"/>
    <n v="42"/>
    <m/>
    <m/>
    <m/>
    <m/>
    <m/>
  </r>
  <r>
    <x v="10"/>
    <n v="8"/>
    <s v="namu (8-4)"/>
    <m/>
    <s v="sockeye"/>
    <x v="5"/>
    <s v="GN/SN"/>
    <x v="6"/>
    <n v="10"/>
    <m/>
    <n v="7"/>
    <m/>
    <x v="5"/>
    <n v="49"/>
    <s v="R"/>
    <m/>
    <m/>
    <m/>
    <m/>
    <m/>
  </r>
  <r>
    <x v="10"/>
    <n v="8"/>
    <s v="namu (8-4)"/>
    <m/>
    <s v="sockeye"/>
    <x v="5"/>
    <s v="GN/SN"/>
    <x v="6"/>
    <n v="10"/>
    <m/>
    <n v="7"/>
    <m/>
    <x v="5"/>
    <n v="50"/>
    <n v="42"/>
    <m/>
    <m/>
    <m/>
    <m/>
    <m/>
  </r>
  <r>
    <x v="11"/>
    <s v="7+8"/>
    <s v="namu "/>
    <s v="commercial"/>
    <s v="sockeye"/>
    <x v="1"/>
    <s v="Troll"/>
    <x v="6"/>
    <n v="5"/>
    <n v="6"/>
    <n v="8"/>
    <m/>
    <x v="0"/>
    <n v="1"/>
    <n v="52"/>
    <n v="52"/>
    <m/>
    <m/>
    <m/>
    <m/>
  </r>
  <r>
    <x v="11"/>
    <s v="7+8"/>
    <s v="namu "/>
    <s v="commercial"/>
    <s v="sockeye"/>
    <x v="1"/>
    <s v="Troll"/>
    <x v="6"/>
    <n v="5"/>
    <n v="6"/>
    <n v="8"/>
    <m/>
    <x v="0"/>
    <n v="2"/>
    <n v="53"/>
    <n v="53"/>
    <m/>
    <m/>
    <m/>
    <m/>
  </r>
  <r>
    <x v="11"/>
    <s v="7+8"/>
    <s v="namu "/>
    <s v="commercial"/>
    <s v="sockeye"/>
    <x v="1"/>
    <s v="Troll"/>
    <x v="6"/>
    <n v="5"/>
    <n v="6"/>
    <n v="8"/>
    <m/>
    <x v="0"/>
    <n v="3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4"/>
    <n v="52"/>
    <n v="52"/>
    <m/>
    <m/>
    <m/>
    <m/>
  </r>
  <r>
    <x v="11"/>
    <s v="7+8"/>
    <s v="namu "/>
    <s v="commercial"/>
    <s v="sockeye"/>
    <x v="1"/>
    <s v="Troll"/>
    <x v="6"/>
    <n v="5"/>
    <n v="6"/>
    <n v="8"/>
    <m/>
    <x v="0"/>
    <n v="5"/>
    <n v="52"/>
    <n v="52"/>
    <m/>
    <m/>
    <m/>
    <m/>
  </r>
  <r>
    <x v="11"/>
    <s v="7+8"/>
    <s v="namu "/>
    <s v="commercial"/>
    <s v="sockeye"/>
    <x v="1"/>
    <s v="Troll"/>
    <x v="6"/>
    <n v="5"/>
    <n v="6"/>
    <n v="8"/>
    <m/>
    <x v="0"/>
    <n v="6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7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8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9"/>
    <n v="31"/>
    <n v="31"/>
    <m/>
    <m/>
    <m/>
    <m/>
  </r>
  <r>
    <x v="11"/>
    <s v="7+8"/>
    <s v="namu "/>
    <s v="commercial"/>
    <s v="sockeye"/>
    <x v="1"/>
    <s v="Troll"/>
    <x v="6"/>
    <n v="5"/>
    <n v="6"/>
    <n v="8"/>
    <m/>
    <x v="0"/>
    <n v="10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1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2"/>
    <s v="R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3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4"/>
    <s v="R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5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6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7"/>
    <s v="R"/>
    <s v="R"/>
    <m/>
    <m/>
    <m/>
    <m/>
  </r>
  <r>
    <x v="11"/>
    <s v="7+8"/>
    <s v="namu "/>
    <s v="commercial"/>
    <s v="sockeye"/>
    <x v="1"/>
    <s v="Troll"/>
    <x v="6"/>
    <n v="5"/>
    <n v="6"/>
    <n v="8"/>
    <m/>
    <x v="0"/>
    <n v="18"/>
    <s v="R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19"/>
    <n v="42"/>
    <s v="R"/>
    <m/>
    <m/>
    <m/>
    <m/>
  </r>
  <r>
    <x v="11"/>
    <s v="7+8"/>
    <s v="namu "/>
    <s v="commercial"/>
    <s v="sockeye"/>
    <x v="1"/>
    <s v="Troll"/>
    <x v="6"/>
    <n v="5"/>
    <n v="6"/>
    <n v="8"/>
    <m/>
    <x v="0"/>
    <n v="20"/>
    <n v="52"/>
    <n v="52"/>
    <m/>
    <m/>
    <m/>
    <m/>
  </r>
  <r>
    <x v="11"/>
    <s v="7+8"/>
    <s v="namu "/>
    <s v="commercial"/>
    <s v="sockeye"/>
    <x v="1"/>
    <s v="Troll"/>
    <x v="6"/>
    <n v="5"/>
    <n v="6"/>
    <n v="8"/>
    <m/>
    <x v="0"/>
    <n v="21"/>
    <s v="R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22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23"/>
    <n v="52"/>
    <n v="52"/>
    <m/>
    <m/>
    <m/>
    <m/>
  </r>
  <r>
    <x v="11"/>
    <s v="7+8"/>
    <s v="namu "/>
    <s v="commercial"/>
    <s v="sockeye"/>
    <x v="1"/>
    <s v="Troll"/>
    <x v="6"/>
    <n v="5"/>
    <n v="6"/>
    <n v="8"/>
    <m/>
    <x v="0"/>
    <n v="24"/>
    <n v="42"/>
    <n v="42"/>
    <m/>
    <m/>
    <m/>
    <m/>
  </r>
  <r>
    <x v="11"/>
    <s v="7+8"/>
    <s v="namu "/>
    <s v="commercial"/>
    <s v="sockeye"/>
    <x v="1"/>
    <s v="Troll"/>
    <x v="6"/>
    <n v="5"/>
    <n v="6"/>
    <n v="8"/>
    <m/>
    <x v="0"/>
    <n v="25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1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2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3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4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5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6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7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8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9"/>
    <s v="R"/>
    <s v="R"/>
    <m/>
    <m/>
    <m/>
    <m/>
  </r>
  <r>
    <x v="11"/>
    <s v="7+8"/>
    <s v="namu "/>
    <s v="commercial"/>
    <s v="sockeye"/>
    <x v="1"/>
    <s v="Troll"/>
    <x v="6"/>
    <n v="6"/>
    <m/>
    <n v="8"/>
    <m/>
    <x v="1"/>
    <n v="10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11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12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13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14"/>
    <n v="52"/>
    <n v="52"/>
    <m/>
    <m/>
    <m/>
    <m/>
  </r>
  <r>
    <x v="11"/>
    <s v="7+8"/>
    <s v="namu "/>
    <s v="commercial"/>
    <s v="sockeye"/>
    <x v="1"/>
    <s v="Troll"/>
    <x v="6"/>
    <n v="6"/>
    <m/>
    <n v="8"/>
    <m/>
    <x v="1"/>
    <n v="15"/>
    <s v="R"/>
    <s v="R"/>
    <m/>
    <m/>
    <m/>
    <m/>
  </r>
  <r>
    <x v="11"/>
    <s v="7+8"/>
    <s v="namu "/>
    <s v="commercial"/>
    <s v="sockeye"/>
    <x v="1"/>
    <s v="Troll"/>
    <x v="6"/>
    <n v="6"/>
    <m/>
    <n v="8"/>
    <m/>
    <x v="1"/>
    <n v="16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17"/>
    <n v="41"/>
    <m/>
    <m/>
    <m/>
    <m/>
    <s v="2.poor"/>
  </r>
  <r>
    <x v="11"/>
    <s v="7+8"/>
    <s v="namu "/>
    <s v="commercial"/>
    <s v="sockeye"/>
    <x v="1"/>
    <s v="Troll"/>
    <x v="6"/>
    <n v="6"/>
    <m/>
    <n v="8"/>
    <m/>
    <x v="1"/>
    <n v="18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19"/>
    <s v="R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20"/>
    <n v="53"/>
    <s v="R"/>
    <m/>
    <m/>
    <m/>
    <m/>
  </r>
  <r>
    <x v="11"/>
    <s v="7+8"/>
    <s v="namu "/>
    <s v="commercial"/>
    <s v="sockeye"/>
    <x v="1"/>
    <s v="Troll"/>
    <x v="6"/>
    <n v="6"/>
    <m/>
    <n v="8"/>
    <m/>
    <x v="1"/>
    <n v="21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22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23"/>
    <n v="42"/>
    <s v="R"/>
    <m/>
    <m/>
    <m/>
    <m/>
  </r>
  <r>
    <x v="11"/>
    <s v="7+8"/>
    <s v="namu "/>
    <s v="commercial"/>
    <s v="sockeye"/>
    <x v="1"/>
    <s v="Troll"/>
    <x v="6"/>
    <n v="6"/>
    <m/>
    <n v="8"/>
    <m/>
    <x v="1"/>
    <n v="24"/>
    <n v="42"/>
    <n v="42"/>
    <m/>
    <m/>
    <m/>
    <m/>
  </r>
  <r>
    <x v="11"/>
    <s v="7+8"/>
    <s v="namu "/>
    <s v="commercial"/>
    <s v="sockeye"/>
    <x v="1"/>
    <s v="Troll"/>
    <x v="6"/>
    <n v="6"/>
    <m/>
    <n v="8"/>
    <m/>
    <x v="1"/>
    <n v="25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"/>
    <s v="R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3"/>
    <s v="R"/>
    <s v="NA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4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5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6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7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8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9"/>
    <n v="42"/>
    <s v="R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0"/>
    <n v="42"/>
    <n v="42"/>
    <m/>
    <m/>
    <m/>
    <s v="2.R"/>
  </r>
  <r>
    <x v="11"/>
    <s v="7+8"/>
    <s v="namu "/>
    <s v="commercial"/>
    <s v="sockeye"/>
    <x v="1"/>
    <s v="Troll"/>
    <x v="6"/>
    <n v="11"/>
    <n v="16"/>
    <n v="8"/>
    <m/>
    <x v="2"/>
    <n v="11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2"/>
    <n v="42"/>
    <s v="R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3"/>
    <n v="52"/>
    <n v="5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4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5"/>
    <n v="52"/>
    <s v="R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6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7"/>
    <n v="42"/>
    <s v="R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8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19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0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1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2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3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4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2"/>
    <n v="25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2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3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4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5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6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7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8"/>
    <s v="R"/>
    <s v="R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9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0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1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2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3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4"/>
    <n v="42"/>
    <s v="R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5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6"/>
    <s v="NA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7"/>
    <n v="42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8"/>
    <s v="R"/>
    <n v="42"/>
    <m/>
    <m/>
    <m/>
    <m/>
  </r>
  <r>
    <x v="11"/>
    <s v="7+8"/>
    <s v="namu "/>
    <s v="commercial"/>
    <s v="sockeye"/>
    <x v="1"/>
    <s v="Troll"/>
    <x v="6"/>
    <n v="11"/>
    <n v="16"/>
    <n v="8"/>
    <m/>
    <x v="3"/>
    <n v="19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2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3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4"/>
    <n v="4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5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6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7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8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9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0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1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2"/>
    <s v="R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3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4"/>
    <n v="4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5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6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7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8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19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20"/>
    <s v="NA"/>
    <s v="NA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21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22"/>
    <n v="41"/>
    <n v="41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23"/>
    <n v="52"/>
    <m/>
    <m/>
    <m/>
    <m/>
    <s v="poor"/>
  </r>
  <r>
    <x v="12"/>
    <n v="8"/>
    <s v="koeye (8-3)"/>
    <s v="boundary; commercial"/>
    <s v="sockeye"/>
    <x v="5"/>
    <s v="GN/SN"/>
    <x v="7"/>
    <n v="14"/>
    <m/>
    <n v="7"/>
    <m/>
    <x v="0"/>
    <n v="24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0"/>
    <n v="25"/>
    <n v="41"/>
    <n v="41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"/>
    <s v="R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2"/>
    <n v="41"/>
    <s v="NA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3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4"/>
    <s v="NA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5"/>
    <n v="4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6"/>
    <n v="4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7"/>
    <m/>
    <m/>
    <m/>
    <m/>
    <m/>
    <s v="poor"/>
  </r>
  <r>
    <x v="12"/>
    <n v="8"/>
    <s v="koeye (8-3)"/>
    <s v="boundary; commercial"/>
    <s v="sockeye"/>
    <x v="5"/>
    <s v="GN/SN"/>
    <x v="7"/>
    <n v="14"/>
    <m/>
    <n v="7"/>
    <m/>
    <x v="1"/>
    <n v="8"/>
    <s v="R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9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0"/>
    <s v="R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1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2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3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4"/>
    <n v="52"/>
    <m/>
    <m/>
    <m/>
    <m/>
    <s v="poor"/>
  </r>
  <r>
    <x v="12"/>
    <n v="8"/>
    <s v="koeye (8-3)"/>
    <s v="boundary; commercial"/>
    <s v="sockeye"/>
    <x v="5"/>
    <s v="GN/SN"/>
    <x v="7"/>
    <n v="14"/>
    <m/>
    <n v="7"/>
    <m/>
    <x v="1"/>
    <n v="15"/>
    <n v="4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6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7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8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19"/>
    <s v="R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20"/>
    <n v="63"/>
    <n v="63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21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22"/>
    <s v="R"/>
    <m/>
    <m/>
    <m/>
    <m/>
    <s v="poor"/>
  </r>
  <r>
    <x v="12"/>
    <n v="8"/>
    <s v="koeye (8-3)"/>
    <s v="boundary; commercial"/>
    <s v="sockeye"/>
    <x v="5"/>
    <s v="GN/SN"/>
    <x v="7"/>
    <n v="14"/>
    <m/>
    <n v="7"/>
    <m/>
    <x v="1"/>
    <n v="23"/>
    <n v="41"/>
    <n v="41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24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1"/>
    <n v="25"/>
    <s v="R"/>
    <n v="41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"/>
    <s v="R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2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3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4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5"/>
    <n v="52"/>
    <m/>
    <m/>
    <m/>
    <m/>
    <s v="poor"/>
  </r>
  <r>
    <x v="12"/>
    <n v="8"/>
    <s v="koeye (8-3)"/>
    <s v="boundary; commercial"/>
    <s v="sockeye"/>
    <x v="5"/>
    <s v="GN/SN"/>
    <x v="7"/>
    <n v="14"/>
    <m/>
    <n v="7"/>
    <m/>
    <x v="2"/>
    <n v="6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7"/>
    <n v="5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8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9"/>
    <n v="5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0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1"/>
    <s v="R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2"/>
    <n v="52"/>
    <s v="NA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3"/>
    <s v="R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4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5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6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7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8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19"/>
    <n v="52"/>
    <n v="5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20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21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22"/>
    <n v="31"/>
    <m/>
    <m/>
    <m/>
    <m/>
    <s v="poor"/>
  </r>
  <r>
    <x v="12"/>
    <n v="8"/>
    <s v="koeye (8-3)"/>
    <s v="boundary; commercial"/>
    <s v="sockeye"/>
    <x v="5"/>
    <s v="GN/SN"/>
    <x v="7"/>
    <n v="14"/>
    <m/>
    <n v="7"/>
    <m/>
    <x v="2"/>
    <n v="23"/>
    <n v="42"/>
    <n v="42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24"/>
    <n v="52"/>
    <s v="R"/>
    <m/>
    <m/>
    <m/>
    <m/>
  </r>
  <r>
    <x v="12"/>
    <n v="8"/>
    <s v="koeye (8-3)"/>
    <s v="boundary; commercial"/>
    <s v="sockeye"/>
    <x v="5"/>
    <s v="GN/SN"/>
    <x v="7"/>
    <n v="14"/>
    <m/>
    <n v="7"/>
    <m/>
    <x v="2"/>
    <n v="25"/>
    <n v="42"/>
    <n v="4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"/>
    <n v="53"/>
    <n v="53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2"/>
    <s v="NA"/>
    <n v="5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3"/>
    <m/>
    <n v="42"/>
    <m/>
    <m/>
    <m/>
    <s v="poor"/>
  </r>
  <r>
    <x v="13"/>
    <n v="8"/>
    <s v="Fitz Hugh sound"/>
    <s v="Jap Bay; tagging vessel"/>
    <s v="sockeye"/>
    <x v="6"/>
    <s v="SN"/>
    <x v="7"/>
    <n v="21"/>
    <m/>
    <n v="7"/>
    <m/>
    <x v="0"/>
    <n v="4"/>
    <n v="42"/>
    <n v="4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5"/>
    <s v="R"/>
    <n v="4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6"/>
    <n v="53"/>
    <n v="53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7"/>
    <n v="42"/>
    <n v="4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8"/>
    <n v="42"/>
    <s v="NA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9"/>
    <n v="42"/>
    <s v="NA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0"/>
    <n v="42"/>
    <s v="NA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1"/>
    <n v="42"/>
    <n v="4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2"/>
    <s v="NA"/>
    <n v="5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3"/>
    <s v="NA"/>
    <s v="R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4"/>
    <n v="42"/>
    <n v="4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5"/>
    <n v="52"/>
    <s v="NA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6"/>
    <s v="R"/>
    <s v="R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7"/>
    <n v="52"/>
    <n v="5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8"/>
    <s v="NA"/>
    <n v="5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19"/>
    <n v="52"/>
    <n v="52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20"/>
    <s v="NA"/>
    <s v="R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21"/>
    <n v="52"/>
    <s v="NA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22"/>
    <s v="NA"/>
    <s v="NA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23"/>
    <s v="R"/>
    <s v="R"/>
    <m/>
    <m/>
    <m/>
    <m/>
  </r>
  <r>
    <x v="13"/>
    <n v="8"/>
    <s v="Fitz Hugh sound"/>
    <s v="Jap Bay; tagging vessel"/>
    <s v="sockeye"/>
    <x v="6"/>
    <s v="SN"/>
    <x v="7"/>
    <n v="21"/>
    <m/>
    <n v="7"/>
    <m/>
    <x v="0"/>
    <n v="24"/>
    <m/>
    <n v="42"/>
    <m/>
    <m/>
    <m/>
    <s v="?"/>
  </r>
  <r>
    <x v="13"/>
    <n v="8"/>
    <s v="Fitz Hugh sound"/>
    <s v="Jap Bay; tagging vessel"/>
    <s v="sockeye"/>
    <x v="6"/>
    <s v="SN"/>
    <x v="7"/>
    <n v="21"/>
    <m/>
    <n v="7"/>
    <m/>
    <x v="0"/>
    <n v="25"/>
    <n v="52"/>
    <s v="NA"/>
    <m/>
    <m/>
    <m/>
    <m/>
  </r>
  <r>
    <x v="14"/>
    <n v="8"/>
    <s v="Fitz Hugh sound"/>
    <s v="S. Boundary Koeye; tagging vessel"/>
    <s v="sockeye"/>
    <x v="6"/>
    <s v="SN"/>
    <x v="7"/>
    <n v="6"/>
    <m/>
    <n v="8"/>
    <m/>
    <x v="1"/>
    <n v="1"/>
    <s v="NA"/>
    <s v="NA"/>
    <m/>
    <m/>
    <m/>
    <m/>
  </r>
  <r>
    <x v="14"/>
    <n v="8"/>
    <s v="Fitz Hugh sound"/>
    <s v="S. Boundary Koeye; tagging vessel"/>
    <s v="sockeye"/>
    <x v="6"/>
    <s v="SN"/>
    <x v="7"/>
    <n v="6"/>
    <m/>
    <n v="8"/>
    <m/>
    <x v="1"/>
    <n v="2"/>
    <n v="42"/>
    <s v="NA"/>
    <m/>
    <m/>
    <m/>
    <m/>
  </r>
  <r>
    <x v="14"/>
    <n v="8"/>
    <s v="Fitz Hugh sound"/>
    <s v="S. Boundary Koeye; tagging vessel"/>
    <s v="sockeye"/>
    <x v="6"/>
    <s v="SN"/>
    <x v="7"/>
    <n v="6"/>
    <m/>
    <n v="8"/>
    <m/>
    <x v="1"/>
    <n v="3"/>
    <n v="52"/>
    <n v="52"/>
    <m/>
    <m/>
    <m/>
    <m/>
  </r>
  <r>
    <x v="14"/>
    <n v="8"/>
    <s v="Fitz Hugh sound"/>
    <s v="S. Boundary Koeye; tagging vessel"/>
    <s v="sockeye"/>
    <x v="6"/>
    <s v="SN"/>
    <x v="7"/>
    <n v="6"/>
    <m/>
    <n v="8"/>
    <m/>
    <x v="1"/>
    <n v="4"/>
    <s v="NA"/>
    <s v="NA"/>
    <m/>
    <m/>
    <m/>
    <m/>
  </r>
  <r>
    <x v="15"/>
    <n v="8"/>
    <s v="Fitz Hugh Sound (8-3)"/>
    <s v="3; FSC"/>
    <s v="sockeye"/>
    <x v="7"/>
    <s v="GN"/>
    <x v="8"/>
    <n v="16"/>
    <m/>
    <n v="7"/>
    <m/>
    <x v="0"/>
    <n v="1"/>
    <n v="41"/>
    <n v="41"/>
    <n v="41"/>
    <n v="41"/>
    <m/>
    <s v="2.NP"/>
  </r>
  <r>
    <x v="15"/>
    <n v="8"/>
    <s v="Fitz Hugh Sound (8-3)"/>
    <s v="3; FSC"/>
    <s v="sockeye"/>
    <x v="7"/>
    <s v="GN"/>
    <x v="8"/>
    <n v="16"/>
    <m/>
    <n v="7"/>
    <m/>
    <x v="0"/>
    <n v="3"/>
    <s v="R"/>
    <s v="R"/>
    <n v="52"/>
    <n v="52"/>
    <m/>
    <m/>
  </r>
  <r>
    <x v="15"/>
    <n v="8"/>
    <s v="Fitz Hugh Sound (8-3)"/>
    <s v="3; FSC"/>
    <s v="sockeye"/>
    <x v="7"/>
    <s v="GN"/>
    <x v="8"/>
    <n v="16"/>
    <m/>
    <n v="7"/>
    <m/>
    <x v="0"/>
    <n v="6"/>
    <n v="52"/>
    <n v="52"/>
    <n v="52"/>
    <s v="R"/>
    <m/>
    <m/>
  </r>
  <r>
    <x v="15"/>
    <n v="8"/>
    <s v="Fitz Hugh Sound (8-3)"/>
    <s v="3; FSC"/>
    <s v="sockeye"/>
    <x v="7"/>
    <s v="GN"/>
    <x v="8"/>
    <n v="16"/>
    <m/>
    <n v="7"/>
    <m/>
    <x v="0"/>
    <n v="8"/>
    <n v="52"/>
    <n v="52"/>
    <n v="52"/>
    <n v="52"/>
    <m/>
    <m/>
  </r>
  <r>
    <x v="15"/>
    <n v="8"/>
    <s v="Fitz Hugh Sound (8-3)"/>
    <s v="3; FSC"/>
    <s v="sockeye"/>
    <x v="7"/>
    <s v="GN"/>
    <x v="8"/>
    <n v="16"/>
    <m/>
    <n v="7"/>
    <m/>
    <x v="0"/>
    <n v="11"/>
    <s v="R"/>
    <s v="R"/>
    <s v="R"/>
    <n v="41"/>
    <m/>
    <m/>
  </r>
  <r>
    <x v="15"/>
    <n v="8"/>
    <s v="Fitz Hugh Sound (8-3)"/>
    <s v="3; FSC"/>
    <s v="sockeye"/>
    <x v="7"/>
    <s v="GN"/>
    <x v="8"/>
    <n v="16"/>
    <m/>
    <n v="7"/>
    <m/>
    <x v="0"/>
    <n v="13"/>
    <n v="52"/>
    <s v="W"/>
    <n v="52"/>
    <n v="52"/>
    <m/>
    <m/>
  </r>
  <r>
    <x v="15"/>
    <n v="8"/>
    <s v="Fitz Hugh Sound (8-3)"/>
    <s v="3; FSC"/>
    <s v="sockeye"/>
    <x v="7"/>
    <s v="GN"/>
    <x v="8"/>
    <n v="16"/>
    <m/>
    <n v="7"/>
    <m/>
    <x v="0"/>
    <n v="16"/>
    <s v="W"/>
    <s v="R"/>
    <n v="52"/>
    <s v="R"/>
    <m/>
    <m/>
  </r>
  <r>
    <x v="15"/>
    <n v="8"/>
    <s v="Fitz Hugh Sound (8-3)"/>
    <s v="3; FSC"/>
    <s v="sockeye"/>
    <x v="7"/>
    <s v="GN"/>
    <x v="8"/>
    <n v="16"/>
    <m/>
    <n v="7"/>
    <m/>
    <x v="0"/>
    <n v="18"/>
    <s v="W"/>
    <n v="53"/>
    <s v="UD"/>
    <n v="53"/>
    <m/>
    <m/>
  </r>
  <r>
    <x v="15"/>
    <n v="8"/>
    <s v="Fitz Hugh Sound (8-3)"/>
    <s v="3; FSC"/>
    <s v="sockeye"/>
    <x v="7"/>
    <s v="GN"/>
    <x v="8"/>
    <n v="16"/>
    <m/>
    <n v="7"/>
    <m/>
    <x v="0"/>
    <n v="21"/>
    <s v="NS"/>
    <n v="42"/>
    <n v="42"/>
    <s v="R"/>
    <m/>
    <s v="2.NP"/>
  </r>
  <r>
    <x v="15"/>
    <n v="8"/>
    <s v="Fitz Hugh Sound (8-3)"/>
    <s v="3; FSC"/>
    <s v="sockeye"/>
    <x v="7"/>
    <s v="GN"/>
    <x v="8"/>
    <n v="16"/>
    <m/>
    <n v="7"/>
    <m/>
    <x v="0"/>
    <n v="23"/>
    <s v="R"/>
    <s v="NP"/>
    <n v="63"/>
    <s v="R"/>
    <m/>
    <s v="4.7+10"/>
  </r>
  <r>
    <x v="15"/>
    <n v="8"/>
    <s v="Fitz Hugh Sound (8-3)"/>
    <s v="3; FSC"/>
    <s v="sockeye"/>
    <x v="7"/>
    <s v="GN"/>
    <x v="8"/>
    <n v="16"/>
    <m/>
    <n v="7"/>
    <m/>
    <x v="1"/>
    <n v="1"/>
    <s v="W"/>
    <s v="W"/>
    <s v="R"/>
    <s v="W"/>
    <m/>
    <m/>
  </r>
  <r>
    <x v="15"/>
    <n v="8"/>
    <s v="Fitz Hugh Sound (8-3)"/>
    <s v="3; FSC"/>
    <s v="sockeye"/>
    <x v="7"/>
    <s v="GN"/>
    <x v="8"/>
    <n v="16"/>
    <m/>
    <n v="7"/>
    <m/>
    <x v="1"/>
    <n v="3"/>
    <s v="R"/>
    <s v="R"/>
    <s v="R"/>
    <s v="R"/>
    <m/>
    <m/>
  </r>
  <r>
    <x v="15"/>
    <n v="8"/>
    <s v="Fitz Hugh Sound (8-3)"/>
    <s v="3; FSC"/>
    <s v="sockeye"/>
    <x v="7"/>
    <s v="GN"/>
    <x v="8"/>
    <n v="16"/>
    <m/>
    <n v="7"/>
    <m/>
    <x v="1"/>
    <n v="6"/>
    <s v="W"/>
    <n v="42"/>
    <s v="W"/>
    <s v="W"/>
    <m/>
    <s v="2.W"/>
  </r>
  <r>
    <x v="15"/>
    <n v="8"/>
    <s v="Fitz Hugh Sound (8-3)"/>
    <s v="3; FSC"/>
    <s v="sockeye"/>
    <x v="7"/>
    <s v="GN"/>
    <x v="8"/>
    <n v="16"/>
    <m/>
    <n v="7"/>
    <m/>
    <x v="1"/>
    <n v="8"/>
    <s v="R"/>
    <s v="W"/>
    <s v="W"/>
    <s v="R"/>
    <m/>
    <m/>
  </r>
  <r>
    <x v="15"/>
    <n v="8"/>
    <s v="Fitz Hugh Sound (8-3)"/>
    <s v="3; FSC"/>
    <s v="sockeye"/>
    <x v="7"/>
    <s v="GN"/>
    <x v="8"/>
    <n v="16"/>
    <m/>
    <n v="7"/>
    <m/>
    <x v="1"/>
    <n v="11"/>
    <s v="W"/>
    <s v="R"/>
    <s v="W"/>
    <s v="W"/>
    <m/>
    <m/>
  </r>
  <r>
    <x v="15"/>
    <n v="8"/>
    <s v="Fitz Hugh Sound (8-3)"/>
    <s v="3; FSC"/>
    <s v="sockeye"/>
    <x v="7"/>
    <s v="GN"/>
    <x v="8"/>
    <n v="16"/>
    <m/>
    <n v="7"/>
    <m/>
    <x v="1"/>
    <n v="13"/>
    <s v="NP"/>
    <s v="R"/>
    <s v="W"/>
    <s v="W"/>
    <m/>
    <m/>
  </r>
  <r>
    <x v="15"/>
    <n v="8"/>
    <s v="Fitz Hugh Sound (8-3)"/>
    <s v="3; FSC"/>
    <s v="sockeye"/>
    <x v="7"/>
    <s v="GN"/>
    <x v="8"/>
    <n v="16"/>
    <m/>
    <n v="7"/>
    <m/>
    <x v="1"/>
    <n v="16"/>
    <s v="W"/>
    <s v="NS"/>
    <s v="W"/>
    <s v="W"/>
    <m/>
    <m/>
  </r>
  <r>
    <x v="15"/>
    <n v="8"/>
    <s v="Fitz Hugh Sound (8-3)"/>
    <s v="3; FSC"/>
    <s v="sockeye"/>
    <x v="7"/>
    <s v="GN"/>
    <x v="8"/>
    <n v="16"/>
    <m/>
    <n v="7"/>
    <m/>
    <x v="1"/>
    <n v="18"/>
    <s v="R"/>
    <s v="R"/>
    <s v="R"/>
    <s v="R"/>
    <m/>
    <m/>
  </r>
  <r>
    <x v="15"/>
    <n v="8"/>
    <s v="Fitz Hugh Sound (8-3)"/>
    <s v="3; FSC"/>
    <s v="sockeye"/>
    <x v="7"/>
    <s v="GN"/>
    <x v="8"/>
    <n v="16"/>
    <m/>
    <n v="7"/>
    <m/>
    <x v="1"/>
    <n v="21"/>
    <s v="R"/>
    <s v="UD"/>
    <s v="NP"/>
    <s v="NP"/>
    <m/>
    <m/>
  </r>
  <r>
    <x v="15"/>
    <n v="8"/>
    <s v="Fitz Hugh Sound (8-3)"/>
    <s v="3; FSC"/>
    <s v="sockeye"/>
    <x v="7"/>
    <s v="GN"/>
    <x v="8"/>
    <n v="16"/>
    <m/>
    <n v="7"/>
    <m/>
    <x v="1"/>
    <n v="23"/>
    <n v="52"/>
    <s v="W"/>
    <n v="52"/>
    <n v="52"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  <r>
    <x v="16"/>
    <m/>
    <m/>
    <m/>
    <m/>
    <x v="8"/>
    <m/>
    <x v="9"/>
    <m/>
    <m/>
    <m/>
    <m/>
    <x v="9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s v="8/9 boundary"/>
    <x v="0"/>
    <s v="DCA"/>
    <s v="SN"/>
    <x v="0"/>
    <n v="12"/>
    <m/>
    <n v="7"/>
    <m/>
    <n v="1"/>
    <n v="1"/>
    <n v="52"/>
    <m/>
    <m/>
    <m/>
    <m/>
    <m/>
    <m/>
    <x v="0"/>
  </r>
  <r>
    <x v="0"/>
    <x v="0"/>
    <x v="0"/>
    <s v="8/9 boundary"/>
    <x v="0"/>
    <s v="DCA"/>
    <s v="SN"/>
    <x v="0"/>
    <n v="12"/>
    <m/>
    <n v="7"/>
    <m/>
    <n v="1"/>
    <n v="2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4"/>
    <n v="52"/>
    <m/>
    <m/>
    <m/>
    <m/>
    <m/>
    <m/>
    <x v="0"/>
  </r>
  <r>
    <x v="0"/>
    <x v="0"/>
    <x v="0"/>
    <s v="8/9 boundary"/>
    <x v="0"/>
    <s v="DCA"/>
    <s v="SN"/>
    <x v="0"/>
    <n v="12"/>
    <m/>
    <n v="7"/>
    <m/>
    <n v="1"/>
    <n v="5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6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7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8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9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0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1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2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3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4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5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6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7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8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19"/>
    <s v="R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20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21"/>
    <s v="NA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22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23"/>
    <n v="53"/>
    <m/>
    <m/>
    <m/>
    <m/>
    <m/>
    <m/>
    <x v="3"/>
  </r>
  <r>
    <x v="0"/>
    <x v="0"/>
    <x v="0"/>
    <s v="8/9 boundary"/>
    <x v="0"/>
    <s v="DCA"/>
    <s v="SN"/>
    <x v="0"/>
    <n v="12"/>
    <m/>
    <n v="7"/>
    <m/>
    <n v="1"/>
    <n v="24"/>
    <n v="52"/>
    <m/>
    <m/>
    <m/>
    <m/>
    <m/>
    <m/>
    <x v="0"/>
  </r>
  <r>
    <x v="0"/>
    <x v="0"/>
    <x v="0"/>
    <s v="8/9 boundary"/>
    <x v="0"/>
    <s v="DCA"/>
    <s v="SN"/>
    <x v="0"/>
    <n v="12"/>
    <m/>
    <n v="7"/>
    <m/>
    <n v="1"/>
    <n v="25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26"/>
    <s v="NA"/>
    <m/>
    <m/>
    <m/>
    <m/>
    <s v="other stock"/>
    <m/>
    <x v="2"/>
  </r>
  <r>
    <x v="0"/>
    <x v="0"/>
    <x v="0"/>
    <s v="8/9 boundary"/>
    <x v="0"/>
    <s v="DCA"/>
    <s v="SN"/>
    <x v="0"/>
    <n v="12"/>
    <m/>
    <n v="7"/>
    <m/>
    <n v="1"/>
    <n v="27"/>
    <s v="NA"/>
    <m/>
    <m/>
    <m/>
    <m/>
    <s v="fraser?"/>
    <m/>
    <x v="2"/>
  </r>
  <r>
    <x v="0"/>
    <x v="0"/>
    <x v="0"/>
    <s v="8/9 boundary"/>
    <x v="0"/>
    <s v="DCA"/>
    <s v="SN"/>
    <x v="0"/>
    <n v="12"/>
    <m/>
    <n v="7"/>
    <m/>
    <n v="1"/>
    <n v="28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29"/>
    <s v="R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30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1"/>
    <s v="NA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32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3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4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5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6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7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8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39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40"/>
    <s v="R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41"/>
    <s v="NA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42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43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44"/>
    <s v="R"/>
    <m/>
    <m/>
    <m/>
    <m/>
    <m/>
    <m/>
    <x v="2"/>
  </r>
  <r>
    <x v="0"/>
    <x v="0"/>
    <x v="0"/>
    <s v="8/9 boundary"/>
    <x v="0"/>
    <s v="DCA"/>
    <s v="SN"/>
    <x v="0"/>
    <n v="12"/>
    <m/>
    <n v="7"/>
    <m/>
    <n v="1"/>
    <n v="45"/>
    <n v="52"/>
    <m/>
    <m/>
    <m/>
    <m/>
    <m/>
    <m/>
    <x v="0"/>
  </r>
  <r>
    <x v="0"/>
    <x v="0"/>
    <x v="0"/>
    <s v="8/9 boundary"/>
    <x v="0"/>
    <s v="DCA"/>
    <s v="SN"/>
    <x v="0"/>
    <n v="12"/>
    <m/>
    <n v="7"/>
    <m/>
    <n v="1"/>
    <n v="46"/>
    <n v="42"/>
    <m/>
    <m/>
    <m/>
    <m/>
    <m/>
    <s v="this one is actually RG"/>
    <x v="1"/>
  </r>
  <r>
    <x v="0"/>
    <x v="0"/>
    <x v="0"/>
    <s v="8/9 boundary"/>
    <x v="0"/>
    <s v="DCA"/>
    <s v="SN"/>
    <x v="0"/>
    <n v="12"/>
    <m/>
    <n v="7"/>
    <m/>
    <n v="1"/>
    <n v="47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48"/>
    <n v="42"/>
    <m/>
    <m/>
    <m/>
    <m/>
    <m/>
    <m/>
    <x v="1"/>
  </r>
  <r>
    <x v="0"/>
    <x v="0"/>
    <x v="0"/>
    <s v="8/9 boundary"/>
    <x v="0"/>
    <s v="DCA"/>
    <s v="SN"/>
    <x v="0"/>
    <n v="12"/>
    <m/>
    <n v="7"/>
    <m/>
    <n v="1"/>
    <n v="49"/>
    <n v="42"/>
    <m/>
    <m/>
    <m/>
    <m/>
    <m/>
    <s v="poor"/>
    <x v="1"/>
  </r>
  <r>
    <x v="0"/>
    <x v="0"/>
    <x v="0"/>
    <s v="8/9 boundary"/>
    <x v="1"/>
    <s v="DCA"/>
    <s v="SN"/>
    <x v="0"/>
    <n v="12"/>
    <m/>
    <n v="7"/>
    <m/>
    <n v="1"/>
    <n v="50"/>
    <s v="NA"/>
    <m/>
    <m/>
    <m/>
    <m/>
    <s v="species?"/>
    <s v="2 readings; DCA and DE; though after looking through the actual acetate DE looks more accurate. only entered 1 readers ages"/>
    <x v="2"/>
  </r>
  <r>
    <x v="1"/>
    <x v="1"/>
    <x v="1"/>
    <s v="namu, close to Koeye; commercial"/>
    <x v="0"/>
    <s v="YY"/>
    <s v="SN"/>
    <x v="1"/>
    <n v="21"/>
    <m/>
    <n v="6"/>
    <m/>
    <n v="1"/>
    <n v="1"/>
    <n v="53"/>
    <m/>
    <m/>
    <m/>
    <m/>
    <m/>
    <m/>
    <x v="3"/>
  </r>
  <r>
    <x v="1"/>
    <x v="1"/>
    <x v="1"/>
    <s v="namu, close to Koeye; commercial"/>
    <x v="0"/>
    <s v="YY"/>
    <s v="SN"/>
    <x v="1"/>
    <n v="21"/>
    <m/>
    <n v="6"/>
    <m/>
    <n v="1"/>
    <n v="2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3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4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5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6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7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8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9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10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11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12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13"/>
    <s v="NA"/>
    <m/>
    <m/>
    <m/>
    <m/>
    <s v="poor"/>
    <s v="its not actually poor?"/>
    <x v="2"/>
  </r>
  <r>
    <x v="1"/>
    <x v="1"/>
    <x v="1"/>
    <s v="namu, close to Koeye; commercial"/>
    <x v="0"/>
    <s v="YY"/>
    <s v="SN"/>
    <x v="1"/>
    <n v="21"/>
    <m/>
    <n v="6"/>
    <m/>
    <n v="1"/>
    <n v="14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15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16"/>
    <s v="R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17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18"/>
    <n v="63"/>
    <m/>
    <m/>
    <m/>
    <m/>
    <m/>
    <m/>
    <x v="4"/>
  </r>
  <r>
    <x v="1"/>
    <x v="1"/>
    <x v="1"/>
    <s v="namu, close to Koeye; commercial"/>
    <x v="0"/>
    <s v="YY"/>
    <s v="SN"/>
    <x v="1"/>
    <n v="21"/>
    <m/>
    <n v="6"/>
    <m/>
    <n v="1"/>
    <n v="19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20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21"/>
    <n v="53"/>
    <m/>
    <m/>
    <m/>
    <m/>
    <m/>
    <m/>
    <x v="3"/>
  </r>
  <r>
    <x v="1"/>
    <x v="1"/>
    <x v="1"/>
    <s v="namu, close to Koeye; commercial"/>
    <x v="0"/>
    <s v="YY"/>
    <s v="SN"/>
    <x v="1"/>
    <n v="21"/>
    <m/>
    <n v="6"/>
    <m/>
    <n v="1"/>
    <n v="22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23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24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25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26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27"/>
    <s v="R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28"/>
    <s v="R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29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0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1"/>
    <s v="NA"/>
    <m/>
    <m/>
    <m/>
    <m/>
    <s v="poor"/>
    <m/>
    <x v="2"/>
  </r>
  <r>
    <x v="1"/>
    <x v="1"/>
    <x v="1"/>
    <s v="namu, close to Koeye; commercial"/>
    <x v="0"/>
    <s v="YY"/>
    <s v="SN"/>
    <x v="1"/>
    <n v="21"/>
    <m/>
    <n v="6"/>
    <m/>
    <n v="1"/>
    <n v="32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3"/>
    <s v="R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34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5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6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7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38"/>
    <s v="R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39"/>
    <n v="42"/>
    <m/>
    <m/>
    <m/>
    <m/>
    <m/>
    <m/>
    <x v="1"/>
  </r>
  <r>
    <x v="1"/>
    <x v="1"/>
    <x v="1"/>
    <s v="namu, close to Koeye; commercial"/>
    <x v="0"/>
    <s v="YY"/>
    <s v="SN"/>
    <x v="1"/>
    <n v="21"/>
    <m/>
    <n v="6"/>
    <m/>
    <n v="1"/>
    <n v="40"/>
    <n v="64"/>
    <m/>
    <m/>
    <m/>
    <m/>
    <m/>
    <m/>
    <x v="5"/>
  </r>
  <r>
    <x v="1"/>
    <x v="1"/>
    <x v="1"/>
    <s v="namu, close to Koeye; commercial"/>
    <x v="0"/>
    <s v="YY"/>
    <s v="SN"/>
    <x v="1"/>
    <n v="21"/>
    <m/>
    <n v="6"/>
    <m/>
    <n v="1"/>
    <n v="41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42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43"/>
    <n v="63"/>
    <m/>
    <m/>
    <m/>
    <m/>
    <m/>
    <m/>
    <x v="4"/>
  </r>
  <r>
    <x v="1"/>
    <x v="1"/>
    <x v="1"/>
    <s v="namu, close to Koeye; commercial"/>
    <x v="0"/>
    <s v="YY"/>
    <s v="SN"/>
    <x v="1"/>
    <n v="21"/>
    <m/>
    <n v="6"/>
    <m/>
    <n v="1"/>
    <n v="44"/>
    <s v="NA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45"/>
    <n v="63"/>
    <m/>
    <m/>
    <m/>
    <m/>
    <m/>
    <m/>
    <x v="4"/>
  </r>
  <r>
    <x v="1"/>
    <x v="1"/>
    <x v="1"/>
    <s v="namu, close to Koeye; commercial"/>
    <x v="0"/>
    <s v="YY"/>
    <s v="SN"/>
    <x v="1"/>
    <n v="21"/>
    <m/>
    <n v="6"/>
    <m/>
    <n v="1"/>
    <n v="46"/>
    <n v="53"/>
    <m/>
    <m/>
    <m/>
    <m/>
    <m/>
    <m/>
    <x v="3"/>
  </r>
  <r>
    <x v="1"/>
    <x v="1"/>
    <x v="1"/>
    <s v="namu, close to Koeye; commercial"/>
    <x v="0"/>
    <s v="YY"/>
    <s v="SN"/>
    <x v="1"/>
    <n v="21"/>
    <m/>
    <n v="6"/>
    <m/>
    <n v="1"/>
    <n v="47"/>
    <s v="R"/>
    <m/>
    <m/>
    <m/>
    <m/>
    <m/>
    <m/>
    <x v="2"/>
  </r>
  <r>
    <x v="1"/>
    <x v="1"/>
    <x v="1"/>
    <s v="namu, close to Koeye; commercial"/>
    <x v="0"/>
    <s v="YY"/>
    <s v="SN"/>
    <x v="1"/>
    <n v="21"/>
    <m/>
    <n v="6"/>
    <m/>
    <n v="1"/>
    <n v="48"/>
    <n v="52"/>
    <m/>
    <m/>
    <m/>
    <m/>
    <m/>
    <m/>
    <x v="0"/>
  </r>
  <r>
    <x v="1"/>
    <x v="1"/>
    <x v="1"/>
    <s v="namu, close to Koeye; commercial"/>
    <x v="0"/>
    <s v="YY"/>
    <s v="SN"/>
    <x v="1"/>
    <n v="21"/>
    <m/>
    <n v="6"/>
    <m/>
    <n v="1"/>
    <n v="49"/>
    <n v="52"/>
    <m/>
    <m/>
    <m/>
    <m/>
    <m/>
    <m/>
    <x v="0"/>
  </r>
  <r>
    <x v="1"/>
    <x v="1"/>
    <x v="1"/>
    <s v="Koeye; Neptune 1"/>
    <x v="0"/>
    <s v="YY"/>
    <s v="SN"/>
    <x v="1"/>
    <n v="21"/>
    <m/>
    <n v="6"/>
    <m/>
    <n v="1"/>
    <n v="50"/>
    <n v="52"/>
    <m/>
    <m/>
    <m/>
    <m/>
    <m/>
    <s v="2 readings only 1 entered by YY"/>
    <x v="0"/>
  </r>
  <r>
    <x v="2"/>
    <x v="1"/>
    <x v="1"/>
    <s v="Koeye; Neptune 1"/>
    <x v="0"/>
    <s v="YY"/>
    <m/>
    <x v="1"/>
    <n v="22"/>
    <m/>
    <n v="6"/>
    <m/>
    <n v="2"/>
    <n v="1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2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3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4"/>
    <n v="52"/>
    <m/>
    <m/>
    <m/>
    <m/>
    <s v="90"/>
    <m/>
    <x v="0"/>
  </r>
  <r>
    <x v="2"/>
    <x v="1"/>
    <x v="1"/>
    <s v="Koeye; Neptune 1"/>
    <x v="0"/>
    <s v="YY"/>
    <m/>
    <x v="1"/>
    <n v="22"/>
    <m/>
    <n v="6"/>
    <m/>
    <n v="2"/>
    <n v="5"/>
    <s v="R"/>
    <m/>
    <m/>
    <m/>
    <m/>
    <m/>
    <m/>
    <x v="2"/>
  </r>
  <r>
    <x v="2"/>
    <x v="1"/>
    <x v="1"/>
    <s v="Koeye; Neptune 1"/>
    <x v="0"/>
    <s v="YY"/>
    <m/>
    <x v="1"/>
    <n v="22"/>
    <m/>
    <n v="6"/>
    <m/>
    <n v="2"/>
    <n v="6"/>
    <n v="31"/>
    <m/>
    <m/>
    <m/>
    <m/>
    <m/>
    <m/>
    <x v="6"/>
  </r>
  <r>
    <x v="2"/>
    <x v="1"/>
    <x v="1"/>
    <s v="Koeye; Neptune 1"/>
    <x v="0"/>
    <s v="YY"/>
    <m/>
    <x v="1"/>
    <n v="22"/>
    <m/>
    <n v="6"/>
    <m/>
    <n v="2"/>
    <n v="7"/>
    <n v="31"/>
    <m/>
    <m/>
    <m/>
    <m/>
    <m/>
    <m/>
    <x v="6"/>
  </r>
  <r>
    <x v="2"/>
    <x v="1"/>
    <x v="1"/>
    <s v="Koeye; Neptune 1"/>
    <x v="0"/>
    <s v="YY"/>
    <m/>
    <x v="1"/>
    <n v="22"/>
    <m/>
    <n v="6"/>
    <m/>
    <n v="2"/>
    <n v="8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9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10"/>
    <s v="NA"/>
    <m/>
    <m/>
    <m/>
    <m/>
    <m/>
    <m/>
    <x v="2"/>
  </r>
  <r>
    <x v="2"/>
    <x v="1"/>
    <x v="1"/>
    <s v="Koeye; Neptune 1"/>
    <x v="0"/>
    <s v="YY"/>
    <m/>
    <x v="1"/>
    <n v="22"/>
    <m/>
    <n v="6"/>
    <m/>
    <n v="2"/>
    <n v="11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12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13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14"/>
    <s v="NA"/>
    <m/>
    <m/>
    <m/>
    <m/>
    <s v="shifted"/>
    <m/>
    <x v="2"/>
  </r>
  <r>
    <x v="2"/>
    <x v="1"/>
    <x v="1"/>
    <s v="Koeye; Neptune 1"/>
    <x v="0"/>
    <s v="YY"/>
    <m/>
    <x v="1"/>
    <n v="22"/>
    <m/>
    <n v="6"/>
    <m/>
    <n v="2"/>
    <n v="15"/>
    <n v="53"/>
    <m/>
    <m/>
    <m/>
    <m/>
    <m/>
    <m/>
    <x v="3"/>
  </r>
  <r>
    <x v="2"/>
    <x v="1"/>
    <x v="1"/>
    <s v="Koeye; Neptune 1"/>
    <x v="0"/>
    <s v="YY"/>
    <m/>
    <x v="1"/>
    <n v="22"/>
    <m/>
    <n v="6"/>
    <m/>
    <n v="2"/>
    <n v="16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17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18"/>
    <n v="31"/>
    <m/>
    <m/>
    <m/>
    <m/>
    <m/>
    <m/>
    <x v="6"/>
  </r>
  <r>
    <x v="2"/>
    <x v="1"/>
    <x v="1"/>
    <s v="Koeye; Neptune 1"/>
    <x v="0"/>
    <s v="YY"/>
    <m/>
    <x v="1"/>
    <n v="22"/>
    <m/>
    <n v="6"/>
    <m/>
    <n v="2"/>
    <n v="19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20"/>
    <n v="53"/>
    <m/>
    <m/>
    <m/>
    <m/>
    <m/>
    <m/>
    <x v="3"/>
  </r>
  <r>
    <x v="2"/>
    <x v="1"/>
    <x v="1"/>
    <s v="Koeye; Neptune 1"/>
    <x v="0"/>
    <s v="YY"/>
    <m/>
    <x v="1"/>
    <n v="22"/>
    <m/>
    <n v="6"/>
    <m/>
    <n v="2"/>
    <n v="21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22"/>
    <s v="R"/>
    <m/>
    <m/>
    <m/>
    <m/>
    <m/>
    <m/>
    <x v="2"/>
  </r>
  <r>
    <x v="2"/>
    <x v="1"/>
    <x v="1"/>
    <s v="Koeye; Neptune 1"/>
    <x v="0"/>
    <s v="YY"/>
    <m/>
    <x v="1"/>
    <n v="22"/>
    <m/>
    <n v="6"/>
    <m/>
    <n v="2"/>
    <n v="23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24"/>
    <s v="R"/>
    <m/>
    <m/>
    <m/>
    <m/>
    <m/>
    <m/>
    <x v="2"/>
  </r>
  <r>
    <x v="2"/>
    <x v="1"/>
    <x v="1"/>
    <s v="Koeye; Neptune 1"/>
    <x v="0"/>
    <s v="YY"/>
    <m/>
    <x v="1"/>
    <n v="22"/>
    <m/>
    <n v="6"/>
    <m/>
    <n v="2"/>
    <n v="25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26"/>
    <n v="63"/>
    <m/>
    <m/>
    <m/>
    <m/>
    <m/>
    <m/>
    <x v="4"/>
  </r>
  <r>
    <x v="2"/>
    <x v="1"/>
    <x v="1"/>
    <s v="Koeye; Neptune 1"/>
    <x v="0"/>
    <s v="YY"/>
    <m/>
    <x v="1"/>
    <n v="22"/>
    <m/>
    <n v="6"/>
    <m/>
    <n v="2"/>
    <n v="27"/>
    <n v="53"/>
    <m/>
    <m/>
    <m/>
    <m/>
    <m/>
    <m/>
    <x v="3"/>
  </r>
  <r>
    <x v="2"/>
    <x v="1"/>
    <x v="1"/>
    <s v="Koeye; Neptune 1"/>
    <x v="0"/>
    <s v="YY"/>
    <m/>
    <x v="1"/>
    <n v="22"/>
    <m/>
    <n v="6"/>
    <m/>
    <n v="2"/>
    <n v="28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29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30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31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32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33"/>
    <n v="21"/>
    <m/>
    <m/>
    <m/>
    <m/>
    <m/>
    <m/>
    <x v="7"/>
  </r>
  <r>
    <x v="2"/>
    <x v="1"/>
    <x v="1"/>
    <s v="Koeye; Neptune 1"/>
    <x v="0"/>
    <s v="YY"/>
    <m/>
    <x v="1"/>
    <n v="22"/>
    <m/>
    <n v="6"/>
    <m/>
    <n v="2"/>
    <n v="34"/>
    <n v="64"/>
    <m/>
    <m/>
    <m/>
    <m/>
    <m/>
    <m/>
    <x v="5"/>
  </r>
  <r>
    <x v="2"/>
    <x v="1"/>
    <x v="1"/>
    <s v="Koeye; Neptune 1"/>
    <x v="0"/>
    <s v="YY"/>
    <m/>
    <x v="1"/>
    <n v="22"/>
    <m/>
    <n v="6"/>
    <m/>
    <n v="2"/>
    <n v="35"/>
    <n v="52"/>
    <m/>
    <m/>
    <m/>
    <m/>
    <m/>
    <m/>
    <x v="0"/>
  </r>
  <r>
    <x v="2"/>
    <x v="1"/>
    <x v="1"/>
    <s v="Koeye; Neptune 1"/>
    <x v="0"/>
    <s v="YY"/>
    <m/>
    <x v="1"/>
    <n v="22"/>
    <m/>
    <n v="6"/>
    <m/>
    <n v="2"/>
    <n v="36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37"/>
    <n v="42"/>
    <m/>
    <m/>
    <m/>
    <m/>
    <m/>
    <m/>
    <x v="1"/>
  </r>
  <r>
    <x v="2"/>
    <x v="1"/>
    <x v="1"/>
    <s v="Koeye; Neptune 1"/>
    <x v="0"/>
    <s v="YY"/>
    <m/>
    <x v="1"/>
    <n v="22"/>
    <m/>
    <n v="6"/>
    <m/>
    <n v="2"/>
    <n v="38"/>
    <n v="31"/>
    <m/>
    <m/>
    <m/>
    <m/>
    <m/>
    <s v="2 readings only 1 entered by YY"/>
    <x v="6"/>
  </r>
  <r>
    <x v="2"/>
    <x v="1"/>
    <x v="1"/>
    <s v="Koeye; Neptune 1"/>
    <x v="0"/>
    <s v="YY"/>
    <m/>
    <x v="1"/>
    <n v="29"/>
    <m/>
    <n v="6"/>
    <m/>
    <n v="3"/>
    <n v="1"/>
    <n v="32"/>
    <m/>
    <m/>
    <m/>
    <m/>
    <m/>
    <m/>
    <x v="8"/>
  </r>
  <r>
    <x v="2"/>
    <x v="1"/>
    <x v="1"/>
    <s v="Koeye; Neptune 1"/>
    <x v="0"/>
    <s v="YY"/>
    <m/>
    <x v="1"/>
    <n v="29"/>
    <m/>
    <n v="6"/>
    <m/>
    <n v="3"/>
    <n v="2"/>
    <n v="53"/>
    <m/>
    <m/>
    <m/>
    <m/>
    <m/>
    <m/>
    <x v="3"/>
  </r>
  <r>
    <x v="2"/>
    <x v="1"/>
    <x v="1"/>
    <s v="Koeye; Neptune 1"/>
    <x v="0"/>
    <s v="YY"/>
    <m/>
    <x v="1"/>
    <n v="29"/>
    <m/>
    <n v="6"/>
    <m/>
    <n v="3"/>
    <n v="3"/>
    <n v="42"/>
    <m/>
    <m/>
    <m/>
    <m/>
    <s v="R"/>
    <m/>
    <x v="1"/>
  </r>
  <r>
    <x v="2"/>
    <x v="1"/>
    <x v="1"/>
    <s v="Koeye; Neptune 1"/>
    <x v="0"/>
    <s v="YY"/>
    <m/>
    <x v="1"/>
    <n v="29"/>
    <m/>
    <n v="6"/>
    <m/>
    <n v="3"/>
    <n v="4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5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6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7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8"/>
    <n v="31"/>
    <m/>
    <m/>
    <m/>
    <m/>
    <m/>
    <m/>
    <x v="6"/>
  </r>
  <r>
    <x v="2"/>
    <x v="1"/>
    <x v="1"/>
    <s v="Koeye; Neptune 1"/>
    <x v="0"/>
    <s v="YY"/>
    <m/>
    <x v="1"/>
    <n v="29"/>
    <m/>
    <n v="6"/>
    <m/>
    <n v="3"/>
    <n v="9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10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11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12"/>
    <n v="63"/>
    <m/>
    <m/>
    <m/>
    <m/>
    <m/>
    <m/>
    <x v="4"/>
  </r>
  <r>
    <x v="2"/>
    <x v="1"/>
    <x v="1"/>
    <s v="Koeye; Neptune 1"/>
    <x v="0"/>
    <s v="YY"/>
    <m/>
    <x v="1"/>
    <n v="29"/>
    <m/>
    <n v="6"/>
    <m/>
    <n v="3"/>
    <n v="13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14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15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16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17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18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19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20"/>
    <n v="31"/>
    <m/>
    <m/>
    <m/>
    <m/>
    <m/>
    <m/>
    <x v="6"/>
  </r>
  <r>
    <x v="2"/>
    <x v="1"/>
    <x v="1"/>
    <s v="Koeye; Neptune 1"/>
    <x v="0"/>
    <s v="YY"/>
    <m/>
    <x v="1"/>
    <n v="29"/>
    <m/>
    <n v="6"/>
    <m/>
    <n v="3"/>
    <n v="21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22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23"/>
    <n v="52"/>
    <m/>
    <m/>
    <m/>
    <m/>
    <s v="90"/>
    <m/>
    <x v="0"/>
  </r>
  <r>
    <x v="2"/>
    <x v="1"/>
    <x v="1"/>
    <s v="Koeye; Neptune 1"/>
    <x v="0"/>
    <s v="YY"/>
    <m/>
    <x v="1"/>
    <n v="29"/>
    <m/>
    <n v="6"/>
    <m/>
    <n v="3"/>
    <n v="24"/>
    <s v="NA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25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26"/>
    <n v="32"/>
    <m/>
    <m/>
    <m/>
    <m/>
    <m/>
    <m/>
    <x v="8"/>
  </r>
  <r>
    <x v="2"/>
    <x v="1"/>
    <x v="1"/>
    <s v="Koeye; Neptune 1"/>
    <x v="0"/>
    <s v="YY"/>
    <m/>
    <x v="1"/>
    <n v="29"/>
    <m/>
    <n v="6"/>
    <m/>
    <n v="3"/>
    <n v="27"/>
    <s v="NA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28"/>
    <n v="31"/>
    <m/>
    <m/>
    <m/>
    <m/>
    <m/>
    <m/>
    <x v="6"/>
  </r>
  <r>
    <x v="2"/>
    <x v="1"/>
    <x v="1"/>
    <s v="Koeye; Neptune 1"/>
    <x v="0"/>
    <s v="YY"/>
    <m/>
    <x v="1"/>
    <n v="29"/>
    <m/>
    <n v="6"/>
    <m/>
    <n v="3"/>
    <n v="29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30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31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32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33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34"/>
    <n v="31"/>
    <m/>
    <m/>
    <m/>
    <m/>
    <m/>
    <m/>
    <x v="6"/>
  </r>
  <r>
    <x v="2"/>
    <x v="1"/>
    <x v="1"/>
    <s v="Koeye; Neptune 1"/>
    <x v="0"/>
    <s v="YY"/>
    <m/>
    <x v="1"/>
    <n v="29"/>
    <m/>
    <n v="6"/>
    <m/>
    <n v="3"/>
    <n v="35"/>
    <n v="63"/>
    <m/>
    <m/>
    <m/>
    <m/>
    <m/>
    <m/>
    <x v="4"/>
  </r>
  <r>
    <x v="2"/>
    <x v="1"/>
    <x v="1"/>
    <s v="Koeye; Neptune 1"/>
    <x v="0"/>
    <s v="YY"/>
    <m/>
    <x v="1"/>
    <n v="29"/>
    <m/>
    <n v="6"/>
    <m/>
    <n v="3"/>
    <n v="36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37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38"/>
    <n v="53"/>
    <m/>
    <m/>
    <m/>
    <m/>
    <m/>
    <m/>
    <x v="3"/>
  </r>
  <r>
    <x v="2"/>
    <x v="1"/>
    <x v="1"/>
    <s v="Koeye; Neptune 1"/>
    <x v="0"/>
    <s v="YY"/>
    <m/>
    <x v="1"/>
    <n v="29"/>
    <m/>
    <n v="6"/>
    <m/>
    <n v="3"/>
    <n v="39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40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41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42"/>
    <m/>
    <m/>
    <m/>
    <m/>
    <m/>
    <s v="90"/>
    <m/>
    <x v="2"/>
  </r>
  <r>
    <x v="2"/>
    <x v="1"/>
    <x v="1"/>
    <s v="Koeye; Neptune 1"/>
    <x v="0"/>
    <s v="YY"/>
    <m/>
    <x v="1"/>
    <n v="29"/>
    <m/>
    <n v="6"/>
    <m/>
    <n v="3"/>
    <n v="43"/>
    <s v="NA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44"/>
    <n v="42"/>
    <m/>
    <m/>
    <m/>
    <m/>
    <m/>
    <m/>
    <x v="1"/>
  </r>
  <r>
    <x v="2"/>
    <x v="1"/>
    <x v="1"/>
    <s v="Koeye; Neptune 1"/>
    <x v="0"/>
    <s v="YY"/>
    <m/>
    <x v="1"/>
    <n v="29"/>
    <m/>
    <n v="6"/>
    <m/>
    <n v="3"/>
    <n v="45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46"/>
    <n v="52"/>
    <m/>
    <m/>
    <m/>
    <m/>
    <m/>
    <m/>
    <x v="0"/>
  </r>
  <r>
    <x v="2"/>
    <x v="1"/>
    <x v="1"/>
    <s v="Koeye; Neptune 1"/>
    <x v="0"/>
    <s v="YY"/>
    <m/>
    <x v="1"/>
    <n v="29"/>
    <m/>
    <n v="6"/>
    <m/>
    <n v="3"/>
    <n v="47"/>
    <n v="53"/>
    <m/>
    <m/>
    <m/>
    <m/>
    <m/>
    <m/>
    <x v="3"/>
  </r>
  <r>
    <x v="2"/>
    <x v="1"/>
    <x v="1"/>
    <s v="Koeye; Neptune 1"/>
    <x v="0"/>
    <s v="YY"/>
    <m/>
    <x v="1"/>
    <n v="29"/>
    <m/>
    <n v="6"/>
    <m/>
    <n v="3"/>
    <n v="48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49"/>
    <s v="R"/>
    <m/>
    <m/>
    <m/>
    <m/>
    <m/>
    <m/>
    <x v="2"/>
  </r>
  <r>
    <x v="2"/>
    <x v="1"/>
    <x v="1"/>
    <s v="Koeye; Neptune 1"/>
    <x v="0"/>
    <s v="YY"/>
    <m/>
    <x v="1"/>
    <n v="29"/>
    <m/>
    <n v="6"/>
    <m/>
    <n v="3"/>
    <n v="50"/>
    <n v="53"/>
    <m/>
    <m/>
    <m/>
    <m/>
    <s v="?"/>
    <s v="2 READINGS only 1 entered"/>
    <x v="3"/>
  </r>
  <r>
    <x v="2"/>
    <x v="1"/>
    <x v="1"/>
    <s v="Koeye; Neptune 1"/>
    <x v="0"/>
    <s v="YY"/>
    <m/>
    <x v="1"/>
    <n v="30"/>
    <m/>
    <n v="6"/>
    <m/>
    <n v="4"/>
    <n v="1"/>
    <n v="32"/>
    <m/>
    <m/>
    <m/>
    <m/>
    <m/>
    <s v="book says chinook but definitely sockeye scales"/>
    <x v="8"/>
  </r>
  <r>
    <x v="2"/>
    <x v="1"/>
    <x v="1"/>
    <s v="Koeye; Neptune 1"/>
    <x v="0"/>
    <s v="YY"/>
    <m/>
    <x v="1"/>
    <n v="30"/>
    <m/>
    <n v="6"/>
    <m/>
    <n v="4"/>
    <n v="2"/>
    <n v="52"/>
    <m/>
    <m/>
    <m/>
    <m/>
    <m/>
    <m/>
    <x v="0"/>
  </r>
  <r>
    <x v="2"/>
    <x v="1"/>
    <x v="1"/>
    <s v="Koeye; Neptune 1"/>
    <x v="0"/>
    <s v="YY"/>
    <m/>
    <x v="1"/>
    <n v="30"/>
    <m/>
    <n v="6"/>
    <m/>
    <n v="4"/>
    <n v="3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4"/>
    <n v="52"/>
    <m/>
    <m/>
    <m/>
    <m/>
    <m/>
    <m/>
    <x v="0"/>
  </r>
  <r>
    <x v="2"/>
    <x v="1"/>
    <x v="1"/>
    <s v="Koeye; Neptune 1"/>
    <x v="0"/>
    <s v="YY"/>
    <m/>
    <x v="1"/>
    <n v="30"/>
    <m/>
    <n v="6"/>
    <m/>
    <n v="4"/>
    <n v="5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6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7"/>
    <n v="53"/>
    <m/>
    <m/>
    <m/>
    <m/>
    <m/>
    <m/>
    <x v="3"/>
  </r>
  <r>
    <x v="2"/>
    <x v="1"/>
    <x v="1"/>
    <s v="Koeye; Neptune 1"/>
    <x v="0"/>
    <s v="YY"/>
    <m/>
    <x v="1"/>
    <n v="30"/>
    <m/>
    <n v="6"/>
    <m/>
    <n v="4"/>
    <n v="8"/>
    <n v="52"/>
    <m/>
    <m/>
    <m/>
    <m/>
    <m/>
    <m/>
    <x v="0"/>
  </r>
  <r>
    <x v="2"/>
    <x v="1"/>
    <x v="1"/>
    <s v="Koeye; Neptune 1"/>
    <x v="0"/>
    <s v="YY"/>
    <m/>
    <x v="1"/>
    <n v="30"/>
    <m/>
    <n v="6"/>
    <m/>
    <n v="4"/>
    <n v="9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10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11"/>
    <n v="42"/>
    <m/>
    <m/>
    <m/>
    <m/>
    <s v="90"/>
    <m/>
    <x v="1"/>
  </r>
  <r>
    <x v="2"/>
    <x v="1"/>
    <x v="1"/>
    <s v="Koeye; Neptune 1"/>
    <x v="0"/>
    <s v="YY"/>
    <m/>
    <x v="1"/>
    <n v="30"/>
    <m/>
    <n v="6"/>
    <m/>
    <n v="4"/>
    <n v="12"/>
    <n v="32"/>
    <m/>
    <m/>
    <m/>
    <m/>
    <m/>
    <m/>
    <x v="8"/>
  </r>
  <r>
    <x v="2"/>
    <x v="1"/>
    <x v="1"/>
    <s v="Koeye; Neptune 1"/>
    <x v="0"/>
    <s v="YY"/>
    <m/>
    <x v="1"/>
    <n v="30"/>
    <m/>
    <n v="6"/>
    <m/>
    <n v="4"/>
    <n v="13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14"/>
    <n v="53"/>
    <m/>
    <m/>
    <m/>
    <m/>
    <m/>
    <m/>
    <x v="3"/>
  </r>
  <r>
    <x v="2"/>
    <x v="1"/>
    <x v="1"/>
    <s v="Koeye; Neptune 1"/>
    <x v="0"/>
    <s v="YY"/>
    <m/>
    <x v="1"/>
    <n v="30"/>
    <m/>
    <n v="6"/>
    <m/>
    <n v="4"/>
    <n v="15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16"/>
    <s v="R"/>
    <m/>
    <m/>
    <m/>
    <m/>
    <s v="shifted"/>
    <m/>
    <x v="2"/>
  </r>
  <r>
    <x v="2"/>
    <x v="1"/>
    <x v="1"/>
    <s v="Koeye; Neptune 1"/>
    <x v="0"/>
    <s v="YY"/>
    <m/>
    <x v="1"/>
    <n v="30"/>
    <m/>
    <n v="6"/>
    <m/>
    <n v="4"/>
    <n v="17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18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19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20"/>
    <n v="31"/>
    <m/>
    <m/>
    <m/>
    <m/>
    <m/>
    <m/>
    <x v="6"/>
  </r>
  <r>
    <x v="2"/>
    <x v="1"/>
    <x v="1"/>
    <s v="Koeye; Neptune 1"/>
    <x v="0"/>
    <s v="YY"/>
    <m/>
    <x v="1"/>
    <n v="30"/>
    <m/>
    <n v="6"/>
    <m/>
    <n v="4"/>
    <n v="21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22"/>
    <n v="32"/>
    <m/>
    <m/>
    <m/>
    <m/>
    <m/>
    <m/>
    <x v="8"/>
  </r>
  <r>
    <x v="2"/>
    <x v="1"/>
    <x v="1"/>
    <s v="Koeye; Neptune 1"/>
    <x v="0"/>
    <s v="YY"/>
    <m/>
    <x v="1"/>
    <n v="30"/>
    <m/>
    <n v="6"/>
    <m/>
    <n v="4"/>
    <n v="23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24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25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26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27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28"/>
    <n v="42"/>
    <m/>
    <m/>
    <m/>
    <m/>
    <m/>
    <s v="actually R?"/>
    <x v="1"/>
  </r>
  <r>
    <x v="2"/>
    <x v="1"/>
    <x v="1"/>
    <s v="Koeye; Neptune 1"/>
    <x v="0"/>
    <s v="YY"/>
    <m/>
    <x v="1"/>
    <n v="30"/>
    <m/>
    <n v="6"/>
    <m/>
    <n v="4"/>
    <n v="29"/>
    <s v="R"/>
    <m/>
    <m/>
    <m/>
    <m/>
    <m/>
    <s v="actually not R?"/>
    <x v="2"/>
  </r>
  <r>
    <x v="2"/>
    <x v="1"/>
    <x v="1"/>
    <s v="Koeye; Neptune 1"/>
    <x v="0"/>
    <s v="YY"/>
    <m/>
    <x v="1"/>
    <n v="30"/>
    <m/>
    <n v="6"/>
    <m/>
    <n v="4"/>
    <n v="30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31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32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33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34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35"/>
    <n v="42"/>
    <m/>
    <m/>
    <m/>
    <m/>
    <s v="90"/>
    <m/>
    <x v="1"/>
  </r>
  <r>
    <x v="2"/>
    <x v="1"/>
    <x v="1"/>
    <s v="Koeye; Neptune 1"/>
    <x v="0"/>
    <s v="YY"/>
    <m/>
    <x v="1"/>
    <n v="30"/>
    <m/>
    <n v="6"/>
    <m/>
    <n v="4"/>
    <n v="36"/>
    <n v="31"/>
    <m/>
    <m/>
    <m/>
    <m/>
    <s v="?"/>
    <m/>
    <x v="6"/>
  </r>
  <r>
    <x v="2"/>
    <x v="1"/>
    <x v="1"/>
    <s v="Koeye; Neptune 1"/>
    <x v="0"/>
    <s v="YY"/>
    <m/>
    <x v="1"/>
    <n v="30"/>
    <m/>
    <n v="6"/>
    <m/>
    <n v="4"/>
    <n v="37"/>
    <s v="NA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38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39"/>
    <s v="NA"/>
    <m/>
    <m/>
    <m/>
    <m/>
    <s v="90"/>
    <m/>
    <x v="2"/>
  </r>
  <r>
    <x v="2"/>
    <x v="1"/>
    <x v="1"/>
    <s v="Koeye; Neptune 1"/>
    <x v="0"/>
    <s v="YY"/>
    <m/>
    <x v="1"/>
    <n v="30"/>
    <m/>
    <n v="6"/>
    <m/>
    <n v="4"/>
    <n v="40"/>
    <n v="52"/>
    <m/>
    <m/>
    <m/>
    <m/>
    <m/>
    <m/>
    <x v="0"/>
  </r>
  <r>
    <x v="2"/>
    <x v="1"/>
    <x v="1"/>
    <s v="Koeye; Neptune 1"/>
    <x v="0"/>
    <s v="YY"/>
    <m/>
    <x v="1"/>
    <n v="30"/>
    <m/>
    <n v="6"/>
    <m/>
    <n v="4"/>
    <n v="41"/>
    <m/>
    <m/>
    <m/>
    <m/>
    <m/>
    <s v="90"/>
    <m/>
    <x v="2"/>
  </r>
  <r>
    <x v="2"/>
    <x v="1"/>
    <x v="1"/>
    <s v="Koeye; Neptune 1"/>
    <x v="0"/>
    <s v="YY"/>
    <m/>
    <x v="1"/>
    <n v="30"/>
    <m/>
    <n v="6"/>
    <m/>
    <n v="4"/>
    <n v="42"/>
    <n v="32"/>
    <m/>
    <m/>
    <m/>
    <m/>
    <m/>
    <m/>
    <x v="8"/>
  </r>
  <r>
    <x v="2"/>
    <x v="1"/>
    <x v="1"/>
    <s v="Koeye; Neptune 1"/>
    <x v="0"/>
    <s v="YY"/>
    <m/>
    <x v="1"/>
    <n v="30"/>
    <m/>
    <n v="6"/>
    <m/>
    <n v="4"/>
    <n v="43"/>
    <n v="32"/>
    <m/>
    <m/>
    <m/>
    <m/>
    <m/>
    <m/>
    <x v="8"/>
  </r>
  <r>
    <x v="2"/>
    <x v="1"/>
    <x v="1"/>
    <s v="Koeye; Neptune 1"/>
    <x v="0"/>
    <s v="YY"/>
    <m/>
    <x v="1"/>
    <n v="30"/>
    <m/>
    <n v="6"/>
    <m/>
    <n v="4"/>
    <n v="44"/>
    <n v="32"/>
    <m/>
    <m/>
    <m/>
    <m/>
    <m/>
    <m/>
    <x v="8"/>
  </r>
  <r>
    <x v="2"/>
    <x v="1"/>
    <x v="1"/>
    <s v="Koeye; Neptune 1"/>
    <x v="0"/>
    <s v="YY"/>
    <m/>
    <x v="1"/>
    <n v="30"/>
    <m/>
    <n v="6"/>
    <m/>
    <n v="4"/>
    <n v="45"/>
    <n v="31"/>
    <m/>
    <m/>
    <m/>
    <m/>
    <s v="?"/>
    <m/>
    <x v="6"/>
  </r>
  <r>
    <x v="2"/>
    <x v="1"/>
    <x v="1"/>
    <s v="Koeye; Neptune 1"/>
    <x v="0"/>
    <s v="YY"/>
    <m/>
    <x v="1"/>
    <n v="30"/>
    <m/>
    <n v="6"/>
    <m/>
    <n v="4"/>
    <n v="46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47"/>
    <s v="R"/>
    <m/>
    <m/>
    <m/>
    <m/>
    <m/>
    <m/>
    <x v="2"/>
  </r>
  <r>
    <x v="2"/>
    <x v="1"/>
    <x v="1"/>
    <s v="Koeye; Neptune 1"/>
    <x v="0"/>
    <s v="YY"/>
    <m/>
    <x v="1"/>
    <n v="30"/>
    <m/>
    <n v="6"/>
    <m/>
    <n v="4"/>
    <n v="48"/>
    <s v="R"/>
    <m/>
    <m/>
    <m/>
    <m/>
    <s v="90"/>
    <m/>
    <x v="2"/>
  </r>
  <r>
    <x v="2"/>
    <x v="1"/>
    <x v="1"/>
    <s v="Koeye; Neptune 1"/>
    <x v="0"/>
    <s v="YY"/>
    <m/>
    <x v="1"/>
    <n v="30"/>
    <m/>
    <n v="6"/>
    <m/>
    <n v="4"/>
    <n v="49"/>
    <n v="42"/>
    <m/>
    <m/>
    <m/>
    <m/>
    <m/>
    <m/>
    <x v="1"/>
  </r>
  <r>
    <x v="2"/>
    <x v="1"/>
    <x v="1"/>
    <s v="Koeye; Neptune 1"/>
    <x v="0"/>
    <s v="YY"/>
    <m/>
    <x v="1"/>
    <n v="30"/>
    <m/>
    <n v="6"/>
    <m/>
    <n v="4"/>
    <n v="50"/>
    <n v="31"/>
    <m/>
    <m/>
    <m/>
    <m/>
    <m/>
    <s v="3 readings; P.C. seems to be more accurate only yy were entered"/>
    <x v="6"/>
  </r>
  <r>
    <x v="2"/>
    <x v="1"/>
    <x v="2"/>
    <s v="Neptune 1"/>
    <x v="0"/>
    <s v="YY"/>
    <m/>
    <x v="1"/>
    <n v="1"/>
    <m/>
    <n v="7"/>
    <m/>
    <n v="5"/>
    <n v="1"/>
    <n v="32"/>
    <m/>
    <m/>
    <m/>
    <m/>
    <m/>
    <m/>
    <x v="8"/>
  </r>
  <r>
    <x v="2"/>
    <x v="1"/>
    <x v="2"/>
    <s v="Neptune 1"/>
    <x v="0"/>
    <s v="YY"/>
    <m/>
    <x v="1"/>
    <n v="1"/>
    <m/>
    <n v="7"/>
    <m/>
    <n v="5"/>
    <n v="2"/>
    <n v="53"/>
    <m/>
    <m/>
    <m/>
    <m/>
    <m/>
    <m/>
    <x v="3"/>
  </r>
  <r>
    <x v="2"/>
    <x v="1"/>
    <x v="2"/>
    <s v="Neptune 1"/>
    <x v="0"/>
    <s v="YY"/>
    <m/>
    <x v="1"/>
    <n v="1"/>
    <m/>
    <n v="7"/>
    <m/>
    <n v="5"/>
    <n v="3"/>
    <n v="52"/>
    <m/>
    <m/>
    <m/>
    <m/>
    <m/>
    <m/>
    <x v="0"/>
  </r>
  <r>
    <x v="2"/>
    <x v="1"/>
    <x v="2"/>
    <s v="Neptune 1"/>
    <x v="0"/>
    <s v="YY"/>
    <m/>
    <x v="1"/>
    <n v="1"/>
    <m/>
    <n v="7"/>
    <m/>
    <n v="5"/>
    <n v="4"/>
    <s v="R"/>
    <m/>
    <m/>
    <m/>
    <m/>
    <m/>
    <m/>
    <x v="2"/>
  </r>
  <r>
    <x v="2"/>
    <x v="1"/>
    <x v="3"/>
    <s v="Neptune 1"/>
    <x v="0"/>
    <s v="YY"/>
    <m/>
    <x v="1"/>
    <n v="1"/>
    <m/>
    <n v="7"/>
    <m/>
    <n v="5"/>
    <n v="5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6"/>
    <n v="42"/>
    <m/>
    <m/>
    <m/>
    <m/>
    <m/>
    <m/>
    <x v="1"/>
  </r>
  <r>
    <x v="2"/>
    <x v="1"/>
    <x v="3"/>
    <s v="Neptune 1"/>
    <x v="0"/>
    <s v="YY"/>
    <m/>
    <x v="1"/>
    <n v="1"/>
    <m/>
    <n v="7"/>
    <m/>
    <n v="5"/>
    <n v="7"/>
    <n v="52"/>
    <m/>
    <m/>
    <m/>
    <m/>
    <m/>
    <m/>
    <x v="0"/>
  </r>
  <r>
    <x v="2"/>
    <x v="1"/>
    <x v="2"/>
    <s v="Neptune 1"/>
    <x v="0"/>
    <s v="YY"/>
    <m/>
    <x v="1"/>
    <n v="1"/>
    <m/>
    <n v="7"/>
    <m/>
    <n v="5"/>
    <n v="8"/>
    <n v="41"/>
    <m/>
    <m/>
    <m/>
    <m/>
    <m/>
    <m/>
    <x v="9"/>
  </r>
  <r>
    <x v="2"/>
    <x v="1"/>
    <x v="3"/>
    <s v="Neptune 1"/>
    <x v="0"/>
    <s v="YY"/>
    <m/>
    <x v="1"/>
    <n v="1"/>
    <m/>
    <n v="7"/>
    <m/>
    <n v="5"/>
    <n v="9"/>
    <n v="53"/>
    <m/>
    <m/>
    <m/>
    <m/>
    <m/>
    <m/>
    <x v="3"/>
  </r>
  <r>
    <x v="2"/>
    <x v="1"/>
    <x v="2"/>
    <s v="Neptune 1"/>
    <x v="0"/>
    <s v="YY"/>
    <m/>
    <x v="1"/>
    <n v="1"/>
    <m/>
    <n v="7"/>
    <m/>
    <n v="5"/>
    <n v="10"/>
    <n v="52"/>
    <m/>
    <m/>
    <m/>
    <m/>
    <m/>
    <m/>
    <x v="0"/>
  </r>
  <r>
    <x v="2"/>
    <x v="1"/>
    <x v="3"/>
    <s v="Neptune 1"/>
    <x v="0"/>
    <s v="YY"/>
    <m/>
    <x v="1"/>
    <n v="1"/>
    <m/>
    <n v="7"/>
    <m/>
    <n v="5"/>
    <n v="11"/>
    <s v="NA"/>
    <m/>
    <m/>
    <m/>
    <m/>
    <m/>
    <m/>
    <x v="2"/>
  </r>
  <r>
    <x v="2"/>
    <x v="1"/>
    <x v="2"/>
    <s v="Neptune 1"/>
    <x v="0"/>
    <s v="YY"/>
    <m/>
    <x v="1"/>
    <n v="1"/>
    <m/>
    <n v="7"/>
    <m/>
    <n v="5"/>
    <n v="12"/>
    <n v="31"/>
    <m/>
    <m/>
    <m/>
    <m/>
    <m/>
    <m/>
    <x v="6"/>
  </r>
  <r>
    <x v="2"/>
    <x v="1"/>
    <x v="3"/>
    <s v="Neptune 1"/>
    <x v="0"/>
    <s v="YY"/>
    <m/>
    <x v="1"/>
    <n v="1"/>
    <m/>
    <n v="7"/>
    <m/>
    <n v="5"/>
    <n v="13"/>
    <s v="R"/>
    <m/>
    <m/>
    <m/>
    <m/>
    <m/>
    <m/>
    <x v="2"/>
  </r>
  <r>
    <x v="2"/>
    <x v="1"/>
    <x v="2"/>
    <s v="Neptune 1"/>
    <x v="0"/>
    <s v="YY"/>
    <m/>
    <x v="1"/>
    <n v="1"/>
    <m/>
    <n v="7"/>
    <m/>
    <n v="5"/>
    <n v="14"/>
    <n v="53"/>
    <m/>
    <m/>
    <m/>
    <m/>
    <m/>
    <m/>
    <x v="3"/>
  </r>
  <r>
    <x v="2"/>
    <x v="1"/>
    <x v="3"/>
    <s v="Neptune 1"/>
    <x v="0"/>
    <s v="YY"/>
    <m/>
    <x v="1"/>
    <n v="1"/>
    <m/>
    <n v="7"/>
    <m/>
    <n v="5"/>
    <n v="15"/>
    <s v="NA"/>
    <m/>
    <m/>
    <m/>
    <m/>
    <m/>
    <s v="i think its ageable. "/>
    <x v="2"/>
  </r>
  <r>
    <x v="2"/>
    <x v="1"/>
    <x v="2"/>
    <s v="Neptune 1"/>
    <x v="0"/>
    <s v="YY"/>
    <m/>
    <x v="1"/>
    <n v="1"/>
    <m/>
    <n v="7"/>
    <m/>
    <n v="5"/>
    <n v="16"/>
    <n v="42"/>
    <m/>
    <m/>
    <m/>
    <m/>
    <m/>
    <m/>
    <x v="1"/>
  </r>
  <r>
    <x v="2"/>
    <x v="1"/>
    <x v="3"/>
    <s v="Neptune 1"/>
    <x v="0"/>
    <s v="YY"/>
    <m/>
    <x v="1"/>
    <n v="1"/>
    <m/>
    <n v="7"/>
    <m/>
    <n v="5"/>
    <n v="17"/>
    <n v="31"/>
    <m/>
    <m/>
    <m/>
    <m/>
    <m/>
    <m/>
    <x v="6"/>
  </r>
  <r>
    <x v="2"/>
    <x v="1"/>
    <x v="2"/>
    <s v="Neptune 1"/>
    <x v="0"/>
    <s v="YY"/>
    <m/>
    <x v="1"/>
    <n v="1"/>
    <m/>
    <n v="7"/>
    <m/>
    <n v="5"/>
    <n v="18"/>
    <s v="R"/>
    <m/>
    <m/>
    <m/>
    <m/>
    <m/>
    <m/>
    <x v="2"/>
  </r>
  <r>
    <x v="2"/>
    <x v="1"/>
    <x v="3"/>
    <s v="Neptune 1"/>
    <x v="0"/>
    <s v="YY"/>
    <m/>
    <x v="1"/>
    <n v="1"/>
    <m/>
    <n v="7"/>
    <m/>
    <n v="5"/>
    <n v="19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20"/>
    <s v="R"/>
    <m/>
    <m/>
    <m/>
    <m/>
    <m/>
    <m/>
    <x v="2"/>
  </r>
  <r>
    <x v="2"/>
    <x v="1"/>
    <x v="3"/>
    <s v="Neptune 1"/>
    <x v="0"/>
    <s v="YY"/>
    <m/>
    <x v="1"/>
    <n v="1"/>
    <m/>
    <n v="7"/>
    <m/>
    <n v="5"/>
    <n v="21"/>
    <n v="52"/>
    <m/>
    <m/>
    <m/>
    <m/>
    <s v="poor"/>
    <m/>
    <x v="0"/>
  </r>
  <r>
    <x v="2"/>
    <x v="1"/>
    <x v="2"/>
    <s v="Neptune 1"/>
    <x v="0"/>
    <s v="YY"/>
    <m/>
    <x v="1"/>
    <n v="1"/>
    <m/>
    <n v="7"/>
    <m/>
    <n v="5"/>
    <n v="22"/>
    <n v="53"/>
    <m/>
    <m/>
    <m/>
    <m/>
    <m/>
    <m/>
    <x v="3"/>
  </r>
  <r>
    <x v="2"/>
    <x v="1"/>
    <x v="3"/>
    <s v="Neptune 1"/>
    <x v="0"/>
    <s v="YY"/>
    <m/>
    <x v="1"/>
    <n v="1"/>
    <m/>
    <n v="7"/>
    <m/>
    <n v="5"/>
    <n v="23"/>
    <n v="52"/>
    <m/>
    <m/>
    <m/>
    <m/>
    <m/>
    <m/>
    <x v="0"/>
  </r>
  <r>
    <x v="2"/>
    <x v="1"/>
    <x v="2"/>
    <s v="Neptune 1"/>
    <x v="0"/>
    <s v="YY"/>
    <m/>
    <x v="1"/>
    <n v="1"/>
    <m/>
    <n v="7"/>
    <m/>
    <n v="5"/>
    <n v="24"/>
    <s v="R"/>
    <m/>
    <m/>
    <m/>
    <m/>
    <m/>
    <m/>
    <x v="2"/>
  </r>
  <r>
    <x v="2"/>
    <x v="1"/>
    <x v="3"/>
    <s v="Neptune 1"/>
    <x v="0"/>
    <s v="YY"/>
    <m/>
    <x v="1"/>
    <n v="1"/>
    <m/>
    <n v="7"/>
    <m/>
    <n v="5"/>
    <n v="25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26"/>
    <n v="32"/>
    <m/>
    <m/>
    <m/>
    <m/>
    <m/>
    <m/>
    <x v="8"/>
  </r>
  <r>
    <x v="2"/>
    <x v="1"/>
    <x v="3"/>
    <s v="Neptune 1"/>
    <x v="0"/>
    <s v="YY"/>
    <m/>
    <x v="1"/>
    <n v="1"/>
    <m/>
    <n v="7"/>
    <m/>
    <n v="5"/>
    <n v="27"/>
    <n v="32"/>
    <m/>
    <m/>
    <m/>
    <m/>
    <m/>
    <m/>
    <x v="8"/>
  </r>
  <r>
    <x v="2"/>
    <x v="1"/>
    <x v="2"/>
    <s v="Neptune 1"/>
    <x v="0"/>
    <s v="YY"/>
    <m/>
    <x v="1"/>
    <n v="1"/>
    <m/>
    <n v="7"/>
    <m/>
    <n v="5"/>
    <n v="28"/>
    <n v="32"/>
    <m/>
    <m/>
    <m/>
    <m/>
    <m/>
    <m/>
    <x v="8"/>
  </r>
  <r>
    <x v="2"/>
    <x v="1"/>
    <x v="3"/>
    <s v="Neptune 1"/>
    <x v="0"/>
    <s v="YY"/>
    <m/>
    <x v="1"/>
    <n v="1"/>
    <m/>
    <n v="7"/>
    <m/>
    <n v="5"/>
    <n v="29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30"/>
    <n v="53"/>
    <m/>
    <m/>
    <m/>
    <m/>
    <m/>
    <m/>
    <x v="3"/>
  </r>
  <r>
    <x v="2"/>
    <x v="1"/>
    <x v="3"/>
    <s v="Neptune 1"/>
    <x v="0"/>
    <s v="YY"/>
    <m/>
    <x v="1"/>
    <n v="1"/>
    <m/>
    <n v="7"/>
    <m/>
    <n v="5"/>
    <n v="31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32"/>
    <n v="42"/>
    <m/>
    <m/>
    <m/>
    <m/>
    <m/>
    <m/>
    <x v="1"/>
  </r>
  <r>
    <x v="2"/>
    <x v="1"/>
    <x v="3"/>
    <s v="Neptune 1"/>
    <x v="0"/>
    <s v="YY"/>
    <m/>
    <x v="1"/>
    <n v="1"/>
    <m/>
    <n v="7"/>
    <m/>
    <n v="5"/>
    <n v="33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34"/>
    <s v="R"/>
    <m/>
    <m/>
    <m/>
    <m/>
    <m/>
    <m/>
    <x v="2"/>
  </r>
  <r>
    <x v="2"/>
    <x v="1"/>
    <x v="3"/>
    <s v="Neptune 1"/>
    <x v="0"/>
    <s v="YY"/>
    <m/>
    <x v="1"/>
    <n v="1"/>
    <m/>
    <n v="7"/>
    <m/>
    <n v="5"/>
    <n v="35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36"/>
    <n v="32"/>
    <m/>
    <m/>
    <m/>
    <m/>
    <m/>
    <m/>
    <x v="8"/>
  </r>
  <r>
    <x v="2"/>
    <x v="1"/>
    <x v="3"/>
    <s v="Neptune 1"/>
    <x v="0"/>
    <s v="YY"/>
    <m/>
    <x v="1"/>
    <n v="1"/>
    <m/>
    <n v="7"/>
    <m/>
    <n v="5"/>
    <n v="37"/>
    <n v="32"/>
    <m/>
    <m/>
    <m/>
    <m/>
    <m/>
    <m/>
    <x v="8"/>
  </r>
  <r>
    <x v="2"/>
    <x v="1"/>
    <x v="2"/>
    <s v="Neptune 1"/>
    <x v="0"/>
    <s v="YY"/>
    <m/>
    <x v="1"/>
    <n v="1"/>
    <m/>
    <n v="7"/>
    <m/>
    <n v="5"/>
    <n v="38"/>
    <n v="32"/>
    <m/>
    <m/>
    <m/>
    <m/>
    <m/>
    <m/>
    <x v="8"/>
  </r>
  <r>
    <x v="2"/>
    <x v="1"/>
    <x v="3"/>
    <s v="Neptune 1"/>
    <x v="0"/>
    <s v="YY"/>
    <m/>
    <x v="1"/>
    <n v="1"/>
    <m/>
    <n v="7"/>
    <m/>
    <n v="5"/>
    <n v="39"/>
    <n v="42"/>
    <m/>
    <m/>
    <m/>
    <m/>
    <m/>
    <m/>
    <x v="1"/>
  </r>
  <r>
    <x v="2"/>
    <x v="1"/>
    <x v="2"/>
    <s v="Neptune 1"/>
    <x v="0"/>
    <s v="YY"/>
    <m/>
    <x v="1"/>
    <n v="1"/>
    <m/>
    <n v="7"/>
    <m/>
    <n v="5"/>
    <n v="40"/>
    <n v="42"/>
    <m/>
    <m/>
    <m/>
    <m/>
    <m/>
    <m/>
    <x v="1"/>
  </r>
  <r>
    <x v="2"/>
    <x v="1"/>
    <x v="3"/>
    <s v="Neptune 1"/>
    <x v="0"/>
    <s v="YY"/>
    <m/>
    <x v="1"/>
    <n v="1"/>
    <m/>
    <n v="7"/>
    <m/>
    <n v="5"/>
    <n v="41"/>
    <n v="51"/>
    <m/>
    <m/>
    <m/>
    <m/>
    <m/>
    <m/>
    <x v="10"/>
  </r>
  <r>
    <x v="2"/>
    <x v="1"/>
    <x v="2"/>
    <s v="Neptune 1"/>
    <x v="0"/>
    <s v="YY"/>
    <m/>
    <x v="1"/>
    <n v="1"/>
    <m/>
    <n v="7"/>
    <m/>
    <n v="5"/>
    <n v="42"/>
    <s v="R"/>
    <m/>
    <m/>
    <m/>
    <m/>
    <m/>
    <m/>
    <x v="2"/>
  </r>
  <r>
    <x v="2"/>
    <x v="1"/>
    <x v="3"/>
    <s v="Neptune 1"/>
    <x v="0"/>
    <s v="YY"/>
    <m/>
    <x v="1"/>
    <n v="1"/>
    <m/>
    <n v="7"/>
    <m/>
    <n v="5"/>
    <n v="43"/>
    <n v="63"/>
    <m/>
    <m/>
    <m/>
    <m/>
    <m/>
    <m/>
    <x v="4"/>
  </r>
  <r>
    <x v="2"/>
    <x v="1"/>
    <x v="2"/>
    <s v="Neptune 1"/>
    <x v="0"/>
    <s v="YY"/>
    <m/>
    <x v="1"/>
    <n v="1"/>
    <m/>
    <n v="7"/>
    <m/>
    <n v="5"/>
    <n v="44"/>
    <n v="52"/>
    <m/>
    <m/>
    <m/>
    <m/>
    <m/>
    <m/>
    <x v="0"/>
  </r>
  <r>
    <x v="2"/>
    <x v="1"/>
    <x v="3"/>
    <s v="Neptune 1"/>
    <x v="0"/>
    <s v="YY"/>
    <m/>
    <x v="1"/>
    <n v="1"/>
    <m/>
    <n v="7"/>
    <m/>
    <n v="5"/>
    <n v="45"/>
    <n v="52"/>
    <m/>
    <m/>
    <m/>
    <m/>
    <m/>
    <m/>
    <x v="0"/>
  </r>
  <r>
    <x v="2"/>
    <x v="1"/>
    <x v="2"/>
    <s v="Neptune 1"/>
    <x v="0"/>
    <s v="YY"/>
    <m/>
    <x v="1"/>
    <n v="1"/>
    <m/>
    <n v="7"/>
    <m/>
    <n v="5"/>
    <n v="46"/>
    <n v="32"/>
    <m/>
    <m/>
    <m/>
    <m/>
    <m/>
    <m/>
    <x v="8"/>
  </r>
  <r>
    <x v="2"/>
    <x v="1"/>
    <x v="3"/>
    <s v="Neptune 1"/>
    <x v="0"/>
    <s v="YY"/>
    <m/>
    <x v="1"/>
    <n v="1"/>
    <m/>
    <n v="7"/>
    <m/>
    <n v="5"/>
    <n v="47"/>
    <s v="R"/>
    <m/>
    <m/>
    <m/>
    <m/>
    <m/>
    <m/>
    <x v="2"/>
  </r>
  <r>
    <x v="2"/>
    <x v="1"/>
    <x v="2"/>
    <s v="Neptune 1"/>
    <x v="0"/>
    <s v="YY"/>
    <m/>
    <x v="1"/>
    <n v="1"/>
    <m/>
    <n v="7"/>
    <m/>
    <n v="5"/>
    <n v="48"/>
    <n v="32"/>
    <m/>
    <m/>
    <m/>
    <m/>
    <m/>
    <m/>
    <x v="8"/>
  </r>
  <r>
    <x v="2"/>
    <x v="1"/>
    <x v="3"/>
    <s v="Neptune 1"/>
    <x v="0"/>
    <s v="YY"/>
    <m/>
    <x v="1"/>
    <n v="1"/>
    <m/>
    <n v="7"/>
    <m/>
    <n v="5"/>
    <n v="49"/>
    <n v="32"/>
    <m/>
    <m/>
    <m/>
    <m/>
    <m/>
    <m/>
    <x v="8"/>
  </r>
  <r>
    <x v="2"/>
    <x v="1"/>
    <x v="2"/>
    <s v="Neptune 1"/>
    <x v="0"/>
    <s v="YY"/>
    <m/>
    <x v="1"/>
    <n v="1"/>
    <m/>
    <n v="7"/>
    <m/>
    <n v="5"/>
    <n v="50"/>
    <s v="NA"/>
    <m/>
    <m/>
    <m/>
    <m/>
    <m/>
    <s v="2 READINGS only 1 entered"/>
    <x v="2"/>
  </r>
  <r>
    <x v="2"/>
    <x v="1"/>
    <x v="3"/>
    <s v="Neptune 1"/>
    <x v="0"/>
    <s v="YY"/>
    <m/>
    <x v="1"/>
    <n v="6"/>
    <m/>
    <n v="7"/>
    <m/>
    <n v="6"/>
    <n v="1"/>
    <s v="R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2"/>
    <s v="NA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3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4"/>
    <s v="NA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5"/>
    <s v="NA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6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7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8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9"/>
    <n v="43"/>
    <m/>
    <m/>
    <m/>
    <m/>
    <m/>
    <m/>
    <x v="11"/>
  </r>
  <r>
    <x v="2"/>
    <x v="1"/>
    <x v="3"/>
    <s v="Neptune 1"/>
    <x v="0"/>
    <s v="YY"/>
    <m/>
    <x v="1"/>
    <n v="6"/>
    <m/>
    <n v="7"/>
    <m/>
    <n v="6"/>
    <n v="10"/>
    <s v="R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11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12"/>
    <s v="R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13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14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15"/>
    <n v="31"/>
    <m/>
    <m/>
    <m/>
    <m/>
    <m/>
    <m/>
    <x v="6"/>
  </r>
  <r>
    <x v="2"/>
    <x v="1"/>
    <x v="3"/>
    <s v="Neptune 1"/>
    <x v="0"/>
    <s v="YY"/>
    <m/>
    <x v="1"/>
    <n v="6"/>
    <m/>
    <n v="7"/>
    <m/>
    <n v="6"/>
    <n v="16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17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18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19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20"/>
    <n v="53"/>
    <m/>
    <m/>
    <m/>
    <m/>
    <m/>
    <m/>
    <x v="3"/>
  </r>
  <r>
    <x v="2"/>
    <x v="1"/>
    <x v="3"/>
    <s v="Neptune 1"/>
    <x v="0"/>
    <s v="YY"/>
    <m/>
    <x v="1"/>
    <n v="6"/>
    <m/>
    <n v="7"/>
    <m/>
    <n v="6"/>
    <n v="21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22"/>
    <n v="42"/>
    <m/>
    <m/>
    <m/>
    <m/>
    <s v="?"/>
    <m/>
    <x v="1"/>
  </r>
  <r>
    <x v="2"/>
    <x v="1"/>
    <x v="3"/>
    <s v="Neptune 1"/>
    <x v="0"/>
    <s v="YY"/>
    <m/>
    <x v="1"/>
    <n v="6"/>
    <m/>
    <n v="7"/>
    <m/>
    <n v="6"/>
    <n v="23"/>
    <s v="NA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24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25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26"/>
    <n v="53"/>
    <m/>
    <m/>
    <m/>
    <m/>
    <m/>
    <m/>
    <x v="3"/>
  </r>
  <r>
    <x v="2"/>
    <x v="1"/>
    <x v="3"/>
    <s v="Neptune 1"/>
    <x v="0"/>
    <s v="YY"/>
    <m/>
    <x v="1"/>
    <n v="6"/>
    <m/>
    <n v="7"/>
    <m/>
    <n v="6"/>
    <n v="27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28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29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30"/>
    <s v="NA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31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32"/>
    <n v="53"/>
    <m/>
    <m/>
    <m/>
    <m/>
    <m/>
    <m/>
    <x v="3"/>
  </r>
  <r>
    <x v="2"/>
    <x v="1"/>
    <x v="3"/>
    <s v="Neptune 1"/>
    <x v="0"/>
    <s v="YY"/>
    <m/>
    <x v="1"/>
    <n v="6"/>
    <m/>
    <n v="7"/>
    <m/>
    <n v="6"/>
    <n v="33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34"/>
    <n v="53"/>
    <m/>
    <m/>
    <m/>
    <m/>
    <m/>
    <m/>
    <x v="3"/>
  </r>
  <r>
    <x v="2"/>
    <x v="1"/>
    <x v="3"/>
    <s v="Neptune 1"/>
    <x v="0"/>
    <s v="YY"/>
    <m/>
    <x v="1"/>
    <n v="6"/>
    <m/>
    <n v="7"/>
    <m/>
    <n v="6"/>
    <n v="35"/>
    <s v="R"/>
    <m/>
    <m/>
    <m/>
    <m/>
    <m/>
    <s v="not R actually?"/>
    <x v="2"/>
  </r>
  <r>
    <x v="2"/>
    <x v="1"/>
    <x v="3"/>
    <s v="Neptune 1"/>
    <x v="0"/>
    <s v="YY"/>
    <m/>
    <x v="1"/>
    <n v="6"/>
    <m/>
    <n v="7"/>
    <m/>
    <n v="6"/>
    <n v="36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37"/>
    <n v="53"/>
    <m/>
    <m/>
    <m/>
    <m/>
    <m/>
    <m/>
    <x v="3"/>
  </r>
  <r>
    <x v="2"/>
    <x v="1"/>
    <x v="3"/>
    <s v="Neptune 1"/>
    <x v="0"/>
    <s v="YY"/>
    <m/>
    <x v="1"/>
    <n v="6"/>
    <m/>
    <n v="7"/>
    <m/>
    <n v="6"/>
    <n v="38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39"/>
    <n v="53"/>
    <m/>
    <m/>
    <m/>
    <m/>
    <m/>
    <m/>
    <x v="3"/>
  </r>
  <r>
    <x v="2"/>
    <x v="1"/>
    <x v="3"/>
    <s v="Neptune 1"/>
    <x v="0"/>
    <s v="YY"/>
    <m/>
    <x v="1"/>
    <n v="6"/>
    <m/>
    <n v="7"/>
    <m/>
    <n v="6"/>
    <n v="40"/>
    <s v="R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41"/>
    <s v="NA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42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43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44"/>
    <s v="R"/>
    <m/>
    <m/>
    <m/>
    <m/>
    <m/>
    <m/>
    <x v="2"/>
  </r>
  <r>
    <x v="2"/>
    <x v="1"/>
    <x v="3"/>
    <s v="Neptune 1"/>
    <x v="0"/>
    <s v="YY"/>
    <m/>
    <x v="1"/>
    <n v="6"/>
    <m/>
    <n v="7"/>
    <m/>
    <n v="6"/>
    <n v="45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46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47"/>
    <n v="52"/>
    <m/>
    <m/>
    <m/>
    <m/>
    <m/>
    <m/>
    <x v="0"/>
  </r>
  <r>
    <x v="2"/>
    <x v="1"/>
    <x v="3"/>
    <s v="Neptune 1"/>
    <x v="0"/>
    <s v="YY"/>
    <m/>
    <x v="1"/>
    <n v="6"/>
    <m/>
    <n v="7"/>
    <m/>
    <n v="6"/>
    <n v="48"/>
    <n v="32"/>
    <m/>
    <m/>
    <m/>
    <m/>
    <m/>
    <m/>
    <x v="8"/>
  </r>
  <r>
    <x v="2"/>
    <x v="1"/>
    <x v="3"/>
    <s v="Neptune 1"/>
    <x v="0"/>
    <s v="YY"/>
    <m/>
    <x v="1"/>
    <n v="6"/>
    <m/>
    <n v="7"/>
    <m/>
    <n v="6"/>
    <n v="49"/>
    <n v="42"/>
    <m/>
    <m/>
    <m/>
    <m/>
    <m/>
    <m/>
    <x v="1"/>
  </r>
  <r>
    <x v="2"/>
    <x v="1"/>
    <x v="3"/>
    <s v="Neptune 1"/>
    <x v="0"/>
    <s v="YY"/>
    <m/>
    <x v="1"/>
    <n v="6"/>
    <m/>
    <n v="7"/>
    <m/>
    <n v="6"/>
    <n v="50"/>
    <n v="31"/>
    <m/>
    <m/>
    <m/>
    <m/>
    <m/>
    <s v="2 readings only YY entered"/>
    <x v="6"/>
  </r>
  <r>
    <x v="2"/>
    <x v="1"/>
    <x v="3"/>
    <s v="Neptune 1"/>
    <x v="0"/>
    <s v="KP"/>
    <m/>
    <x v="1"/>
    <n v="7"/>
    <m/>
    <n v="7"/>
    <m/>
    <n v="7"/>
    <n v="1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2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3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4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5"/>
    <n v="63"/>
    <m/>
    <m/>
    <m/>
    <m/>
    <m/>
    <m/>
    <x v="4"/>
  </r>
  <r>
    <x v="2"/>
    <x v="1"/>
    <x v="3"/>
    <s v="Neptune 1"/>
    <x v="0"/>
    <s v="KP"/>
    <m/>
    <x v="1"/>
    <n v="7"/>
    <m/>
    <n v="7"/>
    <m/>
    <n v="7"/>
    <n v="6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7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8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9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10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11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12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13"/>
    <n v="52"/>
    <m/>
    <m/>
    <m/>
    <m/>
    <m/>
    <m/>
    <x v="0"/>
  </r>
  <r>
    <x v="2"/>
    <x v="1"/>
    <x v="3"/>
    <s v="Neptune 1"/>
    <x v="0"/>
    <s v="KP"/>
    <m/>
    <x v="1"/>
    <n v="7"/>
    <m/>
    <n v="7"/>
    <m/>
    <n v="7"/>
    <n v="14"/>
    <n v="43"/>
    <m/>
    <m/>
    <m/>
    <m/>
    <m/>
    <m/>
    <x v="11"/>
  </r>
  <r>
    <x v="2"/>
    <x v="1"/>
    <x v="3"/>
    <s v="Neptune 1"/>
    <x v="0"/>
    <s v="KP"/>
    <m/>
    <x v="1"/>
    <n v="7"/>
    <m/>
    <n v="7"/>
    <m/>
    <n v="7"/>
    <n v="15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16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17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18"/>
    <n v="64"/>
    <m/>
    <m/>
    <m/>
    <m/>
    <m/>
    <m/>
    <x v="5"/>
  </r>
  <r>
    <x v="2"/>
    <x v="1"/>
    <x v="3"/>
    <s v="Neptune 1"/>
    <x v="0"/>
    <s v="KP"/>
    <m/>
    <x v="1"/>
    <n v="7"/>
    <m/>
    <n v="7"/>
    <m/>
    <n v="7"/>
    <n v="19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20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21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22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23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24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25"/>
    <n v="64"/>
    <m/>
    <m/>
    <m/>
    <m/>
    <m/>
    <m/>
    <x v="5"/>
  </r>
  <r>
    <x v="2"/>
    <x v="1"/>
    <x v="3"/>
    <s v="Neptune 1"/>
    <x v="0"/>
    <s v="KP"/>
    <m/>
    <x v="1"/>
    <n v="7"/>
    <m/>
    <n v="7"/>
    <m/>
    <n v="7"/>
    <n v="26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27"/>
    <n v="52"/>
    <m/>
    <m/>
    <m/>
    <m/>
    <m/>
    <m/>
    <x v="0"/>
  </r>
  <r>
    <x v="2"/>
    <x v="1"/>
    <x v="3"/>
    <s v="Neptune 1"/>
    <x v="0"/>
    <s v="KP"/>
    <m/>
    <x v="1"/>
    <n v="7"/>
    <m/>
    <n v="7"/>
    <m/>
    <n v="7"/>
    <n v="28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29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30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31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32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33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34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35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36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37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38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39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40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41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42"/>
    <n v="52"/>
    <m/>
    <m/>
    <m/>
    <m/>
    <m/>
    <m/>
    <x v="0"/>
  </r>
  <r>
    <x v="2"/>
    <x v="1"/>
    <x v="3"/>
    <s v="Neptune 1"/>
    <x v="0"/>
    <s v="KP"/>
    <m/>
    <x v="1"/>
    <n v="7"/>
    <m/>
    <n v="7"/>
    <m/>
    <n v="7"/>
    <n v="43"/>
    <n v="32"/>
    <m/>
    <m/>
    <m/>
    <m/>
    <m/>
    <m/>
    <x v="8"/>
  </r>
  <r>
    <x v="2"/>
    <x v="1"/>
    <x v="3"/>
    <s v="Neptune 1"/>
    <x v="0"/>
    <s v="KP"/>
    <m/>
    <x v="1"/>
    <n v="7"/>
    <m/>
    <n v="7"/>
    <m/>
    <n v="7"/>
    <n v="44"/>
    <n v="52"/>
    <m/>
    <m/>
    <m/>
    <m/>
    <m/>
    <m/>
    <x v="0"/>
  </r>
  <r>
    <x v="2"/>
    <x v="1"/>
    <x v="3"/>
    <s v="Neptune 1"/>
    <x v="0"/>
    <s v="KP"/>
    <m/>
    <x v="1"/>
    <n v="7"/>
    <m/>
    <n v="7"/>
    <m/>
    <n v="7"/>
    <n v="45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46"/>
    <n v="53"/>
    <m/>
    <m/>
    <m/>
    <m/>
    <m/>
    <m/>
    <x v="3"/>
  </r>
  <r>
    <x v="2"/>
    <x v="1"/>
    <x v="3"/>
    <s v="Neptune 1"/>
    <x v="0"/>
    <s v="KP"/>
    <m/>
    <x v="1"/>
    <n v="7"/>
    <m/>
    <n v="7"/>
    <m/>
    <n v="7"/>
    <n v="47"/>
    <n v="42"/>
    <m/>
    <m/>
    <m/>
    <m/>
    <m/>
    <m/>
    <x v="1"/>
  </r>
  <r>
    <x v="2"/>
    <x v="1"/>
    <x v="3"/>
    <s v="Neptune 1"/>
    <x v="0"/>
    <s v="KP"/>
    <m/>
    <x v="1"/>
    <n v="7"/>
    <m/>
    <n v="7"/>
    <m/>
    <n v="7"/>
    <n v="48"/>
    <n v="63"/>
    <m/>
    <m/>
    <m/>
    <m/>
    <m/>
    <m/>
    <x v="4"/>
  </r>
  <r>
    <x v="2"/>
    <x v="1"/>
    <x v="3"/>
    <s v="Neptune 1"/>
    <x v="0"/>
    <s v="KP"/>
    <m/>
    <x v="1"/>
    <n v="7"/>
    <m/>
    <n v="7"/>
    <m/>
    <n v="7"/>
    <n v="49"/>
    <s v="NA"/>
    <m/>
    <m/>
    <m/>
    <m/>
    <m/>
    <m/>
    <x v="2"/>
  </r>
  <r>
    <x v="2"/>
    <x v="1"/>
    <x v="3"/>
    <s v="Neptune 1"/>
    <x v="0"/>
    <s v="KP"/>
    <m/>
    <x v="1"/>
    <n v="7"/>
    <m/>
    <n v="7"/>
    <m/>
    <n v="7"/>
    <n v="50"/>
    <s v="NA"/>
    <m/>
    <m/>
    <m/>
    <m/>
    <m/>
    <s v="2 readings; KP ansd PC; PC looks less polished only 1 entered"/>
    <x v="2"/>
  </r>
  <r>
    <x v="2"/>
    <x v="1"/>
    <x v="3"/>
    <s v="Neptune 1"/>
    <x v="0"/>
    <s v="YY"/>
    <m/>
    <x v="1"/>
    <m/>
    <m/>
    <n v="7"/>
    <m/>
    <n v="8"/>
    <n v="1"/>
    <s v="R"/>
    <m/>
    <m/>
    <m/>
    <m/>
    <m/>
    <m/>
    <x v="2"/>
  </r>
  <r>
    <x v="2"/>
    <x v="1"/>
    <x v="3"/>
    <s v="Neptune 1"/>
    <x v="0"/>
    <s v="YY"/>
    <m/>
    <x v="1"/>
    <m/>
    <m/>
    <n v="7"/>
    <m/>
    <n v="8"/>
    <n v="2"/>
    <s v="R"/>
    <m/>
    <m/>
    <m/>
    <m/>
    <m/>
    <m/>
    <x v="2"/>
  </r>
  <r>
    <x v="2"/>
    <x v="1"/>
    <x v="3"/>
    <s v="Neptune 1"/>
    <x v="0"/>
    <s v="YY"/>
    <m/>
    <x v="1"/>
    <m/>
    <m/>
    <n v="7"/>
    <m/>
    <n v="8"/>
    <n v="3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4"/>
    <n v="42"/>
    <m/>
    <m/>
    <m/>
    <m/>
    <s v="?"/>
    <m/>
    <x v="1"/>
  </r>
  <r>
    <x v="2"/>
    <x v="1"/>
    <x v="3"/>
    <s v="Neptune 1"/>
    <x v="0"/>
    <s v="YY"/>
    <m/>
    <x v="1"/>
    <m/>
    <m/>
    <n v="7"/>
    <m/>
    <n v="8"/>
    <n v="5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6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7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8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9"/>
    <s v="R"/>
    <m/>
    <m/>
    <m/>
    <m/>
    <m/>
    <m/>
    <x v="2"/>
  </r>
  <r>
    <x v="2"/>
    <x v="1"/>
    <x v="3"/>
    <s v="Neptune 1"/>
    <x v="0"/>
    <s v="YY"/>
    <m/>
    <x v="1"/>
    <m/>
    <m/>
    <n v="7"/>
    <m/>
    <n v="8"/>
    <n v="10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11"/>
    <n v="43"/>
    <m/>
    <m/>
    <m/>
    <m/>
    <m/>
    <m/>
    <x v="11"/>
  </r>
  <r>
    <x v="2"/>
    <x v="1"/>
    <x v="3"/>
    <s v="Neptune 1"/>
    <x v="0"/>
    <s v="YY"/>
    <m/>
    <x v="1"/>
    <m/>
    <m/>
    <n v="7"/>
    <m/>
    <n v="8"/>
    <n v="12"/>
    <n v="32"/>
    <m/>
    <m/>
    <m/>
    <m/>
    <m/>
    <m/>
    <x v="8"/>
  </r>
  <r>
    <x v="2"/>
    <x v="1"/>
    <x v="3"/>
    <s v="Neptune 1"/>
    <x v="0"/>
    <s v="YY"/>
    <m/>
    <x v="1"/>
    <m/>
    <m/>
    <n v="7"/>
    <m/>
    <n v="8"/>
    <n v="13"/>
    <n v="53"/>
    <m/>
    <m/>
    <m/>
    <m/>
    <m/>
    <m/>
    <x v="3"/>
  </r>
  <r>
    <x v="2"/>
    <x v="1"/>
    <x v="3"/>
    <s v="Neptune 1"/>
    <x v="0"/>
    <s v="YY"/>
    <m/>
    <x v="1"/>
    <m/>
    <m/>
    <n v="7"/>
    <m/>
    <n v="8"/>
    <n v="14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15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16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17"/>
    <s v="R"/>
    <m/>
    <m/>
    <m/>
    <m/>
    <m/>
    <m/>
    <x v="2"/>
  </r>
  <r>
    <x v="2"/>
    <x v="1"/>
    <x v="3"/>
    <s v="Neptune 1"/>
    <x v="0"/>
    <s v="YY"/>
    <m/>
    <x v="1"/>
    <m/>
    <m/>
    <n v="7"/>
    <m/>
    <n v="8"/>
    <n v="18"/>
    <n v="52"/>
    <m/>
    <m/>
    <m/>
    <m/>
    <m/>
    <m/>
    <x v="0"/>
  </r>
  <r>
    <x v="2"/>
    <x v="1"/>
    <x v="3"/>
    <s v="Neptune 1"/>
    <x v="0"/>
    <s v="YY"/>
    <m/>
    <x v="1"/>
    <m/>
    <m/>
    <n v="7"/>
    <m/>
    <n v="8"/>
    <n v="19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20"/>
    <n v="42"/>
    <m/>
    <m/>
    <m/>
    <m/>
    <s v="?"/>
    <m/>
    <x v="1"/>
  </r>
  <r>
    <x v="2"/>
    <x v="1"/>
    <x v="3"/>
    <s v="Neptune 1"/>
    <x v="0"/>
    <s v="YY"/>
    <m/>
    <x v="1"/>
    <m/>
    <m/>
    <n v="7"/>
    <m/>
    <n v="8"/>
    <n v="21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22"/>
    <n v="52"/>
    <m/>
    <m/>
    <m/>
    <m/>
    <m/>
    <m/>
    <x v="0"/>
  </r>
  <r>
    <x v="2"/>
    <x v="1"/>
    <x v="3"/>
    <s v="Neptune 1"/>
    <x v="0"/>
    <s v="YY"/>
    <m/>
    <x v="1"/>
    <m/>
    <m/>
    <n v="7"/>
    <m/>
    <n v="8"/>
    <n v="23"/>
    <n v="32"/>
    <m/>
    <m/>
    <m/>
    <m/>
    <m/>
    <m/>
    <x v="8"/>
  </r>
  <r>
    <x v="2"/>
    <x v="1"/>
    <x v="3"/>
    <s v="Neptune 1"/>
    <x v="0"/>
    <s v="YY"/>
    <m/>
    <x v="1"/>
    <m/>
    <m/>
    <n v="7"/>
    <m/>
    <n v="8"/>
    <n v="24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25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26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27"/>
    <n v="53"/>
    <m/>
    <m/>
    <m/>
    <m/>
    <s v="?"/>
    <m/>
    <x v="3"/>
  </r>
  <r>
    <x v="2"/>
    <x v="1"/>
    <x v="3"/>
    <s v="Neptune 1"/>
    <x v="0"/>
    <s v="YY"/>
    <m/>
    <x v="1"/>
    <m/>
    <m/>
    <n v="7"/>
    <m/>
    <n v="8"/>
    <n v="28"/>
    <n v="53"/>
    <m/>
    <m/>
    <m/>
    <m/>
    <m/>
    <m/>
    <x v="3"/>
  </r>
  <r>
    <x v="2"/>
    <x v="1"/>
    <x v="3"/>
    <s v="Neptune 1"/>
    <x v="0"/>
    <s v="YY"/>
    <m/>
    <x v="1"/>
    <m/>
    <m/>
    <n v="7"/>
    <m/>
    <n v="8"/>
    <n v="29"/>
    <s v="R"/>
    <m/>
    <m/>
    <m/>
    <m/>
    <m/>
    <m/>
    <x v="2"/>
  </r>
  <r>
    <x v="2"/>
    <x v="1"/>
    <x v="3"/>
    <s v="Neptune 1"/>
    <x v="0"/>
    <s v="YY"/>
    <m/>
    <x v="1"/>
    <m/>
    <m/>
    <n v="7"/>
    <m/>
    <n v="8"/>
    <n v="30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31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32"/>
    <n v="52"/>
    <m/>
    <m/>
    <m/>
    <m/>
    <m/>
    <m/>
    <x v="0"/>
  </r>
  <r>
    <x v="2"/>
    <x v="1"/>
    <x v="3"/>
    <s v="Neptune 1"/>
    <x v="0"/>
    <s v="YY"/>
    <m/>
    <x v="1"/>
    <m/>
    <m/>
    <n v="7"/>
    <m/>
    <n v="8"/>
    <n v="33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34"/>
    <n v="32"/>
    <m/>
    <m/>
    <m/>
    <m/>
    <m/>
    <m/>
    <x v="8"/>
  </r>
  <r>
    <x v="2"/>
    <x v="1"/>
    <x v="3"/>
    <s v="Neptune 1"/>
    <x v="0"/>
    <s v="YY"/>
    <m/>
    <x v="1"/>
    <m/>
    <m/>
    <n v="7"/>
    <m/>
    <n v="8"/>
    <n v="35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36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37"/>
    <n v="42"/>
    <m/>
    <m/>
    <m/>
    <m/>
    <s v="?"/>
    <m/>
    <x v="1"/>
  </r>
  <r>
    <x v="2"/>
    <x v="1"/>
    <x v="3"/>
    <s v="Neptune 1"/>
    <x v="0"/>
    <s v="YY"/>
    <m/>
    <x v="1"/>
    <m/>
    <m/>
    <n v="7"/>
    <m/>
    <n v="8"/>
    <n v="38"/>
    <n v="52"/>
    <m/>
    <m/>
    <m/>
    <m/>
    <m/>
    <m/>
    <x v="0"/>
  </r>
  <r>
    <x v="2"/>
    <x v="1"/>
    <x v="3"/>
    <s v="Neptune 1"/>
    <x v="0"/>
    <s v="YY"/>
    <m/>
    <x v="1"/>
    <m/>
    <m/>
    <n v="7"/>
    <m/>
    <n v="8"/>
    <n v="39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40"/>
    <n v="53"/>
    <m/>
    <m/>
    <m/>
    <m/>
    <m/>
    <m/>
    <x v="3"/>
  </r>
  <r>
    <x v="2"/>
    <x v="1"/>
    <x v="3"/>
    <s v="Neptune 1"/>
    <x v="0"/>
    <s v="YY"/>
    <m/>
    <x v="1"/>
    <m/>
    <m/>
    <n v="7"/>
    <m/>
    <n v="8"/>
    <n v="41"/>
    <n v="53"/>
    <m/>
    <m/>
    <m/>
    <m/>
    <m/>
    <m/>
    <x v="3"/>
  </r>
  <r>
    <x v="2"/>
    <x v="1"/>
    <x v="3"/>
    <s v="Neptune 1"/>
    <x v="0"/>
    <s v="YY"/>
    <m/>
    <x v="1"/>
    <m/>
    <m/>
    <n v="7"/>
    <m/>
    <n v="8"/>
    <n v="42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43"/>
    <n v="52"/>
    <m/>
    <m/>
    <m/>
    <m/>
    <m/>
    <m/>
    <x v="0"/>
  </r>
  <r>
    <x v="2"/>
    <x v="1"/>
    <x v="3"/>
    <s v="Neptune 1"/>
    <x v="0"/>
    <s v="YY"/>
    <m/>
    <x v="1"/>
    <m/>
    <m/>
    <n v="7"/>
    <m/>
    <n v="8"/>
    <n v="44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45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46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47"/>
    <s v="NA"/>
    <m/>
    <m/>
    <m/>
    <m/>
    <m/>
    <m/>
    <x v="2"/>
  </r>
  <r>
    <x v="2"/>
    <x v="1"/>
    <x v="3"/>
    <s v="Neptune 1"/>
    <x v="0"/>
    <s v="YY"/>
    <m/>
    <x v="1"/>
    <m/>
    <m/>
    <n v="7"/>
    <m/>
    <n v="8"/>
    <n v="48"/>
    <n v="42"/>
    <m/>
    <m/>
    <m/>
    <m/>
    <m/>
    <m/>
    <x v="1"/>
  </r>
  <r>
    <x v="2"/>
    <x v="1"/>
    <x v="3"/>
    <s v="Neptune 1"/>
    <x v="0"/>
    <s v="YY"/>
    <m/>
    <x v="1"/>
    <m/>
    <m/>
    <n v="7"/>
    <m/>
    <n v="8"/>
    <n v="49"/>
    <s v="R"/>
    <m/>
    <m/>
    <m/>
    <m/>
    <m/>
    <m/>
    <x v="2"/>
  </r>
  <r>
    <x v="2"/>
    <x v="1"/>
    <x v="3"/>
    <s v="Neptune 1"/>
    <x v="0"/>
    <s v="YY"/>
    <m/>
    <x v="1"/>
    <m/>
    <m/>
    <n v="7"/>
    <m/>
    <n v="8"/>
    <n v="50"/>
    <s v="R"/>
    <m/>
    <m/>
    <m/>
    <m/>
    <m/>
    <s v="2 READINGS only 1 entered"/>
    <x v="2"/>
  </r>
  <r>
    <x v="2"/>
    <x v="1"/>
    <x v="3"/>
    <s v="Neptune 1"/>
    <x v="0"/>
    <s v="YY"/>
    <m/>
    <x v="1"/>
    <n v="15"/>
    <m/>
    <n v="7"/>
    <m/>
    <n v="9"/>
    <n v="1"/>
    <s v="R"/>
    <m/>
    <m/>
    <m/>
    <m/>
    <m/>
    <m/>
    <x v="2"/>
  </r>
  <r>
    <x v="2"/>
    <x v="1"/>
    <x v="2"/>
    <s v="Neptune 1"/>
    <x v="0"/>
    <s v="YY"/>
    <m/>
    <x v="1"/>
    <n v="15"/>
    <m/>
    <n v="7"/>
    <m/>
    <n v="9"/>
    <n v="2"/>
    <n v="32"/>
    <m/>
    <m/>
    <m/>
    <m/>
    <m/>
    <m/>
    <x v="8"/>
  </r>
  <r>
    <x v="2"/>
    <x v="1"/>
    <x v="3"/>
    <s v="Neptune 1"/>
    <x v="0"/>
    <s v="YY"/>
    <m/>
    <x v="1"/>
    <n v="15"/>
    <m/>
    <n v="7"/>
    <m/>
    <n v="9"/>
    <n v="3"/>
    <s v="NA"/>
    <m/>
    <m/>
    <m/>
    <m/>
    <s v="90"/>
    <m/>
    <x v="2"/>
  </r>
  <r>
    <x v="2"/>
    <x v="1"/>
    <x v="2"/>
    <s v="Neptune 1"/>
    <x v="0"/>
    <s v="YY"/>
    <m/>
    <x v="1"/>
    <n v="15"/>
    <m/>
    <n v="7"/>
    <m/>
    <n v="9"/>
    <n v="4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5"/>
    <s v="R"/>
    <m/>
    <m/>
    <m/>
    <m/>
    <m/>
    <m/>
    <x v="2"/>
  </r>
  <r>
    <x v="2"/>
    <x v="1"/>
    <x v="2"/>
    <s v="Neptune 1"/>
    <x v="0"/>
    <s v="YY"/>
    <m/>
    <x v="1"/>
    <n v="15"/>
    <m/>
    <n v="7"/>
    <m/>
    <n v="9"/>
    <n v="6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7"/>
    <s v="NA"/>
    <m/>
    <m/>
    <m/>
    <m/>
    <s v="90"/>
    <m/>
    <x v="2"/>
  </r>
  <r>
    <x v="2"/>
    <x v="1"/>
    <x v="2"/>
    <s v="Neptune 1"/>
    <x v="0"/>
    <s v="YY"/>
    <m/>
    <x v="1"/>
    <n v="15"/>
    <m/>
    <n v="7"/>
    <m/>
    <n v="9"/>
    <n v="8"/>
    <n v="53"/>
    <m/>
    <m/>
    <m/>
    <m/>
    <m/>
    <m/>
    <x v="3"/>
  </r>
  <r>
    <x v="2"/>
    <x v="1"/>
    <x v="3"/>
    <s v="Neptune 1"/>
    <x v="0"/>
    <s v="YY"/>
    <m/>
    <x v="1"/>
    <n v="15"/>
    <m/>
    <n v="7"/>
    <m/>
    <n v="9"/>
    <n v="9"/>
    <n v="52"/>
    <m/>
    <m/>
    <m/>
    <m/>
    <m/>
    <m/>
    <x v="0"/>
  </r>
  <r>
    <x v="2"/>
    <x v="1"/>
    <x v="2"/>
    <s v="Neptune 1"/>
    <x v="0"/>
    <s v="YY"/>
    <m/>
    <x v="1"/>
    <n v="15"/>
    <m/>
    <n v="7"/>
    <m/>
    <n v="9"/>
    <n v="10"/>
    <s v="NA"/>
    <m/>
    <m/>
    <m/>
    <m/>
    <s v="90"/>
    <m/>
    <x v="2"/>
  </r>
  <r>
    <x v="2"/>
    <x v="1"/>
    <x v="3"/>
    <s v="Neptune 1"/>
    <x v="0"/>
    <s v="YY"/>
    <m/>
    <x v="1"/>
    <n v="15"/>
    <m/>
    <n v="7"/>
    <m/>
    <n v="9"/>
    <n v="11"/>
    <s v="R"/>
    <m/>
    <m/>
    <m/>
    <m/>
    <m/>
    <m/>
    <x v="2"/>
  </r>
  <r>
    <x v="2"/>
    <x v="1"/>
    <x v="2"/>
    <s v="Neptune 1"/>
    <x v="0"/>
    <s v="YY"/>
    <m/>
    <x v="1"/>
    <n v="15"/>
    <m/>
    <n v="7"/>
    <m/>
    <n v="9"/>
    <n v="12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13"/>
    <s v="NA"/>
    <m/>
    <m/>
    <m/>
    <m/>
    <s v="90"/>
    <m/>
    <x v="2"/>
  </r>
  <r>
    <x v="2"/>
    <x v="1"/>
    <x v="2"/>
    <s v="Neptune 1"/>
    <x v="0"/>
    <s v="YY"/>
    <m/>
    <x v="1"/>
    <n v="15"/>
    <m/>
    <n v="7"/>
    <m/>
    <n v="9"/>
    <n v="14"/>
    <n v="53"/>
    <m/>
    <m/>
    <m/>
    <m/>
    <m/>
    <m/>
    <x v="3"/>
  </r>
  <r>
    <x v="2"/>
    <x v="1"/>
    <x v="3"/>
    <s v="Neptune 1"/>
    <x v="0"/>
    <s v="YY"/>
    <m/>
    <x v="1"/>
    <n v="15"/>
    <m/>
    <n v="7"/>
    <m/>
    <n v="9"/>
    <n v="15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16"/>
    <n v="32"/>
    <m/>
    <m/>
    <m/>
    <m/>
    <m/>
    <m/>
    <x v="8"/>
  </r>
  <r>
    <x v="2"/>
    <x v="1"/>
    <x v="3"/>
    <s v="Neptune 1"/>
    <x v="0"/>
    <s v="YY"/>
    <m/>
    <x v="1"/>
    <n v="15"/>
    <m/>
    <n v="7"/>
    <m/>
    <n v="9"/>
    <n v="17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18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19"/>
    <n v="42"/>
    <m/>
    <m/>
    <m/>
    <m/>
    <m/>
    <m/>
    <x v="1"/>
  </r>
  <r>
    <x v="2"/>
    <x v="1"/>
    <x v="2"/>
    <s v="Neptune 1"/>
    <x v="0"/>
    <s v="YY"/>
    <m/>
    <x v="1"/>
    <n v="15"/>
    <m/>
    <n v="7"/>
    <m/>
    <n v="9"/>
    <n v="20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21"/>
    <n v="52"/>
    <m/>
    <m/>
    <m/>
    <m/>
    <m/>
    <m/>
    <x v="0"/>
  </r>
  <r>
    <x v="2"/>
    <x v="1"/>
    <x v="2"/>
    <s v="Neptune 1"/>
    <x v="0"/>
    <s v="YY"/>
    <m/>
    <x v="1"/>
    <n v="15"/>
    <m/>
    <n v="7"/>
    <m/>
    <n v="9"/>
    <n v="22"/>
    <n v="41"/>
    <m/>
    <m/>
    <m/>
    <m/>
    <m/>
    <m/>
    <x v="9"/>
  </r>
  <r>
    <x v="2"/>
    <x v="1"/>
    <x v="3"/>
    <s v="Neptune 1"/>
    <x v="0"/>
    <s v="YY"/>
    <m/>
    <x v="1"/>
    <n v="15"/>
    <m/>
    <n v="7"/>
    <m/>
    <n v="9"/>
    <n v="23"/>
    <m/>
    <m/>
    <m/>
    <m/>
    <m/>
    <s v="90"/>
    <m/>
    <x v="2"/>
  </r>
  <r>
    <x v="2"/>
    <x v="1"/>
    <x v="2"/>
    <s v="Neptune 1"/>
    <x v="0"/>
    <s v="YY"/>
    <m/>
    <x v="1"/>
    <n v="15"/>
    <m/>
    <n v="7"/>
    <m/>
    <n v="9"/>
    <n v="24"/>
    <s v="R"/>
    <m/>
    <m/>
    <m/>
    <m/>
    <m/>
    <m/>
    <x v="2"/>
  </r>
  <r>
    <x v="2"/>
    <x v="1"/>
    <x v="3"/>
    <s v="Neptune 1"/>
    <x v="0"/>
    <s v="YY"/>
    <m/>
    <x v="1"/>
    <n v="15"/>
    <m/>
    <n v="7"/>
    <m/>
    <n v="9"/>
    <n v="25"/>
    <n v="42"/>
    <m/>
    <m/>
    <m/>
    <m/>
    <m/>
    <m/>
    <x v="1"/>
  </r>
  <r>
    <x v="2"/>
    <x v="1"/>
    <x v="2"/>
    <s v="Neptune 1"/>
    <x v="0"/>
    <s v="YY"/>
    <m/>
    <x v="1"/>
    <n v="15"/>
    <m/>
    <n v="7"/>
    <m/>
    <n v="9"/>
    <n v="26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27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28"/>
    <n v="32"/>
    <m/>
    <m/>
    <m/>
    <m/>
    <m/>
    <m/>
    <x v="8"/>
  </r>
  <r>
    <x v="2"/>
    <x v="1"/>
    <x v="3"/>
    <s v="Neptune 1"/>
    <x v="0"/>
    <s v="YY"/>
    <m/>
    <x v="1"/>
    <n v="15"/>
    <m/>
    <n v="7"/>
    <m/>
    <n v="9"/>
    <n v="29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30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31"/>
    <n v="42"/>
    <m/>
    <m/>
    <m/>
    <m/>
    <m/>
    <m/>
    <x v="1"/>
  </r>
  <r>
    <x v="2"/>
    <x v="1"/>
    <x v="2"/>
    <s v="Neptune 1"/>
    <x v="0"/>
    <s v="YY"/>
    <m/>
    <x v="1"/>
    <n v="15"/>
    <m/>
    <n v="7"/>
    <m/>
    <n v="9"/>
    <n v="32"/>
    <s v="NA"/>
    <m/>
    <m/>
    <m/>
    <m/>
    <s v="90"/>
    <m/>
    <x v="2"/>
  </r>
  <r>
    <x v="2"/>
    <x v="1"/>
    <x v="3"/>
    <s v="Neptune 1"/>
    <x v="0"/>
    <s v="YY"/>
    <m/>
    <x v="1"/>
    <n v="15"/>
    <m/>
    <n v="7"/>
    <m/>
    <n v="9"/>
    <n v="33"/>
    <n v="32"/>
    <m/>
    <m/>
    <m/>
    <m/>
    <m/>
    <m/>
    <x v="8"/>
  </r>
  <r>
    <x v="2"/>
    <x v="1"/>
    <x v="2"/>
    <s v="Neptune 1"/>
    <x v="0"/>
    <s v="YY"/>
    <m/>
    <x v="1"/>
    <n v="15"/>
    <m/>
    <n v="7"/>
    <m/>
    <n v="9"/>
    <n v="34"/>
    <n v="53"/>
    <m/>
    <m/>
    <m/>
    <m/>
    <m/>
    <m/>
    <x v="3"/>
  </r>
  <r>
    <x v="2"/>
    <x v="1"/>
    <x v="3"/>
    <s v="Neptune 1"/>
    <x v="0"/>
    <s v="YY"/>
    <m/>
    <x v="1"/>
    <n v="15"/>
    <m/>
    <n v="7"/>
    <m/>
    <n v="9"/>
    <n v="35"/>
    <n v="32"/>
    <m/>
    <m/>
    <m/>
    <m/>
    <m/>
    <m/>
    <x v="8"/>
  </r>
  <r>
    <x v="2"/>
    <x v="1"/>
    <x v="2"/>
    <s v="Neptune 1"/>
    <x v="0"/>
    <s v="YY"/>
    <m/>
    <x v="1"/>
    <n v="15"/>
    <m/>
    <n v="7"/>
    <m/>
    <n v="9"/>
    <n v="36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37"/>
    <n v="32"/>
    <m/>
    <m/>
    <m/>
    <m/>
    <m/>
    <m/>
    <x v="8"/>
  </r>
  <r>
    <x v="2"/>
    <x v="1"/>
    <x v="2"/>
    <s v="Neptune 1"/>
    <x v="0"/>
    <s v="YY"/>
    <m/>
    <x v="1"/>
    <n v="15"/>
    <m/>
    <n v="7"/>
    <m/>
    <n v="9"/>
    <n v="38"/>
    <s v="NA"/>
    <m/>
    <m/>
    <m/>
    <m/>
    <s v="90"/>
    <m/>
    <x v="2"/>
  </r>
  <r>
    <x v="2"/>
    <x v="1"/>
    <x v="3"/>
    <s v="Neptune 1"/>
    <x v="0"/>
    <s v="YY"/>
    <m/>
    <x v="1"/>
    <n v="15"/>
    <m/>
    <n v="7"/>
    <m/>
    <n v="9"/>
    <n v="39"/>
    <s v="NA"/>
    <m/>
    <m/>
    <m/>
    <m/>
    <s v="90"/>
    <m/>
    <x v="2"/>
  </r>
  <r>
    <x v="2"/>
    <x v="1"/>
    <x v="2"/>
    <s v="Neptune 1"/>
    <x v="0"/>
    <s v="YY"/>
    <m/>
    <x v="1"/>
    <n v="15"/>
    <m/>
    <n v="7"/>
    <m/>
    <n v="9"/>
    <n v="40"/>
    <n v="43"/>
    <m/>
    <m/>
    <m/>
    <m/>
    <m/>
    <m/>
    <x v="11"/>
  </r>
  <r>
    <x v="2"/>
    <x v="1"/>
    <x v="3"/>
    <s v="Neptune 1"/>
    <x v="0"/>
    <s v="YY"/>
    <m/>
    <x v="1"/>
    <n v="15"/>
    <m/>
    <n v="7"/>
    <m/>
    <n v="9"/>
    <n v="41"/>
    <s v="NA"/>
    <m/>
    <m/>
    <m/>
    <m/>
    <s v="90"/>
    <m/>
    <x v="2"/>
  </r>
  <r>
    <x v="2"/>
    <x v="1"/>
    <x v="2"/>
    <s v="Neptune 1"/>
    <x v="0"/>
    <s v="YY"/>
    <m/>
    <x v="1"/>
    <n v="15"/>
    <m/>
    <n v="7"/>
    <m/>
    <n v="9"/>
    <n v="42"/>
    <s v="R"/>
    <m/>
    <m/>
    <m/>
    <m/>
    <m/>
    <m/>
    <x v="2"/>
  </r>
  <r>
    <x v="2"/>
    <x v="1"/>
    <x v="3"/>
    <s v="Neptune 1"/>
    <x v="0"/>
    <s v="YY"/>
    <m/>
    <x v="1"/>
    <n v="15"/>
    <m/>
    <n v="7"/>
    <m/>
    <n v="9"/>
    <n v="43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44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45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46"/>
    <s v="NA"/>
    <m/>
    <m/>
    <m/>
    <m/>
    <s v="90"/>
    <m/>
    <x v="2"/>
  </r>
  <r>
    <x v="2"/>
    <x v="1"/>
    <x v="3"/>
    <s v="Neptune 1"/>
    <x v="0"/>
    <s v="YY"/>
    <m/>
    <x v="1"/>
    <n v="15"/>
    <m/>
    <n v="7"/>
    <m/>
    <n v="9"/>
    <n v="47"/>
    <n v="42"/>
    <m/>
    <m/>
    <m/>
    <m/>
    <s v="?"/>
    <m/>
    <x v="1"/>
  </r>
  <r>
    <x v="2"/>
    <x v="1"/>
    <x v="2"/>
    <s v="Neptune 1"/>
    <x v="0"/>
    <s v="YY"/>
    <m/>
    <x v="1"/>
    <n v="15"/>
    <m/>
    <n v="7"/>
    <m/>
    <n v="9"/>
    <n v="48"/>
    <n v="42"/>
    <m/>
    <m/>
    <m/>
    <m/>
    <m/>
    <m/>
    <x v="1"/>
  </r>
  <r>
    <x v="2"/>
    <x v="1"/>
    <x v="3"/>
    <s v="Neptune 1"/>
    <x v="0"/>
    <s v="YY"/>
    <m/>
    <x v="1"/>
    <n v="15"/>
    <m/>
    <n v="7"/>
    <m/>
    <n v="9"/>
    <n v="49"/>
    <n v="53"/>
    <m/>
    <m/>
    <m/>
    <m/>
    <m/>
    <m/>
    <x v="3"/>
  </r>
  <r>
    <x v="2"/>
    <x v="1"/>
    <x v="2"/>
    <s v="Neptune 1"/>
    <x v="0"/>
    <s v="YY"/>
    <m/>
    <x v="1"/>
    <n v="15"/>
    <m/>
    <n v="7"/>
    <m/>
    <n v="9"/>
    <n v="50"/>
    <s v="NA"/>
    <m/>
    <m/>
    <m/>
    <m/>
    <s v="90"/>
    <s v="2 READINGS only 1 entered"/>
    <x v="2"/>
  </r>
  <r>
    <x v="3"/>
    <x v="1"/>
    <x v="0"/>
    <s v="addenbroke light; commercial"/>
    <x v="0"/>
    <s v="PC"/>
    <m/>
    <x v="2"/>
    <n v="19"/>
    <m/>
    <n v="7"/>
    <m/>
    <n v="1"/>
    <n v="1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2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3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4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5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6"/>
    <n v="42"/>
    <s v="R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7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8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9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10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11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12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13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14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15"/>
    <s v="R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16"/>
    <n v="53"/>
    <n v="53"/>
    <m/>
    <m/>
    <m/>
    <m/>
    <m/>
    <x v="3"/>
  </r>
  <r>
    <x v="3"/>
    <x v="1"/>
    <x v="0"/>
    <s v="addenbroke light; commercial"/>
    <x v="0"/>
    <s v="PC"/>
    <m/>
    <x v="2"/>
    <n v="19"/>
    <m/>
    <n v="7"/>
    <m/>
    <n v="1"/>
    <n v="17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18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19"/>
    <n v="52"/>
    <s v="R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20"/>
    <n v="42"/>
    <s v="NA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21"/>
    <n v="52"/>
    <n v="52"/>
    <m/>
    <m/>
    <m/>
    <m/>
    <m/>
    <x v="0"/>
  </r>
  <r>
    <x v="3"/>
    <x v="1"/>
    <x v="0"/>
    <s v="addenbroke light; commercial"/>
    <x v="0"/>
    <s v="PC"/>
    <m/>
    <x v="2"/>
    <n v="19"/>
    <m/>
    <n v="7"/>
    <m/>
    <n v="1"/>
    <n v="22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23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24"/>
    <n v="42"/>
    <n v="42"/>
    <m/>
    <m/>
    <m/>
    <m/>
    <m/>
    <x v="1"/>
  </r>
  <r>
    <x v="3"/>
    <x v="1"/>
    <x v="0"/>
    <s v="addenbroke light; commercial"/>
    <x v="0"/>
    <s v="PC"/>
    <m/>
    <x v="2"/>
    <n v="19"/>
    <m/>
    <n v="7"/>
    <m/>
    <n v="1"/>
    <n v="25"/>
    <n v="52"/>
    <n v="52"/>
    <m/>
    <m/>
    <m/>
    <m/>
    <m/>
    <x v="0"/>
  </r>
  <r>
    <x v="4"/>
    <x v="1"/>
    <x v="2"/>
    <s v="commercial"/>
    <x v="0"/>
    <s v="BJ"/>
    <s v="SN"/>
    <x v="3"/>
    <n v="9"/>
    <m/>
    <n v="7"/>
    <m/>
    <n v="1"/>
    <n v="1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3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4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5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6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7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8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9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0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1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2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3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4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5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6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7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8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19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0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1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2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3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4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1"/>
    <n v="25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3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4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5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6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7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8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9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0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1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2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3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4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5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6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7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8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19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0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1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2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3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4"/>
    <m/>
    <m/>
    <m/>
    <m/>
    <m/>
    <m/>
    <m/>
    <x v="2"/>
  </r>
  <r>
    <x v="4"/>
    <x v="1"/>
    <x v="2"/>
    <s v="commercial"/>
    <x v="0"/>
    <s v="BJ"/>
    <s v="SN"/>
    <x v="3"/>
    <n v="9"/>
    <m/>
    <n v="7"/>
    <m/>
    <n v="2"/>
    <n v="25"/>
    <m/>
    <m/>
    <m/>
    <m/>
    <m/>
    <m/>
    <s v="no ages?"/>
    <x v="2"/>
  </r>
  <r>
    <x v="5"/>
    <x v="1"/>
    <x v="4"/>
    <s v="1 &amp; 2 miles S of Koeye; commercial"/>
    <x v="0"/>
    <s v="YY"/>
    <s v="SN"/>
    <x v="4"/>
    <n v="6"/>
    <m/>
    <n v="7"/>
    <m/>
    <n v="1"/>
    <n v="1"/>
    <n v="52"/>
    <s v="R"/>
    <m/>
    <m/>
    <m/>
    <s v="1.12"/>
    <m/>
    <x v="0"/>
  </r>
  <r>
    <x v="5"/>
    <x v="1"/>
    <x v="4"/>
    <s v="1 &amp; 2 miles S of Koeye; commercial"/>
    <x v="0"/>
    <s v="YY"/>
    <s v="SN"/>
    <x v="4"/>
    <n v="6"/>
    <m/>
    <n v="7"/>
    <m/>
    <n v="1"/>
    <n v="2"/>
    <n v="42"/>
    <s v="R"/>
    <m/>
    <m/>
    <m/>
    <s v="1.11"/>
    <m/>
    <x v="1"/>
  </r>
  <r>
    <x v="5"/>
    <x v="1"/>
    <x v="4"/>
    <s v="1 &amp; 2 miles S of Koeye; commercial"/>
    <x v="0"/>
    <s v="YY"/>
    <s v="SN"/>
    <x v="4"/>
    <n v="6"/>
    <m/>
    <n v="7"/>
    <m/>
    <n v="1"/>
    <n v="3"/>
    <n v="42"/>
    <n v="42"/>
    <m/>
    <m/>
    <m/>
    <s v="1.13"/>
    <m/>
    <x v="1"/>
  </r>
  <r>
    <x v="5"/>
    <x v="1"/>
    <x v="4"/>
    <s v="1 &amp; 2 miles S of Koeye; commercial"/>
    <x v="0"/>
    <s v="YY"/>
    <s v="SN"/>
    <x v="4"/>
    <n v="6"/>
    <m/>
    <n v="7"/>
    <m/>
    <n v="1"/>
    <n v="4"/>
    <n v="53"/>
    <n v="53"/>
    <m/>
    <m/>
    <m/>
    <s v="1.5+10"/>
    <m/>
    <x v="3"/>
  </r>
  <r>
    <x v="5"/>
    <x v="1"/>
    <x v="4"/>
    <s v="1 &amp; 2 miles S of Koeye; commercial"/>
    <x v="0"/>
    <s v="YY"/>
    <s v="SN"/>
    <x v="4"/>
    <n v="6"/>
    <m/>
    <n v="7"/>
    <m/>
    <n v="1"/>
    <n v="5"/>
    <s v="R"/>
    <n v="52"/>
    <m/>
    <m/>
    <m/>
    <s v="2.10"/>
    <m/>
    <x v="0"/>
  </r>
  <r>
    <x v="5"/>
    <x v="1"/>
    <x v="4"/>
    <s v="1 &amp; 2 miles S of Koeye; commercial"/>
    <x v="0"/>
    <s v="YY"/>
    <s v="SN"/>
    <x v="4"/>
    <n v="6"/>
    <m/>
    <n v="7"/>
    <m/>
    <n v="1"/>
    <n v="6"/>
    <n v="52"/>
    <s v="R"/>
    <m/>
    <m/>
    <m/>
    <s v="1.11"/>
    <m/>
    <x v="0"/>
  </r>
  <r>
    <x v="5"/>
    <x v="1"/>
    <x v="4"/>
    <s v="1 &amp; 2 miles S of Koeye; commercial"/>
    <x v="0"/>
    <s v="YY"/>
    <s v="SN"/>
    <x v="4"/>
    <n v="6"/>
    <m/>
    <n v="7"/>
    <m/>
    <n v="1"/>
    <n v="7"/>
    <n v="52"/>
    <n v="52"/>
    <m/>
    <m/>
    <m/>
    <s v="1.13+4"/>
    <m/>
    <x v="0"/>
  </r>
  <r>
    <x v="5"/>
    <x v="1"/>
    <x v="4"/>
    <s v="1 &amp; 2 miles S of Koeye; commercial"/>
    <x v="0"/>
    <s v="YY"/>
    <s v="SN"/>
    <x v="4"/>
    <n v="6"/>
    <m/>
    <n v="7"/>
    <m/>
    <n v="1"/>
    <n v="8"/>
    <n v="52"/>
    <n v="52"/>
    <m/>
    <m/>
    <m/>
    <s v="1.11"/>
    <m/>
    <x v="0"/>
  </r>
  <r>
    <x v="5"/>
    <x v="1"/>
    <x v="4"/>
    <s v="1 &amp; 2 miles S of Koeye; commercial"/>
    <x v="0"/>
    <s v="YY"/>
    <s v="SN"/>
    <x v="4"/>
    <n v="6"/>
    <m/>
    <n v="7"/>
    <m/>
    <n v="1"/>
    <n v="9"/>
    <s v="R"/>
    <n v="42"/>
    <m/>
    <m/>
    <m/>
    <m/>
    <m/>
    <x v="1"/>
  </r>
  <r>
    <x v="5"/>
    <x v="1"/>
    <x v="4"/>
    <s v="1 &amp; 2 miles S of Koeye; commercial"/>
    <x v="0"/>
    <s v="YY"/>
    <s v="SN"/>
    <x v="4"/>
    <n v="6"/>
    <m/>
    <n v="7"/>
    <m/>
    <n v="1"/>
    <n v="10"/>
    <s v="NA"/>
    <s v="R"/>
    <m/>
    <m/>
    <m/>
    <m/>
    <m/>
    <x v="2"/>
  </r>
  <r>
    <x v="5"/>
    <x v="1"/>
    <x v="4"/>
    <s v="1 &amp; 2 miles S of Koeye; commercial"/>
    <x v="0"/>
    <s v="YY"/>
    <s v="SN"/>
    <x v="4"/>
    <n v="6"/>
    <m/>
    <n v="7"/>
    <m/>
    <n v="1"/>
    <n v="11"/>
    <n v="63"/>
    <s v="R"/>
    <m/>
    <m/>
    <m/>
    <s v="1.10+11"/>
    <m/>
    <x v="4"/>
  </r>
  <r>
    <x v="5"/>
    <x v="1"/>
    <x v="4"/>
    <s v="1 &amp; 2 miles S of Koeye; commercial"/>
    <x v="0"/>
    <s v="YY"/>
    <s v="SN"/>
    <x v="4"/>
    <n v="6"/>
    <m/>
    <n v="7"/>
    <m/>
    <n v="1"/>
    <n v="12"/>
    <n v="42"/>
    <s v="NA"/>
    <m/>
    <m/>
    <m/>
    <s v="1.9"/>
    <m/>
    <x v="1"/>
  </r>
  <r>
    <x v="5"/>
    <x v="1"/>
    <x v="4"/>
    <s v="1 &amp; 2 miles S of Koeye; commercial"/>
    <x v="0"/>
    <s v="YY"/>
    <s v="SN"/>
    <x v="4"/>
    <n v="6"/>
    <m/>
    <n v="7"/>
    <m/>
    <n v="1"/>
    <n v="13"/>
    <s v="R"/>
    <n v="42"/>
    <m/>
    <m/>
    <m/>
    <s v="2.11"/>
    <m/>
    <x v="1"/>
  </r>
  <r>
    <x v="5"/>
    <x v="1"/>
    <x v="4"/>
    <s v="1 &amp; 2 miles S of Koeye; commercial"/>
    <x v="0"/>
    <s v="YY"/>
    <s v="SN"/>
    <x v="4"/>
    <n v="6"/>
    <m/>
    <n v="7"/>
    <m/>
    <n v="1"/>
    <n v="14"/>
    <n v="52"/>
    <n v="52"/>
    <m/>
    <m/>
    <m/>
    <s v="1.13"/>
    <m/>
    <x v="0"/>
  </r>
  <r>
    <x v="5"/>
    <x v="1"/>
    <x v="4"/>
    <s v="1 &amp; 2 miles S of Koeye; commercial"/>
    <x v="0"/>
    <s v="YY"/>
    <s v="SN"/>
    <x v="4"/>
    <n v="6"/>
    <m/>
    <n v="7"/>
    <m/>
    <n v="1"/>
    <n v="15"/>
    <n v="42"/>
    <n v="42"/>
    <m/>
    <m/>
    <m/>
    <s v="1.13"/>
    <m/>
    <x v="1"/>
  </r>
  <r>
    <x v="5"/>
    <x v="1"/>
    <x v="4"/>
    <s v="1 &amp; 2 miles S of Koeye; commercial"/>
    <x v="0"/>
    <s v="YY"/>
    <s v="SN"/>
    <x v="4"/>
    <n v="6"/>
    <m/>
    <n v="7"/>
    <m/>
    <n v="1"/>
    <n v="16"/>
    <n v="52"/>
    <n v="52"/>
    <m/>
    <m/>
    <m/>
    <s v="1.13"/>
    <m/>
    <x v="0"/>
  </r>
  <r>
    <x v="5"/>
    <x v="1"/>
    <x v="4"/>
    <s v="1 &amp; 2 miles S of Koeye; commercial"/>
    <x v="0"/>
    <s v="YY"/>
    <s v="SN"/>
    <x v="4"/>
    <n v="6"/>
    <m/>
    <n v="7"/>
    <m/>
    <n v="1"/>
    <n v="17"/>
    <n v="42"/>
    <n v="42"/>
    <m/>
    <m/>
    <m/>
    <s v="1.13"/>
    <m/>
    <x v="1"/>
  </r>
  <r>
    <x v="5"/>
    <x v="1"/>
    <x v="4"/>
    <s v="1 &amp; 2 miles S of Koeye; commercial"/>
    <x v="0"/>
    <s v="YY"/>
    <s v="SN"/>
    <x v="4"/>
    <n v="6"/>
    <m/>
    <n v="7"/>
    <m/>
    <n v="1"/>
    <n v="18"/>
    <n v="42"/>
    <s v="R"/>
    <m/>
    <m/>
    <m/>
    <s v="1.11"/>
    <m/>
    <x v="1"/>
  </r>
  <r>
    <x v="5"/>
    <x v="1"/>
    <x v="4"/>
    <s v="1 &amp; 2 miles S of Koeye; commercial"/>
    <x v="0"/>
    <s v="YY"/>
    <s v="SN"/>
    <x v="4"/>
    <n v="6"/>
    <m/>
    <n v="7"/>
    <m/>
    <n v="1"/>
    <n v="19"/>
    <n v="42"/>
    <n v="42"/>
    <m/>
    <m/>
    <m/>
    <s v="1.12"/>
    <m/>
    <x v="1"/>
  </r>
  <r>
    <x v="5"/>
    <x v="1"/>
    <x v="4"/>
    <s v="1 &amp; 2 miles S of Koeye; commercial"/>
    <x v="0"/>
    <s v="YY"/>
    <s v="SN"/>
    <x v="4"/>
    <n v="6"/>
    <m/>
    <n v="7"/>
    <m/>
    <n v="1"/>
    <n v="20"/>
    <n v="42"/>
    <s v="R"/>
    <m/>
    <m/>
    <m/>
    <m/>
    <m/>
    <x v="1"/>
  </r>
  <r>
    <x v="5"/>
    <x v="1"/>
    <x v="4"/>
    <s v="1 &amp; 2 miles S of Koeye; commercial"/>
    <x v="0"/>
    <s v="YY"/>
    <s v="SN"/>
    <x v="4"/>
    <n v="6"/>
    <m/>
    <n v="7"/>
    <m/>
    <n v="1"/>
    <n v="21"/>
    <s v="NA"/>
    <n v="42"/>
    <m/>
    <m/>
    <m/>
    <s v="2.13"/>
    <m/>
    <x v="1"/>
  </r>
  <r>
    <x v="5"/>
    <x v="1"/>
    <x v="4"/>
    <s v="1 &amp; 2 miles S of Koeye; commercial"/>
    <x v="0"/>
    <s v="YY"/>
    <s v="SN"/>
    <x v="4"/>
    <n v="6"/>
    <m/>
    <n v="7"/>
    <m/>
    <n v="1"/>
    <n v="22"/>
    <n v="42"/>
    <n v="42"/>
    <m/>
    <m/>
    <m/>
    <s v="1.1"/>
    <m/>
    <x v="1"/>
  </r>
  <r>
    <x v="5"/>
    <x v="1"/>
    <x v="4"/>
    <s v="1 &amp; 2 miles S of Koeye; commercial"/>
    <x v="0"/>
    <s v="YY"/>
    <s v="SN"/>
    <x v="4"/>
    <n v="6"/>
    <m/>
    <n v="7"/>
    <m/>
    <n v="1"/>
    <n v="23"/>
    <s v="R"/>
    <n v="52"/>
    <m/>
    <m/>
    <m/>
    <s v="2.12"/>
    <m/>
    <x v="0"/>
  </r>
  <r>
    <x v="5"/>
    <x v="1"/>
    <x v="4"/>
    <s v="1 &amp; 2 miles S of Koeye; commercial"/>
    <x v="0"/>
    <s v="YY"/>
    <s v="SN"/>
    <x v="4"/>
    <n v="6"/>
    <m/>
    <n v="7"/>
    <m/>
    <n v="1"/>
    <n v="24"/>
    <n v="42"/>
    <n v="42"/>
    <m/>
    <m/>
    <m/>
    <s v="1.11"/>
    <m/>
    <x v="1"/>
  </r>
  <r>
    <x v="5"/>
    <x v="1"/>
    <x v="4"/>
    <s v="1 &amp; 2 miles S of Koeye; commercial"/>
    <x v="0"/>
    <s v="YY"/>
    <s v="SN"/>
    <x v="4"/>
    <n v="6"/>
    <m/>
    <n v="7"/>
    <m/>
    <n v="1"/>
    <n v="25"/>
    <n v="52"/>
    <n v="52"/>
    <m/>
    <m/>
    <m/>
    <s v="2.15"/>
    <m/>
    <x v="0"/>
  </r>
  <r>
    <x v="5"/>
    <x v="1"/>
    <x v="4"/>
    <s v="1 &amp; 2 miles S of Koeye; commercial"/>
    <x v="0"/>
    <s v="YY"/>
    <s v="GN"/>
    <x v="4"/>
    <n v="6"/>
    <m/>
    <n v="7"/>
    <m/>
    <n v="2"/>
    <n v="1"/>
    <n v="42"/>
    <n v="42"/>
    <m/>
    <m/>
    <m/>
    <s v="poor"/>
    <m/>
    <x v="1"/>
  </r>
  <r>
    <x v="5"/>
    <x v="1"/>
    <x v="4"/>
    <s v="1 &amp; 2 miles S of Koeye; commercial"/>
    <x v="0"/>
    <s v="YY"/>
    <s v="GN"/>
    <x v="4"/>
    <n v="6"/>
    <m/>
    <n v="7"/>
    <m/>
    <n v="2"/>
    <n v="2"/>
    <n v="42"/>
    <n v="42"/>
    <m/>
    <m/>
    <m/>
    <s v="1.10 2.11"/>
    <m/>
    <x v="1"/>
  </r>
  <r>
    <x v="5"/>
    <x v="1"/>
    <x v="4"/>
    <s v="1 &amp; 2 miles S of Koeye; commercial"/>
    <x v="0"/>
    <s v="YY"/>
    <s v="GN"/>
    <x v="4"/>
    <n v="6"/>
    <m/>
    <n v="7"/>
    <m/>
    <n v="2"/>
    <n v="3"/>
    <n v="53"/>
    <n v="53"/>
    <m/>
    <m/>
    <m/>
    <s v="1.9+13"/>
    <m/>
    <x v="3"/>
  </r>
  <r>
    <x v="5"/>
    <x v="1"/>
    <x v="4"/>
    <s v="1 &amp; 2 miles S of Koeye; commercial"/>
    <x v="0"/>
    <s v="YY"/>
    <s v="GN"/>
    <x v="4"/>
    <n v="6"/>
    <m/>
    <n v="7"/>
    <m/>
    <n v="2"/>
    <n v="4"/>
    <n v="42"/>
    <s v="R"/>
    <m/>
    <m/>
    <m/>
    <s v="1.9"/>
    <m/>
    <x v="1"/>
  </r>
  <r>
    <x v="5"/>
    <x v="1"/>
    <x v="4"/>
    <s v="1 &amp; 2 miles S of Koeye; commercial"/>
    <x v="0"/>
    <s v="YY"/>
    <s v="GN"/>
    <x v="4"/>
    <n v="6"/>
    <m/>
    <n v="7"/>
    <m/>
    <n v="2"/>
    <n v="5"/>
    <n v="42"/>
    <n v="42"/>
    <m/>
    <m/>
    <m/>
    <s v="2.12"/>
    <m/>
    <x v="1"/>
  </r>
  <r>
    <x v="5"/>
    <x v="1"/>
    <x v="4"/>
    <s v="1 &amp; 2 miles S of Koeye; commercial"/>
    <x v="0"/>
    <s v="YY"/>
    <s v="GN"/>
    <x v="4"/>
    <n v="6"/>
    <m/>
    <n v="7"/>
    <m/>
    <n v="2"/>
    <n v="6"/>
    <n v="42"/>
    <s v="R"/>
    <m/>
    <m/>
    <m/>
    <s v="1.12"/>
    <m/>
    <x v="1"/>
  </r>
  <r>
    <x v="5"/>
    <x v="1"/>
    <x v="4"/>
    <s v="1 &amp; 2 miles S of Koeye; commercial"/>
    <x v="0"/>
    <s v="YY"/>
    <s v="GN"/>
    <x v="4"/>
    <n v="6"/>
    <m/>
    <n v="7"/>
    <m/>
    <n v="2"/>
    <n v="7"/>
    <s v="R"/>
    <s v="R"/>
    <m/>
    <m/>
    <m/>
    <m/>
    <m/>
    <x v="2"/>
  </r>
  <r>
    <x v="5"/>
    <x v="1"/>
    <x v="4"/>
    <s v="1 &amp; 2 miles S of Koeye; commercial"/>
    <x v="0"/>
    <s v="YY"/>
    <s v="GN"/>
    <x v="4"/>
    <n v="6"/>
    <m/>
    <n v="7"/>
    <m/>
    <n v="2"/>
    <n v="8"/>
    <n v="52"/>
    <n v="52"/>
    <m/>
    <m/>
    <m/>
    <s v="1.12 2.11"/>
    <m/>
    <x v="0"/>
  </r>
  <r>
    <x v="5"/>
    <x v="1"/>
    <x v="4"/>
    <s v="1 &amp; 2 miles S of Koeye; commercial"/>
    <x v="0"/>
    <s v="YY"/>
    <s v="GN"/>
    <x v="4"/>
    <n v="6"/>
    <m/>
    <n v="7"/>
    <m/>
    <n v="2"/>
    <n v="9"/>
    <s v="R"/>
    <s v="R"/>
    <m/>
    <m/>
    <m/>
    <m/>
    <m/>
    <x v="2"/>
  </r>
  <r>
    <x v="5"/>
    <x v="1"/>
    <x v="4"/>
    <s v="1 &amp; 2 miles S of Koeye; commercial"/>
    <x v="0"/>
    <s v="YY"/>
    <s v="GN"/>
    <x v="4"/>
    <n v="6"/>
    <m/>
    <n v="7"/>
    <m/>
    <n v="2"/>
    <n v="10"/>
    <s v="R"/>
    <n v="42"/>
    <m/>
    <m/>
    <m/>
    <s v="2.12"/>
    <m/>
    <x v="1"/>
  </r>
  <r>
    <x v="5"/>
    <x v="1"/>
    <x v="4"/>
    <s v="1 &amp; 2 miles S of Koeye; commercial"/>
    <x v="0"/>
    <s v="YY"/>
    <s v="GN"/>
    <x v="4"/>
    <n v="6"/>
    <m/>
    <n v="7"/>
    <m/>
    <n v="2"/>
    <n v="11"/>
    <s v="R"/>
    <n v="52"/>
    <m/>
    <m/>
    <m/>
    <m/>
    <m/>
    <x v="0"/>
  </r>
  <r>
    <x v="5"/>
    <x v="1"/>
    <x v="4"/>
    <s v="1 &amp; 2 miles S of Koeye; commercial"/>
    <x v="0"/>
    <s v="YY"/>
    <s v="GN"/>
    <x v="4"/>
    <n v="6"/>
    <m/>
    <n v="7"/>
    <m/>
    <n v="2"/>
    <n v="12"/>
    <s v="R"/>
    <s v="R"/>
    <m/>
    <m/>
    <m/>
    <m/>
    <m/>
    <x v="2"/>
  </r>
  <r>
    <x v="5"/>
    <x v="1"/>
    <x v="4"/>
    <s v="1 &amp; 2 miles S of Koeye; commercial"/>
    <x v="0"/>
    <s v="YY"/>
    <s v="GN"/>
    <x v="4"/>
    <n v="6"/>
    <m/>
    <n v="7"/>
    <m/>
    <n v="2"/>
    <n v="13"/>
    <n v="42"/>
    <n v="42"/>
    <m/>
    <m/>
    <m/>
    <s v="1.12"/>
    <m/>
    <x v="1"/>
  </r>
  <r>
    <x v="5"/>
    <x v="1"/>
    <x v="4"/>
    <s v="1 &amp; 2 miles S of Koeye; commercial"/>
    <x v="0"/>
    <s v="YY"/>
    <s v="GN"/>
    <x v="4"/>
    <n v="6"/>
    <m/>
    <n v="7"/>
    <m/>
    <n v="2"/>
    <n v="14"/>
    <s v="R"/>
    <n v="52"/>
    <m/>
    <m/>
    <m/>
    <m/>
    <m/>
    <x v="0"/>
  </r>
  <r>
    <x v="5"/>
    <x v="1"/>
    <x v="4"/>
    <s v="1 &amp; 2 miles S of Koeye; commercial"/>
    <x v="0"/>
    <s v="YY"/>
    <s v="GN"/>
    <x v="4"/>
    <n v="6"/>
    <m/>
    <n v="7"/>
    <m/>
    <n v="2"/>
    <n v="15"/>
    <n v="52"/>
    <s v="R"/>
    <m/>
    <m/>
    <m/>
    <s v="1.18"/>
    <m/>
    <x v="0"/>
  </r>
  <r>
    <x v="5"/>
    <x v="1"/>
    <x v="4"/>
    <s v="1 &amp; 2 miles S of Koeye; commercial"/>
    <x v="0"/>
    <s v="YY"/>
    <s v="GN"/>
    <x v="4"/>
    <n v="6"/>
    <m/>
    <n v="7"/>
    <m/>
    <n v="2"/>
    <n v="16"/>
    <n v="53"/>
    <n v="53"/>
    <m/>
    <m/>
    <m/>
    <s v="1.5+9"/>
    <m/>
    <x v="3"/>
  </r>
  <r>
    <x v="5"/>
    <x v="1"/>
    <x v="4"/>
    <s v="1 &amp; 2 miles S of Koeye; commercial"/>
    <x v="0"/>
    <s v="YY"/>
    <s v="GN"/>
    <x v="4"/>
    <n v="6"/>
    <m/>
    <n v="7"/>
    <m/>
    <n v="2"/>
    <n v="17"/>
    <n v="42"/>
    <n v="42"/>
    <m/>
    <m/>
    <m/>
    <s v="1.9"/>
    <m/>
    <x v="1"/>
  </r>
  <r>
    <x v="5"/>
    <x v="1"/>
    <x v="4"/>
    <s v="1 &amp; 2 miles S of Koeye; commercial"/>
    <x v="0"/>
    <s v="YY"/>
    <s v="GN"/>
    <x v="4"/>
    <n v="6"/>
    <m/>
    <n v="7"/>
    <m/>
    <n v="2"/>
    <n v="18"/>
    <n v="52"/>
    <n v="52"/>
    <m/>
    <m/>
    <m/>
    <s v="2.12"/>
    <m/>
    <x v="0"/>
  </r>
  <r>
    <x v="5"/>
    <x v="1"/>
    <x v="4"/>
    <s v="1 &amp; 2 miles S of Koeye; commercial"/>
    <x v="0"/>
    <s v="YY"/>
    <s v="GN"/>
    <x v="4"/>
    <n v="6"/>
    <m/>
    <n v="7"/>
    <m/>
    <n v="2"/>
    <n v="19"/>
    <s v="R"/>
    <n v="52"/>
    <m/>
    <m/>
    <m/>
    <s v="2.12"/>
    <m/>
    <x v="0"/>
  </r>
  <r>
    <x v="5"/>
    <x v="1"/>
    <x v="4"/>
    <s v="1 &amp; 2 miles S of Koeye; commercial"/>
    <x v="0"/>
    <s v="YY"/>
    <s v="GN"/>
    <x v="4"/>
    <n v="6"/>
    <m/>
    <n v="7"/>
    <m/>
    <n v="2"/>
    <n v="20"/>
    <n v="42"/>
    <n v="42"/>
    <m/>
    <m/>
    <m/>
    <s v="2.11"/>
    <m/>
    <x v="1"/>
  </r>
  <r>
    <x v="5"/>
    <x v="1"/>
    <x v="4"/>
    <s v="1 &amp; 2 miles S of Koeye; commercial"/>
    <x v="0"/>
    <s v="YY"/>
    <s v="GN"/>
    <x v="4"/>
    <n v="6"/>
    <m/>
    <n v="7"/>
    <m/>
    <n v="2"/>
    <n v="21"/>
    <n v="42"/>
    <n v="42"/>
    <m/>
    <m/>
    <m/>
    <s v="1.R 2.10"/>
    <m/>
    <x v="1"/>
  </r>
  <r>
    <x v="5"/>
    <x v="1"/>
    <x v="4"/>
    <s v="1 &amp; 2 miles S of Koeye; commercial"/>
    <x v="0"/>
    <s v="YY"/>
    <s v="GN"/>
    <x v="4"/>
    <n v="6"/>
    <m/>
    <n v="7"/>
    <m/>
    <n v="2"/>
    <n v="22"/>
    <s v="R"/>
    <n v="52"/>
    <m/>
    <m/>
    <m/>
    <m/>
    <m/>
    <x v="0"/>
  </r>
  <r>
    <x v="5"/>
    <x v="1"/>
    <x v="4"/>
    <s v="1 &amp; 2 miles S of Koeye; commercial"/>
    <x v="0"/>
    <s v="YY"/>
    <s v="GN"/>
    <x v="4"/>
    <n v="6"/>
    <m/>
    <n v="7"/>
    <m/>
    <n v="2"/>
    <n v="23"/>
    <s v="NA"/>
    <n v="42"/>
    <m/>
    <m/>
    <m/>
    <s v="2.12"/>
    <m/>
    <x v="1"/>
  </r>
  <r>
    <x v="5"/>
    <x v="1"/>
    <x v="4"/>
    <s v="1 &amp; 2 miles S of Koeye; commercial"/>
    <x v="0"/>
    <s v="YY"/>
    <s v="GN"/>
    <x v="4"/>
    <n v="6"/>
    <m/>
    <n v="7"/>
    <m/>
    <n v="2"/>
    <n v="24"/>
    <n v="52"/>
    <n v="52"/>
    <m/>
    <m/>
    <m/>
    <s v="1.13"/>
    <m/>
    <x v="0"/>
  </r>
  <r>
    <x v="5"/>
    <x v="1"/>
    <x v="4"/>
    <s v="1 &amp; 2 miles S of Koeye; commercial"/>
    <x v="0"/>
    <s v="YY"/>
    <s v="GN"/>
    <x v="4"/>
    <n v="6"/>
    <m/>
    <n v="7"/>
    <m/>
    <n v="2"/>
    <n v="25"/>
    <s v="R"/>
    <s v="R"/>
    <m/>
    <m/>
    <m/>
    <m/>
    <m/>
    <x v="2"/>
  </r>
  <r>
    <x v="5"/>
    <x v="1"/>
    <x v="4"/>
    <s v="1 &amp; 2 miles S of Koeye; commercial"/>
    <x v="0"/>
    <s v="YY"/>
    <s v="GN"/>
    <x v="4"/>
    <n v="7"/>
    <m/>
    <n v="7"/>
    <m/>
    <n v="3"/>
    <n v="1"/>
    <n v="42"/>
    <s v="R"/>
    <m/>
    <m/>
    <m/>
    <s v="1.13"/>
    <m/>
    <x v="1"/>
  </r>
  <r>
    <x v="5"/>
    <x v="1"/>
    <x v="4"/>
    <s v="1 &amp; 2 miles S of Koeye; commercial"/>
    <x v="0"/>
    <s v="YY"/>
    <s v="GN"/>
    <x v="4"/>
    <n v="7"/>
    <m/>
    <n v="7"/>
    <m/>
    <n v="3"/>
    <n v="2"/>
    <n v="52"/>
    <s v="NA"/>
    <m/>
    <m/>
    <m/>
    <s v="1.12+5"/>
    <m/>
    <x v="0"/>
  </r>
  <r>
    <x v="5"/>
    <x v="1"/>
    <x v="4"/>
    <s v="1 &amp; 2 miles S of Koeye; commercial"/>
    <x v="0"/>
    <s v="YY"/>
    <s v="GN"/>
    <x v="4"/>
    <n v="7"/>
    <m/>
    <n v="7"/>
    <m/>
    <n v="3"/>
    <n v="3"/>
    <n v="53"/>
    <n v="53"/>
    <m/>
    <m/>
    <m/>
    <s v="2.10+12"/>
    <m/>
    <x v="3"/>
  </r>
  <r>
    <x v="5"/>
    <x v="1"/>
    <x v="4"/>
    <s v="1 &amp; 2 miles S of Koeye; commercial"/>
    <x v="0"/>
    <s v="YY"/>
    <s v="GN"/>
    <x v="4"/>
    <n v="7"/>
    <m/>
    <n v="7"/>
    <m/>
    <n v="3"/>
    <n v="4"/>
    <n v="42"/>
    <n v="42"/>
    <m/>
    <m/>
    <m/>
    <s v="1.12"/>
    <m/>
    <x v="1"/>
  </r>
  <r>
    <x v="5"/>
    <x v="1"/>
    <x v="4"/>
    <s v="1 &amp; 2 miles S of Koeye; commercial"/>
    <x v="0"/>
    <s v="YY"/>
    <s v="GN"/>
    <x v="4"/>
    <n v="7"/>
    <m/>
    <n v="7"/>
    <m/>
    <n v="3"/>
    <n v="5"/>
    <n v="42"/>
    <n v="42"/>
    <m/>
    <m/>
    <m/>
    <s v="1.9"/>
    <m/>
    <x v="1"/>
  </r>
  <r>
    <x v="5"/>
    <x v="1"/>
    <x v="4"/>
    <s v="1 &amp; 2 miles S of Koeye; commercial"/>
    <x v="0"/>
    <s v="YY"/>
    <s v="GN"/>
    <x v="4"/>
    <n v="7"/>
    <m/>
    <n v="7"/>
    <m/>
    <n v="3"/>
    <n v="6"/>
    <n v="52"/>
    <n v="52"/>
    <m/>
    <m/>
    <m/>
    <s v="1.10"/>
    <m/>
    <x v="0"/>
  </r>
  <r>
    <x v="5"/>
    <x v="1"/>
    <x v="4"/>
    <s v="1 &amp; 2 miles S of Koeye; commercial"/>
    <x v="0"/>
    <s v="YY"/>
    <s v="GN"/>
    <x v="4"/>
    <n v="7"/>
    <m/>
    <n v="7"/>
    <m/>
    <n v="3"/>
    <n v="7"/>
    <n v="42"/>
    <n v="42"/>
    <m/>
    <m/>
    <m/>
    <s v="2.11"/>
    <m/>
    <x v="1"/>
  </r>
  <r>
    <x v="5"/>
    <x v="1"/>
    <x v="4"/>
    <s v="1 &amp; 2 miles S of Koeye; commercial"/>
    <x v="0"/>
    <s v="YY"/>
    <s v="GN"/>
    <x v="4"/>
    <n v="7"/>
    <m/>
    <n v="7"/>
    <m/>
    <n v="3"/>
    <n v="8"/>
    <n v="52"/>
    <n v="52"/>
    <m/>
    <m/>
    <m/>
    <s v="2.14"/>
    <m/>
    <x v="0"/>
  </r>
  <r>
    <x v="5"/>
    <x v="1"/>
    <x v="4"/>
    <s v="1 &amp; 2 miles S of Koeye; commercial"/>
    <x v="0"/>
    <s v="YY"/>
    <s v="GN"/>
    <x v="4"/>
    <n v="7"/>
    <m/>
    <n v="7"/>
    <m/>
    <n v="3"/>
    <n v="9"/>
    <n v="42"/>
    <n v="42"/>
    <m/>
    <m/>
    <m/>
    <s v="1.11"/>
    <m/>
    <x v="1"/>
  </r>
  <r>
    <x v="5"/>
    <x v="1"/>
    <x v="4"/>
    <s v="1 &amp; 2 miles S of Koeye; commercial"/>
    <x v="0"/>
    <s v="YY"/>
    <s v="GN"/>
    <x v="4"/>
    <n v="7"/>
    <m/>
    <n v="7"/>
    <m/>
    <n v="3"/>
    <n v="10"/>
    <n v="52"/>
    <s v="R"/>
    <m/>
    <m/>
    <m/>
    <s v="1.9"/>
    <m/>
    <x v="0"/>
  </r>
  <r>
    <x v="5"/>
    <x v="1"/>
    <x v="4"/>
    <s v="1 &amp; 2 miles S of Koeye; commercial"/>
    <x v="0"/>
    <s v="YY"/>
    <s v="GN"/>
    <x v="4"/>
    <n v="7"/>
    <m/>
    <n v="7"/>
    <m/>
    <n v="3"/>
    <n v="11"/>
    <n v="31"/>
    <n v="31"/>
    <m/>
    <m/>
    <m/>
    <s v="possible estuary growth but no (visible) FW type"/>
    <m/>
    <x v="6"/>
  </r>
  <r>
    <x v="6"/>
    <x v="1"/>
    <x v="0"/>
    <s v="kwakume to addenbroke pt; commercial"/>
    <x v="0"/>
    <s v="YY"/>
    <s v="SN"/>
    <x v="4"/>
    <n v="12"/>
    <m/>
    <n v="7"/>
    <m/>
    <n v="4"/>
    <n v="1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4"/>
    <n v="2"/>
    <n v="42"/>
    <s v="R"/>
    <m/>
    <m/>
    <m/>
    <s v="1.13"/>
    <m/>
    <x v="1"/>
  </r>
  <r>
    <x v="6"/>
    <x v="1"/>
    <x v="0"/>
    <s v="kwakume to addenbroke pt; commercial"/>
    <x v="0"/>
    <s v="YY"/>
    <s v="SN"/>
    <x v="4"/>
    <n v="12"/>
    <m/>
    <n v="7"/>
    <m/>
    <n v="4"/>
    <n v="3"/>
    <s v="R"/>
    <n v="42"/>
    <m/>
    <m/>
    <m/>
    <s v="2.9"/>
    <m/>
    <x v="1"/>
  </r>
  <r>
    <x v="6"/>
    <x v="1"/>
    <x v="0"/>
    <s v="kwakume to addenbroke pt; commercial"/>
    <x v="0"/>
    <s v="YY"/>
    <s v="SN"/>
    <x v="4"/>
    <n v="12"/>
    <m/>
    <n v="7"/>
    <m/>
    <n v="4"/>
    <n v="4"/>
    <n v="42"/>
    <n v="42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4"/>
    <n v="5"/>
    <n v="52"/>
    <n v="52"/>
    <m/>
    <m/>
    <m/>
    <s v="1.9"/>
    <m/>
    <x v="0"/>
  </r>
  <r>
    <x v="6"/>
    <x v="1"/>
    <x v="0"/>
    <s v="kwakume to addenbroke pt; commercial"/>
    <x v="0"/>
    <s v="YY"/>
    <s v="SN"/>
    <x v="4"/>
    <n v="12"/>
    <m/>
    <n v="7"/>
    <m/>
    <n v="4"/>
    <n v="6"/>
    <s v="NA"/>
    <n v="42"/>
    <m/>
    <m/>
    <m/>
    <s v="2.13"/>
    <m/>
    <x v="1"/>
  </r>
  <r>
    <x v="6"/>
    <x v="1"/>
    <x v="0"/>
    <s v="kwakume to addenbroke pt; commercial"/>
    <x v="0"/>
    <s v="YY"/>
    <s v="SN"/>
    <x v="4"/>
    <n v="12"/>
    <m/>
    <n v="7"/>
    <m/>
    <n v="4"/>
    <n v="7"/>
    <n v="42"/>
    <s v="NA"/>
    <m/>
    <m/>
    <m/>
    <s v="1.9"/>
    <m/>
    <x v="1"/>
  </r>
  <r>
    <x v="6"/>
    <x v="1"/>
    <x v="0"/>
    <s v="kwakume to addenbroke pt; commercial"/>
    <x v="0"/>
    <s v="YY"/>
    <s v="SN"/>
    <x v="4"/>
    <n v="12"/>
    <m/>
    <n v="7"/>
    <m/>
    <n v="4"/>
    <n v="8"/>
    <n v="52"/>
    <n v="52"/>
    <m/>
    <m/>
    <m/>
    <m/>
    <m/>
    <x v="0"/>
  </r>
  <r>
    <x v="6"/>
    <x v="1"/>
    <x v="0"/>
    <s v="kwakume to addenbroke pt; commercial"/>
    <x v="0"/>
    <s v="YY"/>
    <s v="SN"/>
    <x v="4"/>
    <n v="12"/>
    <m/>
    <n v="7"/>
    <m/>
    <n v="4"/>
    <n v="9"/>
    <n v="42"/>
    <n v="42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4"/>
    <n v="10"/>
    <n v="42"/>
    <n v="42"/>
    <m/>
    <m/>
    <m/>
    <s v="1.12"/>
    <m/>
    <x v="1"/>
  </r>
  <r>
    <x v="6"/>
    <x v="1"/>
    <x v="0"/>
    <s v="kwakume to addenbroke pt; commercial"/>
    <x v="0"/>
    <s v="YY"/>
    <s v="SN"/>
    <x v="4"/>
    <n v="12"/>
    <m/>
    <n v="7"/>
    <m/>
    <n v="4"/>
    <n v="11"/>
    <s v="NA"/>
    <n v="52"/>
    <m/>
    <m/>
    <m/>
    <s v="2.10"/>
    <m/>
    <x v="0"/>
  </r>
  <r>
    <x v="6"/>
    <x v="1"/>
    <x v="0"/>
    <s v="kwakume to addenbroke pt; commercial"/>
    <x v="0"/>
    <s v="YY"/>
    <s v="SN"/>
    <x v="4"/>
    <n v="12"/>
    <m/>
    <n v="7"/>
    <m/>
    <n v="4"/>
    <n v="12"/>
    <s v="R"/>
    <s v="NA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4"/>
    <n v="13"/>
    <s v="NA"/>
    <n v="52"/>
    <m/>
    <m/>
    <m/>
    <s v="2.11"/>
    <m/>
    <x v="0"/>
  </r>
  <r>
    <x v="6"/>
    <x v="1"/>
    <x v="0"/>
    <s v="kwakume to addenbroke pt; commercial"/>
    <x v="0"/>
    <s v="YY"/>
    <s v="SN"/>
    <x v="4"/>
    <n v="12"/>
    <m/>
    <n v="7"/>
    <m/>
    <n v="4"/>
    <n v="14"/>
    <n v="42"/>
    <n v="42"/>
    <m/>
    <m/>
    <m/>
    <s v="1.13"/>
    <m/>
    <x v="1"/>
  </r>
  <r>
    <x v="6"/>
    <x v="1"/>
    <x v="0"/>
    <s v="kwakume to addenbroke pt; commercial"/>
    <x v="0"/>
    <s v="YY"/>
    <s v="SN"/>
    <x v="4"/>
    <n v="12"/>
    <m/>
    <n v="7"/>
    <m/>
    <n v="4"/>
    <n v="15"/>
    <s v="R"/>
    <n v="52"/>
    <m/>
    <m/>
    <m/>
    <s v="2.8+5"/>
    <m/>
    <x v="0"/>
  </r>
  <r>
    <x v="6"/>
    <x v="1"/>
    <x v="0"/>
    <s v="kwakume to addenbroke pt; commercial"/>
    <x v="0"/>
    <s v="YY"/>
    <s v="SN"/>
    <x v="4"/>
    <n v="12"/>
    <m/>
    <n v="7"/>
    <m/>
    <n v="4"/>
    <n v="16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4"/>
    <n v="17"/>
    <s v="NA"/>
    <n v="42"/>
    <m/>
    <m/>
    <m/>
    <s v="2.13"/>
    <m/>
    <x v="1"/>
  </r>
  <r>
    <x v="6"/>
    <x v="1"/>
    <x v="0"/>
    <s v="kwakume to addenbroke pt; commercial"/>
    <x v="0"/>
    <s v="YY"/>
    <s v="SN"/>
    <x v="4"/>
    <n v="12"/>
    <m/>
    <n v="7"/>
    <m/>
    <n v="4"/>
    <n v="18"/>
    <n v="42"/>
    <s v="NA"/>
    <m/>
    <m/>
    <m/>
    <s v="1.9"/>
    <m/>
    <x v="1"/>
  </r>
  <r>
    <x v="6"/>
    <x v="1"/>
    <x v="0"/>
    <s v="kwakume to addenbroke pt; commercial"/>
    <x v="0"/>
    <s v="YY"/>
    <s v="SN"/>
    <x v="4"/>
    <n v="12"/>
    <m/>
    <n v="7"/>
    <m/>
    <n v="4"/>
    <n v="19"/>
    <n v="52"/>
    <n v="52"/>
    <m/>
    <m/>
    <m/>
    <s v="1.9"/>
    <m/>
    <x v="0"/>
  </r>
  <r>
    <x v="6"/>
    <x v="1"/>
    <x v="0"/>
    <s v="kwakume to addenbroke pt; commercial"/>
    <x v="0"/>
    <s v="YY"/>
    <s v="SN"/>
    <x v="4"/>
    <n v="12"/>
    <m/>
    <n v="7"/>
    <m/>
    <n v="4"/>
    <n v="20"/>
    <n v="42"/>
    <n v="42"/>
    <m/>
    <m/>
    <m/>
    <s v="2.13"/>
    <m/>
    <x v="1"/>
  </r>
  <r>
    <x v="6"/>
    <x v="1"/>
    <x v="0"/>
    <s v="kwakume to addenbroke pt; commercial"/>
    <x v="0"/>
    <s v="YY"/>
    <s v="SN"/>
    <x v="4"/>
    <n v="12"/>
    <m/>
    <n v="7"/>
    <m/>
    <n v="4"/>
    <n v="21"/>
    <n v="52"/>
    <s v="R"/>
    <m/>
    <m/>
    <m/>
    <s v="1.13"/>
    <m/>
    <x v="0"/>
  </r>
  <r>
    <x v="6"/>
    <x v="1"/>
    <x v="0"/>
    <s v="kwakume to addenbroke pt; commercial"/>
    <x v="0"/>
    <s v="YY"/>
    <s v="SN"/>
    <x v="4"/>
    <n v="12"/>
    <m/>
    <n v="7"/>
    <m/>
    <n v="4"/>
    <n v="22"/>
    <n v="42"/>
    <n v="42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4"/>
    <n v="23"/>
    <n v="42"/>
    <n v="42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4"/>
    <n v="24"/>
    <s v="R"/>
    <n v="42"/>
    <m/>
    <m/>
    <m/>
    <s v="2.11"/>
    <m/>
    <x v="1"/>
  </r>
  <r>
    <x v="6"/>
    <x v="1"/>
    <x v="0"/>
    <s v="kwakume to addenbroke pt; commercial"/>
    <x v="0"/>
    <s v="YY"/>
    <s v="SN"/>
    <x v="4"/>
    <n v="12"/>
    <m/>
    <n v="7"/>
    <m/>
    <n v="4"/>
    <n v="25"/>
    <n v="52"/>
    <n v="52"/>
    <m/>
    <m/>
    <m/>
    <s v="1.9"/>
    <m/>
    <x v="0"/>
  </r>
  <r>
    <x v="6"/>
    <x v="1"/>
    <x v="0"/>
    <s v="kwakume to addenbroke pt; commercial"/>
    <x v="0"/>
    <s v="YY"/>
    <s v="SN"/>
    <x v="4"/>
    <n v="12"/>
    <m/>
    <n v="7"/>
    <m/>
    <n v="5"/>
    <n v="1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5"/>
    <n v="2"/>
    <n v="42"/>
    <n v="42"/>
    <m/>
    <m/>
    <m/>
    <s v="1.8"/>
    <m/>
    <x v="1"/>
  </r>
  <r>
    <x v="6"/>
    <x v="1"/>
    <x v="0"/>
    <s v="kwakume to addenbroke pt; commercial"/>
    <x v="0"/>
    <s v="YY"/>
    <s v="SN"/>
    <x v="4"/>
    <n v="12"/>
    <m/>
    <n v="7"/>
    <m/>
    <n v="5"/>
    <n v="3"/>
    <n v="42"/>
    <n v="42"/>
    <m/>
    <m/>
    <m/>
    <s v="1.12"/>
    <m/>
    <x v="1"/>
  </r>
  <r>
    <x v="6"/>
    <x v="1"/>
    <x v="0"/>
    <s v="kwakume to addenbroke pt; commercial"/>
    <x v="0"/>
    <s v="YY"/>
    <s v="SN"/>
    <x v="4"/>
    <n v="12"/>
    <m/>
    <n v="7"/>
    <m/>
    <n v="5"/>
    <n v="4"/>
    <n v="42"/>
    <n v="42"/>
    <m/>
    <m/>
    <m/>
    <s v="2.8"/>
    <m/>
    <x v="1"/>
  </r>
  <r>
    <x v="6"/>
    <x v="1"/>
    <x v="0"/>
    <s v="kwakume to addenbroke pt; commercial"/>
    <x v="0"/>
    <s v="YY"/>
    <s v="SN"/>
    <x v="4"/>
    <n v="12"/>
    <m/>
    <n v="7"/>
    <m/>
    <n v="5"/>
    <n v="5"/>
    <s v="R"/>
    <n v="42"/>
    <m/>
    <m/>
    <m/>
    <s v="2.10+6"/>
    <m/>
    <x v="1"/>
  </r>
  <r>
    <x v="6"/>
    <x v="1"/>
    <x v="0"/>
    <s v="kwakume to addenbroke pt; commercial"/>
    <x v="0"/>
    <s v="YY"/>
    <s v="SN"/>
    <x v="4"/>
    <n v="12"/>
    <m/>
    <n v="7"/>
    <m/>
    <n v="5"/>
    <n v="6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5"/>
    <n v="7"/>
    <n v="52"/>
    <n v="52"/>
    <m/>
    <m/>
    <m/>
    <s v="1.8+6"/>
    <m/>
    <x v="0"/>
  </r>
  <r>
    <x v="6"/>
    <x v="1"/>
    <x v="0"/>
    <s v="kwakume to addenbroke pt; commercial"/>
    <x v="0"/>
    <s v="YY"/>
    <s v="SN"/>
    <x v="4"/>
    <n v="12"/>
    <m/>
    <n v="7"/>
    <m/>
    <n v="5"/>
    <n v="8"/>
    <n v="52"/>
    <n v="52"/>
    <m/>
    <m/>
    <m/>
    <s v="1.10"/>
    <m/>
    <x v="0"/>
  </r>
  <r>
    <x v="6"/>
    <x v="1"/>
    <x v="0"/>
    <s v="kwakume to addenbroke pt; commercial"/>
    <x v="0"/>
    <s v="YY"/>
    <s v="SN"/>
    <x v="4"/>
    <n v="12"/>
    <m/>
    <n v="7"/>
    <m/>
    <n v="5"/>
    <n v="9"/>
    <s v="NA"/>
    <n v="42"/>
    <m/>
    <m/>
    <m/>
    <s v="2.8"/>
    <m/>
    <x v="1"/>
  </r>
  <r>
    <x v="6"/>
    <x v="1"/>
    <x v="0"/>
    <s v="kwakume to addenbroke pt; commercial"/>
    <x v="0"/>
    <s v="YY"/>
    <s v="SN"/>
    <x v="4"/>
    <n v="12"/>
    <m/>
    <n v="7"/>
    <m/>
    <n v="5"/>
    <n v="10"/>
    <s v="R"/>
    <s v="NA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5"/>
    <n v="11"/>
    <n v="42"/>
    <n v="42"/>
    <m/>
    <m/>
    <m/>
    <s v="1.poor 2.9"/>
    <m/>
    <x v="1"/>
  </r>
  <r>
    <x v="6"/>
    <x v="1"/>
    <x v="0"/>
    <s v="kwakume to addenbroke pt; commercial"/>
    <x v="0"/>
    <s v="YY"/>
    <s v="SN"/>
    <x v="4"/>
    <n v="12"/>
    <m/>
    <n v="7"/>
    <m/>
    <n v="5"/>
    <n v="12"/>
    <n v="42"/>
    <n v="42"/>
    <m/>
    <m/>
    <m/>
    <s v="1.15"/>
    <m/>
    <x v="1"/>
  </r>
  <r>
    <x v="6"/>
    <x v="1"/>
    <x v="0"/>
    <s v="kwakume to addenbroke pt; commercial"/>
    <x v="0"/>
    <s v="YY"/>
    <s v="SN"/>
    <x v="4"/>
    <n v="12"/>
    <m/>
    <n v="7"/>
    <m/>
    <n v="5"/>
    <n v="13"/>
    <n v="52"/>
    <s v="R"/>
    <m/>
    <m/>
    <m/>
    <s v="1.9+2"/>
    <m/>
    <x v="0"/>
  </r>
  <r>
    <x v="6"/>
    <x v="1"/>
    <x v="0"/>
    <s v="kwakume to addenbroke pt; commercial"/>
    <x v="0"/>
    <s v="YY"/>
    <s v="SN"/>
    <x v="4"/>
    <n v="12"/>
    <m/>
    <n v="7"/>
    <m/>
    <n v="5"/>
    <n v="14"/>
    <n v="42"/>
    <n v="42"/>
    <m/>
    <m/>
    <m/>
    <s v="2.13"/>
    <m/>
    <x v="1"/>
  </r>
  <r>
    <x v="6"/>
    <x v="1"/>
    <x v="0"/>
    <s v="kwakume to addenbroke pt; commercial"/>
    <x v="0"/>
    <s v="YY"/>
    <s v="SN"/>
    <x v="4"/>
    <n v="12"/>
    <m/>
    <n v="7"/>
    <m/>
    <n v="5"/>
    <n v="15"/>
    <n v="42"/>
    <n v="42"/>
    <m/>
    <m/>
    <m/>
    <s v="1.9"/>
    <m/>
    <x v="1"/>
  </r>
  <r>
    <x v="6"/>
    <x v="1"/>
    <x v="0"/>
    <s v="kwakume to addenbroke pt; commercial"/>
    <x v="0"/>
    <s v="YY"/>
    <s v="SN"/>
    <x v="4"/>
    <n v="12"/>
    <m/>
    <n v="7"/>
    <m/>
    <n v="5"/>
    <n v="16"/>
    <s v="NA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5"/>
    <n v="17"/>
    <n v="32"/>
    <s v="R"/>
    <m/>
    <m/>
    <m/>
    <s v="1.16"/>
    <m/>
    <x v="8"/>
  </r>
  <r>
    <x v="6"/>
    <x v="1"/>
    <x v="0"/>
    <s v="kwakume to addenbroke pt; commercial"/>
    <x v="0"/>
    <s v="YY"/>
    <s v="SN"/>
    <x v="4"/>
    <n v="12"/>
    <m/>
    <n v="7"/>
    <m/>
    <n v="5"/>
    <n v="18"/>
    <n v="42"/>
    <s v="R"/>
    <m/>
    <m/>
    <m/>
    <s v="1.20+2"/>
    <m/>
    <x v="1"/>
  </r>
  <r>
    <x v="6"/>
    <x v="1"/>
    <x v="0"/>
    <s v="kwakume to addenbroke pt; commercial"/>
    <x v="0"/>
    <s v="YY"/>
    <s v="SN"/>
    <x v="4"/>
    <n v="12"/>
    <m/>
    <n v="7"/>
    <m/>
    <n v="5"/>
    <n v="19"/>
    <n v="52"/>
    <n v="52"/>
    <m/>
    <m/>
    <m/>
    <s v="1.13"/>
    <m/>
    <x v="0"/>
  </r>
  <r>
    <x v="6"/>
    <x v="1"/>
    <x v="0"/>
    <s v="kwakume to addenbroke pt; commercial"/>
    <x v="0"/>
    <s v="YY"/>
    <s v="SN"/>
    <x v="4"/>
    <n v="12"/>
    <m/>
    <n v="7"/>
    <m/>
    <n v="5"/>
    <n v="20"/>
    <n v="52"/>
    <s v="R"/>
    <m/>
    <m/>
    <m/>
    <s v="1.9"/>
    <m/>
    <x v="0"/>
  </r>
  <r>
    <x v="6"/>
    <x v="1"/>
    <x v="0"/>
    <s v="kwakume to addenbroke pt; commercial"/>
    <x v="0"/>
    <s v="YY"/>
    <s v="SN"/>
    <x v="4"/>
    <n v="12"/>
    <m/>
    <n v="7"/>
    <m/>
    <n v="5"/>
    <n v="21"/>
    <s v="NA"/>
    <s v="NA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5"/>
    <n v="22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5"/>
    <n v="23"/>
    <n v="42"/>
    <n v="42"/>
    <m/>
    <m/>
    <m/>
    <s v="1.9"/>
    <m/>
    <x v="1"/>
  </r>
  <r>
    <x v="6"/>
    <x v="1"/>
    <x v="0"/>
    <s v="kwakume to addenbroke pt; commercial"/>
    <x v="0"/>
    <s v="YY"/>
    <s v="SN"/>
    <x v="4"/>
    <n v="12"/>
    <m/>
    <n v="7"/>
    <m/>
    <n v="5"/>
    <n v="24"/>
    <n v="42"/>
    <n v="42"/>
    <m/>
    <m/>
    <m/>
    <s v="1.12"/>
    <m/>
    <x v="1"/>
  </r>
  <r>
    <x v="6"/>
    <x v="1"/>
    <x v="0"/>
    <s v="kwakume to addenbroke pt; commercial"/>
    <x v="0"/>
    <s v="YY"/>
    <s v="SN"/>
    <x v="4"/>
    <n v="12"/>
    <m/>
    <n v="7"/>
    <m/>
    <n v="5"/>
    <n v="25"/>
    <n v="52"/>
    <n v="52"/>
    <m/>
    <m/>
    <m/>
    <s v="1.9"/>
    <m/>
    <x v="0"/>
  </r>
  <r>
    <x v="6"/>
    <x v="1"/>
    <x v="0"/>
    <s v="kwakume to addenbroke pt; commercial"/>
    <x v="0"/>
    <s v="YY"/>
    <s v="SN"/>
    <x v="4"/>
    <n v="12"/>
    <m/>
    <n v="7"/>
    <m/>
    <n v="6"/>
    <n v="1"/>
    <s v="R"/>
    <n v="42"/>
    <m/>
    <m/>
    <m/>
    <s v="2.12"/>
    <m/>
    <x v="1"/>
  </r>
  <r>
    <x v="6"/>
    <x v="1"/>
    <x v="0"/>
    <s v="kwakume to addenbroke pt; commercial"/>
    <x v="0"/>
    <s v="YY"/>
    <s v="SN"/>
    <x v="4"/>
    <n v="12"/>
    <m/>
    <n v="7"/>
    <m/>
    <n v="6"/>
    <n v="2"/>
    <n v="52"/>
    <n v="52"/>
    <m/>
    <m/>
    <m/>
    <s v="2.6"/>
    <m/>
    <x v="0"/>
  </r>
  <r>
    <x v="6"/>
    <x v="1"/>
    <x v="0"/>
    <s v="kwakume to addenbroke pt; commercial"/>
    <x v="0"/>
    <s v="YY"/>
    <s v="SN"/>
    <x v="4"/>
    <n v="12"/>
    <m/>
    <n v="7"/>
    <m/>
    <n v="6"/>
    <n v="3"/>
    <n v="42"/>
    <n v="42"/>
    <m/>
    <m/>
    <m/>
    <s v="1.15"/>
    <m/>
    <x v="1"/>
  </r>
  <r>
    <x v="6"/>
    <x v="1"/>
    <x v="0"/>
    <s v="kwakume to addenbroke pt; commercial"/>
    <x v="0"/>
    <s v="YY"/>
    <s v="SN"/>
    <x v="4"/>
    <n v="12"/>
    <m/>
    <n v="7"/>
    <m/>
    <n v="6"/>
    <n v="4"/>
    <n v="52"/>
    <n v="52"/>
    <m/>
    <m/>
    <m/>
    <s v="2.?"/>
    <m/>
    <x v="0"/>
  </r>
  <r>
    <x v="6"/>
    <x v="1"/>
    <x v="0"/>
    <s v="kwakume to addenbroke pt; commercial"/>
    <x v="0"/>
    <s v="YY"/>
    <s v="SN"/>
    <x v="4"/>
    <n v="12"/>
    <m/>
    <n v="7"/>
    <m/>
    <n v="6"/>
    <n v="5"/>
    <n v="42"/>
    <n v="42"/>
    <m/>
    <m/>
    <m/>
    <s v="2.11"/>
    <m/>
    <x v="1"/>
  </r>
  <r>
    <x v="6"/>
    <x v="1"/>
    <x v="0"/>
    <s v="kwakume to addenbroke pt; commercial"/>
    <x v="0"/>
    <s v="YY"/>
    <s v="SN"/>
    <x v="4"/>
    <n v="12"/>
    <m/>
    <n v="7"/>
    <m/>
    <n v="6"/>
    <n v="6"/>
    <s v="NA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6"/>
    <n v="7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6"/>
    <n v="8"/>
    <s v="R"/>
    <n v="42"/>
    <m/>
    <m/>
    <m/>
    <s v="2.7"/>
    <m/>
    <x v="1"/>
  </r>
  <r>
    <x v="6"/>
    <x v="1"/>
    <x v="0"/>
    <s v="kwakume to addenbroke pt; commercial"/>
    <x v="0"/>
    <s v="YY"/>
    <s v="SN"/>
    <x v="4"/>
    <n v="12"/>
    <m/>
    <n v="7"/>
    <m/>
    <n v="6"/>
    <n v="9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6"/>
    <n v="10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6"/>
    <n v="11"/>
    <n v="42"/>
    <s v="NA"/>
    <m/>
    <m/>
    <m/>
    <s v="1.poor"/>
    <m/>
    <x v="1"/>
  </r>
  <r>
    <x v="6"/>
    <x v="1"/>
    <x v="0"/>
    <s v="kwakume to addenbroke pt; commercial"/>
    <x v="0"/>
    <s v="YY"/>
    <s v="SN"/>
    <x v="4"/>
    <n v="12"/>
    <m/>
    <n v="7"/>
    <m/>
    <n v="6"/>
    <n v="12"/>
    <s v="NA"/>
    <n v="42"/>
    <m/>
    <m/>
    <m/>
    <s v="2.7+4"/>
    <m/>
    <x v="1"/>
  </r>
  <r>
    <x v="6"/>
    <x v="1"/>
    <x v="0"/>
    <s v="kwakume to addenbroke pt; commercial"/>
    <x v="0"/>
    <s v="YY"/>
    <s v="SN"/>
    <x v="4"/>
    <n v="12"/>
    <m/>
    <n v="7"/>
    <m/>
    <n v="6"/>
    <n v="13"/>
    <n v="42"/>
    <n v="42"/>
    <m/>
    <m/>
    <m/>
    <s v="2.8"/>
    <m/>
    <x v="1"/>
  </r>
  <r>
    <x v="6"/>
    <x v="1"/>
    <x v="0"/>
    <s v="kwakume to addenbroke pt; commercial"/>
    <x v="0"/>
    <s v="YY"/>
    <s v="SN"/>
    <x v="4"/>
    <n v="12"/>
    <m/>
    <n v="7"/>
    <m/>
    <n v="6"/>
    <n v="14"/>
    <s v="R"/>
    <n v="42"/>
    <m/>
    <m/>
    <m/>
    <s v="2.10"/>
    <m/>
    <x v="1"/>
  </r>
  <r>
    <x v="6"/>
    <x v="1"/>
    <x v="0"/>
    <s v="kwakume to addenbroke pt; commercial"/>
    <x v="0"/>
    <s v="YY"/>
    <s v="SN"/>
    <x v="4"/>
    <n v="12"/>
    <m/>
    <n v="7"/>
    <m/>
    <n v="6"/>
    <n v="15"/>
    <n v="42"/>
    <n v="42"/>
    <m/>
    <m/>
    <m/>
    <s v="1.7+5"/>
    <m/>
    <x v="1"/>
  </r>
  <r>
    <x v="6"/>
    <x v="1"/>
    <x v="0"/>
    <s v="kwakume to addenbroke pt; commercial"/>
    <x v="0"/>
    <s v="YY"/>
    <s v="SN"/>
    <x v="4"/>
    <n v="12"/>
    <m/>
    <n v="7"/>
    <m/>
    <n v="6"/>
    <n v="16"/>
    <s v="NA"/>
    <n v="52"/>
    <m/>
    <m/>
    <m/>
    <s v="2.8"/>
    <m/>
    <x v="0"/>
  </r>
  <r>
    <x v="6"/>
    <x v="1"/>
    <x v="0"/>
    <s v="kwakume to addenbroke pt; commercial"/>
    <x v="0"/>
    <s v="YY"/>
    <s v="SN"/>
    <x v="4"/>
    <n v="12"/>
    <m/>
    <n v="7"/>
    <m/>
    <n v="6"/>
    <n v="17"/>
    <n v="42"/>
    <n v="42"/>
    <m/>
    <m/>
    <m/>
    <s v="1.13 2.11"/>
    <m/>
    <x v="1"/>
  </r>
  <r>
    <x v="6"/>
    <x v="1"/>
    <x v="0"/>
    <s v="kwakume to addenbroke pt; commercial"/>
    <x v="0"/>
    <s v="YY"/>
    <s v="SN"/>
    <x v="4"/>
    <n v="12"/>
    <m/>
    <n v="7"/>
    <m/>
    <n v="6"/>
    <n v="18"/>
    <s v="R"/>
    <n v="42"/>
    <m/>
    <m/>
    <m/>
    <s v="2.13"/>
    <m/>
    <x v="1"/>
  </r>
  <r>
    <x v="6"/>
    <x v="1"/>
    <x v="0"/>
    <s v="kwakume to addenbroke pt; commercial"/>
    <x v="0"/>
    <s v="YY"/>
    <s v="SN"/>
    <x v="4"/>
    <n v="12"/>
    <m/>
    <n v="7"/>
    <m/>
    <n v="6"/>
    <n v="19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6"/>
    <n v="20"/>
    <n v="42"/>
    <n v="42"/>
    <m/>
    <m/>
    <m/>
    <s v="1.8"/>
    <m/>
    <x v="1"/>
  </r>
  <r>
    <x v="6"/>
    <x v="1"/>
    <x v="0"/>
    <s v="kwakume to addenbroke pt; commercial"/>
    <x v="0"/>
    <s v="YY"/>
    <s v="SN"/>
    <x v="4"/>
    <n v="12"/>
    <m/>
    <n v="7"/>
    <m/>
    <n v="6"/>
    <n v="21"/>
    <n v="42"/>
    <n v="42"/>
    <m/>
    <m/>
    <m/>
    <s v="2.10"/>
    <m/>
    <x v="1"/>
  </r>
  <r>
    <x v="6"/>
    <x v="1"/>
    <x v="0"/>
    <s v="kwakume to addenbroke pt; commercial"/>
    <x v="0"/>
    <s v="YY"/>
    <s v="SN"/>
    <x v="4"/>
    <n v="12"/>
    <m/>
    <n v="7"/>
    <m/>
    <n v="6"/>
    <n v="22"/>
    <s v="NA"/>
    <n v="42"/>
    <m/>
    <m/>
    <m/>
    <s v="2.6+5"/>
    <m/>
    <x v="1"/>
  </r>
  <r>
    <x v="6"/>
    <x v="1"/>
    <x v="0"/>
    <s v="kwakume to addenbroke pt; commercial"/>
    <x v="0"/>
    <s v="YY"/>
    <s v="SN"/>
    <x v="4"/>
    <n v="12"/>
    <m/>
    <n v="7"/>
    <m/>
    <n v="6"/>
    <n v="23"/>
    <s v="NA"/>
    <s v="NA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6"/>
    <n v="24"/>
    <n v="42"/>
    <s v="R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6"/>
    <n v="25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7"/>
    <n v="1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7"/>
    <n v="2"/>
    <n v="42"/>
    <n v="42"/>
    <m/>
    <m/>
    <m/>
    <s v="1.12"/>
    <m/>
    <x v="1"/>
  </r>
  <r>
    <x v="6"/>
    <x v="1"/>
    <x v="0"/>
    <s v="kwakume to addenbroke pt; commercial"/>
    <x v="0"/>
    <s v="YY"/>
    <s v="SN"/>
    <x v="4"/>
    <n v="12"/>
    <m/>
    <n v="7"/>
    <m/>
    <n v="7"/>
    <n v="3"/>
    <n v="42"/>
    <n v="42"/>
    <m/>
    <m/>
    <m/>
    <s v="1.12"/>
    <m/>
    <x v="1"/>
  </r>
  <r>
    <x v="6"/>
    <x v="1"/>
    <x v="0"/>
    <s v="kwakume to addenbroke pt; commercial"/>
    <x v="0"/>
    <s v="YY"/>
    <s v="SN"/>
    <x v="4"/>
    <n v="12"/>
    <m/>
    <n v="7"/>
    <m/>
    <n v="7"/>
    <n v="4"/>
    <n v="53"/>
    <n v="53"/>
    <m/>
    <m/>
    <m/>
    <s v="6+9"/>
    <m/>
    <x v="3"/>
  </r>
  <r>
    <x v="6"/>
    <x v="1"/>
    <x v="0"/>
    <s v="kwakume to addenbroke pt; commercial"/>
    <x v="0"/>
    <s v="YY"/>
    <s v="SN"/>
    <x v="4"/>
    <n v="12"/>
    <m/>
    <n v="7"/>
    <m/>
    <n v="7"/>
    <n v="5"/>
    <s v="R"/>
    <n v="42"/>
    <m/>
    <m/>
    <m/>
    <s v="2.11"/>
    <m/>
    <x v="1"/>
  </r>
  <r>
    <x v="6"/>
    <x v="1"/>
    <x v="0"/>
    <s v="kwakume to addenbroke pt; commercial"/>
    <x v="0"/>
    <s v="YY"/>
    <s v="SN"/>
    <x v="4"/>
    <n v="12"/>
    <m/>
    <n v="7"/>
    <m/>
    <n v="7"/>
    <n v="6"/>
    <n v="42"/>
    <n v="42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7"/>
    <n v="7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7"/>
    <n v="8"/>
    <n v="42"/>
    <n v="42"/>
    <m/>
    <m/>
    <m/>
    <s v="2.11"/>
    <m/>
    <x v="1"/>
  </r>
  <r>
    <x v="6"/>
    <x v="1"/>
    <x v="0"/>
    <s v="kwakume to addenbroke pt; commercial"/>
    <x v="0"/>
    <s v="YY"/>
    <s v="SN"/>
    <x v="4"/>
    <n v="12"/>
    <m/>
    <n v="7"/>
    <m/>
    <n v="7"/>
    <n v="9"/>
    <n v="42"/>
    <n v="42"/>
    <m/>
    <m/>
    <m/>
    <s v="2.9"/>
    <m/>
    <x v="1"/>
  </r>
  <r>
    <x v="6"/>
    <x v="1"/>
    <x v="0"/>
    <s v="kwakume to addenbroke pt; commercial"/>
    <x v="0"/>
    <s v="YY"/>
    <s v="SN"/>
    <x v="4"/>
    <n v="12"/>
    <m/>
    <n v="7"/>
    <m/>
    <n v="7"/>
    <n v="10"/>
    <n v="42"/>
    <s v="NA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7"/>
    <n v="11"/>
    <n v="42"/>
    <n v="42"/>
    <m/>
    <m/>
    <m/>
    <s v="1.13"/>
    <m/>
    <x v="1"/>
  </r>
  <r>
    <x v="6"/>
    <x v="1"/>
    <x v="0"/>
    <s v="kwakume to addenbroke pt; commercial"/>
    <x v="0"/>
    <s v="YY"/>
    <s v="SN"/>
    <x v="4"/>
    <n v="12"/>
    <m/>
    <n v="7"/>
    <m/>
    <n v="7"/>
    <n v="12"/>
    <n v="42"/>
    <n v="42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7"/>
    <n v="13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7"/>
    <n v="14"/>
    <n v="32"/>
    <s v="R"/>
    <m/>
    <m/>
    <m/>
    <s v="1.16+2"/>
    <m/>
    <x v="8"/>
  </r>
  <r>
    <x v="6"/>
    <x v="1"/>
    <x v="0"/>
    <s v="kwakume to addenbroke pt; commercial"/>
    <x v="0"/>
    <s v="YY"/>
    <s v="SN"/>
    <x v="4"/>
    <n v="12"/>
    <m/>
    <n v="7"/>
    <m/>
    <n v="7"/>
    <n v="15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7"/>
    <n v="16"/>
    <n v="42"/>
    <s v="R"/>
    <m/>
    <m/>
    <m/>
    <s v="1.7"/>
    <m/>
    <x v="1"/>
  </r>
  <r>
    <x v="6"/>
    <x v="1"/>
    <x v="0"/>
    <s v="kwakume to addenbroke pt; commercial"/>
    <x v="0"/>
    <s v="YY"/>
    <s v="SN"/>
    <x v="4"/>
    <n v="12"/>
    <m/>
    <n v="7"/>
    <m/>
    <n v="7"/>
    <n v="17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7"/>
    <n v="18"/>
    <s v="NA"/>
    <n v="42"/>
    <m/>
    <m/>
    <m/>
    <s v="2.11"/>
    <m/>
    <x v="1"/>
  </r>
  <r>
    <x v="6"/>
    <x v="1"/>
    <x v="0"/>
    <s v="kwakume to addenbroke pt; commercial"/>
    <x v="0"/>
    <s v="YY"/>
    <s v="SN"/>
    <x v="4"/>
    <n v="12"/>
    <m/>
    <n v="7"/>
    <m/>
    <n v="7"/>
    <n v="19"/>
    <s v="NA"/>
    <n v="42"/>
    <m/>
    <m/>
    <m/>
    <s v="2.10"/>
    <m/>
    <x v="1"/>
  </r>
  <r>
    <x v="6"/>
    <x v="1"/>
    <x v="0"/>
    <s v="kwakume to addenbroke pt; commercial"/>
    <x v="0"/>
    <s v="YY"/>
    <s v="SN"/>
    <x v="4"/>
    <n v="12"/>
    <m/>
    <n v="7"/>
    <m/>
    <n v="7"/>
    <n v="20"/>
    <n v="42"/>
    <n v="42"/>
    <m/>
    <m/>
    <m/>
    <s v="1.11"/>
    <m/>
    <x v="1"/>
  </r>
  <r>
    <x v="6"/>
    <x v="1"/>
    <x v="0"/>
    <s v="kwakume to addenbroke pt; commercial"/>
    <x v="0"/>
    <s v="YY"/>
    <s v="SN"/>
    <x v="4"/>
    <n v="12"/>
    <m/>
    <n v="7"/>
    <m/>
    <n v="7"/>
    <n v="21"/>
    <n v="42"/>
    <n v="42"/>
    <m/>
    <m/>
    <m/>
    <m/>
    <m/>
    <x v="1"/>
  </r>
  <r>
    <x v="6"/>
    <x v="1"/>
    <x v="0"/>
    <s v="kwakume to addenbroke pt; commercial"/>
    <x v="0"/>
    <s v="YY"/>
    <s v="SN"/>
    <x v="4"/>
    <n v="12"/>
    <m/>
    <n v="7"/>
    <m/>
    <n v="7"/>
    <n v="22"/>
    <n v="42"/>
    <s v="NA"/>
    <m/>
    <m/>
    <m/>
    <s v="1.10"/>
    <m/>
    <x v="1"/>
  </r>
  <r>
    <x v="6"/>
    <x v="1"/>
    <x v="0"/>
    <s v="kwakume to addenbroke pt; commercial"/>
    <x v="0"/>
    <s v="YY"/>
    <s v="SN"/>
    <x v="4"/>
    <n v="12"/>
    <m/>
    <n v="7"/>
    <m/>
    <n v="7"/>
    <n v="23"/>
    <n v="42"/>
    <n v="42"/>
    <m/>
    <m/>
    <m/>
    <s v="1.13"/>
    <m/>
    <x v="1"/>
  </r>
  <r>
    <x v="6"/>
    <x v="1"/>
    <x v="0"/>
    <s v="kwakume to addenbroke pt; commercial"/>
    <x v="0"/>
    <s v="YY"/>
    <s v="SN"/>
    <x v="4"/>
    <n v="12"/>
    <m/>
    <n v="7"/>
    <m/>
    <n v="7"/>
    <n v="24"/>
    <s v="R"/>
    <s v="R"/>
    <m/>
    <m/>
    <m/>
    <m/>
    <m/>
    <x v="2"/>
  </r>
  <r>
    <x v="6"/>
    <x v="1"/>
    <x v="0"/>
    <s v="kwakume to addenbroke pt; commercial"/>
    <x v="0"/>
    <s v="YY"/>
    <s v="SN"/>
    <x v="4"/>
    <n v="12"/>
    <m/>
    <n v="7"/>
    <m/>
    <n v="7"/>
    <n v="25"/>
    <n v="31"/>
    <s v="NA"/>
    <m/>
    <m/>
    <m/>
    <s v="1.R"/>
    <m/>
    <x v="6"/>
  </r>
  <r>
    <x v="7"/>
    <x v="1"/>
    <x v="4"/>
    <s v="koeye area; commercial"/>
    <x v="0"/>
    <s v="YY"/>
    <s v="GN"/>
    <x v="5"/>
    <n v="4"/>
    <m/>
    <n v="7"/>
    <m/>
    <n v="1"/>
    <n v="1"/>
    <n v="42"/>
    <n v="42"/>
    <m/>
    <m/>
    <m/>
    <s v="1.14; stress in FW for both"/>
    <m/>
    <x v="1"/>
  </r>
  <r>
    <x v="7"/>
    <x v="1"/>
    <x v="4"/>
    <s v="koeye area; commercial"/>
    <x v="0"/>
    <s v="YY"/>
    <s v="GN"/>
    <x v="5"/>
    <n v="4"/>
    <m/>
    <n v="7"/>
    <m/>
    <n v="1"/>
    <n v="2"/>
    <n v="42"/>
    <n v="42"/>
    <m/>
    <m/>
    <m/>
    <s v="1.7"/>
    <m/>
    <x v="1"/>
  </r>
  <r>
    <x v="7"/>
    <x v="1"/>
    <x v="4"/>
    <s v="koeye area; commercial"/>
    <x v="0"/>
    <s v="YY"/>
    <s v="GN"/>
    <x v="5"/>
    <n v="4"/>
    <m/>
    <n v="7"/>
    <m/>
    <n v="1"/>
    <n v="3"/>
    <s v="NA"/>
    <s v="NA"/>
    <m/>
    <m/>
    <m/>
    <m/>
    <m/>
    <x v="2"/>
  </r>
  <r>
    <x v="7"/>
    <x v="1"/>
    <x v="4"/>
    <s v="koeye area; commercial"/>
    <x v="0"/>
    <s v="YY"/>
    <s v="GN"/>
    <x v="5"/>
    <n v="4"/>
    <m/>
    <n v="7"/>
    <m/>
    <n v="1"/>
    <n v="4"/>
    <s v="R"/>
    <n v="42"/>
    <m/>
    <m/>
    <m/>
    <s v="2.11+3"/>
    <m/>
    <x v="1"/>
  </r>
  <r>
    <x v="7"/>
    <x v="1"/>
    <x v="4"/>
    <s v="koeye area; commercial"/>
    <x v="0"/>
    <s v="YY"/>
    <s v="GN"/>
    <x v="5"/>
    <n v="4"/>
    <m/>
    <n v="7"/>
    <m/>
    <n v="1"/>
    <n v="5"/>
    <s v="NA"/>
    <s v="R"/>
    <m/>
    <m/>
    <m/>
    <m/>
    <m/>
    <x v="2"/>
  </r>
  <r>
    <x v="7"/>
    <x v="1"/>
    <x v="4"/>
    <s v="koeye area; commercial"/>
    <x v="0"/>
    <s v="YY"/>
    <s v="GN"/>
    <x v="5"/>
    <n v="4"/>
    <m/>
    <n v="7"/>
    <m/>
    <n v="1"/>
    <n v="6"/>
    <n v="42"/>
    <n v="42"/>
    <m/>
    <m/>
    <m/>
    <s v="1.13+2"/>
    <m/>
    <x v="1"/>
  </r>
  <r>
    <x v="7"/>
    <x v="1"/>
    <x v="4"/>
    <s v="koeye area; commercial"/>
    <x v="0"/>
    <s v="YY"/>
    <s v="GN"/>
    <x v="5"/>
    <n v="4"/>
    <m/>
    <n v="7"/>
    <m/>
    <n v="1"/>
    <n v="7"/>
    <n v="42"/>
    <n v="42"/>
    <m/>
    <m/>
    <m/>
    <s v="2.11+3"/>
    <m/>
    <x v="1"/>
  </r>
  <r>
    <x v="7"/>
    <x v="1"/>
    <x v="4"/>
    <s v="koeye area; commercial"/>
    <x v="0"/>
    <s v="YY"/>
    <s v="GN"/>
    <x v="5"/>
    <n v="4"/>
    <m/>
    <n v="7"/>
    <m/>
    <n v="1"/>
    <n v="8"/>
    <n v="42"/>
    <n v="42"/>
    <m/>
    <m/>
    <m/>
    <s v="2.13+3"/>
    <m/>
    <x v="1"/>
  </r>
  <r>
    <x v="7"/>
    <x v="1"/>
    <x v="4"/>
    <s v="koeye area; commercial"/>
    <x v="0"/>
    <s v="YY"/>
    <s v="GN"/>
    <x v="5"/>
    <n v="4"/>
    <m/>
    <n v="7"/>
    <m/>
    <n v="1"/>
    <n v="9"/>
    <n v="52"/>
    <n v="52"/>
    <m/>
    <m/>
    <m/>
    <s v="1.18"/>
    <m/>
    <x v="0"/>
  </r>
  <r>
    <x v="7"/>
    <x v="1"/>
    <x v="4"/>
    <s v="koeye area; commercial"/>
    <x v="0"/>
    <s v="YY"/>
    <s v="GN"/>
    <x v="5"/>
    <n v="4"/>
    <m/>
    <n v="7"/>
    <m/>
    <n v="1"/>
    <n v="10"/>
    <n v="42"/>
    <n v="42"/>
    <m/>
    <m/>
    <m/>
    <s v="2.10"/>
    <m/>
    <x v="1"/>
  </r>
  <r>
    <x v="7"/>
    <x v="1"/>
    <x v="4"/>
    <s v="koeye area; commercial"/>
    <x v="0"/>
    <s v="YY"/>
    <s v="GN"/>
    <x v="5"/>
    <n v="4"/>
    <m/>
    <n v="7"/>
    <m/>
    <n v="1"/>
    <n v="11"/>
    <n v="42"/>
    <n v="42"/>
    <m/>
    <m/>
    <m/>
    <s v="1.11+3"/>
    <m/>
    <x v="1"/>
  </r>
  <r>
    <x v="7"/>
    <x v="1"/>
    <x v="4"/>
    <s v="koeye area; commercial"/>
    <x v="0"/>
    <s v="YY"/>
    <s v="GN"/>
    <x v="5"/>
    <n v="4"/>
    <m/>
    <n v="7"/>
    <m/>
    <n v="1"/>
    <n v="12"/>
    <s v="R"/>
    <n v="42"/>
    <m/>
    <m/>
    <m/>
    <s v="2.9+8"/>
    <m/>
    <x v="1"/>
  </r>
  <r>
    <x v="7"/>
    <x v="1"/>
    <x v="4"/>
    <s v="koeye area; commercial"/>
    <x v="0"/>
    <s v="YY"/>
    <s v="GN"/>
    <x v="5"/>
    <n v="4"/>
    <m/>
    <n v="7"/>
    <m/>
    <n v="1"/>
    <n v="13"/>
    <n v="42"/>
    <n v="42"/>
    <m/>
    <m/>
    <m/>
    <s v="2.14+2"/>
    <m/>
    <x v="1"/>
  </r>
  <r>
    <x v="7"/>
    <x v="1"/>
    <x v="4"/>
    <s v="koeye area; commercial"/>
    <x v="0"/>
    <s v="YY"/>
    <s v="GN"/>
    <x v="5"/>
    <n v="4"/>
    <m/>
    <n v="7"/>
    <m/>
    <n v="1"/>
    <n v="14"/>
    <n v="42"/>
    <n v="42"/>
    <m/>
    <m/>
    <m/>
    <s v="1.12"/>
    <m/>
    <x v="1"/>
  </r>
  <r>
    <x v="7"/>
    <x v="1"/>
    <x v="4"/>
    <s v="koeye area; commercial"/>
    <x v="0"/>
    <s v="YY"/>
    <s v="GN"/>
    <x v="5"/>
    <n v="4"/>
    <m/>
    <n v="7"/>
    <m/>
    <n v="1"/>
    <n v="15"/>
    <n v="63"/>
    <n v="63"/>
    <m/>
    <m/>
    <m/>
    <s v="1.8+15"/>
    <m/>
    <x v="4"/>
  </r>
  <r>
    <x v="7"/>
    <x v="1"/>
    <x v="4"/>
    <s v="koeye area; commercial"/>
    <x v="0"/>
    <s v="YY"/>
    <s v="GN"/>
    <x v="5"/>
    <n v="4"/>
    <m/>
    <n v="7"/>
    <m/>
    <n v="1"/>
    <n v="16"/>
    <n v="42"/>
    <n v="42"/>
    <m/>
    <m/>
    <m/>
    <s v="2.8+3"/>
    <m/>
    <x v="1"/>
  </r>
  <r>
    <x v="7"/>
    <x v="1"/>
    <x v="4"/>
    <s v="koeye area; commercial"/>
    <x v="0"/>
    <s v="YY"/>
    <s v="GN"/>
    <x v="5"/>
    <n v="4"/>
    <m/>
    <n v="7"/>
    <m/>
    <n v="1"/>
    <n v="17"/>
    <n v="53"/>
    <n v="53"/>
    <m/>
    <m/>
    <m/>
    <s v="2.7+15"/>
    <m/>
    <x v="3"/>
  </r>
  <r>
    <x v="7"/>
    <x v="1"/>
    <x v="4"/>
    <s v="koeye area; commercial"/>
    <x v="0"/>
    <s v="YY"/>
    <s v="GN"/>
    <x v="5"/>
    <n v="4"/>
    <m/>
    <n v="7"/>
    <m/>
    <n v="1"/>
    <n v="18"/>
    <n v="42"/>
    <n v="42"/>
    <m/>
    <m/>
    <m/>
    <s v="2.17+3"/>
    <m/>
    <x v="1"/>
  </r>
  <r>
    <x v="7"/>
    <x v="1"/>
    <x v="4"/>
    <s v="koeye area; commercial"/>
    <x v="0"/>
    <s v="YY"/>
    <s v="GN"/>
    <x v="5"/>
    <n v="4"/>
    <m/>
    <n v="7"/>
    <m/>
    <n v="1"/>
    <n v="19"/>
    <n v="42"/>
    <n v="42"/>
    <m/>
    <m/>
    <m/>
    <s v="2.11+6"/>
    <m/>
    <x v="1"/>
  </r>
  <r>
    <x v="7"/>
    <x v="1"/>
    <x v="4"/>
    <s v="koeye area; commercial"/>
    <x v="0"/>
    <s v="YY"/>
    <s v="GN"/>
    <x v="5"/>
    <n v="4"/>
    <m/>
    <n v="7"/>
    <m/>
    <n v="1"/>
    <n v="20"/>
    <n v="53"/>
    <n v="53"/>
    <m/>
    <m/>
    <m/>
    <s v="4+9"/>
    <m/>
    <x v="3"/>
  </r>
  <r>
    <x v="7"/>
    <x v="1"/>
    <x v="4"/>
    <s v="koeye area; commercial"/>
    <x v="0"/>
    <s v="YY"/>
    <s v="GN"/>
    <x v="5"/>
    <n v="4"/>
    <m/>
    <n v="7"/>
    <m/>
    <n v="1"/>
    <n v="21"/>
    <n v="52"/>
    <n v="52"/>
    <m/>
    <m/>
    <m/>
    <m/>
    <m/>
    <x v="0"/>
  </r>
  <r>
    <x v="7"/>
    <x v="1"/>
    <x v="4"/>
    <s v="koeye area; commercial"/>
    <x v="0"/>
    <s v="YY"/>
    <s v="GN"/>
    <x v="5"/>
    <n v="4"/>
    <m/>
    <n v="7"/>
    <m/>
    <n v="1"/>
    <n v="22"/>
    <s v="R"/>
    <s v="R"/>
    <m/>
    <m/>
    <m/>
    <m/>
    <m/>
    <x v="2"/>
  </r>
  <r>
    <x v="7"/>
    <x v="1"/>
    <x v="4"/>
    <s v="koeye area; commercial"/>
    <x v="0"/>
    <s v="YY"/>
    <s v="GN"/>
    <x v="5"/>
    <n v="4"/>
    <m/>
    <n v="7"/>
    <m/>
    <n v="1"/>
    <n v="23"/>
    <n v="52"/>
    <n v="52"/>
    <m/>
    <m/>
    <m/>
    <s v="1.13+3"/>
    <m/>
    <x v="0"/>
  </r>
  <r>
    <x v="7"/>
    <x v="1"/>
    <x v="4"/>
    <s v="koeye area; commercial"/>
    <x v="0"/>
    <s v="YY"/>
    <s v="GN"/>
    <x v="5"/>
    <n v="4"/>
    <m/>
    <n v="7"/>
    <m/>
    <n v="1"/>
    <n v="24"/>
    <s v="R"/>
    <s v="R"/>
    <m/>
    <m/>
    <m/>
    <m/>
    <m/>
    <x v="2"/>
  </r>
  <r>
    <x v="7"/>
    <x v="1"/>
    <x v="4"/>
    <s v="koeye area; commercial"/>
    <x v="0"/>
    <s v="YY"/>
    <s v="GN"/>
    <x v="5"/>
    <n v="4"/>
    <m/>
    <n v="7"/>
    <m/>
    <n v="1"/>
    <n v="25"/>
    <n v="42"/>
    <n v="42"/>
    <m/>
    <m/>
    <m/>
    <s v="1.10+3"/>
    <m/>
    <x v="1"/>
  </r>
  <r>
    <x v="7"/>
    <x v="1"/>
    <x v="4"/>
    <s v="N of koeye boundary; commercial"/>
    <x v="0"/>
    <s v="YY"/>
    <s v="GN"/>
    <x v="5"/>
    <n v="5"/>
    <m/>
    <n v="7"/>
    <m/>
    <n v="2"/>
    <n v="1"/>
    <n v="42"/>
    <n v="42"/>
    <m/>
    <m/>
    <m/>
    <s v="2.9"/>
    <m/>
    <x v="1"/>
  </r>
  <r>
    <x v="7"/>
    <x v="1"/>
    <x v="4"/>
    <s v="N of koeye boundary; commercial"/>
    <x v="0"/>
    <s v="YY"/>
    <s v="GN"/>
    <x v="5"/>
    <n v="5"/>
    <m/>
    <n v="7"/>
    <m/>
    <n v="2"/>
    <n v="2"/>
    <n v="42"/>
    <n v="42"/>
    <m/>
    <m/>
    <m/>
    <s v="1.13+3"/>
    <m/>
    <x v="1"/>
  </r>
  <r>
    <x v="7"/>
    <x v="1"/>
    <x v="4"/>
    <s v="N of koeye boundary; commercial"/>
    <x v="0"/>
    <s v="YY"/>
    <s v="GN"/>
    <x v="5"/>
    <n v="5"/>
    <m/>
    <n v="7"/>
    <m/>
    <n v="2"/>
    <n v="3"/>
    <s v="R"/>
    <n v="42"/>
    <m/>
    <m/>
    <m/>
    <s v="2.11+3"/>
    <m/>
    <x v="1"/>
  </r>
  <r>
    <x v="7"/>
    <x v="1"/>
    <x v="4"/>
    <s v="N of koeye boundary; commercial"/>
    <x v="0"/>
    <s v="YY"/>
    <s v="GN"/>
    <x v="5"/>
    <n v="5"/>
    <m/>
    <n v="7"/>
    <m/>
    <n v="2"/>
    <n v="4"/>
    <n v="42"/>
    <n v="42"/>
    <m/>
    <m/>
    <m/>
    <s v="1.18"/>
    <m/>
    <x v="1"/>
  </r>
  <r>
    <x v="7"/>
    <x v="1"/>
    <x v="4"/>
    <s v="N of koeye boundary; commercial"/>
    <x v="0"/>
    <s v="YY"/>
    <s v="GN"/>
    <x v="5"/>
    <n v="5"/>
    <m/>
    <n v="7"/>
    <m/>
    <n v="2"/>
    <n v="5"/>
    <n v="42"/>
    <n v="42"/>
    <m/>
    <m/>
    <m/>
    <s v="1.11+2"/>
    <m/>
    <x v="1"/>
  </r>
  <r>
    <x v="7"/>
    <x v="1"/>
    <x v="4"/>
    <s v="N of koeye boundary; commercial"/>
    <x v="0"/>
    <s v="YY"/>
    <s v="GN"/>
    <x v="5"/>
    <n v="5"/>
    <m/>
    <n v="7"/>
    <m/>
    <n v="2"/>
    <n v="6"/>
    <n v="42"/>
    <n v="42"/>
    <m/>
    <m/>
    <m/>
    <s v="stress in FW; 2.13"/>
    <m/>
    <x v="1"/>
  </r>
  <r>
    <x v="7"/>
    <x v="1"/>
    <x v="4"/>
    <s v="N of koeye boundary; commercial"/>
    <x v="0"/>
    <s v="YY"/>
    <s v="GN"/>
    <x v="5"/>
    <n v="5"/>
    <m/>
    <n v="7"/>
    <m/>
    <n v="2"/>
    <n v="7"/>
    <n v="42"/>
    <n v="42"/>
    <m/>
    <m/>
    <m/>
    <s v="2.12+3"/>
    <m/>
    <x v="1"/>
  </r>
  <r>
    <x v="7"/>
    <x v="1"/>
    <x v="4"/>
    <s v="N of koeye boundary; commercial"/>
    <x v="0"/>
    <s v="YY"/>
    <s v="GN"/>
    <x v="5"/>
    <n v="5"/>
    <m/>
    <n v="7"/>
    <m/>
    <n v="2"/>
    <n v="8"/>
    <n v="42"/>
    <s v="NA"/>
    <m/>
    <m/>
    <m/>
    <s v="1.10+3"/>
    <m/>
    <x v="1"/>
  </r>
  <r>
    <x v="7"/>
    <x v="1"/>
    <x v="4"/>
    <s v="N of koeye boundary; commercial"/>
    <x v="0"/>
    <s v="YY"/>
    <s v="GN"/>
    <x v="5"/>
    <n v="5"/>
    <m/>
    <n v="7"/>
    <m/>
    <n v="2"/>
    <n v="9"/>
    <n v="42"/>
    <n v="42"/>
    <m/>
    <m/>
    <m/>
    <s v="stress in FW; 1.16+2"/>
    <m/>
    <x v="1"/>
  </r>
  <r>
    <x v="7"/>
    <x v="1"/>
    <x v="4"/>
    <s v="N of koeye boundary; commercial"/>
    <x v="0"/>
    <s v="YY"/>
    <s v="GN"/>
    <x v="5"/>
    <n v="5"/>
    <m/>
    <n v="7"/>
    <m/>
    <n v="2"/>
    <n v="10"/>
    <n v="42"/>
    <n v="42"/>
    <m/>
    <m/>
    <m/>
    <s v="2.13+3"/>
    <m/>
    <x v="1"/>
  </r>
  <r>
    <x v="7"/>
    <x v="1"/>
    <x v="4"/>
    <s v="N of koeye boundary; commercial"/>
    <x v="0"/>
    <s v="YY"/>
    <s v="GN"/>
    <x v="5"/>
    <n v="5"/>
    <m/>
    <n v="7"/>
    <m/>
    <n v="2"/>
    <n v="11"/>
    <n v="31"/>
    <n v="31"/>
    <m/>
    <m/>
    <m/>
    <m/>
    <m/>
    <x v="6"/>
  </r>
  <r>
    <x v="7"/>
    <x v="1"/>
    <x v="4"/>
    <s v="N of koeye boundary; commercial"/>
    <x v="0"/>
    <s v="YY"/>
    <s v="GN"/>
    <x v="5"/>
    <n v="5"/>
    <m/>
    <n v="7"/>
    <m/>
    <n v="2"/>
    <n v="12"/>
    <s v="R"/>
    <s v="R"/>
    <m/>
    <m/>
    <m/>
    <m/>
    <m/>
    <x v="2"/>
  </r>
  <r>
    <x v="7"/>
    <x v="1"/>
    <x v="4"/>
    <s v="N of koeye boundary; commercial"/>
    <x v="0"/>
    <s v="YY"/>
    <s v="GN"/>
    <x v="5"/>
    <n v="5"/>
    <m/>
    <n v="7"/>
    <m/>
    <n v="2"/>
    <n v="13"/>
    <s v="R"/>
    <s v="R"/>
    <m/>
    <m/>
    <m/>
    <m/>
    <m/>
    <x v="2"/>
  </r>
  <r>
    <x v="7"/>
    <x v="1"/>
    <x v="4"/>
    <s v="N of koeye boundary; commercial"/>
    <x v="0"/>
    <s v="YY"/>
    <s v="GN"/>
    <x v="5"/>
    <n v="5"/>
    <m/>
    <n v="7"/>
    <m/>
    <n v="2"/>
    <n v="14"/>
    <n v="42"/>
    <s v="R"/>
    <m/>
    <m/>
    <m/>
    <s v="1.9+3"/>
    <m/>
    <x v="1"/>
  </r>
  <r>
    <x v="7"/>
    <x v="1"/>
    <x v="4"/>
    <s v="N of koeye boundary; commercial"/>
    <x v="0"/>
    <s v="YY"/>
    <s v="GN"/>
    <x v="5"/>
    <n v="5"/>
    <m/>
    <n v="7"/>
    <m/>
    <n v="2"/>
    <n v="15"/>
    <n v="53"/>
    <n v="53"/>
    <m/>
    <m/>
    <m/>
    <s v="2.5+10"/>
    <m/>
    <x v="3"/>
  </r>
  <r>
    <x v="7"/>
    <x v="1"/>
    <x v="4"/>
    <s v="N of koeye boundary; commercial"/>
    <x v="0"/>
    <s v="YY"/>
    <s v="GN"/>
    <x v="5"/>
    <n v="5"/>
    <m/>
    <n v="7"/>
    <m/>
    <n v="2"/>
    <n v="16"/>
    <n v="52"/>
    <n v="52"/>
    <m/>
    <m/>
    <m/>
    <s v="1.13+4"/>
    <m/>
    <x v="0"/>
  </r>
  <r>
    <x v="7"/>
    <x v="1"/>
    <x v="4"/>
    <s v="N of koeye boundary; commercial"/>
    <x v="0"/>
    <s v="YY"/>
    <s v="GN"/>
    <x v="5"/>
    <n v="5"/>
    <m/>
    <n v="7"/>
    <m/>
    <n v="2"/>
    <n v="17"/>
    <n v="52"/>
    <s v="NA"/>
    <m/>
    <m/>
    <m/>
    <s v="1.7+3"/>
    <m/>
    <x v="0"/>
  </r>
  <r>
    <x v="7"/>
    <x v="1"/>
    <x v="4"/>
    <s v="N of koeye boundary; commercial"/>
    <x v="0"/>
    <s v="YY"/>
    <s v="GN"/>
    <x v="5"/>
    <n v="5"/>
    <m/>
    <n v="7"/>
    <m/>
    <n v="2"/>
    <n v="18"/>
    <n v="42"/>
    <n v="42"/>
    <m/>
    <m/>
    <m/>
    <s v="1.15"/>
    <m/>
    <x v="1"/>
  </r>
  <r>
    <x v="7"/>
    <x v="1"/>
    <x v="4"/>
    <s v="N of koeye boundary; commercial"/>
    <x v="0"/>
    <s v="YY"/>
    <s v="GN"/>
    <x v="5"/>
    <n v="5"/>
    <m/>
    <n v="7"/>
    <m/>
    <n v="2"/>
    <n v="19"/>
    <n v="42"/>
    <n v="42"/>
    <m/>
    <m/>
    <m/>
    <s v="2.11+2"/>
    <m/>
    <x v="1"/>
  </r>
  <r>
    <x v="7"/>
    <x v="1"/>
    <x v="4"/>
    <s v="N of koeye boundary; commercial"/>
    <x v="0"/>
    <s v="YY"/>
    <s v="GN"/>
    <x v="5"/>
    <n v="5"/>
    <m/>
    <n v="7"/>
    <m/>
    <n v="2"/>
    <n v="20"/>
    <n v="42"/>
    <s v="NA"/>
    <m/>
    <m/>
    <m/>
    <s v="1.16"/>
    <m/>
    <x v="1"/>
  </r>
  <r>
    <x v="7"/>
    <x v="1"/>
    <x v="4"/>
    <s v="N of koeye boundary; commercial"/>
    <x v="0"/>
    <s v="YY"/>
    <s v="GN"/>
    <x v="5"/>
    <n v="5"/>
    <m/>
    <n v="7"/>
    <m/>
    <n v="2"/>
    <n v="21"/>
    <n v="42"/>
    <s v="NA"/>
    <m/>
    <m/>
    <m/>
    <s v="1.13+2"/>
    <m/>
    <x v="1"/>
  </r>
  <r>
    <x v="7"/>
    <x v="1"/>
    <x v="4"/>
    <s v="N of koeye boundary; commercial"/>
    <x v="0"/>
    <s v="YY"/>
    <s v="GN"/>
    <x v="5"/>
    <n v="5"/>
    <m/>
    <n v="7"/>
    <m/>
    <n v="2"/>
    <n v="22"/>
    <n v="42"/>
    <n v="42"/>
    <m/>
    <m/>
    <m/>
    <s v="1.6"/>
    <m/>
    <x v="1"/>
  </r>
  <r>
    <x v="7"/>
    <x v="1"/>
    <x v="4"/>
    <s v="N of koeye boundary; commercial"/>
    <x v="0"/>
    <s v="YY"/>
    <s v="GN"/>
    <x v="5"/>
    <n v="5"/>
    <m/>
    <n v="7"/>
    <m/>
    <n v="2"/>
    <n v="23"/>
    <n v="42"/>
    <s v="R"/>
    <m/>
    <m/>
    <m/>
    <s v="1.8"/>
    <m/>
    <x v="1"/>
  </r>
  <r>
    <x v="7"/>
    <x v="1"/>
    <x v="4"/>
    <s v="N of koeye boundary; commercial"/>
    <x v="0"/>
    <s v="YY"/>
    <s v="GN"/>
    <x v="5"/>
    <n v="5"/>
    <m/>
    <n v="7"/>
    <m/>
    <n v="2"/>
    <n v="24"/>
    <n v="42"/>
    <n v="42"/>
    <m/>
    <m/>
    <m/>
    <s v="1.13+3"/>
    <m/>
    <x v="1"/>
  </r>
  <r>
    <x v="7"/>
    <x v="1"/>
    <x v="4"/>
    <s v="N of koeye boundary; commercial"/>
    <x v="0"/>
    <s v="YY"/>
    <s v="GN"/>
    <x v="5"/>
    <n v="5"/>
    <m/>
    <n v="7"/>
    <m/>
    <n v="2"/>
    <n v="25"/>
    <n v="42"/>
    <n v="42"/>
    <m/>
    <m/>
    <m/>
    <s v="2.14"/>
    <m/>
    <x v="1"/>
  </r>
  <r>
    <x v="7"/>
    <x v="1"/>
    <x v="4"/>
    <s v="1/2 mile north of koeye area; commercial"/>
    <x v="0"/>
    <s v="YY"/>
    <s v="GN"/>
    <x v="5"/>
    <n v="5"/>
    <m/>
    <n v="7"/>
    <m/>
    <n v="3"/>
    <n v="1"/>
    <n v="42"/>
    <n v="42"/>
    <m/>
    <m/>
    <m/>
    <s v="1.7+4"/>
    <m/>
    <x v="1"/>
  </r>
  <r>
    <x v="7"/>
    <x v="1"/>
    <x v="4"/>
    <s v="1/2 mile north of koeye area; commercial"/>
    <x v="0"/>
    <s v="YY"/>
    <s v="GN"/>
    <x v="5"/>
    <n v="5"/>
    <m/>
    <n v="7"/>
    <m/>
    <n v="3"/>
    <n v="2"/>
    <n v="42"/>
    <n v="42"/>
    <m/>
    <m/>
    <m/>
    <s v="1.14, STRESS IN FW"/>
    <m/>
    <x v="1"/>
  </r>
  <r>
    <x v="7"/>
    <x v="1"/>
    <x v="4"/>
    <s v="1/2 mile north of koeye area; commercial"/>
    <x v="0"/>
    <s v="YY"/>
    <s v="GN"/>
    <x v="5"/>
    <n v="5"/>
    <m/>
    <n v="7"/>
    <m/>
    <n v="3"/>
    <n v="3"/>
    <n v="52"/>
    <n v="52"/>
    <m/>
    <m/>
    <m/>
    <s v="1.13"/>
    <m/>
    <x v="0"/>
  </r>
  <r>
    <x v="7"/>
    <x v="1"/>
    <x v="4"/>
    <s v="1/2 mile north of koeye area; commercial"/>
    <x v="0"/>
    <s v="YY"/>
    <s v="GN"/>
    <x v="5"/>
    <n v="5"/>
    <m/>
    <n v="7"/>
    <m/>
    <n v="3"/>
    <n v="4"/>
    <n v="42"/>
    <n v="42"/>
    <m/>
    <m/>
    <m/>
    <s v="STRESS IN FW; 2.13"/>
    <m/>
    <x v="1"/>
  </r>
  <r>
    <x v="7"/>
    <x v="1"/>
    <x v="4"/>
    <s v="1/2 mile north of koeye area; commercial"/>
    <x v="0"/>
    <s v="YY"/>
    <s v="GN"/>
    <x v="5"/>
    <n v="5"/>
    <m/>
    <n v="7"/>
    <m/>
    <n v="3"/>
    <n v="5"/>
    <n v="42"/>
    <n v="42"/>
    <m/>
    <m/>
    <m/>
    <s v="1.10+3"/>
    <m/>
    <x v="1"/>
  </r>
  <r>
    <x v="7"/>
    <x v="1"/>
    <x v="4"/>
    <s v="1/2 mile north of koeye area; commercial"/>
    <x v="0"/>
    <s v="YY"/>
    <s v="GN"/>
    <x v="5"/>
    <n v="5"/>
    <m/>
    <n v="7"/>
    <m/>
    <n v="3"/>
    <n v="6"/>
    <n v="42"/>
    <n v="42"/>
    <m/>
    <m/>
    <m/>
    <s v="2.10"/>
    <m/>
    <x v="1"/>
  </r>
  <r>
    <x v="7"/>
    <x v="1"/>
    <x v="4"/>
    <s v="1/2 mile north of koeye area; commercial"/>
    <x v="0"/>
    <s v="YY"/>
    <s v="GN"/>
    <x v="5"/>
    <n v="5"/>
    <m/>
    <n v="7"/>
    <m/>
    <n v="3"/>
    <n v="7"/>
    <s v="R"/>
    <s v="R"/>
    <m/>
    <m/>
    <m/>
    <m/>
    <m/>
    <x v="2"/>
  </r>
  <r>
    <x v="7"/>
    <x v="1"/>
    <x v="4"/>
    <s v="1/2 mile north of koeye area; commercial"/>
    <x v="0"/>
    <s v="YY"/>
    <s v="GN"/>
    <x v="5"/>
    <n v="5"/>
    <m/>
    <n v="7"/>
    <m/>
    <n v="3"/>
    <n v="8"/>
    <n v="42"/>
    <n v="42"/>
    <m/>
    <m/>
    <m/>
    <s v="STRESS IN FW; 2.13"/>
    <m/>
    <x v="1"/>
  </r>
  <r>
    <x v="7"/>
    <x v="1"/>
    <x v="4"/>
    <s v="1/2 mile north of koeye area; commercial"/>
    <x v="0"/>
    <s v="YY"/>
    <s v="GN"/>
    <x v="5"/>
    <n v="5"/>
    <m/>
    <n v="7"/>
    <m/>
    <n v="3"/>
    <n v="9"/>
    <n v="42"/>
    <n v="42"/>
    <m/>
    <m/>
    <m/>
    <s v="2.8+3"/>
    <m/>
    <x v="1"/>
  </r>
  <r>
    <x v="7"/>
    <x v="1"/>
    <x v="4"/>
    <s v="1/2 mile north of koeye area; commercial"/>
    <x v="0"/>
    <s v="YY"/>
    <s v="GN"/>
    <x v="5"/>
    <n v="5"/>
    <m/>
    <n v="7"/>
    <m/>
    <n v="3"/>
    <n v="10"/>
    <n v="52"/>
    <s v="R"/>
    <m/>
    <m/>
    <m/>
    <s v="1.POOR"/>
    <m/>
    <x v="0"/>
  </r>
  <r>
    <x v="8"/>
    <x v="1"/>
    <x v="5"/>
    <s v="commercial"/>
    <x v="0"/>
    <s v="YY"/>
    <s v="GN"/>
    <x v="5"/>
    <n v="5"/>
    <m/>
    <n v="7"/>
    <m/>
    <n v="1"/>
    <n v="1"/>
    <n v="53"/>
    <n v="53"/>
    <m/>
    <m/>
    <m/>
    <s v="1.8+17"/>
    <m/>
    <x v="3"/>
  </r>
  <r>
    <x v="8"/>
    <x v="1"/>
    <x v="5"/>
    <s v="commercial"/>
    <x v="0"/>
    <s v="YY"/>
    <s v="GN"/>
    <x v="5"/>
    <n v="5"/>
    <m/>
    <n v="7"/>
    <m/>
    <n v="1"/>
    <n v="2"/>
    <n v="42"/>
    <n v="42"/>
    <m/>
    <m/>
    <m/>
    <s v="2.11+2"/>
    <m/>
    <x v="1"/>
  </r>
  <r>
    <x v="8"/>
    <x v="1"/>
    <x v="5"/>
    <s v="commercial"/>
    <x v="0"/>
    <s v="YY"/>
    <s v="GN"/>
    <x v="5"/>
    <n v="5"/>
    <m/>
    <n v="7"/>
    <m/>
    <n v="1"/>
    <n v="3"/>
    <n v="42"/>
    <n v="42"/>
    <m/>
    <m/>
    <m/>
    <s v="2.12"/>
    <m/>
    <x v="1"/>
  </r>
  <r>
    <x v="8"/>
    <x v="1"/>
    <x v="5"/>
    <s v="commercial"/>
    <x v="0"/>
    <s v="YY"/>
    <s v="GN"/>
    <x v="5"/>
    <n v="5"/>
    <m/>
    <n v="7"/>
    <m/>
    <n v="1"/>
    <n v="4"/>
    <n v="52"/>
    <n v="52"/>
    <m/>
    <m/>
    <m/>
    <s v="1.8"/>
    <m/>
    <x v="0"/>
  </r>
  <r>
    <x v="8"/>
    <x v="1"/>
    <x v="5"/>
    <s v="commercial"/>
    <x v="0"/>
    <s v="YY"/>
    <s v="GN"/>
    <x v="5"/>
    <n v="5"/>
    <m/>
    <n v="7"/>
    <m/>
    <n v="1"/>
    <n v="5"/>
    <n v="52"/>
    <n v="52"/>
    <m/>
    <m/>
    <m/>
    <s v="1.7"/>
    <m/>
    <x v="0"/>
  </r>
  <r>
    <x v="8"/>
    <x v="1"/>
    <x v="5"/>
    <s v="commercial"/>
    <x v="0"/>
    <s v="YY"/>
    <s v="GN"/>
    <x v="5"/>
    <n v="5"/>
    <m/>
    <n v="7"/>
    <m/>
    <n v="1"/>
    <n v="6"/>
    <n v="42"/>
    <n v="42"/>
    <m/>
    <m/>
    <m/>
    <s v="2.12+3"/>
    <m/>
    <x v="1"/>
  </r>
  <r>
    <x v="8"/>
    <x v="1"/>
    <x v="5"/>
    <s v="commercial"/>
    <x v="0"/>
    <s v="YY"/>
    <s v="GN"/>
    <x v="5"/>
    <n v="5"/>
    <m/>
    <n v="7"/>
    <m/>
    <n v="1"/>
    <n v="7"/>
    <s v="R"/>
    <n v="42"/>
    <m/>
    <m/>
    <m/>
    <s v="2.11+2"/>
    <m/>
    <x v="1"/>
  </r>
  <r>
    <x v="8"/>
    <x v="1"/>
    <x v="5"/>
    <s v="commercial"/>
    <x v="0"/>
    <s v="YY"/>
    <s v="GN"/>
    <x v="5"/>
    <n v="5"/>
    <m/>
    <n v="7"/>
    <m/>
    <n v="1"/>
    <n v="8"/>
    <n v="53"/>
    <n v="53"/>
    <m/>
    <m/>
    <m/>
    <s v="2.4+9"/>
    <m/>
    <x v="3"/>
  </r>
  <r>
    <x v="8"/>
    <x v="1"/>
    <x v="5"/>
    <s v="commercial"/>
    <x v="0"/>
    <s v="YY"/>
    <s v="GN"/>
    <x v="5"/>
    <n v="5"/>
    <m/>
    <n v="7"/>
    <m/>
    <n v="1"/>
    <n v="9"/>
    <n v="42"/>
    <s v="R"/>
    <m/>
    <m/>
    <m/>
    <s v="1.12, stress in FW"/>
    <m/>
    <x v="1"/>
  </r>
  <r>
    <x v="8"/>
    <x v="1"/>
    <x v="5"/>
    <s v="commercial"/>
    <x v="0"/>
    <s v="YY"/>
    <s v="GN"/>
    <x v="5"/>
    <n v="5"/>
    <m/>
    <n v="7"/>
    <m/>
    <n v="1"/>
    <n v="10"/>
    <n v="42"/>
    <s v="R"/>
    <m/>
    <m/>
    <m/>
    <s v="1.13+3"/>
    <m/>
    <x v="1"/>
  </r>
  <r>
    <x v="8"/>
    <x v="1"/>
    <x v="5"/>
    <s v="commercial"/>
    <x v="2"/>
    <s v="YY"/>
    <s v="GN"/>
    <x v="5"/>
    <n v="5"/>
    <m/>
    <n v="7"/>
    <m/>
    <n v="1"/>
    <n v="11"/>
    <n v="21"/>
    <n v="21"/>
    <m/>
    <m/>
    <m/>
    <s v="pink"/>
    <m/>
    <x v="7"/>
  </r>
  <r>
    <x v="8"/>
    <x v="1"/>
    <x v="5"/>
    <s v="commercial"/>
    <x v="0"/>
    <s v="YY"/>
    <s v="GN"/>
    <x v="5"/>
    <n v="5"/>
    <m/>
    <n v="7"/>
    <m/>
    <n v="1"/>
    <n v="12"/>
    <n v="42"/>
    <n v="42"/>
    <m/>
    <m/>
    <m/>
    <s v="2.11"/>
    <m/>
    <x v="1"/>
  </r>
  <r>
    <x v="8"/>
    <x v="1"/>
    <x v="5"/>
    <s v="commercial"/>
    <x v="0"/>
    <s v="YY"/>
    <s v="GN"/>
    <x v="5"/>
    <n v="5"/>
    <m/>
    <n v="7"/>
    <m/>
    <n v="1"/>
    <n v="13"/>
    <s v="NA"/>
    <n v="42"/>
    <m/>
    <m/>
    <m/>
    <s v="2.14"/>
    <m/>
    <x v="1"/>
  </r>
  <r>
    <x v="8"/>
    <x v="1"/>
    <x v="5"/>
    <s v="commercial"/>
    <x v="0"/>
    <s v="YY"/>
    <s v="GN"/>
    <x v="5"/>
    <n v="5"/>
    <m/>
    <n v="7"/>
    <m/>
    <n v="1"/>
    <n v="14"/>
    <n v="42"/>
    <n v="42"/>
    <m/>
    <m/>
    <m/>
    <s v="2.11+3"/>
    <m/>
    <x v="1"/>
  </r>
  <r>
    <x v="8"/>
    <x v="1"/>
    <x v="5"/>
    <s v="commercial"/>
    <x v="0"/>
    <s v="YY"/>
    <s v="GN"/>
    <x v="5"/>
    <n v="5"/>
    <m/>
    <n v="7"/>
    <m/>
    <n v="1"/>
    <n v="15"/>
    <s v="R"/>
    <s v="NA"/>
    <m/>
    <m/>
    <m/>
    <m/>
    <m/>
    <x v="2"/>
  </r>
  <r>
    <x v="8"/>
    <x v="1"/>
    <x v="5"/>
    <s v="commercial"/>
    <x v="0"/>
    <s v="YY"/>
    <s v="GN"/>
    <x v="5"/>
    <n v="5"/>
    <m/>
    <n v="7"/>
    <m/>
    <n v="1"/>
    <n v="16"/>
    <n v="42"/>
    <n v="42"/>
    <m/>
    <m/>
    <m/>
    <s v="stress in FW; 1.12"/>
    <m/>
    <x v="1"/>
  </r>
  <r>
    <x v="8"/>
    <x v="1"/>
    <x v="5"/>
    <s v="commercial"/>
    <x v="0"/>
    <s v="YY"/>
    <s v="GN"/>
    <x v="5"/>
    <n v="5"/>
    <m/>
    <n v="7"/>
    <m/>
    <n v="1"/>
    <n v="17"/>
    <n v="42"/>
    <n v="42"/>
    <m/>
    <m/>
    <m/>
    <s v="1.9"/>
    <m/>
    <x v="1"/>
  </r>
  <r>
    <x v="8"/>
    <x v="1"/>
    <x v="5"/>
    <s v="commercial"/>
    <x v="0"/>
    <s v="YY"/>
    <s v="GN"/>
    <x v="5"/>
    <n v="5"/>
    <m/>
    <n v="7"/>
    <m/>
    <n v="1"/>
    <n v="18"/>
    <n v="42"/>
    <n v="42"/>
    <m/>
    <m/>
    <m/>
    <s v="1.14"/>
    <m/>
    <x v="1"/>
  </r>
  <r>
    <x v="8"/>
    <x v="1"/>
    <x v="5"/>
    <s v="commercial"/>
    <x v="0"/>
    <s v="YY"/>
    <s v="GN"/>
    <x v="5"/>
    <n v="5"/>
    <m/>
    <n v="7"/>
    <m/>
    <n v="1"/>
    <n v="19"/>
    <s v="R"/>
    <n v="52"/>
    <m/>
    <m/>
    <m/>
    <s v="2.6"/>
    <m/>
    <x v="0"/>
  </r>
  <r>
    <x v="8"/>
    <x v="1"/>
    <x v="5"/>
    <s v="commercial"/>
    <x v="0"/>
    <s v="YY"/>
    <s v="GN"/>
    <x v="5"/>
    <n v="5"/>
    <m/>
    <n v="7"/>
    <m/>
    <n v="1"/>
    <n v="20"/>
    <n v="42"/>
    <s v="NA"/>
    <m/>
    <m/>
    <m/>
    <s v="1.11; 2.poor"/>
    <m/>
    <x v="1"/>
  </r>
  <r>
    <x v="8"/>
    <x v="1"/>
    <x v="5"/>
    <s v="commercial"/>
    <x v="0"/>
    <s v="YY"/>
    <s v="GN"/>
    <x v="5"/>
    <n v="5"/>
    <m/>
    <n v="7"/>
    <m/>
    <n v="1"/>
    <n v="21"/>
    <n v="42"/>
    <n v="42"/>
    <m/>
    <m/>
    <m/>
    <s v="1.20+2"/>
    <m/>
    <x v="1"/>
  </r>
  <r>
    <x v="8"/>
    <x v="1"/>
    <x v="5"/>
    <s v="commercial"/>
    <x v="0"/>
    <s v="YY"/>
    <s v="GN"/>
    <x v="5"/>
    <n v="5"/>
    <m/>
    <n v="7"/>
    <m/>
    <n v="1"/>
    <n v="22"/>
    <n v="42"/>
    <s v="R"/>
    <m/>
    <m/>
    <m/>
    <s v="1.14"/>
    <m/>
    <x v="1"/>
  </r>
  <r>
    <x v="8"/>
    <x v="1"/>
    <x v="5"/>
    <s v="commercial"/>
    <x v="0"/>
    <s v="YY"/>
    <s v="GN"/>
    <x v="5"/>
    <n v="5"/>
    <m/>
    <n v="7"/>
    <m/>
    <n v="1"/>
    <n v="23"/>
    <n v="42"/>
    <n v="42"/>
    <m/>
    <m/>
    <m/>
    <s v="2.13+3"/>
    <m/>
    <x v="1"/>
  </r>
  <r>
    <x v="8"/>
    <x v="1"/>
    <x v="5"/>
    <s v="commercial"/>
    <x v="0"/>
    <s v="YY"/>
    <s v="GN"/>
    <x v="5"/>
    <n v="5"/>
    <m/>
    <n v="7"/>
    <m/>
    <n v="1"/>
    <n v="24"/>
    <s v="NA"/>
    <n v="42"/>
    <m/>
    <m/>
    <m/>
    <s v="2.13+4"/>
    <m/>
    <x v="1"/>
  </r>
  <r>
    <x v="8"/>
    <x v="1"/>
    <x v="5"/>
    <s v="commercial"/>
    <x v="0"/>
    <s v="YY"/>
    <s v="GN"/>
    <x v="5"/>
    <n v="5"/>
    <m/>
    <n v="7"/>
    <m/>
    <n v="1"/>
    <n v="25"/>
    <n v="42"/>
    <n v="42"/>
    <m/>
    <m/>
    <m/>
    <s v="1.12; 2.poor"/>
    <m/>
    <x v="1"/>
  </r>
  <r>
    <x v="8"/>
    <x v="1"/>
    <x v="5"/>
    <s v="commercial"/>
    <x v="0"/>
    <s v="YY"/>
    <s v="GN"/>
    <x v="5"/>
    <n v="5"/>
    <m/>
    <n v="7"/>
    <m/>
    <n v="2"/>
    <n v="1"/>
    <s v="NA"/>
    <n v="42"/>
    <m/>
    <m/>
    <m/>
    <s v="2.12+2"/>
    <m/>
    <x v="1"/>
  </r>
  <r>
    <x v="8"/>
    <x v="1"/>
    <x v="5"/>
    <s v="commercial"/>
    <x v="0"/>
    <s v="YY"/>
    <s v="GN"/>
    <x v="5"/>
    <n v="5"/>
    <m/>
    <n v="7"/>
    <m/>
    <n v="2"/>
    <n v="2"/>
    <n v="52"/>
    <n v="52"/>
    <m/>
    <m/>
    <m/>
    <s v="1.11+2"/>
    <m/>
    <x v="0"/>
  </r>
  <r>
    <x v="8"/>
    <x v="1"/>
    <x v="5"/>
    <s v="commercial"/>
    <x v="0"/>
    <s v="YY"/>
    <s v="GN"/>
    <x v="5"/>
    <n v="5"/>
    <m/>
    <n v="7"/>
    <m/>
    <n v="2"/>
    <n v="3"/>
    <s v="NA"/>
    <n v="42"/>
    <m/>
    <m/>
    <m/>
    <s v="2.13+2; stress in FW"/>
    <m/>
    <x v="1"/>
  </r>
  <r>
    <x v="8"/>
    <x v="1"/>
    <x v="5"/>
    <s v="commercial"/>
    <x v="0"/>
    <s v="YY"/>
    <s v="GN"/>
    <x v="5"/>
    <n v="5"/>
    <m/>
    <n v="7"/>
    <m/>
    <n v="2"/>
    <n v="4"/>
    <n v="53"/>
    <n v="53"/>
    <m/>
    <m/>
    <m/>
    <s v="2.9+17"/>
    <m/>
    <x v="3"/>
  </r>
  <r>
    <x v="8"/>
    <x v="1"/>
    <x v="5"/>
    <s v="commercial"/>
    <x v="0"/>
    <s v="YY"/>
    <s v="GN"/>
    <x v="5"/>
    <n v="5"/>
    <m/>
    <n v="7"/>
    <m/>
    <n v="2"/>
    <n v="5"/>
    <n v="42"/>
    <n v="42"/>
    <m/>
    <m/>
    <m/>
    <s v="stress in FW; 1.15"/>
    <m/>
    <x v="1"/>
  </r>
  <r>
    <x v="8"/>
    <x v="1"/>
    <x v="5"/>
    <s v="commercial"/>
    <x v="0"/>
    <s v="YY"/>
    <s v="GN"/>
    <x v="5"/>
    <n v="5"/>
    <m/>
    <n v="7"/>
    <m/>
    <n v="2"/>
    <n v="6"/>
    <n v="42"/>
    <n v="42"/>
    <m/>
    <m/>
    <m/>
    <s v="1.13; 2.stress in FW"/>
    <m/>
    <x v="1"/>
  </r>
  <r>
    <x v="8"/>
    <x v="1"/>
    <x v="5"/>
    <s v="commercial"/>
    <x v="0"/>
    <s v="YY"/>
    <s v="GN"/>
    <x v="5"/>
    <n v="5"/>
    <m/>
    <n v="7"/>
    <m/>
    <n v="2"/>
    <n v="7"/>
    <n v="42"/>
    <n v="42"/>
    <m/>
    <m/>
    <m/>
    <s v="1.13"/>
    <m/>
    <x v="1"/>
  </r>
  <r>
    <x v="8"/>
    <x v="1"/>
    <x v="5"/>
    <s v="commercial"/>
    <x v="0"/>
    <s v="YY"/>
    <s v="GN"/>
    <x v="5"/>
    <n v="5"/>
    <m/>
    <n v="7"/>
    <m/>
    <n v="2"/>
    <n v="8"/>
    <s v="R"/>
    <n v="42"/>
    <m/>
    <m/>
    <m/>
    <s v="2.12"/>
    <m/>
    <x v="1"/>
  </r>
  <r>
    <x v="8"/>
    <x v="1"/>
    <x v="5"/>
    <s v="commercial"/>
    <x v="0"/>
    <s v="YY"/>
    <s v="GN"/>
    <x v="5"/>
    <n v="5"/>
    <m/>
    <n v="7"/>
    <m/>
    <n v="2"/>
    <n v="9"/>
    <n v="42"/>
    <n v="42"/>
    <m/>
    <m/>
    <m/>
    <s v="2.14+2"/>
    <m/>
    <x v="1"/>
  </r>
  <r>
    <x v="8"/>
    <x v="1"/>
    <x v="5"/>
    <s v="commercial"/>
    <x v="0"/>
    <s v="YY"/>
    <s v="GN"/>
    <x v="5"/>
    <n v="5"/>
    <m/>
    <n v="7"/>
    <m/>
    <n v="2"/>
    <n v="10"/>
    <n v="42"/>
    <n v="42"/>
    <m/>
    <m/>
    <m/>
    <s v="1.10"/>
    <m/>
    <x v="1"/>
  </r>
  <r>
    <x v="8"/>
    <x v="1"/>
    <x v="5"/>
    <s v="commercial"/>
    <x v="0"/>
    <s v="YY"/>
    <s v="GN"/>
    <x v="5"/>
    <n v="5"/>
    <m/>
    <n v="7"/>
    <m/>
    <n v="2"/>
    <n v="11"/>
    <n v="52"/>
    <n v="52"/>
    <m/>
    <m/>
    <m/>
    <s v="1.16"/>
    <m/>
    <x v="0"/>
  </r>
  <r>
    <x v="8"/>
    <x v="1"/>
    <x v="5"/>
    <s v="commercial"/>
    <x v="0"/>
    <s v="YY"/>
    <s v="GN"/>
    <x v="5"/>
    <n v="5"/>
    <m/>
    <n v="7"/>
    <m/>
    <n v="2"/>
    <n v="12"/>
    <n v="42"/>
    <s v="R"/>
    <m/>
    <m/>
    <m/>
    <s v="1.15"/>
    <m/>
    <x v="1"/>
  </r>
  <r>
    <x v="8"/>
    <x v="1"/>
    <x v="5"/>
    <s v="commercial"/>
    <x v="0"/>
    <s v="YY"/>
    <s v="GN"/>
    <x v="5"/>
    <n v="5"/>
    <m/>
    <n v="7"/>
    <m/>
    <n v="2"/>
    <n v="13"/>
    <n v="52"/>
    <n v="52"/>
    <m/>
    <m/>
    <m/>
    <s v="2.8"/>
    <m/>
    <x v="0"/>
  </r>
  <r>
    <x v="8"/>
    <x v="1"/>
    <x v="5"/>
    <s v="commercial"/>
    <x v="0"/>
    <s v="YY"/>
    <s v="GN"/>
    <x v="5"/>
    <n v="5"/>
    <m/>
    <n v="7"/>
    <m/>
    <n v="2"/>
    <n v="14"/>
    <n v="42"/>
    <n v="42"/>
    <m/>
    <m/>
    <m/>
    <s v="1.11"/>
    <m/>
    <x v="1"/>
  </r>
  <r>
    <x v="8"/>
    <x v="1"/>
    <x v="5"/>
    <s v="commercial"/>
    <x v="0"/>
    <s v="YY"/>
    <s v="GN"/>
    <x v="5"/>
    <n v="5"/>
    <m/>
    <n v="7"/>
    <m/>
    <n v="2"/>
    <n v="15"/>
    <n v="52"/>
    <n v="52"/>
    <m/>
    <m/>
    <m/>
    <s v="1.14"/>
    <m/>
    <x v="0"/>
  </r>
  <r>
    <x v="8"/>
    <x v="1"/>
    <x v="5"/>
    <s v="commercial"/>
    <x v="0"/>
    <s v="YY"/>
    <s v="GN"/>
    <x v="5"/>
    <n v="5"/>
    <m/>
    <n v="7"/>
    <m/>
    <n v="2"/>
    <n v="16"/>
    <n v="42"/>
    <n v="42"/>
    <m/>
    <m/>
    <m/>
    <s v="1.17; stress in FW"/>
    <m/>
    <x v="1"/>
  </r>
  <r>
    <x v="8"/>
    <x v="1"/>
    <x v="5"/>
    <s v="commercial"/>
    <x v="0"/>
    <s v="YY"/>
    <s v="GN"/>
    <x v="5"/>
    <n v="5"/>
    <m/>
    <n v="7"/>
    <m/>
    <n v="2"/>
    <n v="17"/>
    <n v="42"/>
    <n v="42"/>
    <m/>
    <m/>
    <m/>
    <s v="1.13"/>
    <m/>
    <x v="1"/>
  </r>
  <r>
    <x v="8"/>
    <x v="1"/>
    <x v="5"/>
    <s v="commercial"/>
    <x v="0"/>
    <s v="YY"/>
    <s v="GN"/>
    <x v="5"/>
    <n v="5"/>
    <m/>
    <n v="7"/>
    <m/>
    <n v="2"/>
    <n v="18"/>
    <n v="42"/>
    <n v="42"/>
    <m/>
    <m/>
    <m/>
    <s v="1.12+2"/>
    <m/>
    <x v="1"/>
  </r>
  <r>
    <x v="8"/>
    <x v="1"/>
    <x v="5"/>
    <s v="commercial"/>
    <x v="0"/>
    <s v="YY"/>
    <s v="GN"/>
    <x v="5"/>
    <n v="5"/>
    <m/>
    <n v="7"/>
    <m/>
    <n v="2"/>
    <n v="19"/>
    <n v="42"/>
    <n v="42"/>
    <m/>
    <m/>
    <m/>
    <s v="1.10+3"/>
    <m/>
    <x v="1"/>
  </r>
  <r>
    <x v="8"/>
    <x v="1"/>
    <x v="5"/>
    <s v="commercial"/>
    <x v="0"/>
    <s v="YY"/>
    <s v="GN"/>
    <x v="5"/>
    <n v="5"/>
    <m/>
    <n v="7"/>
    <m/>
    <n v="2"/>
    <n v="20"/>
    <n v="42"/>
    <s v="R"/>
    <m/>
    <m/>
    <m/>
    <s v="1.9"/>
    <m/>
    <x v="1"/>
  </r>
  <r>
    <x v="8"/>
    <x v="1"/>
    <x v="5"/>
    <s v="commercial"/>
    <x v="0"/>
    <s v="YY"/>
    <s v="GN"/>
    <x v="5"/>
    <n v="5"/>
    <m/>
    <n v="7"/>
    <m/>
    <n v="2"/>
    <n v="21"/>
    <n v="52"/>
    <n v="52"/>
    <m/>
    <m/>
    <m/>
    <s v="1.15+2"/>
    <m/>
    <x v="0"/>
  </r>
  <r>
    <x v="8"/>
    <x v="1"/>
    <x v="5"/>
    <s v="commercial"/>
    <x v="0"/>
    <s v="YY"/>
    <s v="GN"/>
    <x v="5"/>
    <n v="5"/>
    <m/>
    <n v="7"/>
    <m/>
    <n v="2"/>
    <n v="22"/>
    <n v="42"/>
    <n v="42"/>
    <m/>
    <m/>
    <m/>
    <s v="2.10+4"/>
    <m/>
    <x v="1"/>
  </r>
  <r>
    <x v="8"/>
    <x v="1"/>
    <x v="5"/>
    <s v="commercial"/>
    <x v="0"/>
    <s v="YY"/>
    <s v="GN"/>
    <x v="5"/>
    <n v="5"/>
    <m/>
    <n v="7"/>
    <m/>
    <n v="2"/>
    <n v="23"/>
    <n v="52"/>
    <n v="52"/>
    <m/>
    <m/>
    <m/>
    <s v="2.8"/>
    <m/>
    <x v="0"/>
  </r>
  <r>
    <x v="8"/>
    <x v="1"/>
    <x v="5"/>
    <s v="commercial"/>
    <x v="0"/>
    <s v="YY"/>
    <s v="GN"/>
    <x v="5"/>
    <n v="5"/>
    <m/>
    <n v="7"/>
    <m/>
    <n v="2"/>
    <n v="24"/>
    <s v="R"/>
    <s v="R"/>
    <m/>
    <m/>
    <m/>
    <m/>
    <m/>
    <x v="2"/>
  </r>
  <r>
    <x v="8"/>
    <x v="1"/>
    <x v="5"/>
    <s v="commercial"/>
    <x v="0"/>
    <s v="YY"/>
    <s v="GN"/>
    <x v="5"/>
    <n v="5"/>
    <m/>
    <n v="7"/>
    <m/>
    <n v="2"/>
    <n v="25"/>
    <n v="53"/>
    <n v="53"/>
    <m/>
    <m/>
    <m/>
    <s v="1.5+11"/>
    <m/>
    <x v="3"/>
  </r>
  <r>
    <x v="9"/>
    <x v="1"/>
    <x v="6"/>
    <s v="port john; commercial"/>
    <x v="0"/>
    <s v="YY"/>
    <s v="SN"/>
    <x v="5"/>
    <n v="11"/>
    <m/>
    <n v="7"/>
    <m/>
    <n v="1"/>
    <n v="1"/>
    <n v="42"/>
    <n v="42"/>
    <m/>
    <m/>
    <m/>
    <s v="1.12+3"/>
    <m/>
    <x v="1"/>
  </r>
  <r>
    <x v="9"/>
    <x v="1"/>
    <x v="6"/>
    <s v="port john; commercial"/>
    <x v="0"/>
    <s v="YY"/>
    <s v="SN"/>
    <x v="5"/>
    <n v="11"/>
    <m/>
    <n v="7"/>
    <m/>
    <n v="1"/>
    <n v="2"/>
    <s v="R"/>
    <n v="42"/>
    <m/>
    <m/>
    <m/>
    <s v="2.stress in fw; 3"/>
    <m/>
    <x v="1"/>
  </r>
  <r>
    <x v="9"/>
    <x v="1"/>
    <x v="6"/>
    <s v="port john; commercial"/>
    <x v="0"/>
    <s v="YY"/>
    <s v="SN"/>
    <x v="5"/>
    <n v="11"/>
    <m/>
    <n v="7"/>
    <m/>
    <n v="1"/>
    <n v="3"/>
    <s v="R"/>
    <s v="R"/>
    <m/>
    <m/>
    <m/>
    <m/>
    <m/>
    <x v="2"/>
  </r>
  <r>
    <x v="9"/>
    <x v="1"/>
    <x v="6"/>
    <s v="port john; commercial"/>
    <x v="0"/>
    <s v="YY"/>
    <s v="SN"/>
    <x v="5"/>
    <n v="11"/>
    <m/>
    <n v="7"/>
    <m/>
    <n v="1"/>
    <n v="4"/>
    <n v="42"/>
    <n v="42"/>
    <m/>
    <m/>
    <m/>
    <s v="2.13"/>
    <m/>
    <x v="1"/>
  </r>
  <r>
    <x v="9"/>
    <x v="1"/>
    <x v="6"/>
    <s v="port john; commercial"/>
    <x v="0"/>
    <s v="YY"/>
    <s v="SN"/>
    <x v="5"/>
    <n v="11"/>
    <m/>
    <n v="7"/>
    <m/>
    <n v="1"/>
    <n v="5"/>
    <n v="42"/>
    <n v="42"/>
    <m/>
    <m/>
    <m/>
    <s v="2.12"/>
    <m/>
    <x v="1"/>
  </r>
  <r>
    <x v="9"/>
    <x v="1"/>
    <x v="6"/>
    <s v="port john; commercial"/>
    <x v="0"/>
    <s v="YY"/>
    <s v="SN"/>
    <x v="5"/>
    <n v="11"/>
    <m/>
    <n v="7"/>
    <m/>
    <n v="1"/>
    <n v="6"/>
    <n v="42"/>
    <n v="42"/>
    <m/>
    <m/>
    <m/>
    <s v="2.12"/>
    <m/>
    <x v="1"/>
  </r>
  <r>
    <x v="9"/>
    <x v="1"/>
    <x v="6"/>
    <s v="port john; commercial"/>
    <x v="0"/>
    <s v="YY"/>
    <s v="SN"/>
    <x v="5"/>
    <n v="11"/>
    <m/>
    <n v="7"/>
    <m/>
    <n v="1"/>
    <n v="7"/>
    <n v="42"/>
    <n v="42"/>
    <m/>
    <m/>
    <m/>
    <s v="2.10"/>
    <m/>
    <x v="1"/>
  </r>
  <r>
    <x v="9"/>
    <x v="1"/>
    <x v="6"/>
    <s v="port john; commercial"/>
    <x v="0"/>
    <s v="YY"/>
    <s v="SN"/>
    <x v="5"/>
    <n v="11"/>
    <m/>
    <n v="7"/>
    <m/>
    <n v="1"/>
    <n v="8"/>
    <n v="42"/>
    <n v="42"/>
    <m/>
    <m/>
    <m/>
    <s v="2.14"/>
    <m/>
    <x v="1"/>
  </r>
  <r>
    <x v="9"/>
    <x v="1"/>
    <x v="6"/>
    <s v="port john; commercial"/>
    <x v="0"/>
    <s v="YY"/>
    <s v="SN"/>
    <x v="5"/>
    <n v="11"/>
    <m/>
    <n v="7"/>
    <m/>
    <n v="1"/>
    <n v="9"/>
    <n v="42"/>
    <n v="42"/>
    <m/>
    <m/>
    <m/>
    <s v="2.11"/>
    <m/>
    <x v="1"/>
  </r>
  <r>
    <x v="9"/>
    <x v="1"/>
    <x v="6"/>
    <s v="port john; commercial"/>
    <x v="0"/>
    <s v="YY"/>
    <s v="SN"/>
    <x v="5"/>
    <n v="11"/>
    <m/>
    <n v="7"/>
    <m/>
    <n v="1"/>
    <n v="10"/>
    <n v="42"/>
    <n v="42"/>
    <m/>
    <m/>
    <m/>
    <s v="2.12"/>
    <m/>
    <x v="1"/>
  </r>
  <r>
    <x v="9"/>
    <x v="1"/>
    <x v="6"/>
    <s v="port john; commercial"/>
    <x v="0"/>
    <s v="YY"/>
    <s v="SN"/>
    <x v="5"/>
    <n v="11"/>
    <m/>
    <n v="7"/>
    <m/>
    <n v="1"/>
    <n v="11"/>
    <s v="R"/>
    <n v="42"/>
    <m/>
    <m/>
    <m/>
    <s v="2.12"/>
    <m/>
    <x v="1"/>
  </r>
  <r>
    <x v="9"/>
    <x v="1"/>
    <x v="6"/>
    <s v="port john; commercial"/>
    <x v="0"/>
    <s v="YY"/>
    <s v="SN"/>
    <x v="5"/>
    <n v="11"/>
    <m/>
    <n v="7"/>
    <m/>
    <n v="1"/>
    <n v="12"/>
    <n v="42"/>
    <n v="42"/>
    <m/>
    <m/>
    <m/>
    <s v="stress in FW; 1.14"/>
    <m/>
    <x v="1"/>
  </r>
  <r>
    <x v="9"/>
    <x v="1"/>
    <x v="6"/>
    <s v="port john; commercial"/>
    <x v="0"/>
    <s v="YY"/>
    <s v="SN"/>
    <x v="5"/>
    <n v="11"/>
    <m/>
    <n v="7"/>
    <m/>
    <n v="1"/>
    <n v="13"/>
    <n v="42"/>
    <s v="R"/>
    <m/>
    <m/>
    <m/>
    <s v="1.14"/>
    <m/>
    <x v="1"/>
  </r>
  <r>
    <x v="9"/>
    <x v="1"/>
    <x v="6"/>
    <s v="port john; commercial"/>
    <x v="0"/>
    <s v="YY"/>
    <s v="SN"/>
    <x v="5"/>
    <n v="11"/>
    <m/>
    <n v="7"/>
    <m/>
    <n v="1"/>
    <n v="14"/>
    <n v="42"/>
    <n v="42"/>
    <m/>
    <m/>
    <m/>
    <s v="2.11+2"/>
    <m/>
    <x v="1"/>
  </r>
  <r>
    <x v="9"/>
    <x v="1"/>
    <x v="6"/>
    <s v="port john; commercial"/>
    <x v="0"/>
    <s v="YY"/>
    <s v="SN"/>
    <x v="5"/>
    <n v="11"/>
    <m/>
    <n v="7"/>
    <m/>
    <n v="1"/>
    <n v="15"/>
    <n v="42"/>
    <n v="42"/>
    <m/>
    <m/>
    <m/>
    <s v="stress in FW;1.14"/>
    <m/>
    <x v="1"/>
  </r>
  <r>
    <x v="9"/>
    <x v="1"/>
    <x v="6"/>
    <s v="port john; commercial"/>
    <x v="0"/>
    <s v="YY"/>
    <s v="SN"/>
    <x v="5"/>
    <n v="11"/>
    <m/>
    <n v="7"/>
    <m/>
    <n v="1"/>
    <n v="16"/>
    <n v="42"/>
    <s v="NA"/>
    <m/>
    <m/>
    <m/>
    <s v="1.14"/>
    <m/>
    <x v="1"/>
  </r>
  <r>
    <x v="9"/>
    <x v="1"/>
    <x v="6"/>
    <s v="port john; commercial"/>
    <x v="0"/>
    <s v="YY"/>
    <s v="SN"/>
    <x v="5"/>
    <n v="11"/>
    <m/>
    <n v="7"/>
    <m/>
    <n v="1"/>
    <n v="17"/>
    <s v="NA"/>
    <n v="43"/>
    <m/>
    <m/>
    <m/>
    <s v="2.8+19"/>
    <m/>
    <x v="11"/>
  </r>
  <r>
    <x v="9"/>
    <x v="1"/>
    <x v="6"/>
    <s v="port john; commercial"/>
    <x v="0"/>
    <s v="YY"/>
    <s v="SN"/>
    <x v="5"/>
    <n v="11"/>
    <m/>
    <n v="7"/>
    <m/>
    <n v="1"/>
    <n v="18"/>
    <s v="NA"/>
    <s v="R"/>
    <m/>
    <m/>
    <m/>
    <m/>
    <m/>
    <x v="2"/>
  </r>
  <r>
    <x v="9"/>
    <x v="1"/>
    <x v="6"/>
    <s v="port john; commercial"/>
    <x v="0"/>
    <s v="YY"/>
    <s v="SN"/>
    <x v="5"/>
    <n v="11"/>
    <m/>
    <n v="7"/>
    <m/>
    <n v="1"/>
    <n v="19"/>
    <n v="42"/>
    <n v="42"/>
    <m/>
    <m/>
    <m/>
    <s v="2.15"/>
    <m/>
    <x v="1"/>
  </r>
  <r>
    <x v="9"/>
    <x v="1"/>
    <x v="6"/>
    <s v="port john; commercial"/>
    <x v="0"/>
    <s v="YY"/>
    <s v="SN"/>
    <x v="5"/>
    <n v="11"/>
    <m/>
    <n v="7"/>
    <m/>
    <n v="1"/>
    <n v="20"/>
    <s v="R"/>
    <n v="42"/>
    <m/>
    <m/>
    <m/>
    <s v="2.8+4"/>
    <m/>
    <x v="1"/>
  </r>
  <r>
    <x v="9"/>
    <x v="1"/>
    <x v="6"/>
    <s v="port john; commercial"/>
    <x v="0"/>
    <s v="YY"/>
    <s v="SN"/>
    <x v="5"/>
    <n v="11"/>
    <m/>
    <n v="7"/>
    <m/>
    <n v="1"/>
    <n v="21"/>
    <m/>
    <m/>
    <m/>
    <m/>
    <m/>
    <s v="poor"/>
    <m/>
    <x v="2"/>
  </r>
  <r>
    <x v="9"/>
    <x v="1"/>
    <x v="6"/>
    <s v="port john; commercial"/>
    <x v="0"/>
    <s v="YY"/>
    <s v="SN"/>
    <x v="5"/>
    <n v="11"/>
    <m/>
    <n v="7"/>
    <m/>
    <n v="1"/>
    <n v="22"/>
    <n v="42"/>
    <n v="42"/>
    <m/>
    <m/>
    <m/>
    <s v="1.11"/>
    <m/>
    <x v="1"/>
  </r>
  <r>
    <x v="9"/>
    <x v="1"/>
    <x v="6"/>
    <s v="port john; commercial"/>
    <x v="0"/>
    <s v="YY"/>
    <s v="SN"/>
    <x v="5"/>
    <n v="11"/>
    <m/>
    <n v="7"/>
    <m/>
    <n v="1"/>
    <n v="23"/>
    <s v="R"/>
    <s v="R"/>
    <m/>
    <m/>
    <m/>
    <m/>
    <m/>
    <x v="2"/>
  </r>
  <r>
    <x v="9"/>
    <x v="1"/>
    <x v="6"/>
    <s v="port john; commercial"/>
    <x v="0"/>
    <s v="YY"/>
    <s v="SN"/>
    <x v="5"/>
    <n v="11"/>
    <m/>
    <n v="7"/>
    <m/>
    <n v="1"/>
    <n v="24"/>
    <n v="42"/>
    <n v="42"/>
    <m/>
    <m/>
    <m/>
    <s v="stress in fw; 2.13"/>
    <m/>
    <x v="1"/>
  </r>
  <r>
    <x v="9"/>
    <x v="1"/>
    <x v="6"/>
    <s v="port john; commercial"/>
    <x v="0"/>
    <s v="YY"/>
    <s v="SN"/>
    <x v="5"/>
    <n v="11"/>
    <m/>
    <n v="7"/>
    <m/>
    <n v="1"/>
    <n v="25"/>
    <n v="42"/>
    <n v="42"/>
    <m/>
    <m/>
    <m/>
    <s v="2.17; stress in fw"/>
    <m/>
    <x v="1"/>
  </r>
  <r>
    <x v="9"/>
    <x v="1"/>
    <x v="6"/>
    <s v="port john; commercial"/>
    <x v="0"/>
    <s v="YY"/>
    <s v="SN"/>
    <x v="5"/>
    <n v="11"/>
    <m/>
    <n v="7"/>
    <m/>
    <n v="2"/>
    <n v="1"/>
    <n v="42"/>
    <n v="42"/>
    <m/>
    <m/>
    <m/>
    <s v="stress in FW; 1.13"/>
    <m/>
    <x v="1"/>
  </r>
  <r>
    <x v="9"/>
    <x v="1"/>
    <x v="6"/>
    <s v="port john; commercial"/>
    <x v="0"/>
    <s v="YY"/>
    <s v="SN"/>
    <x v="5"/>
    <n v="11"/>
    <m/>
    <n v="7"/>
    <m/>
    <n v="2"/>
    <n v="2"/>
    <n v="42"/>
    <n v="42"/>
    <m/>
    <m/>
    <m/>
    <s v="stress in fw; 2.12"/>
    <m/>
    <x v="1"/>
  </r>
  <r>
    <x v="9"/>
    <x v="1"/>
    <x v="6"/>
    <s v="port john; commercial"/>
    <x v="0"/>
    <s v="YY"/>
    <s v="SN"/>
    <x v="5"/>
    <n v="11"/>
    <m/>
    <n v="7"/>
    <m/>
    <n v="2"/>
    <n v="3"/>
    <n v="42"/>
    <s v="R"/>
    <m/>
    <m/>
    <m/>
    <s v="1.11+2"/>
    <m/>
    <x v="1"/>
  </r>
  <r>
    <x v="9"/>
    <x v="1"/>
    <x v="6"/>
    <s v="port john; commercial"/>
    <x v="0"/>
    <s v="YY"/>
    <s v="SN"/>
    <x v="5"/>
    <n v="11"/>
    <m/>
    <n v="7"/>
    <m/>
    <n v="2"/>
    <n v="4"/>
    <n v="42"/>
    <n v="42"/>
    <m/>
    <m/>
    <m/>
    <s v="2.?"/>
    <m/>
    <x v="1"/>
  </r>
  <r>
    <x v="9"/>
    <x v="1"/>
    <x v="6"/>
    <s v="port john; commercial"/>
    <x v="0"/>
    <s v="YY"/>
    <s v="SN"/>
    <x v="5"/>
    <n v="11"/>
    <m/>
    <n v="7"/>
    <m/>
    <n v="2"/>
    <n v="5"/>
    <n v="42"/>
    <s v="NA"/>
    <m/>
    <m/>
    <m/>
    <s v="1.stress in fw; 15"/>
    <m/>
    <x v="1"/>
  </r>
  <r>
    <x v="9"/>
    <x v="1"/>
    <x v="6"/>
    <s v="port john; commercial"/>
    <x v="0"/>
    <s v="YY"/>
    <s v="SN"/>
    <x v="5"/>
    <n v="11"/>
    <m/>
    <n v="7"/>
    <m/>
    <n v="2"/>
    <n v="6"/>
    <n v="42"/>
    <n v="42"/>
    <m/>
    <m/>
    <m/>
    <s v="1.14"/>
    <m/>
    <x v="1"/>
  </r>
  <r>
    <x v="9"/>
    <x v="1"/>
    <x v="6"/>
    <s v="port john; commercial"/>
    <x v="0"/>
    <s v="YY"/>
    <s v="SN"/>
    <x v="5"/>
    <n v="11"/>
    <m/>
    <n v="7"/>
    <m/>
    <n v="2"/>
    <n v="7"/>
    <n v="42"/>
    <n v="42"/>
    <m/>
    <m/>
    <m/>
    <s v="stress in FW; 1.12"/>
    <m/>
    <x v="1"/>
  </r>
  <r>
    <x v="9"/>
    <x v="1"/>
    <x v="6"/>
    <s v="port john; commercial"/>
    <x v="0"/>
    <s v="YY"/>
    <s v="SN"/>
    <x v="5"/>
    <n v="11"/>
    <m/>
    <n v="7"/>
    <m/>
    <n v="2"/>
    <n v="8"/>
    <n v="42"/>
    <n v="42"/>
    <m/>
    <m/>
    <m/>
    <s v="1.stress in FW; 2.15"/>
    <m/>
    <x v="1"/>
  </r>
  <r>
    <x v="9"/>
    <x v="1"/>
    <x v="6"/>
    <s v="port john; commercial"/>
    <x v="0"/>
    <s v="YY"/>
    <s v="SN"/>
    <x v="5"/>
    <n v="11"/>
    <m/>
    <n v="7"/>
    <m/>
    <n v="2"/>
    <n v="9"/>
    <n v="42"/>
    <n v="42"/>
    <m/>
    <m/>
    <m/>
    <s v="2. stress in FW; 12"/>
    <m/>
    <x v="1"/>
  </r>
  <r>
    <x v="9"/>
    <x v="1"/>
    <x v="6"/>
    <s v="port john; commercial"/>
    <x v="0"/>
    <s v="YY"/>
    <s v="SN"/>
    <x v="5"/>
    <n v="11"/>
    <m/>
    <n v="7"/>
    <m/>
    <n v="2"/>
    <n v="10"/>
    <n v="42"/>
    <s v="R"/>
    <m/>
    <m/>
    <m/>
    <s v="1.stress in FW; 14"/>
    <m/>
    <x v="1"/>
  </r>
  <r>
    <x v="9"/>
    <x v="1"/>
    <x v="6"/>
    <s v="port john; commercial"/>
    <x v="0"/>
    <s v="YY"/>
    <s v="SN"/>
    <x v="5"/>
    <n v="11"/>
    <m/>
    <n v="7"/>
    <m/>
    <n v="2"/>
    <n v="11"/>
    <n v="42"/>
    <n v="42"/>
    <m/>
    <m/>
    <m/>
    <s v="1.11"/>
    <m/>
    <x v="1"/>
  </r>
  <r>
    <x v="9"/>
    <x v="1"/>
    <x v="6"/>
    <s v="port john; commercial"/>
    <x v="0"/>
    <s v="YY"/>
    <s v="SN"/>
    <x v="5"/>
    <n v="11"/>
    <m/>
    <n v="7"/>
    <m/>
    <n v="2"/>
    <n v="12"/>
    <n v="42"/>
    <n v="42"/>
    <m/>
    <m/>
    <m/>
    <s v="1.12"/>
    <m/>
    <x v="1"/>
  </r>
  <r>
    <x v="9"/>
    <x v="1"/>
    <x v="6"/>
    <s v="port john; commercial"/>
    <x v="0"/>
    <s v="YY"/>
    <s v="SN"/>
    <x v="5"/>
    <n v="11"/>
    <m/>
    <n v="7"/>
    <m/>
    <n v="2"/>
    <n v="13"/>
    <n v="42"/>
    <n v="42"/>
    <m/>
    <m/>
    <m/>
    <s v="1.14"/>
    <m/>
    <x v="1"/>
  </r>
  <r>
    <x v="9"/>
    <x v="1"/>
    <x v="6"/>
    <s v="port john; commercial"/>
    <x v="0"/>
    <s v="YY"/>
    <s v="SN"/>
    <x v="5"/>
    <n v="11"/>
    <m/>
    <n v="7"/>
    <m/>
    <n v="2"/>
    <n v="14"/>
    <n v="42"/>
    <n v="42"/>
    <m/>
    <m/>
    <m/>
    <s v="1.stress in FW; 16"/>
    <m/>
    <x v="1"/>
  </r>
  <r>
    <x v="9"/>
    <x v="1"/>
    <x v="6"/>
    <s v="port john; commercial"/>
    <x v="0"/>
    <s v="YY"/>
    <s v="SN"/>
    <x v="5"/>
    <n v="11"/>
    <m/>
    <n v="7"/>
    <m/>
    <n v="2"/>
    <n v="15"/>
    <n v="42"/>
    <n v="42"/>
    <m/>
    <m/>
    <m/>
    <s v="1.10"/>
    <m/>
    <x v="1"/>
  </r>
  <r>
    <x v="9"/>
    <x v="1"/>
    <x v="6"/>
    <s v="port john; commercial"/>
    <x v="0"/>
    <s v="YY"/>
    <s v="SN"/>
    <x v="5"/>
    <n v="11"/>
    <m/>
    <n v="7"/>
    <m/>
    <n v="2"/>
    <n v="16"/>
    <s v="NA"/>
    <n v="52"/>
    <m/>
    <m/>
    <m/>
    <s v="2.8"/>
    <m/>
    <x v="0"/>
  </r>
  <r>
    <x v="9"/>
    <x v="1"/>
    <x v="6"/>
    <s v="port john; commercial"/>
    <x v="0"/>
    <s v="YY"/>
    <s v="SN"/>
    <x v="5"/>
    <n v="11"/>
    <m/>
    <n v="7"/>
    <m/>
    <n v="2"/>
    <n v="17"/>
    <n v="42"/>
    <n v="42"/>
    <m/>
    <m/>
    <m/>
    <s v="1.10"/>
    <m/>
    <x v="1"/>
  </r>
  <r>
    <x v="9"/>
    <x v="1"/>
    <x v="6"/>
    <s v="port john; commercial"/>
    <x v="0"/>
    <s v="YY"/>
    <s v="SN"/>
    <x v="5"/>
    <n v="11"/>
    <m/>
    <n v="7"/>
    <m/>
    <n v="2"/>
    <n v="18"/>
    <n v="42"/>
    <n v="42"/>
    <m/>
    <m/>
    <m/>
    <s v="1.10"/>
    <m/>
    <x v="1"/>
  </r>
  <r>
    <x v="9"/>
    <x v="1"/>
    <x v="6"/>
    <s v="port john; commercial"/>
    <x v="0"/>
    <s v="YY"/>
    <s v="SN"/>
    <x v="5"/>
    <n v="11"/>
    <m/>
    <n v="7"/>
    <m/>
    <n v="2"/>
    <n v="19"/>
    <n v="42"/>
    <n v="42"/>
    <m/>
    <m/>
    <m/>
    <s v="1.9"/>
    <m/>
    <x v="1"/>
  </r>
  <r>
    <x v="9"/>
    <x v="1"/>
    <x v="6"/>
    <s v="port john; commercial"/>
    <x v="0"/>
    <s v="YY"/>
    <s v="SN"/>
    <x v="5"/>
    <n v="11"/>
    <m/>
    <n v="7"/>
    <m/>
    <n v="2"/>
    <n v="20"/>
    <n v="42"/>
    <n v="42"/>
    <m/>
    <m/>
    <m/>
    <s v="1.11"/>
    <m/>
    <x v="1"/>
  </r>
  <r>
    <x v="9"/>
    <x v="1"/>
    <x v="6"/>
    <s v="port john; commercial"/>
    <x v="0"/>
    <s v="YY"/>
    <s v="SN"/>
    <x v="5"/>
    <n v="11"/>
    <m/>
    <n v="7"/>
    <m/>
    <n v="2"/>
    <n v="21"/>
    <n v="42"/>
    <n v="42"/>
    <m/>
    <m/>
    <m/>
    <s v="1.15"/>
    <m/>
    <x v="1"/>
  </r>
  <r>
    <x v="9"/>
    <x v="1"/>
    <x v="6"/>
    <s v="port john; commercial"/>
    <x v="0"/>
    <s v="YY"/>
    <s v="SN"/>
    <x v="5"/>
    <n v="11"/>
    <m/>
    <n v="7"/>
    <m/>
    <n v="2"/>
    <n v="22"/>
    <n v="42"/>
    <n v="42"/>
    <m/>
    <m/>
    <m/>
    <s v="1.11"/>
    <m/>
    <x v="1"/>
  </r>
  <r>
    <x v="9"/>
    <x v="1"/>
    <x v="6"/>
    <s v="port john; commercial"/>
    <x v="0"/>
    <s v="YY"/>
    <s v="SN"/>
    <x v="5"/>
    <n v="11"/>
    <m/>
    <n v="7"/>
    <m/>
    <n v="2"/>
    <n v="23"/>
    <n v="42"/>
    <n v="42"/>
    <m/>
    <m/>
    <m/>
    <s v="1.15, 2.stress in FW"/>
    <m/>
    <x v="1"/>
  </r>
  <r>
    <x v="9"/>
    <x v="1"/>
    <x v="6"/>
    <s v="port john; commercial"/>
    <x v="0"/>
    <s v="YY"/>
    <s v="SN"/>
    <x v="5"/>
    <n v="11"/>
    <m/>
    <n v="7"/>
    <m/>
    <n v="2"/>
    <n v="24"/>
    <n v="42"/>
    <n v="42"/>
    <m/>
    <m/>
    <m/>
    <s v="1.13"/>
    <m/>
    <x v="1"/>
  </r>
  <r>
    <x v="9"/>
    <x v="1"/>
    <x v="6"/>
    <s v="port john; commercial"/>
    <x v="0"/>
    <s v="YY"/>
    <s v="SN"/>
    <x v="5"/>
    <n v="11"/>
    <m/>
    <n v="7"/>
    <m/>
    <n v="2"/>
    <n v="25"/>
    <n v="42"/>
    <n v="42"/>
    <m/>
    <m/>
    <m/>
    <s v="stress in FW; 1.14"/>
    <m/>
    <x v="1"/>
  </r>
  <r>
    <x v="10"/>
    <x v="1"/>
    <x v="7"/>
    <m/>
    <x v="0"/>
    <s v="KL"/>
    <s v="GN/SN"/>
    <x v="6"/>
    <n v="10"/>
    <m/>
    <n v="7"/>
    <m/>
    <n v="1"/>
    <n v="1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2"/>
    <n v="42"/>
    <m/>
    <m/>
    <m/>
    <m/>
    <s v="16"/>
    <m/>
    <x v="1"/>
  </r>
  <r>
    <x v="10"/>
    <x v="1"/>
    <x v="7"/>
    <m/>
    <x v="0"/>
    <s v="KL"/>
    <s v="GN/SN"/>
    <x v="6"/>
    <n v="10"/>
    <m/>
    <n v="7"/>
    <m/>
    <n v="1"/>
    <n v="3"/>
    <n v="42"/>
    <m/>
    <m/>
    <m/>
    <m/>
    <s v="15"/>
    <m/>
    <x v="1"/>
  </r>
  <r>
    <x v="10"/>
    <x v="1"/>
    <x v="7"/>
    <m/>
    <x v="0"/>
    <s v="KL"/>
    <s v="GN/SN"/>
    <x v="6"/>
    <n v="10"/>
    <m/>
    <n v="7"/>
    <m/>
    <n v="1"/>
    <n v="4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5"/>
    <n v="42"/>
    <m/>
    <m/>
    <m/>
    <m/>
    <s v="16"/>
    <m/>
    <x v="1"/>
  </r>
  <r>
    <x v="10"/>
    <x v="1"/>
    <x v="7"/>
    <m/>
    <x v="0"/>
    <s v="KL"/>
    <s v="GN/SN"/>
    <x v="6"/>
    <n v="10"/>
    <m/>
    <n v="7"/>
    <m/>
    <n v="1"/>
    <n v="6"/>
    <n v="42"/>
    <m/>
    <m/>
    <m/>
    <m/>
    <s v="16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7"/>
    <n v="52"/>
    <m/>
    <m/>
    <m/>
    <m/>
    <s v="10"/>
    <m/>
    <x v="0"/>
  </r>
  <r>
    <x v="10"/>
    <x v="1"/>
    <x v="7"/>
    <m/>
    <x v="0"/>
    <s v="KL"/>
    <s v="GN/SN"/>
    <x v="6"/>
    <n v="10"/>
    <m/>
    <n v="7"/>
    <m/>
    <n v="1"/>
    <n v="8"/>
    <n v="52"/>
    <m/>
    <m/>
    <m/>
    <m/>
    <s v="10+5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9"/>
    <n v="52"/>
    <m/>
    <m/>
    <m/>
    <m/>
    <s v="9"/>
    <m/>
    <x v="0"/>
  </r>
  <r>
    <x v="10"/>
    <x v="1"/>
    <x v="7"/>
    <m/>
    <x v="0"/>
    <s v="KL"/>
    <s v="GN/SN"/>
    <x v="6"/>
    <n v="10"/>
    <m/>
    <n v="7"/>
    <m/>
    <n v="1"/>
    <n v="10"/>
    <n v="42"/>
    <m/>
    <m/>
    <m/>
    <m/>
    <s v="7+3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11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12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13"/>
    <n v="31"/>
    <m/>
    <m/>
    <m/>
    <m/>
    <m/>
    <m/>
    <x v="6"/>
  </r>
  <r>
    <x v="10"/>
    <x v="1"/>
    <x v="7"/>
    <m/>
    <x v="0"/>
    <s v="KL"/>
    <s v="GN/SN"/>
    <x v="6"/>
    <n v="10"/>
    <m/>
    <n v="7"/>
    <m/>
    <n v="1"/>
    <n v="14"/>
    <n v="42"/>
    <m/>
    <m/>
    <m/>
    <m/>
    <s v="12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15"/>
    <n v="52"/>
    <m/>
    <m/>
    <m/>
    <m/>
    <s v="8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16"/>
    <n v="52"/>
    <m/>
    <m/>
    <m/>
    <m/>
    <s v="16"/>
    <m/>
    <x v="0"/>
  </r>
  <r>
    <x v="10"/>
    <x v="1"/>
    <x v="7"/>
    <m/>
    <x v="0"/>
    <s v="KL"/>
    <s v="GN/SN"/>
    <x v="6"/>
    <n v="10"/>
    <m/>
    <n v="7"/>
    <m/>
    <n v="1"/>
    <n v="17"/>
    <n v="52"/>
    <m/>
    <m/>
    <m/>
    <m/>
    <s v="16"/>
    <m/>
    <x v="0"/>
  </r>
  <r>
    <x v="10"/>
    <x v="1"/>
    <x v="7"/>
    <m/>
    <x v="0"/>
    <s v="KL"/>
    <s v="GN/SN"/>
    <x v="6"/>
    <n v="10"/>
    <m/>
    <n v="7"/>
    <m/>
    <n v="1"/>
    <n v="18"/>
    <n v="52"/>
    <m/>
    <m/>
    <m/>
    <m/>
    <s v="10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19"/>
    <n v="52"/>
    <m/>
    <m/>
    <m/>
    <m/>
    <s v="poor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20"/>
    <n v="52"/>
    <m/>
    <m/>
    <m/>
    <m/>
    <s v="7+4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21"/>
    <n v="53"/>
    <m/>
    <m/>
    <m/>
    <m/>
    <s v="8+11"/>
    <s v="image with bad scale bar, book warped really bad"/>
    <x v="3"/>
  </r>
  <r>
    <x v="10"/>
    <x v="1"/>
    <x v="7"/>
    <m/>
    <x v="0"/>
    <s v="KL"/>
    <s v="GN/SN"/>
    <x v="6"/>
    <n v="10"/>
    <m/>
    <n v="7"/>
    <m/>
    <n v="1"/>
    <n v="22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23"/>
    <n v="53"/>
    <m/>
    <m/>
    <m/>
    <m/>
    <s v="12+11"/>
    <m/>
    <x v="3"/>
  </r>
  <r>
    <x v="10"/>
    <x v="1"/>
    <x v="7"/>
    <m/>
    <x v="0"/>
    <s v="KL"/>
    <s v="GN/SN"/>
    <x v="6"/>
    <n v="10"/>
    <m/>
    <n v="7"/>
    <m/>
    <n v="1"/>
    <n v="24"/>
    <n v="52"/>
    <m/>
    <m/>
    <m/>
    <m/>
    <s v="13"/>
    <m/>
    <x v="0"/>
  </r>
  <r>
    <x v="10"/>
    <x v="1"/>
    <x v="7"/>
    <m/>
    <x v="0"/>
    <s v="KL"/>
    <s v="GN/SN"/>
    <x v="6"/>
    <n v="10"/>
    <m/>
    <n v="7"/>
    <m/>
    <n v="1"/>
    <n v="25"/>
    <n v="52"/>
    <m/>
    <m/>
    <m/>
    <m/>
    <s v="10"/>
    <m/>
    <x v="0"/>
  </r>
  <r>
    <x v="10"/>
    <x v="1"/>
    <x v="7"/>
    <m/>
    <x v="0"/>
    <s v="KL"/>
    <s v="GN/SN"/>
    <x v="6"/>
    <n v="10"/>
    <m/>
    <n v="7"/>
    <m/>
    <n v="1"/>
    <n v="26"/>
    <n v="52"/>
    <m/>
    <m/>
    <m/>
    <m/>
    <s v="7"/>
    <m/>
    <x v="0"/>
  </r>
  <r>
    <x v="10"/>
    <x v="1"/>
    <x v="7"/>
    <m/>
    <x v="0"/>
    <s v="KL"/>
    <s v="GN/SN"/>
    <x v="6"/>
    <n v="10"/>
    <m/>
    <n v="7"/>
    <m/>
    <n v="1"/>
    <n v="27"/>
    <n v="42"/>
    <m/>
    <m/>
    <m/>
    <m/>
    <s v="15+4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28"/>
    <n v="53"/>
    <m/>
    <m/>
    <m/>
    <m/>
    <s v="13+18"/>
    <m/>
    <x v="3"/>
  </r>
  <r>
    <x v="10"/>
    <x v="1"/>
    <x v="7"/>
    <m/>
    <x v="0"/>
    <s v="KL"/>
    <s v="GN/SN"/>
    <x v="6"/>
    <n v="10"/>
    <m/>
    <n v="7"/>
    <m/>
    <n v="1"/>
    <n v="29"/>
    <n v="52"/>
    <m/>
    <m/>
    <m/>
    <m/>
    <s v="9"/>
    <m/>
    <x v="0"/>
  </r>
  <r>
    <x v="10"/>
    <x v="1"/>
    <x v="7"/>
    <m/>
    <x v="0"/>
    <s v="KL"/>
    <s v="GN/SN"/>
    <x v="6"/>
    <n v="10"/>
    <m/>
    <n v="7"/>
    <m/>
    <n v="1"/>
    <n v="30"/>
    <n v="52"/>
    <m/>
    <m/>
    <m/>
    <m/>
    <s v="14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31"/>
    <n v="42"/>
    <m/>
    <m/>
    <m/>
    <m/>
    <s v="16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32"/>
    <n v="42"/>
    <m/>
    <m/>
    <m/>
    <m/>
    <s v="13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33"/>
    <n v="42"/>
    <m/>
    <m/>
    <m/>
    <m/>
    <s v="14"/>
    <m/>
    <x v="1"/>
  </r>
  <r>
    <x v="10"/>
    <x v="1"/>
    <x v="7"/>
    <m/>
    <x v="0"/>
    <s v="KL"/>
    <s v="GN/SN"/>
    <x v="6"/>
    <n v="10"/>
    <m/>
    <n v="7"/>
    <m/>
    <n v="1"/>
    <n v="34"/>
    <n v="42"/>
    <m/>
    <m/>
    <m/>
    <m/>
    <s v="13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35"/>
    <m/>
    <m/>
    <m/>
    <m/>
    <m/>
    <s v="poor"/>
    <m/>
    <x v="2"/>
  </r>
  <r>
    <x v="10"/>
    <x v="1"/>
    <x v="7"/>
    <m/>
    <x v="0"/>
    <s v="KL"/>
    <s v="GN/SN"/>
    <x v="6"/>
    <n v="10"/>
    <m/>
    <n v="7"/>
    <m/>
    <n v="1"/>
    <n v="36"/>
    <n v="42"/>
    <m/>
    <m/>
    <m/>
    <m/>
    <s v="14"/>
    <m/>
    <x v="1"/>
  </r>
  <r>
    <x v="10"/>
    <x v="1"/>
    <x v="7"/>
    <m/>
    <x v="0"/>
    <s v="KL"/>
    <s v="GN/SN"/>
    <x v="6"/>
    <n v="10"/>
    <m/>
    <n v="7"/>
    <m/>
    <n v="1"/>
    <n v="37"/>
    <n v="42"/>
    <m/>
    <m/>
    <m/>
    <m/>
    <s v="poor"/>
    <s v="image with bad scale bar, book warped really bad"/>
    <x v="1"/>
  </r>
  <r>
    <x v="10"/>
    <x v="1"/>
    <x v="7"/>
    <m/>
    <x v="0"/>
    <s v="KL"/>
    <s v="GN/SN"/>
    <x v="6"/>
    <n v="10"/>
    <m/>
    <n v="7"/>
    <m/>
    <n v="1"/>
    <n v="38"/>
    <n v="52"/>
    <m/>
    <m/>
    <m/>
    <m/>
    <s v="9+3"/>
    <m/>
    <x v="0"/>
  </r>
  <r>
    <x v="10"/>
    <x v="1"/>
    <x v="7"/>
    <m/>
    <x v="0"/>
    <s v="KL"/>
    <s v="GN/SN"/>
    <x v="6"/>
    <n v="10"/>
    <m/>
    <n v="7"/>
    <m/>
    <n v="1"/>
    <n v="39"/>
    <n v="52"/>
    <m/>
    <m/>
    <m/>
    <m/>
    <s v="9+2"/>
    <m/>
    <x v="0"/>
  </r>
  <r>
    <x v="10"/>
    <x v="1"/>
    <x v="7"/>
    <m/>
    <x v="0"/>
    <s v="KL"/>
    <s v="GN/SN"/>
    <x v="6"/>
    <n v="10"/>
    <m/>
    <n v="7"/>
    <m/>
    <n v="1"/>
    <n v="40"/>
    <n v="52"/>
    <m/>
    <m/>
    <m/>
    <m/>
    <s v="R"/>
    <s v="R for sure"/>
    <x v="0"/>
  </r>
  <r>
    <x v="10"/>
    <x v="1"/>
    <x v="7"/>
    <m/>
    <x v="0"/>
    <s v="KL"/>
    <s v="GN/SN"/>
    <x v="6"/>
    <n v="10"/>
    <m/>
    <n v="7"/>
    <m/>
    <n v="1"/>
    <n v="41"/>
    <n v="52"/>
    <m/>
    <m/>
    <m/>
    <m/>
    <s v="10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42"/>
    <n v="52"/>
    <m/>
    <m/>
    <m/>
    <m/>
    <s v="8"/>
    <m/>
    <x v="0"/>
  </r>
  <r>
    <x v="10"/>
    <x v="1"/>
    <x v="7"/>
    <m/>
    <x v="0"/>
    <s v="KL"/>
    <s v="GN/SN"/>
    <x v="6"/>
    <n v="10"/>
    <m/>
    <n v="7"/>
    <m/>
    <n v="1"/>
    <n v="43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44"/>
    <n v="52"/>
    <m/>
    <m/>
    <m/>
    <m/>
    <s v="12"/>
    <s v="image with bad scale bar, book warped really bad"/>
    <x v="0"/>
  </r>
  <r>
    <x v="10"/>
    <x v="1"/>
    <x v="7"/>
    <m/>
    <x v="0"/>
    <s v="KL"/>
    <s v="GN/SN"/>
    <x v="6"/>
    <n v="10"/>
    <m/>
    <n v="7"/>
    <m/>
    <n v="1"/>
    <n v="45"/>
    <n v="52"/>
    <m/>
    <m/>
    <m/>
    <m/>
    <s v="8"/>
    <m/>
    <x v="0"/>
  </r>
  <r>
    <x v="10"/>
    <x v="1"/>
    <x v="7"/>
    <m/>
    <x v="0"/>
    <s v="KL"/>
    <s v="GN/SN"/>
    <x v="6"/>
    <n v="10"/>
    <m/>
    <n v="7"/>
    <m/>
    <n v="1"/>
    <n v="46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1"/>
    <n v="47"/>
    <m/>
    <m/>
    <m/>
    <m/>
    <m/>
    <m/>
    <m/>
    <x v="2"/>
  </r>
  <r>
    <x v="10"/>
    <x v="1"/>
    <x v="7"/>
    <m/>
    <x v="0"/>
    <s v="KL"/>
    <s v="GN/SN"/>
    <x v="6"/>
    <n v="10"/>
    <m/>
    <n v="7"/>
    <m/>
    <n v="1"/>
    <n v="48"/>
    <n v="52"/>
    <m/>
    <m/>
    <m/>
    <m/>
    <s v="8"/>
    <m/>
    <x v="0"/>
  </r>
  <r>
    <x v="10"/>
    <x v="1"/>
    <x v="7"/>
    <m/>
    <x v="0"/>
    <s v="KL"/>
    <s v="GN/SN"/>
    <x v="6"/>
    <n v="10"/>
    <m/>
    <n v="7"/>
    <m/>
    <n v="1"/>
    <n v="49"/>
    <n v="52"/>
    <m/>
    <m/>
    <m/>
    <m/>
    <s v="7"/>
    <m/>
    <x v="0"/>
  </r>
  <r>
    <x v="10"/>
    <x v="1"/>
    <x v="7"/>
    <m/>
    <x v="0"/>
    <s v="KL"/>
    <s v="GN/SN"/>
    <x v="6"/>
    <n v="10"/>
    <m/>
    <n v="7"/>
    <m/>
    <n v="1"/>
    <n v="50"/>
    <n v="42"/>
    <m/>
    <m/>
    <m/>
    <m/>
    <s v="12"/>
    <s v="image with bad scale bar, book warped really bad"/>
    <x v="1"/>
  </r>
  <r>
    <x v="10"/>
    <x v="1"/>
    <x v="7"/>
    <m/>
    <x v="0"/>
    <s v="KL"/>
    <s v="GN/SN"/>
    <x v="6"/>
    <n v="10"/>
    <m/>
    <n v="7"/>
    <m/>
    <n v="2"/>
    <n v="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3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9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1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1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1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1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1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15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1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17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1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19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2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4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2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27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2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29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30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3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3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3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3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3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3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37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3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39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4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4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4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4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4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4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2"/>
    <n v="4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47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2"/>
    <n v="4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2"/>
    <n v="49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2"/>
    <n v="5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1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3"/>
    <n v="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4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6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3"/>
    <n v="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9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1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1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12"/>
    <m/>
    <m/>
    <m/>
    <m/>
    <m/>
    <s v="poor"/>
    <m/>
    <x v="2"/>
  </r>
  <r>
    <x v="10"/>
    <x v="1"/>
    <x v="7"/>
    <m/>
    <x v="0"/>
    <s v="KL"/>
    <s v="GN/SN"/>
    <x v="6"/>
    <n v="10"/>
    <m/>
    <n v="7"/>
    <m/>
    <n v="3"/>
    <n v="1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1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1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1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17"/>
    <n v="63"/>
    <m/>
    <m/>
    <m/>
    <m/>
    <m/>
    <m/>
    <x v="4"/>
  </r>
  <r>
    <x v="10"/>
    <x v="1"/>
    <x v="7"/>
    <m/>
    <x v="0"/>
    <s v="KL"/>
    <s v="GN/SN"/>
    <x v="6"/>
    <n v="10"/>
    <m/>
    <n v="7"/>
    <m/>
    <n v="3"/>
    <n v="1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19"/>
    <m/>
    <m/>
    <m/>
    <m/>
    <m/>
    <s v="sp?"/>
    <m/>
    <x v="2"/>
  </r>
  <r>
    <x v="10"/>
    <x v="1"/>
    <x v="7"/>
    <m/>
    <x v="0"/>
    <s v="KL"/>
    <s v="GN/SN"/>
    <x v="6"/>
    <n v="10"/>
    <m/>
    <n v="7"/>
    <m/>
    <n v="3"/>
    <n v="20"/>
    <n v="52"/>
    <m/>
    <m/>
    <m/>
    <m/>
    <m/>
    <s v="weird scale, one small one and another one kinda broken\"/>
    <x v="0"/>
  </r>
  <r>
    <x v="10"/>
    <x v="1"/>
    <x v="7"/>
    <m/>
    <x v="0"/>
    <s v="KL"/>
    <s v="GN/SN"/>
    <x v="6"/>
    <n v="10"/>
    <m/>
    <n v="7"/>
    <m/>
    <n v="3"/>
    <n v="2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22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3"/>
    <n v="23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3"/>
    <n v="2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2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2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2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2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29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3"/>
    <n v="3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3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3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3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3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35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3"/>
    <n v="3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3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3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39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4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4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4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4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4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4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4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4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3"/>
    <n v="4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3"/>
    <n v="49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3"/>
    <n v="50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1"/>
    <n v="52"/>
    <m/>
    <m/>
    <m/>
    <m/>
    <m/>
    <s v="R"/>
    <x v="0"/>
  </r>
  <r>
    <x v="10"/>
    <x v="1"/>
    <x v="7"/>
    <m/>
    <x v="0"/>
    <s v="KL"/>
    <s v="GN/SN"/>
    <x v="6"/>
    <n v="10"/>
    <m/>
    <n v="7"/>
    <m/>
    <n v="4"/>
    <n v="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8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4"/>
    <n v="9"/>
    <n v="53"/>
    <m/>
    <m/>
    <m/>
    <m/>
    <s v="10+11"/>
    <m/>
    <x v="3"/>
  </r>
  <r>
    <x v="10"/>
    <x v="1"/>
    <x v="7"/>
    <m/>
    <x v="0"/>
    <s v="KL"/>
    <s v="GN/SN"/>
    <x v="6"/>
    <n v="10"/>
    <m/>
    <n v="7"/>
    <m/>
    <n v="4"/>
    <n v="1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11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12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1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1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15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16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17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1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19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4"/>
    <n v="2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2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2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2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2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25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2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2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28"/>
    <n v="52"/>
    <m/>
    <m/>
    <m/>
    <m/>
    <m/>
    <s v="warped book again, really bad scale bar pic"/>
    <x v="0"/>
  </r>
  <r>
    <x v="10"/>
    <x v="1"/>
    <x v="7"/>
    <m/>
    <x v="0"/>
    <s v="KL"/>
    <s v="GN/SN"/>
    <x v="6"/>
    <n v="10"/>
    <m/>
    <n v="7"/>
    <m/>
    <n v="4"/>
    <n v="29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30"/>
    <n v="42"/>
    <m/>
    <m/>
    <m/>
    <m/>
    <m/>
    <s v="warped book again, really bad scale bar pic"/>
    <x v="1"/>
  </r>
  <r>
    <x v="10"/>
    <x v="1"/>
    <x v="7"/>
    <m/>
    <x v="0"/>
    <s v="KL"/>
    <s v="GN/SN"/>
    <x v="6"/>
    <n v="10"/>
    <m/>
    <n v="7"/>
    <m/>
    <n v="4"/>
    <n v="3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32"/>
    <n v="52"/>
    <m/>
    <m/>
    <m/>
    <m/>
    <m/>
    <s v="warped book again, really bad scale bar pic"/>
    <x v="0"/>
  </r>
  <r>
    <x v="10"/>
    <x v="1"/>
    <x v="7"/>
    <m/>
    <x v="0"/>
    <s v="KL"/>
    <s v="GN/SN"/>
    <x v="6"/>
    <n v="10"/>
    <m/>
    <n v="7"/>
    <m/>
    <n v="4"/>
    <n v="33"/>
    <n v="42"/>
    <m/>
    <m/>
    <m/>
    <m/>
    <m/>
    <s v="warped book again, really bad scale bar pic"/>
    <x v="1"/>
  </r>
  <r>
    <x v="10"/>
    <x v="1"/>
    <x v="7"/>
    <m/>
    <x v="0"/>
    <s v="KL"/>
    <s v="GN/SN"/>
    <x v="6"/>
    <n v="10"/>
    <m/>
    <n v="7"/>
    <m/>
    <n v="4"/>
    <n v="34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35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3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37"/>
    <m/>
    <m/>
    <m/>
    <m/>
    <m/>
    <s v="sp?"/>
    <m/>
    <x v="2"/>
  </r>
  <r>
    <x v="10"/>
    <x v="1"/>
    <x v="7"/>
    <m/>
    <x v="0"/>
    <s v="KL"/>
    <s v="GN/SN"/>
    <x v="6"/>
    <n v="10"/>
    <m/>
    <n v="7"/>
    <m/>
    <n v="4"/>
    <n v="3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39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40"/>
    <s v="R"/>
    <m/>
    <m/>
    <m/>
    <m/>
    <m/>
    <s v="not R?"/>
    <x v="2"/>
  </r>
  <r>
    <x v="10"/>
    <x v="1"/>
    <x v="7"/>
    <m/>
    <x v="0"/>
    <s v="KL"/>
    <s v="GN/SN"/>
    <x v="6"/>
    <n v="10"/>
    <m/>
    <n v="7"/>
    <m/>
    <n v="4"/>
    <n v="41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4"/>
    <n v="4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4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4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4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4"/>
    <n v="4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47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4"/>
    <n v="4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4"/>
    <n v="49"/>
    <n v="42"/>
    <m/>
    <m/>
    <m/>
    <m/>
    <m/>
    <s v="warped book again, really bad scale bar pic"/>
    <x v="1"/>
  </r>
  <r>
    <x v="10"/>
    <x v="1"/>
    <x v="7"/>
    <m/>
    <x v="0"/>
    <s v="KL"/>
    <s v="GN/SN"/>
    <x v="6"/>
    <n v="10"/>
    <m/>
    <n v="7"/>
    <m/>
    <n v="4"/>
    <n v="5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1"/>
    <m/>
    <m/>
    <m/>
    <m/>
    <m/>
    <s v="sp?"/>
    <m/>
    <x v="2"/>
  </r>
  <r>
    <x v="10"/>
    <x v="1"/>
    <x v="7"/>
    <m/>
    <x v="0"/>
    <s v="KL"/>
    <s v="GN/SN"/>
    <x v="6"/>
    <n v="10"/>
    <m/>
    <n v="7"/>
    <m/>
    <n v="5"/>
    <n v="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3"/>
    <n v="52"/>
    <m/>
    <m/>
    <m/>
    <m/>
    <m/>
    <s v="warped book again, really bad scale bar pic"/>
    <x v="0"/>
  </r>
  <r>
    <x v="10"/>
    <x v="1"/>
    <x v="7"/>
    <m/>
    <x v="0"/>
    <s v="KL"/>
    <s v="GN/SN"/>
    <x v="6"/>
    <n v="10"/>
    <m/>
    <n v="7"/>
    <m/>
    <n v="5"/>
    <n v="4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8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9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1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1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1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1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1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1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1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17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1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19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2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2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2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23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24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2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26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2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2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29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3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31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3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33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34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35"/>
    <n v="41"/>
    <m/>
    <m/>
    <m/>
    <m/>
    <m/>
    <s v="warped book again, really bad scale bar pic"/>
    <x v="9"/>
  </r>
  <r>
    <x v="10"/>
    <x v="1"/>
    <x v="7"/>
    <m/>
    <x v="0"/>
    <s v="KL"/>
    <s v="GN/SN"/>
    <x v="6"/>
    <n v="10"/>
    <m/>
    <n v="7"/>
    <m/>
    <n v="5"/>
    <n v="36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37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5"/>
    <n v="3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39"/>
    <n v="53"/>
    <m/>
    <m/>
    <m/>
    <m/>
    <s v="10+14"/>
    <m/>
    <x v="3"/>
  </r>
  <r>
    <x v="10"/>
    <x v="1"/>
    <x v="7"/>
    <m/>
    <x v="0"/>
    <s v="KL"/>
    <s v="GN/SN"/>
    <x v="6"/>
    <n v="10"/>
    <m/>
    <n v="7"/>
    <m/>
    <n v="5"/>
    <n v="40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41"/>
    <n v="42"/>
    <m/>
    <m/>
    <m/>
    <m/>
    <m/>
    <s v="warped book again, really bad scale bar pic"/>
    <x v="1"/>
  </r>
  <r>
    <x v="10"/>
    <x v="1"/>
    <x v="7"/>
    <m/>
    <x v="0"/>
    <s v="KL"/>
    <s v="GN/SN"/>
    <x v="6"/>
    <n v="10"/>
    <m/>
    <n v="7"/>
    <m/>
    <n v="5"/>
    <n v="4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43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44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4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5"/>
    <n v="4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47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5"/>
    <n v="48"/>
    <m/>
    <m/>
    <m/>
    <m/>
    <m/>
    <s v="sp?"/>
    <m/>
    <x v="2"/>
  </r>
  <r>
    <x v="10"/>
    <x v="1"/>
    <x v="7"/>
    <m/>
    <x v="0"/>
    <s v="KL"/>
    <s v="GN/SN"/>
    <x v="6"/>
    <n v="10"/>
    <m/>
    <n v="7"/>
    <m/>
    <n v="5"/>
    <n v="49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5"/>
    <n v="5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"/>
    <n v="53"/>
    <m/>
    <m/>
    <m/>
    <m/>
    <s v="10+16"/>
    <m/>
    <x v="3"/>
  </r>
  <r>
    <x v="10"/>
    <x v="1"/>
    <x v="7"/>
    <m/>
    <x v="0"/>
    <s v="KL"/>
    <s v="GN/SN"/>
    <x v="6"/>
    <n v="10"/>
    <m/>
    <n v="7"/>
    <m/>
    <n v="6"/>
    <n v="4"/>
    <m/>
    <m/>
    <m/>
    <m/>
    <m/>
    <s v="poor"/>
    <m/>
    <x v="2"/>
  </r>
  <r>
    <x v="10"/>
    <x v="1"/>
    <x v="7"/>
    <m/>
    <x v="0"/>
    <s v="KL"/>
    <s v="GN/SN"/>
    <x v="6"/>
    <n v="10"/>
    <m/>
    <n v="7"/>
    <m/>
    <n v="6"/>
    <n v="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8"/>
    <s v="NA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9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1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1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1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13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14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15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16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17"/>
    <n v="63"/>
    <m/>
    <m/>
    <m/>
    <m/>
    <m/>
    <m/>
    <x v="4"/>
  </r>
  <r>
    <x v="10"/>
    <x v="1"/>
    <x v="7"/>
    <m/>
    <x v="0"/>
    <s v="KL"/>
    <s v="GN/SN"/>
    <x v="6"/>
    <n v="10"/>
    <m/>
    <n v="7"/>
    <m/>
    <n v="6"/>
    <n v="18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19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2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21"/>
    <m/>
    <m/>
    <m/>
    <m/>
    <m/>
    <s v="poor"/>
    <m/>
    <x v="2"/>
  </r>
  <r>
    <x v="10"/>
    <x v="1"/>
    <x v="7"/>
    <m/>
    <x v="0"/>
    <s v="KL"/>
    <s v="GN/SN"/>
    <x v="6"/>
    <n v="10"/>
    <m/>
    <n v="7"/>
    <m/>
    <n v="6"/>
    <n v="22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2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2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25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26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2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28"/>
    <n v="53"/>
    <m/>
    <m/>
    <m/>
    <m/>
    <m/>
    <m/>
    <x v="3"/>
  </r>
  <r>
    <x v="10"/>
    <x v="1"/>
    <x v="7"/>
    <m/>
    <x v="0"/>
    <s v="KL"/>
    <s v="GN/SN"/>
    <x v="6"/>
    <n v="10"/>
    <m/>
    <n v="7"/>
    <m/>
    <n v="6"/>
    <n v="29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1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2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3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4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3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36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37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38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39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40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41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42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43"/>
    <s v="R"/>
    <m/>
    <m/>
    <m/>
    <m/>
    <m/>
    <s v="not R?"/>
    <x v="2"/>
  </r>
  <r>
    <x v="10"/>
    <x v="1"/>
    <x v="7"/>
    <m/>
    <x v="0"/>
    <s v="KL"/>
    <s v="GN/SN"/>
    <x v="6"/>
    <n v="10"/>
    <m/>
    <n v="7"/>
    <m/>
    <n v="6"/>
    <n v="44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45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46"/>
    <n v="42"/>
    <m/>
    <m/>
    <m/>
    <m/>
    <m/>
    <m/>
    <x v="1"/>
  </r>
  <r>
    <x v="10"/>
    <x v="1"/>
    <x v="7"/>
    <m/>
    <x v="0"/>
    <s v="KL"/>
    <s v="GN/SN"/>
    <x v="6"/>
    <n v="10"/>
    <m/>
    <n v="7"/>
    <m/>
    <n v="6"/>
    <n v="47"/>
    <n v="52"/>
    <m/>
    <m/>
    <m/>
    <m/>
    <m/>
    <m/>
    <x v="0"/>
  </r>
  <r>
    <x v="10"/>
    <x v="1"/>
    <x v="7"/>
    <m/>
    <x v="0"/>
    <s v="KL"/>
    <s v="GN/SN"/>
    <x v="6"/>
    <n v="10"/>
    <m/>
    <n v="7"/>
    <m/>
    <n v="6"/>
    <n v="48"/>
    <n v="42"/>
    <m/>
    <m/>
    <m/>
    <m/>
    <m/>
    <s v="R"/>
    <x v="1"/>
  </r>
  <r>
    <x v="10"/>
    <x v="1"/>
    <x v="7"/>
    <m/>
    <x v="0"/>
    <s v="KL"/>
    <s v="GN/SN"/>
    <x v="6"/>
    <n v="10"/>
    <m/>
    <n v="7"/>
    <m/>
    <n v="6"/>
    <n v="49"/>
    <s v="R"/>
    <m/>
    <m/>
    <m/>
    <m/>
    <m/>
    <m/>
    <x v="2"/>
  </r>
  <r>
    <x v="10"/>
    <x v="1"/>
    <x v="7"/>
    <m/>
    <x v="0"/>
    <s v="KL"/>
    <s v="GN/SN"/>
    <x v="6"/>
    <n v="10"/>
    <m/>
    <n v="7"/>
    <m/>
    <n v="6"/>
    <n v="50"/>
    <n v="42"/>
    <m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"/>
    <n v="52"/>
    <n v="52"/>
    <m/>
    <m/>
    <m/>
    <m/>
    <m/>
    <x v="0"/>
  </r>
  <r>
    <x v="11"/>
    <x v="2"/>
    <x v="8"/>
    <s v="commercial"/>
    <x v="0"/>
    <s v="YY"/>
    <s v="Troll"/>
    <x v="6"/>
    <n v="5"/>
    <n v="6"/>
    <n v="8"/>
    <m/>
    <n v="1"/>
    <n v="2"/>
    <n v="53"/>
    <n v="53"/>
    <m/>
    <m/>
    <m/>
    <m/>
    <m/>
    <x v="3"/>
  </r>
  <r>
    <x v="11"/>
    <x v="2"/>
    <x v="8"/>
    <s v="commercial"/>
    <x v="0"/>
    <s v="YY"/>
    <s v="Troll"/>
    <x v="6"/>
    <n v="5"/>
    <n v="6"/>
    <n v="8"/>
    <m/>
    <n v="1"/>
    <n v="3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4"/>
    <n v="52"/>
    <n v="52"/>
    <m/>
    <m/>
    <m/>
    <m/>
    <m/>
    <x v="0"/>
  </r>
  <r>
    <x v="11"/>
    <x v="2"/>
    <x v="8"/>
    <s v="commercial"/>
    <x v="0"/>
    <s v="YY"/>
    <s v="Troll"/>
    <x v="6"/>
    <n v="5"/>
    <n v="6"/>
    <n v="8"/>
    <m/>
    <n v="1"/>
    <n v="5"/>
    <n v="52"/>
    <n v="52"/>
    <m/>
    <m/>
    <m/>
    <m/>
    <m/>
    <x v="0"/>
  </r>
  <r>
    <x v="11"/>
    <x v="2"/>
    <x v="8"/>
    <s v="commercial"/>
    <x v="0"/>
    <s v="YY"/>
    <s v="Troll"/>
    <x v="6"/>
    <n v="5"/>
    <n v="6"/>
    <n v="8"/>
    <m/>
    <n v="1"/>
    <n v="6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7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8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9"/>
    <n v="31"/>
    <n v="31"/>
    <m/>
    <m/>
    <m/>
    <m/>
    <m/>
    <x v="6"/>
  </r>
  <r>
    <x v="11"/>
    <x v="2"/>
    <x v="8"/>
    <s v="commercial"/>
    <x v="0"/>
    <s v="YY"/>
    <s v="Troll"/>
    <x v="6"/>
    <n v="5"/>
    <n v="6"/>
    <n v="8"/>
    <m/>
    <n v="1"/>
    <n v="10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1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2"/>
    <s v="R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3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4"/>
    <s v="R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5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6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7"/>
    <s v="R"/>
    <s v="R"/>
    <m/>
    <m/>
    <m/>
    <m/>
    <m/>
    <x v="2"/>
  </r>
  <r>
    <x v="11"/>
    <x v="2"/>
    <x v="8"/>
    <s v="commercial"/>
    <x v="0"/>
    <s v="YY"/>
    <s v="Troll"/>
    <x v="6"/>
    <n v="5"/>
    <n v="6"/>
    <n v="8"/>
    <m/>
    <n v="1"/>
    <n v="18"/>
    <s v="R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19"/>
    <n v="42"/>
    <s v="R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20"/>
    <n v="52"/>
    <n v="52"/>
    <m/>
    <m/>
    <m/>
    <m/>
    <m/>
    <x v="0"/>
  </r>
  <r>
    <x v="11"/>
    <x v="2"/>
    <x v="8"/>
    <s v="commercial"/>
    <x v="0"/>
    <s v="YY"/>
    <s v="Troll"/>
    <x v="6"/>
    <n v="5"/>
    <n v="6"/>
    <n v="8"/>
    <m/>
    <n v="1"/>
    <n v="21"/>
    <s v="R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22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23"/>
    <n v="52"/>
    <n v="52"/>
    <m/>
    <m/>
    <m/>
    <m/>
    <m/>
    <x v="0"/>
  </r>
  <r>
    <x v="11"/>
    <x v="2"/>
    <x v="8"/>
    <s v="commercial"/>
    <x v="0"/>
    <s v="YY"/>
    <s v="Troll"/>
    <x v="6"/>
    <n v="5"/>
    <n v="6"/>
    <n v="8"/>
    <m/>
    <n v="1"/>
    <n v="24"/>
    <n v="42"/>
    <n v="42"/>
    <m/>
    <m/>
    <m/>
    <m/>
    <m/>
    <x v="1"/>
  </r>
  <r>
    <x v="11"/>
    <x v="2"/>
    <x v="8"/>
    <s v="commercial"/>
    <x v="0"/>
    <s v="YY"/>
    <s v="Troll"/>
    <x v="6"/>
    <n v="5"/>
    <n v="6"/>
    <n v="8"/>
    <m/>
    <n v="1"/>
    <n v="25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1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2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3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4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5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6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7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8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9"/>
    <s v="R"/>
    <s v="R"/>
    <m/>
    <m/>
    <m/>
    <m/>
    <m/>
    <x v="2"/>
  </r>
  <r>
    <x v="11"/>
    <x v="2"/>
    <x v="8"/>
    <s v="commercial"/>
    <x v="0"/>
    <s v="YY"/>
    <s v="Troll"/>
    <x v="6"/>
    <n v="6"/>
    <m/>
    <n v="8"/>
    <m/>
    <n v="2"/>
    <n v="10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11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12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13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14"/>
    <n v="52"/>
    <n v="52"/>
    <m/>
    <m/>
    <m/>
    <m/>
    <m/>
    <x v="0"/>
  </r>
  <r>
    <x v="11"/>
    <x v="2"/>
    <x v="8"/>
    <s v="commercial"/>
    <x v="0"/>
    <s v="YY"/>
    <s v="Troll"/>
    <x v="6"/>
    <n v="6"/>
    <m/>
    <n v="8"/>
    <m/>
    <n v="2"/>
    <n v="15"/>
    <s v="R"/>
    <s v="R"/>
    <m/>
    <m/>
    <m/>
    <m/>
    <m/>
    <x v="2"/>
  </r>
  <r>
    <x v="11"/>
    <x v="2"/>
    <x v="8"/>
    <s v="commercial"/>
    <x v="0"/>
    <s v="YY"/>
    <s v="Troll"/>
    <x v="6"/>
    <n v="6"/>
    <m/>
    <n v="8"/>
    <m/>
    <n v="2"/>
    <n v="16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17"/>
    <n v="41"/>
    <m/>
    <m/>
    <m/>
    <m/>
    <s v="2.poor"/>
    <m/>
    <x v="9"/>
  </r>
  <r>
    <x v="11"/>
    <x v="2"/>
    <x v="8"/>
    <s v="commercial"/>
    <x v="0"/>
    <s v="YY"/>
    <s v="Troll"/>
    <x v="6"/>
    <n v="6"/>
    <m/>
    <n v="8"/>
    <m/>
    <n v="2"/>
    <n v="18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19"/>
    <s v="R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20"/>
    <n v="53"/>
    <s v="R"/>
    <m/>
    <m/>
    <m/>
    <m/>
    <m/>
    <x v="3"/>
  </r>
  <r>
    <x v="11"/>
    <x v="2"/>
    <x v="8"/>
    <s v="commercial"/>
    <x v="0"/>
    <s v="YY"/>
    <s v="Troll"/>
    <x v="6"/>
    <n v="6"/>
    <m/>
    <n v="8"/>
    <m/>
    <n v="2"/>
    <n v="21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22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23"/>
    <n v="42"/>
    <s v="R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24"/>
    <n v="42"/>
    <n v="42"/>
    <m/>
    <m/>
    <m/>
    <m/>
    <m/>
    <x v="1"/>
  </r>
  <r>
    <x v="11"/>
    <x v="2"/>
    <x v="8"/>
    <s v="commercial"/>
    <x v="0"/>
    <s v="YY"/>
    <s v="Troll"/>
    <x v="6"/>
    <n v="6"/>
    <m/>
    <n v="8"/>
    <m/>
    <n v="2"/>
    <n v="25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"/>
    <s v="R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3"/>
    <s v="R"/>
    <s v="NA"/>
    <m/>
    <m/>
    <m/>
    <m/>
    <m/>
    <x v="2"/>
  </r>
  <r>
    <x v="11"/>
    <x v="2"/>
    <x v="8"/>
    <s v="commercial"/>
    <x v="0"/>
    <s v="YY"/>
    <s v="Troll"/>
    <x v="6"/>
    <n v="11"/>
    <n v="16"/>
    <n v="8"/>
    <m/>
    <n v="3"/>
    <n v="4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5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6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7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8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9"/>
    <n v="42"/>
    <s v="R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0"/>
    <n v="42"/>
    <n v="42"/>
    <m/>
    <m/>
    <m/>
    <s v="2.R"/>
    <m/>
    <x v="1"/>
  </r>
  <r>
    <x v="11"/>
    <x v="2"/>
    <x v="8"/>
    <s v="commercial"/>
    <x v="0"/>
    <s v="YY"/>
    <s v="Troll"/>
    <x v="6"/>
    <n v="11"/>
    <n v="16"/>
    <n v="8"/>
    <m/>
    <n v="3"/>
    <n v="11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2"/>
    <n v="42"/>
    <s v="R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3"/>
    <n v="52"/>
    <n v="52"/>
    <m/>
    <m/>
    <m/>
    <m/>
    <m/>
    <x v="0"/>
  </r>
  <r>
    <x v="11"/>
    <x v="2"/>
    <x v="8"/>
    <s v="commercial"/>
    <x v="0"/>
    <s v="YY"/>
    <s v="Troll"/>
    <x v="6"/>
    <n v="11"/>
    <n v="16"/>
    <n v="8"/>
    <m/>
    <n v="3"/>
    <n v="14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5"/>
    <n v="52"/>
    <s v="R"/>
    <m/>
    <m/>
    <m/>
    <m/>
    <m/>
    <x v="0"/>
  </r>
  <r>
    <x v="11"/>
    <x v="2"/>
    <x v="8"/>
    <s v="commercial"/>
    <x v="0"/>
    <s v="YY"/>
    <s v="Troll"/>
    <x v="6"/>
    <n v="11"/>
    <n v="16"/>
    <n v="8"/>
    <m/>
    <n v="3"/>
    <n v="16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7"/>
    <n v="42"/>
    <s v="R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8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19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0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1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2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3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4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3"/>
    <n v="25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2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3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4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5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6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7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8"/>
    <s v="R"/>
    <s v="R"/>
    <m/>
    <m/>
    <m/>
    <m/>
    <m/>
    <x v="2"/>
  </r>
  <r>
    <x v="11"/>
    <x v="2"/>
    <x v="8"/>
    <s v="commercial"/>
    <x v="0"/>
    <s v="YY"/>
    <s v="Troll"/>
    <x v="6"/>
    <n v="11"/>
    <n v="16"/>
    <n v="8"/>
    <m/>
    <n v="4"/>
    <n v="9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0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1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2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3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4"/>
    <n v="42"/>
    <s v="R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5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6"/>
    <s v="NA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7"/>
    <n v="42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8"/>
    <s v="R"/>
    <n v="42"/>
    <m/>
    <m/>
    <m/>
    <m/>
    <m/>
    <x v="1"/>
  </r>
  <r>
    <x v="11"/>
    <x v="2"/>
    <x v="8"/>
    <s v="commercial"/>
    <x v="0"/>
    <s v="YY"/>
    <s v="Troll"/>
    <x v="6"/>
    <n v="11"/>
    <n v="16"/>
    <n v="8"/>
    <m/>
    <n v="4"/>
    <n v="19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1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2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3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4"/>
    <n v="42"/>
    <s v="R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5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6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7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8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9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10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11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12"/>
    <s v="R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13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14"/>
    <n v="42"/>
    <s v="R"/>
    <m/>
    <m/>
    <m/>
    <m/>
    <s v="fixed from 31 by YY"/>
    <x v="1"/>
  </r>
  <r>
    <x v="12"/>
    <x v="1"/>
    <x v="9"/>
    <s v="boundary; commercial"/>
    <x v="0"/>
    <s v="KL"/>
    <s v="GN/SN"/>
    <x v="7"/>
    <n v="14"/>
    <m/>
    <n v="7"/>
    <m/>
    <n v="1"/>
    <n v="15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16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17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18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19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20"/>
    <s v="NA"/>
    <s v="NA"/>
    <m/>
    <m/>
    <m/>
    <m/>
    <m/>
    <x v="2"/>
  </r>
  <r>
    <x v="12"/>
    <x v="1"/>
    <x v="9"/>
    <s v="boundary; commercial"/>
    <x v="0"/>
    <s v="KL"/>
    <s v="GN/SN"/>
    <x v="7"/>
    <n v="14"/>
    <m/>
    <n v="7"/>
    <m/>
    <n v="1"/>
    <n v="21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1"/>
    <n v="22"/>
    <n v="41"/>
    <n v="41"/>
    <m/>
    <m/>
    <m/>
    <m/>
    <m/>
    <x v="9"/>
  </r>
  <r>
    <x v="12"/>
    <x v="1"/>
    <x v="9"/>
    <s v="boundary; commercial"/>
    <x v="0"/>
    <s v="KL"/>
    <s v="GN/SN"/>
    <x v="7"/>
    <n v="14"/>
    <m/>
    <n v="7"/>
    <m/>
    <n v="1"/>
    <n v="23"/>
    <n v="52"/>
    <m/>
    <m/>
    <m/>
    <m/>
    <s v="poor"/>
    <m/>
    <x v="0"/>
  </r>
  <r>
    <x v="12"/>
    <x v="1"/>
    <x v="9"/>
    <s v="boundary; commercial"/>
    <x v="0"/>
    <s v="KL"/>
    <s v="GN/SN"/>
    <x v="7"/>
    <n v="14"/>
    <m/>
    <n v="7"/>
    <m/>
    <n v="1"/>
    <n v="24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1"/>
    <n v="25"/>
    <n v="41"/>
    <n v="41"/>
    <m/>
    <m/>
    <m/>
    <m/>
    <m/>
    <x v="9"/>
  </r>
  <r>
    <x v="12"/>
    <x v="1"/>
    <x v="9"/>
    <s v="boundary; commercial"/>
    <x v="0"/>
    <s v="KL"/>
    <s v="GN/SN"/>
    <x v="7"/>
    <n v="14"/>
    <m/>
    <n v="7"/>
    <m/>
    <n v="2"/>
    <n v="1"/>
    <s v="R"/>
    <s v="R"/>
    <m/>
    <m/>
    <m/>
    <m/>
    <m/>
    <x v="2"/>
  </r>
  <r>
    <x v="12"/>
    <x v="1"/>
    <x v="9"/>
    <s v="boundary; commercial"/>
    <x v="0"/>
    <s v="KL"/>
    <s v="GN/SN"/>
    <x v="7"/>
    <n v="14"/>
    <m/>
    <n v="7"/>
    <m/>
    <n v="2"/>
    <n v="2"/>
    <n v="41"/>
    <s v="NA"/>
    <m/>
    <m/>
    <m/>
    <m/>
    <m/>
    <x v="9"/>
  </r>
  <r>
    <x v="12"/>
    <x v="1"/>
    <x v="9"/>
    <s v="boundary; commercial"/>
    <x v="0"/>
    <s v="KL"/>
    <s v="GN/SN"/>
    <x v="7"/>
    <n v="14"/>
    <m/>
    <n v="7"/>
    <m/>
    <n v="2"/>
    <n v="3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4"/>
    <s v="NA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5"/>
    <n v="42"/>
    <s v="R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6"/>
    <n v="42"/>
    <s v="R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7"/>
    <m/>
    <m/>
    <m/>
    <m/>
    <m/>
    <s v="poor"/>
    <m/>
    <x v="2"/>
  </r>
  <r>
    <x v="12"/>
    <x v="1"/>
    <x v="9"/>
    <s v="boundary; commercial"/>
    <x v="0"/>
    <s v="KL"/>
    <s v="GN/SN"/>
    <x v="7"/>
    <n v="14"/>
    <m/>
    <n v="7"/>
    <m/>
    <n v="2"/>
    <n v="8"/>
    <s v="R"/>
    <s v="R"/>
    <m/>
    <m/>
    <m/>
    <m/>
    <m/>
    <x v="2"/>
  </r>
  <r>
    <x v="12"/>
    <x v="1"/>
    <x v="9"/>
    <s v="boundary; commercial"/>
    <x v="0"/>
    <s v="KL"/>
    <s v="GN/SN"/>
    <x v="7"/>
    <n v="14"/>
    <m/>
    <n v="7"/>
    <m/>
    <n v="2"/>
    <n v="9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10"/>
    <s v="R"/>
    <s v="R"/>
    <m/>
    <m/>
    <m/>
    <m/>
    <m/>
    <x v="2"/>
  </r>
  <r>
    <x v="12"/>
    <x v="1"/>
    <x v="9"/>
    <s v="boundary; commercial"/>
    <x v="0"/>
    <s v="KL"/>
    <s v="GN/SN"/>
    <x v="7"/>
    <n v="14"/>
    <m/>
    <n v="7"/>
    <m/>
    <n v="2"/>
    <n v="11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12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2"/>
    <n v="13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14"/>
    <n v="52"/>
    <m/>
    <m/>
    <m/>
    <m/>
    <s v="poor"/>
    <m/>
    <x v="0"/>
  </r>
  <r>
    <x v="12"/>
    <x v="1"/>
    <x v="9"/>
    <s v="boundary; commercial"/>
    <x v="0"/>
    <s v="KL"/>
    <s v="GN/SN"/>
    <x v="7"/>
    <n v="14"/>
    <m/>
    <n v="7"/>
    <m/>
    <n v="2"/>
    <n v="15"/>
    <n v="42"/>
    <s v="R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16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17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18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2"/>
    <n v="19"/>
    <s v="R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2"/>
    <n v="20"/>
    <n v="63"/>
    <n v="63"/>
    <m/>
    <m/>
    <m/>
    <m/>
    <m/>
    <x v="4"/>
  </r>
  <r>
    <x v="12"/>
    <x v="1"/>
    <x v="9"/>
    <s v="boundary; commercial"/>
    <x v="0"/>
    <s v="KL"/>
    <s v="GN/SN"/>
    <x v="7"/>
    <n v="14"/>
    <m/>
    <n v="7"/>
    <m/>
    <n v="2"/>
    <n v="21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2"/>
    <n v="22"/>
    <s v="R"/>
    <m/>
    <m/>
    <m/>
    <m/>
    <s v="poor"/>
    <m/>
    <x v="2"/>
  </r>
  <r>
    <x v="12"/>
    <x v="1"/>
    <x v="9"/>
    <s v="boundary; commercial"/>
    <x v="0"/>
    <s v="KL"/>
    <s v="GN/SN"/>
    <x v="7"/>
    <n v="14"/>
    <m/>
    <n v="7"/>
    <m/>
    <n v="2"/>
    <n v="23"/>
    <n v="41"/>
    <n v="41"/>
    <m/>
    <m/>
    <m/>
    <m/>
    <m/>
    <x v="9"/>
  </r>
  <r>
    <x v="12"/>
    <x v="1"/>
    <x v="9"/>
    <s v="boundary; commercial"/>
    <x v="0"/>
    <s v="KL"/>
    <s v="GN/SN"/>
    <x v="7"/>
    <n v="14"/>
    <m/>
    <n v="7"/>
    <m/>
    <n v="2"/>
    <n v="24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2"/>
    <n v="25"/>
    <s v="R"/>
    <n v="41"/>
    <m/>
    <m/>
    <m/>
    <m/>
    <m/>
    <x v="9"/>
  </r>
  <r>
    <x v="12"/>
    <x v="1"/>
    <x v="9"/>
    <s v="boundary; commercial"/>
    <x v="0"/>
    <s v="KL"/>
    <s v="GN/SN"/>
    <x v="7"/>
    <n v="14"/>
    <m/>
    <n v="7"/>
    <m/>
    <n v="3"/>
    <n v="1"/>
    <s v="R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2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3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4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5"/>
    <n v="52"/>
    <m/>
    <m/>
    <m/>
    <m/>
    <s v="poor"/>
    <m/>
    <x v="0"/>
  </r>
  <r>
    <x v="12"/>
    <x v="1"/>
    <x v="9"/>
    <s v="boundary; commercial"/>
    <x v="0"/>
    <s v="KL"/>
    <s v="GN/SN"/>
    <x v="7"/>
    <n v="14"/>
    <m/>
    <n v="7"/>
    <m/>
    <n v="3"/>
    <n v="6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7"/>
    <n v="52"/>
    <s v="R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8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9"/>
    <n v="52"/>
    <s v="R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10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11"/>
    <s v="R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12"/>
    <n v="52"/>
    <s v="NA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13"/>
    <s v="R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14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15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16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17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18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19"/>
    <n v="52"/>
    <n v="52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20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21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22"/>
    <n v="31"/>
    <m/>
    <m/>
    <m/>
    <m/>
    <s v="poor"/>
    <m/>
    <x v="6"/>
  </r>
  <r>
    <x v="12"/>
    <x v="1"/>
    <x v="9"/>
    <s v="boundary; commercial"/>
    <x v="0"/>
    <s v="KL"/>
    <s v="GN/SN"/>
    <x v="7"/>
    <n v="14"/>
    <m/>
    <n v="7"/>
    <m/>
    <n v="3"/>
    <n v="23"/>
    <n v="42"/>
    <n v="42"/>
    <m/>
    <m/>
    <m/>
    <m/>
    <m/>
    <x v="1"/>
  </r>
  <r>
    <x v="12"/>
    <x v="1"/>
    <x v="9"/>
    <s v="boundary; commercial"/>
    <x v="0"/>
    <s v="KL"/>
    <s v="GN/SN"/>
    <x v="7"/>
    <n v="14"/>
    <m/>
    <n v="7"/>
    <m/>
    <n v="3"/>
    <n v="24"/>
    <n v="52"/>
    <s v="R"/>
    <m/>
    <m/>
    <m/>
    <m/>
    <m/>
    <x v="0"/>
  </r>
  <r>
    <x v="12"/>
    <x v="1"/>
    <x v="9"/>
    <s v="boundary; commercial"/>
    <x v="0"/>
    <s v="KL"/>
    <s v="GN/SN"/>
    <x v="7"/>
    <n v="14"/>
    <m/>
    <n v="7"/>
    <m/>
    <n v="3"/>
    <n v="25"/>
    <n v="42"/>
    <n v="42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1"/>
    <n v="53"/>
    <n v="53"/>
    <m/>
    <m/>
    <m/>
    <m/>
    <m/>
    <x v="3"/>
  </r>
  <r>
    <x v="13"/>
    <x v="1"/>
    <x v="2"/>
    <s v="Jap Bay; tagging vessel"/>
    <x v="0"/>
    <s v="DG/YY"/>
    <s v="SN"/>
    <x v="7"/>
    <n v="21"/>
    <m/>
    <n v="7"/>
    <m/>
    <n v="1"/>
    <n v="2"/>
    <s v="NA"/>
    <n v="52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3"/>
    <m/>
    <n v="42"/>
    <m/>
    <m/>
    <m/>
    <s v="poor"/>
    <m/>
    <x v="1"/>
  </r>
  <r>
    <x v="13"/>
    <x v="1"/>
    <x v="2"/>
    <s v="Jap Bay; tagging vessel"/>
    <x v="0"/>
    <s v="DG/YY"/>
    <s v="SN"/>
    <x v="7"/>
    <n v="21"/>
    <m/>
    <n v="7"/>
    <m/>
    <n v="1"/>
    <n v="4"/>
    <n v="42"/>
    <n v="42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5"/>
    <s v="R"/>
    <n v="42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6"/>
    <n v="53"/>
    <n v="53"/>
    <m/>
    <m/>
    <m/>
    <m/>
    <m/>
    <x v="3"/>
  </r>
  <r>
    <x v="13"/>
    <x v="1"/>
    <x v="2"/>
    <s v="Jap Bay; tagging vessel"/>
    <x v="0"/>
    <s v="DG/YY"/>
    <s v="SN"/>
    <x v="7"/>
    <n v="21"/>
    <m/>
    <n v="7"/>
    <m/>
    <n v="1"/>
    <n v="7"/>
    <n v="42"/>
    <n v="42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8"/>
    <n v="42"/>
    <s v="NA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9"/>
    <n v="42"/>
    <s v="NA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10"/>
    <n v="42"/>
    <s v="NA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11"/>
    <n v="42"/>
    <n v="42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12"/>
    <s v="NA"/>
    <n v="52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13"/>
    <s v="NA"/>
    <s v="R"/>
    <m/>
    <m/>
    <m/>
    <m/>
    <m/>
    <x v="2"/>
  </r>
  <r>
    <x v="13"/>
    <x v="1"/>
    <x v="2"/>
    <s v="Jap Bay; tagging vessel"/>
    <x v="0"/>
    <s v="DG/YY"/>
    <s v="SN"/>
    <x v="7"/>
    <n v="21"/>
    <m/>
    <n v="7"/>
    <m/>
    <n v="1"/>
    <n v="14"/>
    <n v="42"/>
    <n v="42"/>
    <m/>
    <m/>
    <m/>
    <m/>
    <m/>
    <x v="1"/>
  </r>
  <r>
    <x v="13"/>
    <x v="1"/>
    <x v="2"/>
    <s v="Jap Bay; tagging vessel"/>
    <x v="0"/>
    <s v="DG/YY"/>
    <s v="SN"/>
    <x v="7"/>
    <n v="21"/>
    <m/>
    <n v="7"/>
    <m/>
    <n v="1"/>
    <n v="15"/>
    <n v="52"/>
    <s v="NA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16"/>
    <s v="R"/>
    <s v="R"/>
    <m/>
    <m/>
    <m/>
    <m/>
    <m/>
    <x v="2"/>
  </r>
  <r>
    <x v="13"/>
    <x v="1"/>
    <x v="2"/>
    <s v="Jap Bay; tagging vessel"/>
    <x v="0"/>
    <s v="DG/YY"/>
    <s v="SN"/>
    <x v="7"/>
    <n v="21"/>
    <m/>
    <n v="7"/>
    <m/>
    <n v="1"/>
    <n v="17"/>
    <n v="52"/>
    <n v="52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18"/>
    <s v="NA"/>
    <n v="52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19"/>
    <n v="52"/>
    <n v="52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20"/>
    <s v="NA"/>
    <s v="R"/>
    <m/>
    <m/>
    <m/>
    <m/>
    <m/>
    <x v="2"/>
  </r>
  <r>
    <x v="13"/>
    <x v="1"/>
    <x v="2"/>
    <s v="Jap Bay; tagging vessel"/>
    <x v="0"/>
    <s v="DG/YY"/>
    <s v="SN"/>
    <x v="7"/>
    <n v="21"/>
    <m/>
    <n v="7"/>
    <m/>
    <n v="1"/>
    <n v="21"/>
    <n v="52"/>
    <s v="NA"/>
    <m/>
    <m/>
    <m/>
    <m/>
    <m/>
    <x v="0"/>
  </r>
  <r>
    <x v="13"/>
    <x v="1"/>
    <x v="2"/>
    <s v="Jap Bay; tagging vessel"/>
    <x v="0"/>
    <s v="DG/YY"/>
    <s v="SN"/>
    <x v="7"/>
    <n v="21"/>
    <m/>
    <n v="7"/>
    <m/>
    <n v="1"/>
    <n v="22"/>
    <s v="NA"/>
    <s v="NA"/>
    <m/>
    <m/>
    <m/>
    <m/>
    <m/>
    <x v="2"/>
  </r>
  <r>
    <x v="13"/>
    <x v="1"/>
    <x v="2"/>
    <s v="Jap Bay; tagging vessel"/>
    <x v="0"/>
    <s v="DG/YY"/>
    <s v="SN"/>
    <x v="7"/>
    <n v="21"/>
    <m/>
    <n v="7"/>
    <m/>
    <n v="1"/>
    <n v="23"/>
    <s v="R"/>
    <s v="R"/>
    <m/>
    <m/>
    <m/>
    <m/>
    <m/>
    <x v="2"/>
  </r>
  <r>
    <x v="13"/>
    <x v="1"/>
    <x v="2"/>
    <s v="Jap Bay; tagging vessel"/>
    <x v="0"/>
    <s v="DG/YY"/>
    <s v="SN"/>
    <x v="7"/>
    <n v="21"/>
    <m/>
    <n v="7"/>
    <m/>
    <n v="1"/>
    <n v="24"/>
    <m/>
    <n v="42"/>
    <m/>
    <m/>
    <m/>
    <s v="?"/>
    <m/>
    <x v="1"/>
  </r>
  <r>
    <x v="13"/>
    <x v="1"/>
    <x v="2"/>
    <s v="Jap Bay; tagging vessel"/>
    <x v="0"/>
    <s v="DG/YY"/>
    <s v="SN"/>
    <x v="7"/>
    <n v="21"/>
    <m/>
    <n v="7"/>
    <m/>
    <n v="1"/>
    <n v="25"/>
    <n v="52"/>
    <s v="NA"/>
    <m/>
    <m/>
    <m/>
    <m/>
    <m/>
    <x v="0"/>
  </r>
  <r>
    <x v="14"/>
    <x v="1"/>
    <x v="2"/>
    <s v="S. Boundary Koeye; tagging vessel"/>
    <x v="0"/>
    <s v="DG/YY"/>
    <s v="SN"/>
    <x v="7"/>
    <n v="6"/>
    <m/>
    <n v="8"/>
    <m/>
    <n v="2"/>
    <n v="1"/>
    <s v="NA"/>
    <s v="NA"/>
    <m/>
    <m/>
    <m/>
    <m/>
    <m/>
    <x v="2"/>
  </r>
  <r>
    <x v="14"/>
    <x v="1"/>
    <x v="2"/>
    <s v="S. Boundary Koeye; tagging vessel"/>
    <x v="0"/>
    <s v="DG/YY"/>
    <s v="SN"/>
    <x v="7"/>
    <n v="6"/>
    <m/>
    <n v="8"/>
    <m/>
    <n v="2"/>
    <n v="2"/>
    <n v="42"/>
    <s v="NA"/>
    <m/>
    <m/>
    <m/>
    <m/>
    <m/>
    <x v="1"/>
  </r>
  <r>
    <x v="14"/>
    <x v="1"/>
    <x v="2"/>
    <s v="S. Boundary Koeye; tagging vessel"/>
    <x v="0"/>
    <s v="DG/YY"/>
    <s v="SN"/>
    <x v="7"/>
    <n v="6"/>
    <m/>
    <n v="8"/>
    <m/>
    <n v="2"/>
    <n v="3"/>
    <n v="52"/>
    <n v="52"/>
    <m/>
    <m/>
    <m/>
    <m/>
    <m/>
    <x v="0"/>
  </r>
  <r>
    <x v="14"/>
    <x v="1"/>
    <x v="2"/>
    <s v="S. Boundary Koeye; tagging vessel"/>
    <x v="0"/>
    <s v="DG/YY"/>
    <s v="SN"/>
    <x v="7"/>
    <n v="6"/>
    <m/>
    <n v="8"/>
    <m/>
    <n v="2"/>
    <n v="4"/>
    <s v="NA"/>
    <s v="NA"/>
    <m/>
    <m/>
    <m/>
    <m/>
    <m/>
    <x v="2"/>
  </r>
  <r>
    <x v="15"/>
    <x v="1"/>
    <x v="4"/>
    <s v="3; FSC"/>
    <x v="0"/>
    <s v="DG"/>
    <s v="GN"/>
    <x v="8"/>
    <n v="16"/>
    <m/>
    <n v="7"/>
    <m/>
    <n v="1"/>
    <n v="1"/>
    <n v="41"/>
    <n v="41"/>
    <n v="41"/>
    <n v="41"/>
    <m/>
    <s v="2.NP"/>
    <m/>
    <x v="9"/>
  </r>
  <r>
    <x v="15"/>
    <x v="1"/>
    <x v="4"/>
    <s v="3; FSC"/>
    <x v="0"/>
    <s v="DG"/>
    <s v="GN"/>
    <x v="8"/>
    <n v="16"/>
    <m/>
    <n v="7"/>
    <m/>
    <n v="1"/>
    <n v="3"/>
    <s v="R"/>
    <s v="R"/>
    <n v="52"/>
    <n v="52"/>
    <m/>
    <m/>
    <m/>
    <x v="0"/>
  </r>
  <r>
    <x v="15"/>
    <x v="1"/>
    <x v="4"/>
    <s v="3; FSC"/>
    <x v="0"/>
    <s v="DG"/>
    <s v="GN"/>
    <x v="8"/>
    <n v="16"/>
    <m/>
    <n v="7"/>
    <m/>
    <n v="1"/>
    <n v="6"/>
    <n v="52"/>
    <n v="52"/>
    <n v="52"/>
    <s v="R"/>
    <m/>
    <m/>
    <m/>
    <x v="0"/>
  </r>
  <r>
    <x v="15"/>
    <x v="1"/>
    <x v="4"/>
    <s v="3; FSC"/>
    <x v="0"/>
    <s v="DG"/>
    <s v="GN"/>
    <x v="8"/>
    <n v="16"/>
    <m/>
    <n v="7"/>
    <m/>
    <n v="1"/>
    <n v="8"/>
    <n v="52"/>
    <n v="52"/>
    <n v="52"/>
    <n v="52"/>
    <m/>
    <m/>
    <m/>
    <x v="0"/>
  </r>
  <r>
    <x v="15"/>
    <x v="1"/>
    <x v="4"/>
    <s v="3; FSC"/>
    <x v="0"/>
    <s v="DG"/>
    <s v="GN"/>
    <x v="8"/>
    <n v="16"/>
    <m/>
    <n v="7"/>
    <m/>
    <n v="1"/>
    <n v="11"/>
    <s v="R"/>
    <s v="R"/>
    <s v="R"/>
    <n v="41"/>
    <m/>
    <m/>
    <m/>
    <x v="9"/>
  </r>
  <r>
    <x v="15"/>
    <x v="1"/>
    <x v="4"/>
    <s v="3; FSC"/>
    <x v="0"/>
    <s v="DG"/>
    <s v="GN"/>
    <x v="8"/>
    <n v="16"/>
    <m/>
    <n v="7"/>
    <m/>
    <n v="1"/>
    <n v="13"/>
    <n v="52"/>
    <s v="W"/>
    <n v="52"/>
    <n v="52"/>
    <m/>
    <m/>
    <m/>
    <x v="0"/>
  </r>
  <r>
    <x v="15"/>
    <x v="1"/>
    <x v="4"/>
    <s v="3; FSC"/>
    <x v="0"/>
    <s v="DG"/>
    <s v="GN"/>
    <x v="8"/>
    <n v="16"/>
    <m/>
    <n v="7"/>
    <m/>
    <n v="1"/>
    <n v="16"/>
    <s v="W"/>
    <s v="R"/>
    <n v="52"/>
    <s v="R"/>
    <m/>
    <m/>
    <m/>
    <x v="0"/>
  </r>
  <r>
    <x v="15"/>
    <x v="1"/>
    <x v="4"/>
    <s v="3; FSC"/>
    <x v="0"/>
    <s v="DG"/>
    <s v="GN"/>
    <x v="8"/>
    <n v="16"/>
    <m/>
    <n v="7"/>
    <m/>
    <n v="1"/>
    <n v="18"/>
    <s v="W"/>
    <n v="53"/>
    <s v="UD"/>
    <n v="53"/>
    <m/>
    <m/>
    <m/>
    <x v="3"/>
  </r>
  <r>
    <x v="15"/>
    <x v="1"/>
    <x v="4"/>
    <s v="3; FSC"/>
    <x v="0"/>
    <s v="DG"/>
    <s v="GN"/>
    <x v="8"/>
    <n v="16"/>
    <m/>
    <n v="7"/>
    <m/>
    <n v="1"/>
    <n v="21"/>
    <s v="NS"/>
    <n v="42"/>
    <n v="42"/>
    <s v="R"/>
    <m/>
    <s v="2.NP"/>
    <m/>
    <x v="1"/>
  </r>
  <r>
    <x v="15"/>
    <x v="1"/>
    <x v="4"/>
    <s v="3; FSC"/>
    <x v="0"/>
    <s v="DG"/>
    <s v="GN"/>
    <x v="8"/>
    <n v="16"/>
    <m/>
    <n v="7"/>
    <m/>
    <n v="1"/>
    <n v="23"/>
    <s v="R"/>
    <s v="NP"/>
    <n v="63"/>
    <s v="R"/>
    <m/>
    <s v="4.7+10"/>
    <m/>
    <x v="4"/>
  </r>
  <r>
    <x v="15"/>
    <x v="1"/>
    <x v="4"/>
    <s v="3; FSC"/>
    <x v="0"/>
    <s v="DG"/>
    <s v="GN"/>
    <x v="8"/>
    <n v="16"/>
    <m/>
    <n v="7"/>
    <m/>
    <n v="2"/>
    <n v="1"/>
    <s v="W"/>
    <s v="W"/>
    <s v="R"/>
    <s v="W"/>
    <m/>
    <m/>
    <m/>
    <x v="2"/>
  </r>
  <r>
    <x v="15"/>
    <x v="1"/>
    <x v="4"/>
    <s v="3; FSC"/>
    <x v="0"/>
    <s v="DG"/>
    <s v="GN"/>
    <x v="8"/>
    <n v="16"/>
    <m/>
    <n v="7"/>
    <m/>
    <n v="2"/>
    <n v="3"/>
    <s v="R"/>
    <s v="R"/>
    <s v="R"/>
    <s v="R"/>
    <m/>
    <m/>
    <m/>
    <x v="2"/>
  </r>
  <r>
    <x v="15"/>
    <x v="1"/>
    <x v="4"/>
    <s v="3; FSC"/>
    <x v="0"/>
    <s v="DG"/>
    <s v="GN"/>
    <x v="8"/>
    <n v="16"/>
    <m/>
    <n v="7"/>
    <m/>
    <n v="2"/>
    <n v="6"/>
    <s v="W"/>
    <n v="42"/>
    <s v="W"/>
    <s v="W"/>
    <m/>
    <s v="2.W"/>
    <m/>
    <x v="1"/>
  </r>
  <r>
    <x v="15"/>
    <x v="1"/>
    <x v="4"/>
    <s v="3; FSC"/>
    <x v="0"/>
    <s v="DG"/>
    <s v="GN"/>
    <x v="8"/>
    <n v="16"/>
    <m/>
    <n v="7"/>
    <m/>
    <n v="2"/>
    <n v="8"/>
    <s v="R"/>
    <s v="W"/>
    <s v="W"/>
    <s v="R"/>
    <m/>
    <m/>
    <m/>
    <x v="2"/>
  </r>
  <r>
    <x v="15"/>
    <x v="1"/>
    <x v="4"/>
    <s v="3; FSC"/>
    <x v="0"/>
    <s v="DG"/>
    <s v="GN"/>
    <x v="8"/>
    <n v="16"/>
    <m/>
    <n v="7"/>
    <m/>
    <n v="2"/>
    <n v="11"/>
    <s v="W"/>
    <s v="R"/>
    <s v="W"/>
    <s v="W"/>
    <m/>
    <m/>
    <m/>
    <x v="2"/>
  </r>
  <r>
    <x v="15"/>
    <x v="1"/>
    <x v="4"/>
    <s v="3; FSC"/>
    <x v="0"/>
    <s v="DG"/>
    <s v="GN"/>
    <x v="8"/>
    <n v="16"/>
    <m/>
    <n v="7"/>
    <m/>
    <n v="2"/>
    <n v="13"/>
    <s v="NP"/>
    <s v="R"/>
    <s v="W"/>
    <s v="W"/>
    <m/>
    <m/>
    <m/>
    <x v="2"/>
  </r>
  <r>
    <x v="15"/>
    <x v="1"/>
    <x v="4"/>
    <s v="3; FSC"/>
    <x v="0"/>
    <s v="DG"/>
    <s v="GN"/>
    <x v="8"/>
    <n v="16"/>
    <m/>
    <n v="7"/>
    <m/>
    <n v="2"/>
    <n v="16"/>
    <s v="W"/>
    <s v="NS"/>
    <s v="W"/>
    <s v="W"/>
    <m/>
    <m/>
    <m/>
    <x v="2"/>
  </r>
  <r>
    <x v="15"/>
    <x v="1"/>
    <x v="4"/>
    <s v="3; FSC"/>
    <x v="0"/>
    <s v="DG"/>
    <s v="GN"/>
    <x v="8"/>
    <n v="16"/>
    <m/>
    <n v="7"/>
    <m/>
    <n v="2"/>
    <n v="18"/>
    <s v="R"/>
    <s v="R"/>
    <s v="R"/>
    <s v="R"/>
    <m/>
    <m/>
    <m/>
    <x v="2"/>
  </r>
  <r>
    <x v="15"/>
    <x v="1"/>
    <x v="4"/>
    <s v="3; FSC"/>
    <x v="0"/>
    <s v="DG"/>
    <s v="GN"/>
    <x v="8"/>
    <n v="16"/>
    <m/>
    <n v="7"/>
    <m/>
    <n v="2"/>
    <n v="21"/>
    <s v="R"/>
    <s v="UD"/>
    <s v="NP"/>
    <s v="NP"/>
    <m/>
    <m/>
    <m/>
    <x v="2"/>
  </r>
  <r>
    <x v="15"/>
    <x v="1"/>
    <x v="4"/>
    <s v="3; FSC"/>
    <x v="0"/>
    <s v="DG"/>
    <s v="GN"/>
    <x v="8"/>
    <n v="16"/>
    <m/>
    <n v="7"/>
    <m/>
    <n v="2"/>
    <n v="23"/>
    <n v="52"/>
    <s v="W"/>
    <n v="52"/>
    <n v="52"/>
    <m/>
    <m/>
    <m/>
    <x v="0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  <r>
    <x v="16"/>
    <x v="3"/>
    <x v="10"/>
    <m/>
    <x v="3"/>
    <m/>
    <m/>
    <x v="9"/>
    <m/>
    <m/>
    <m/>
    <m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3596D-F07E-4C42-803D-751ADB8C525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" firstHeaderRow="0" firstDataRow="0" firstDataCol="0" rowPageCount="1" colPageCount="1"/>
  <pivotFields count="20"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>
      <items count="10">
        <item x="4"/>
        <item x="0"/>
        <item x="7"/>
        <item x="6"/>
        <item x="5"/>
        <item x="2"/>
        <item x="3"/>
        <item x="1"/>
        <item x="8"/>
        <item t="default"/>
      </items>
    </pivotField>
    <pivotField showAll="0"/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03928-D76D-4665-BAE3-D7864D9F07C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M56" firstHeaderRow="1" firstDataRow="2" firstDataCol="1"/>
  <pivotFields count="22">
    <pivotField showAll="0"/>
    <pivotField showAll="0"/>
    <pivotField axis="axisRow" showAll="0">
      <items count="12">
        <item x="5"/>
        <item x="6"/>
        <item x="2"/>
        <item x="3"/>
        <item x="0"/>
        <item x="4"/>
        <item x="1"/>
        <item x="9"/>
        <item x="8"/>
        <item x="7"/>
        <item x="10"/>
        <item t="default"/>
      </items>
    </pivotField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4">
        <item x="7"/>
        <item x="6"/>
        <item x="8"/>
        <item x="9"/>
        <item x="1"/>
        <item x="11"/>
        <item x="10"/>
        <item x="0"/>
        <item x="3"/>
        <item x="4"/>
        <item x="5"/>
        <item h="1" x="2"/>
        <item h="1" x="12"/>
        <item t="default"/>
      </items>
    </pivotField>
  </pivotFields>
  <rowFields count="2">
    <field x="7"/>
    <field x="2"/>
  </rowFields>
  <rowItems count="24">
    <i>
      <x/>
    </i>
    <i r="1">
      <x v="4"/>
    </i>
    <i>
      <x v="1"/>
    </i>
    <i r="1">
      <x v="2"/>
    </i>
    <i r="1">
      <x v="3"/>
    </i>
    <i r="1">
      <x v="6"/>
    </i>
    <i>
      <x v="2"/>
    </i>
    <i r="1">
      <x v="4"/>
    </i>
    <i>
      <x v="4"/>
    </i>
    <i r="1">
      <x v="4"/>
    </i>
    <i r="1">
      <x v="5"/>
    </i>
    <i>
      <x v="5"/>
    </i>
    <i r="1">
      <x/>
    </i>
    <i r="1">
      <x v="1"/>
    </i>
    <i r="1">
      <x v="5"/>
    </i>
    <i>
      <x v="6"/>
    </i>
    <i r="1">
      <x v="8"/>
    </i>
    <i r="1">
      <x v="9"/>
    </i>
    <i>
      <x v="7"/>
    </i>
    <i r="1">
      <x v="2"/>
    </i>
    <i r="1">
      <x v="7"/>
    </i>
    <i>
      <x v="8"/>
    </i>
    <i r="1">
      <x v="5"/>
    </i>
    <i t="grand">
      <x/>
    </i>
  </rowItems>
  <colFields count="1">
    <field x="2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final_age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C2C1D-7C91-4116-847E-A122B794C2E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3" firstHeaderRow="1" firstDataRow="2" firstDataCol="1"/>
  <pivotFields count="22">
    <pivotField showAll="0"/>
    <pivotField showAll="0"/>
    <pivotField showAll="0">
      <items count="12">
        <item x="5"/>
        <item x="6"/>
        <item x="2"/>
        <item x="3"/>
        <item x="0"/>
        <item x="4"/>
        <item x="1"/>
        <item x="9"/>
        <item x="8"/>
        <item x="7"/>
        <item x="10"/>
        <item t="default"/>
      </items>
    </pivotField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4">
        <item x="7"/>
        <item x="6"/>
        <item x="8"/>
        <item x="9"/>
        <item x="1"/>
        <item x="11"/>
        <item x="10"/>
        <item x="0"/>
        <item x="3"/>
        <item x="4"/>
        <item x="5"/>
        <item h="1" x="2"/>
        <item h="1" x="12"/>
        <item t="default"/>
      </items>
    </pivotField>
  </pivotFields>
  <rowFields count="1">
    <field x="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Fields count="1">
    <field x="2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final_age" fld="21" subtotal="count" baseField="0" baseItem="0"/>
  </dataFields>
  <formats count="4">
    <format dxfId="3">
      <pivotArea collapsedLevelsAreSubtotals="1" fieldPosition="0">
        <references count="1">
          <reference field="7" count="1">
            <x v="5"/>
          </reference>
        </references>
      </pivotArea>
    </format>
    <format dxfId="2">
      <pivotArea dataOnly="0" labelOnly="1" fieldPosition="0">
        <references count="1">
          <reference field="7" count="1">
            <x v="5"/>
          </reference>
        </references>
      </pivotArea>
    </format>
    <format dxfId="1">
      <pivotArea collapsedLevelsAreSubtotals="1" fieldPosition="0">
        <references count="1">
          <reference field="7" count="1">
            <x v="4"/>
          </reference>
        </references>
      </pivotArea>
    </format>
    <format dxfId="0">
      <pivotArea dataOnly="0" labelOnly="1" fieldPosition="0">
        <references count="1">
          <reference field="7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B494B-6127-4F68-B32C-210924262DA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I10" firstHeaderRow="1" firstDataRow="2" firstDataCol="1" rowPageCount="2" colPageCount="1"/>
  <pivotFields count="22"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h="1" x="12"/>
        <item h="1" x="13"/>
        <item h="1" x="14"/>
        <item h="1" x="15"/>
        <item h="1" x="1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12">
        <item x="5"/>
        <item x="6"/>
        <item x="2"/>
        <item x="3"/>
        <item x="0"/>
        <item x="4"/>
        <item x="1"/>
        <item x="9"/>
        <item x="8"/>
        <item x="7"/>
        <item x="10"/>
        <item t="default"/>
      </items>
    </pivotField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4">
        <item x="7"/>
        <item x="6"/>
        <item x="8"/>
        <item x="9"/>
        <item x="1"/>
        <item x="11"/>
        <item x="10"/>
        <item x="0"/>
        <item x="3"/>
        <item x="4"/>
        <item x="5"/>
        <item x="2"/>
        <item x="12"/>
        <item t="default"/>
      </items>
    </pivotField>
  </pivotFields>
  <rowFields count="2">
    <field x="2"/>
    <field x="7"/>
  </rowFields>
  <rowItems count="5">
    <i>
      <x v="8"/>
    </i>
    <i r="1">
      <x v="6"/>
    </i>
    <i>
      <x v="9"/>
    </i>
    <i r="1">
      <x v="6"/>
    </i>
    <i t="grand">
      <x/>
    </i>
  </rowItems>
  <colFields count="1">
    <field x="21"/>
  </colFields>
  <colItems count="8">
    <i>
      <x v="1"/>
    </i>
    <i>
      <x v="3"/>
    </i>
    <i>
      <x v="4"/>
    </i>
    <i>
      <x v="7"/>
    </i>
    <i>
      <x v="8"/>
    </i>
    <i>
      <x v="9"/>
    </i>
    <i>
      <x v="11"/>
    </i>
    <i t="grand">
      <x/>
    </i>
  </colItems>
  <pageFields count="2">
    <pageField fld="0" hier="-1"/>
    <pageField fld="4" item="2" hier="-1"/>
  </pageFields>
  <dataFields count="1">
    <dataField name="Count of final_age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0"/>
  <sheetViews>
    <sheetView workbookViewId="0">
      <selection activeCell="A9" sqref="A9"/>
    </sheetView>
  </sheetViews>
  <sheetFormatPr defaultColWidth="14.42578125" defaultRowHeight="15" customHeight="1" x14ac:dyDescent="0.25"/>
  <cols>
    <col min="1" max="26" width="8.7109375" customWidth="1"/>
  </cols>
  <sheetData>
    <row r="2" spans="1:1" x14ac:dyDescent="0.25">
      <c r="A2" s="7" t="s">
        <v>250</v>
      </c>
    </row>
    <row r="3" spans="1:1" x14ac:dyDescent="0.25">
      <c r="A3" s="7" t="s">
        <v>21</v>
      </c>
    </row>
    <row r="4" spans="1:1" x14ac:dyDescent="0.25">
      <c r="A4" s="7" t="s">
        <v>36</v>
      </c>
    </row>
    <row r="5" spans="1:1" x14ac:dyDescent="0.25">
      <c r="A5" s="7" t="s">
        <v>43</v>
      </c>
    </row>
    <row r="8" spans="1:1" ht="15" customHeight="1" x14ac:dyDescent="0.25">
      <c r="A8" t="s">
        <v>251</v>
      </c>
    </row>
    <row r="16" spans="1:1" x14ac:dyDescent="0.25">
      <c r="A16" s="7"/>
    </row>
    <row r="18" spans="1:1" x14ac:dyDescent="0.25">
      <c r="A18" s="7"/>
    </row>
    <row r="19" spans="1:1" x14ac:dyDescent="0.25">
      <c r="A19" s="11"/>
    </row>
    <row r="20" spans="1:1" x14ac:dyDescent="0.25">
      <c r="A20" s="11"/>
    </row>
    <row r="21" spans="1:1" ht="15.75" customHeight="1" x14ac:dyDescent="0.25">
      <c r="A21" s="11"/>
    </row>
    <row r="22" spans="1:1" ht="15.75" customHeight="1" x14ac:dyDescent="0.25">
      <c r="A22" s="11"/>
    </row>
    <row r="23" spans="1:1" ht="15.75" customHeight="1" x14ac:dyDescent="0.25">
      <c r="A23" s="11"/>
    </row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E1F7-0A9A-479C-9861-B86BED3693D8}">
  <dimension ref="A1:B1"/>
  <sheetViews>
    <sheetView workbookViewId="0"/>
  </sheetViews>
  <sheetFormatPr defaultRowHeight="15" x14ac:dyDescent="0.25"/>
  <cols>
    <col min="1" max="1" width="4.85546875" bestFit="1" customWidth="1"/>
    <col min="2" max="2" width="7.140625" bestFit="1" customWidth="1"/>
    <col min="3" max="3" width="4.7109375" bestFit="1" customWidth="1"/>
    <col min="4" max="4" width="3.7109375" bestFit="1" customWidth="1"/>
    <col min="5" max="5" width="6.85546875" bestFit="1" customWidth="1"/>
    <col min="6" max="6" width="4" bestFit="1" customWidth="1"/>
    <col min="7" max="8" width="3.28515625" bestFit="1" customWidth="1"/>
    <col min="9" max="9" width="4" bestFit="1" customWidth="1"/>
    <col min="10" max="10" width="7.28515625" bestFit="1" customWidth="1"/>
    <col min="11" max="12" width="11.28515625" bestFit="1" customWidth="1"/>
    <col min="13" max="14" width="9.7109375" bestFit="1" customWidth="1"/>
    <col min="15" max="15" width="6.85546875" bestFit="1" customWidth="1"/>
    <col min="16" max="26" width="9.7109375" bestFit="1" customWidth="1"/>
    <col min="27" max="27" width="6.85546875" bestFit="1" customWidth="1"/>
    <col min="28" max="33" width="9.7109375" bestFit="1" customWidth="1"/>
    <col min="34" max="34" width="6.85546875" bestFit="1" customWidth="1"/>
    <col min="35" max="38" width="9.7109375" bestFit="1" customWidth="1"/>
    <col min="39" max="39" width="6.85546875" bestFit="1" customWidth="1"/>
    <col min="40" max="42" width="9.7109375" bestFit="1" customWidth="1"/>
    <col min="43" max="43" width="6.85546875" bestFit="1" customWidth="1"/>
    <col min="44" max="46" width="9.7109375" bestFit="1" customWidth="1"/>
    <col min="47" max="47" width="6.85546875" bestFit="1" customWidth="1"/>
    <col min="48" max="49" width="9.7109375" bestFit="1" customWidth="1"/>
    <col min="50" max="50" width="6.85546875" bestFit="1" customWidth="1"/>
    <col min="51" max="51" width="9.7109375" bestFit="1" customWidth="1"/>
    <col min="52" max="52" width="6.85546875" bestFit="1" customWidth="1"/>
    <col min="53" max="53" width="9.7109375" bestFit="1" customWidth="1"/>
    <col min="54" max="54" width="6.85546875" bestFit="1" customWidth="1"/>
    <col min="56" max="56" width="12.140625" bestFit="1" customWidth="1"/>
    <col min="57" max="57" width="11.28515625" bestFit="1" customWidth="1"/>
  </cols>
  <sheetData>
    <row r="1" spans="1:2" x14ac:dyDescent="0.25">
      <c r="A1" s="14" t="s">
        <v>7</v>
      </c>
      <c r="B1" t="s">
        <v>258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3258-63BA-44C9-8CE5-151DCC18802F}">
  <dimension ref="A3:T56"/>
  <sheetViews>
    <sheetView workbookViewId="0">
      <selection activeCell="N12" sqref="N12:O12"/>
    </sheetView>
  </sheetViews>
  <sheetFormatPr defaultRowHeight="15" x14ac:dyDescent="0.25"/>
  <cols>
    <col min="1" max="1" width="17.42578125" bestFit="1" customWidth="1"/>
    <col min="2" max="2" width="16.28515625" bestFit="1" customWidth="1"/>
    <col min="3" max="5" width="3" bestFit="1" customWidth="1"/>
    <col min="6" max="6" width="4" bestFit="1" customWidth="1"/>
    <col min="7" max="8" width="3" bestFit="1" customWidth="1"/>
    <col min="9" max="9" width="4" bestFit="1" customWidth="1"/>
    <col min="10" max="12" width="3" bestFit="1" customWidth="1"/>
    <col min="13" max="13" width="11.28515625" bestFit="1" customWidth="1"/>
    <col min="14" max="14" width="7.28515625" bestFit="1" customWidth="1"/>
    <col min="15" max="15" width="11.28515625" bestFit="1" customWidth="1"/>
  </cols>
  <sheetData>
    <row r="3" spans="1:20" x14ac:dyDescent="0.25">
      <c r="A3" s="14" t="s">
        <v>256</v>
      </c>
      <c r="B3" s="14" t="s">
        <v>254</v>
      </c>
    </row>
    <row r="4" spans="1:20" x14ac:dyDescent="0.25">
      <c r="A4" s="14" t="s">
        <v>252</v>
      </c>
      <c r="B4">
        <v>21</v>
      </c>
      <c r="C4">
        <v>31</v>
      </c>
      <c r="D4">
        <v>32</v>
      </c>
      <c r="E4">
        <v>41</v>
      </c>
      <c r="F4">
        <v>42</v>
      </c>
      <c r="G4">
        <v>43</v>
      </c>
      <c r="H4">
        <v>51</v>
      </c>
      <c r="I4">
        <v>52</v>
      </c>
      <c r="J4">
        <v>53</v>
      </c>
      <c r="K4">
        <v>63</v>
      </c>
      <c r="L4">
        <v>64</v>
      </c>
      <c r="M4" t="s">
        <v>253</v>
      </c>
      <c r="O4">
        <v>2</v>
      </c>
      <c r="P4">
        <v>3</v>
      </c>
      <c r="Q4">
        <v>4</v>
      </c>
      <c r="R4">
        <v>5</v>
      </c>
      <c r="S4">
        <v>6</v>
      </c>
      <c r="T4" t="s">
        <v>257</v>
      </c>
    </row>
    <row r="5" spans="1:20" x14ac:dyDescent="0.25">
      <c r="A5" s="15">
        <v>1971</v>
      </c>
      <c r="F5">
        <v>35</v>
      </c>
      <c r="I5">
        <v>4</v>
      </c>
      <c r="J5">
        <v>1</v>
      </c>
      <c r="M5">
        <v>40</v>
      </c>
      <c r="N5" s="15">
        <v>1971</v>
      </c>
      <c r="O5">
        <v>0</v>
      </c>
      <c r="P5">
        <f>SUM(C5:D5)</f>
        <v>0</v>
      </c>
      <c r="Q5">
        <f>SUM(E5:G5)</f>
        <v>35</v>
      </c>
      <c r="R5">
        <f>SUM(H5:J5)</f>
        <v>5</v>
      </c>
      <c r="S5">
        <f>SUM(K5:L5)</f>
        <v>0</v>
      </c>
      <c r="T5">
        <f>SUM(O5:S5)</f>
        <v>40</v>
      </c>
    </row>
    <row r="6" spans="1:20" x14ac:dyDescent="0.25">
      <c r="A6" s="15">
        <v>1972</v>
      </c>
      <c r="B6">
        <v>1</v>
      </c>
      <c r="C6">
        <v>16</v>
      </c>
      <c r="D6">
        <v>43</v>
      </c>
      <c r="E6">
        <v>2</v>
      </c>
      <c r="F6">
        <v>118</v>
      </c>
      <c r="G6">
        <v>4</v>
      </c>
      <c r="H6">
        <v>1</v>
      </c>
      <c r="I6">
        <v>79</v>
      </c>
      <c r="J6">
        <v>51</v>
      </c>
      <c r="K6">
        <v>9</v>
      </c>
      <c r="L6">
        <v>4</v>
      </c>
      <c r="M6">
        <v>328</v>
      </c>
      <c r="N6" s="15">
        <v>1972</v>
      </c>
      <c r="O6">
        <v>1</v>
      </c>
      <c r="P6">
        <f t="shared" ref="P6:P12" si="0">SUM(C6:D6)</f>
        <v>59</v>
      </c>
      <c r="Q6">
        <f t="shared" ref="Q6:Q12" si="1">SUM(E6:G6)</f>
        <v>124</v>
      </c>
      <c r="R6">
        <f t="shared" ref="R6:R11" si="2">SUM(H6:J6)</f>
        <v>131</v>
      </c>
      <c r="S6">
        <f t="shared" ref="S6:S12" si="3">SUM(K6:L6)</f>
        <v>13</v>
      </c>
      <c r="T6">
        <f t="shared" ref="T6:T12" si="4">SUM(O6:S6)</f>
        <v>328</v>
      </c>
    </row>
    <row r="7" spans="1:20" x14ac:dyDescent="0.25">
      <c r="A7" s="15">
        <v>1973</v>
      </c>
      <c r="F7">
        <v>12</v>
      </c>
      <c r="I7">
        <v>12</v>
      </c>
      <c r="J7">
        <v>1</v>
      </c>
      <c r="M7">
        <v>25</v>
      </c>
      <c r="N7" s="15">
        <v>1973</v>
      </c>
      <c r="O7">
        <v>0</v>
      </c>
      <c r="P7">
        <f t="shared" si="0"/>
        <v>0</v>
      </c>
      <c r="Q7">
        <f t="shared" si="1"/>
        <v>12</v>
      </c>
      <c r="R7">
        <f t="shared" si="2"/>
        <v>13</v>
      </c>
      <c r="S7">
        <f t="shared" si="3"/>
        <v>0</v>
      </c>
      <c r="T7">
        <f t="shared" si="4"/>
        <v>25</v>
      </c>
    </row>
    <row r="8" spans="1:20" x14ac:dyDescent="0.25">
      <c r="A8" s="15">
        <v>1976</v>
      </c>
      <c r="C8">
        <v>2</v>
      </c>
      <c r="D8">
        <v>2</v>
      </c>
      <c r="F8">
        <v>92</v>
      </c>
      <c r="I8">
        <v>38</v>
      </c>
      <c r="J8">
        <v>5</v>
      </c>
      <c r="K8">
        <v>1</v>
      </c>
      <c r="M8">
        <v>140</v>
      </c>
      <c r="N8" s="15">
        <v>1976</v>
      </c>
      <c r="O8">
        <v>0</v>
      </c>
      <c r="P8">
        <f>SUM(C8:D8)</f>
        <v>4</v>
      </c>
      <c r="Q8">
        <f t="shared" si="1"/>
        <v>92</v>
      </c>
      <c r="R8">
        <f t="shared" si="2"/>
        <v>43</v>
      </c>
      <c r="S8">
        <f t="shared" si="3"/>
        <v>1</v>
      </c>
      <c r="T8">
        <f t="shared" si="4"/>
        <v>140</v>
      </c>
    </row>
    <row r="9" spans="1:20" s="18" customFormat="1" x14ac:dyDescent="0.25">
      <c r="A9" s="17">
        <v>1977</v>
      </c>
      <c r="B9" s="18">
        <v>1</v>
      </c>
      <c r="C9" s="18">
        <v>1</v>
      </c>
      <c r="F9" s="18">
        <v>119</v>
      </c>
      <c r="G9" s="18">
        <v>1</v>
      </c>
      <c r="I9" s="18">
        <v>17</v>
      </c>
      <c r="J9" s="18">
        <v>7</v>
      </c>
      <c r="K9" s="18">
        <v>1</v>
      </c>
      <c r="M9" s="18">
        <v>147</v>
      </c>
      <c r="N9" s="17">
        <v>1977</v>
      </c>
      <c r="O9" s="18">
        <v>1</v>
      </c>
      <c r="P9" s="18">
        <f t="shared" si="0"/>
        <v>1</v>
      </c>
      <c r="Q9" s="18">
        <f t="shared" si="1"/>
        <v>120</v>
      </c>
      <c r="R9" s="18">
        <f t="shared" si="2"/>
        <v>24</v>
      </c>
      <c r="S9" s="18">
        <f t="shared" si="3"/>
        <v>1</v>
      </c>
      <c r="T9" s="18">
        <f t="shared" si="4"/>
        <v>147</v>
      </c>
    </row>
    <row r="10" spans="1:20" x14ac:dyDescent="0.25">
      <c r="A10" s="15">
        <v>1980</v>
      </c>
      <c r="C10">
        <v>2</v>
      </c>
      <c r="E10">
        <v>2</v>
      </c>
      <c r="F10">
        <v>174</v>
      </c>
      <c r="I10">
        <v>134</v>
      </c>
      <c r="J10">
        <v>15</v>
      </c>
      <c r="K10">
        <v>2</v>
      </c>
      <c r="M10">
        <v>329</v>
      </c>
      <c r="N10" s="15">
        <v>1980</v>
      </c>
      <c r="O10">
        <v>0</v>
      </c>
      <c r="P10">
        <f t="shared" si="0"/>
        <v>2</v>
      </c>
      <c r="Q10">
        <f>SUM(E10:G10)</f>
        <v>176</v>
      </c>
      <c r="R10">
        <f>SUM(H10:J10)</f>
        <v>149</v>
      </c>
      <c r="S10">
        <f>SUM(K10:L10)</f>
        <v>2</v>
      </c>
      <c r="T10">
        <f t="shared" si="4"/>
        <v>329</v>
      </c>
    </row>
    <row r="11" spans="1:20" x14ac:dyDescent="0.25">
      <c r="A11" s="15">
        <v>1981</v>
      </c>
      <c r="C11">
        <v>1</v>
      </c>
      <c r="E11">
        <v>5</v>
      </c>
      <c r="F11">
        <v>43</v>
      </c>
      <c r="I11">
        <v>39</v>
      </c>
      <c r="J11">
        <v>2</v>
      </c>
      <c r="K11">
        <v>1</v>
      </c>
      <c r="M11">
        <v>91</v>
      </c>
      <c r="N11" s="15">
        <v>1981</v>
      </c>
      <c r="O11">
        <v>0</v>
      </c>
      <c r="P11">
        <f t="shared" si="0"/>
        <v>1</v>
      </c>
      <c r="Q11">
        <f>SUM(E11:G11)</f>
        <v>48</v>
      </c>
      <c r="R11">
        <f t="shared" si="2"/>
        <v>41</v>
      </c>
      <c r="S11">
        <f t="shared" si="3"/>
        <v>1</v>
      </c>
      <c r="T11">
        <f t="shared" si="4"/>
        <v>91</v>
      </c>
    </row>
    <row r="12" spans="1:20" x14ac:dyDescent="0.25">
      <c r="A12" s="15">
        <v>1987</v>
      </c>
      <c r="E12">
        <v>2</v>
      </c>
      <c r="F12">
        <v>2</v>
      </c>
      <c r="I12">
        <v>6</v>
      </c>
      <c r="J12">
        <v>1</v>
      </c>
      <c r="K12">
        <v>1</v>
      </c>
      <c r="M12">
        <v>12</v>
      </c>
      <c r="N12" s="15">
        <v>1987</v>
      </c>
      <c r="O12">
        <v>0</v>
      </c>
      <c r="P12">
        <f t="shared" si="0"/>
        <v>0</v>
      </c>
      <c r="Q12">
        <f t="shared" si="1"/>
        <v>4</v>
      </c>
      <c r="R12">
        <f>SUM(H12:J12)</f>
        <v>7</v>
      </c>
      <c r="S12">
        <f t="shared" si="3"/>
        <v>1</v>
      </c>
      <c r="T12">
        <f t="shared" si="4"/>
        <v>12</v>
      </c>
    </row>
    <row r="13" spans="1:20" x14ac:dyDescent="0.25">
      <c r="A13" s="15" t="s">
        <v>253</v>
      </c>
      <c r="B13">
        <v>2</v>
      </c>
      <c r="C13">
        <v>22</v>
      </c>
      <c r="D13">
        <v>45</v>
      </c>
      <c r="E13">
        <v>11</v>
      </c>
      <c r="F13">
        <v>595</v>
      </c>
      <c r="G13">
        <v>5</v>
      </c>
      <c r="H13">
        <v>1</v>
      </c>
      <c r="I13">
        <v>329</v>
      </c>
      <c r="J13">
        <v>83</v>
      </c>
      <c r="K13">
        <v>15</v>
      </c>
      <c r="L13">
        <v>4</v>
      </c>
      <c r="M13">
        <v>1112</v>
      </c>
    </row>
    <row r="31" spans="1:13" x14ac:dyDescent="0.25">
      <c r="A31" s="14" t="s">
        <v>256</v>
      </c>
      <c r="B31" s="14" t="s">
        <v>254</v>
      </c>
    </row>
    <row r="32" spans="1:13" x14ac:dyDescent="0.25">
      <c r="A32" s="14" t="s">
        <v>252</v>
      </c>
      <c r="B32">
        <v>21</v>
      </c>
      <c r="C32">
        <v>31</v>
      </c>
      <c r="D32">
        <v>32</v>
      </c>
      <c r="E32">
        <v>41</v>
      </c>
      <c r="F32">
        <v>42</v>
      </c>
      <c r="G32">
        <v>43</v>
      </c>
      <c r="H32">
        <v>51</v>
      </c>
      <c r="I32">
        <v>52</v>
      </c>
      <c r="J32">
        <v>53</v>
      </c>
      <c r="K32">
        <v>63</v>
      </c>
      <c r="L32">
        <v>64</v>
      </c>
      <c r="M32" t="s">
        <v>253</v>
      </c>
    </row>
    <row r="33" spans="1:13" x14ac:dyDescent="0.25">
      <c r="A33" s="15">
        <v>1971</v>
      </c>
      <c r="F33">
        <v>35</v>
      </c>
      <c r="I33">
        <v>4</v>
      </c>
      <c r="J33">
        <v>1</v>
      </c>
      <c r="M33">
        <v>40</v>
      </c>
    </row>
    <row r="34" spans="1:13" x14ac:dyDescent="0.25">
      <c r="A34" s="16" t="s">
        <v>23</v>
      </c>
      <c r="F34">
        <v>35</v>
      </c>
      <c r="I34">
        <v>4</v>
      </c>
      <c r="J34">
        <v>1</v>
      </c>
      <c r="M34">
        <v>40</v>
      </c>
    </row>
    <row r="35" spans="1:13" x14ac:dyDescent="0.25">
      <c r="A35" s="15">
        <v>1972</v>
      </c>
      <c r="B35">
        <v>1</v>
      </c>
      <c r="C35">
        <v>16</v>
      </c>
      <c r="D35">
        <v>43</v>
      </c>
      <c r="E35">
        <v>2</v>
      </c>
      <c r="F35">
        <v>118</v>
      </c>
      <c r="G35">
        <v>4</v>
      </c>
      <c r="H35">
        <v>1</v>
      </c>
      <c r="I35">
        <v>79</v>
      </c>
      <c r="J35">
        <v>51</v>
      </c>
      <c r="K35">
        <v>9</v>
      </c>
      <c r="L35">
        <v>4</v>
      </c>
      <c r="M35">
        <v>328</v>
      </c>
    </row>
    <row r="36" spans="1:13" x14ac:dyDescent="0.25">
      <c r="A36" s="16" t="s">
        <v>52</v>
      </c>
      <c r="C36">
        <v>1</v>
      </c>
      <c r="D36">
        <v>10</v>
      </c>
      <c r="E36">
        <v>2</v>
      </c>
      <c r="F36">
        <v>14</v>
      </c>
      <c r="G36">
        <v>1</v>
      </c>
      <c r="I36">
        <v>3</v>
      </c>
      <c r="J36">
        <v>7</v>
      </c>
      <c r="M36">
        <v>38</v>
      </c>
    </row>
    <row r="37" spans="1:13" x14ac:dyDescent="0.25">
      <c r="A37" s="16" t="s">
        <v>54</v>
      </c>
      <c r="C37">
        <v>3</v>
      </c>
      <c r="D37">
        <v>25</v>
      </c>
      <c r="F37">
        <v>53</v>
      </c>
      <c r="G37">
        <v>3</v>
      </c>
      <c r="H37">
        <v>1</v>
      </c>
      <c r="I37">
        <v>22</v>
      </c>
      <c r="J37">
        <v>32</v>
      </c>
      <c r="K37">
        <v>3</v>
      </c>
      <c r="L37">
        <v>2</v>
      </c>
      <c r="M37">
        <v>144</v>
      </c>
    </row>
    <row r="38" spans="1:13" x14ac:dyDescent="0.25">
      <c r="A38" s="16" t="s">
        <v>37</v>
      </c>
      <c r="B38">
        <v>1</v>
      </c>
      <c r="C38">
        <v>12</v>
      </c>
      <c r="D38">
        <v>8</v>
      </c>
      <c r="F38">
        <v>51</v>
      </c>
      <c r="I38">
        <v>54</v>
      </c>
      <c r="J38">
        <v>12</v>
      </c>
      <c r="K38">
        <v>6</v>
      </c>
      <c r="L38">
        <v>2</v>
      </c>
      <c r="M38">
        <v>146</v>
      </c>
    </row>
    <row r="39" spans="1:13" x14ac:dyDescent="0.25">
      <c r="A39" s="15">
        <v>1973</v>
      </c>
      <c r="F39">
        <v>12</v>
      </c>
      <c r="I39">
        <v>12</v>
      </c>
      <c r="J39">
        <v>1</v>
      </c>
      <c r="M39">
        <v>25</v>
      </c>
    </row>
    <row r="40" spans="1:13" x14ac:dyDescent="0.25">
      <c r="A40" s="16" t="s">
        <v>23</v>
      </c>
      <c r="F40">
        <v>12</v>
      </c>
      <c r="I40">
        <v>12</v>
      </c>
      <c r="J40">
        <v>1</v>
      </c>
      <c r="M40">
        <v>25</v>
      </c>
    </row>
    <row r="41" spans="1:13" x14ac:dyDescent="0.25">
      <c r="A41" s="15">
        <v>1976</v>
      </c>
      <c r="C41">
        <v>2</v>
      </c>
      <c r="D41">
        <v>2</v>
      </c>
      <c r="F41">
        <v>92</v>
      </c>
      <c r="I41">
        <v>38</v>
      </c>
      <c r="J41">
        <v>5</v>
      </c>
      <c r="K41">
        <v>1</v>
      </c>
      <c r="M41">
        <v>140</v>
      </c>
    </row>
    <row r="42" spans="1:13" x14ac:dyDescent="0.25">
      <c r="A42" s="16" t="s">
        <v>23</v>
      </c>
      <c r="C42">
        <v>1</v>
      </c>
      <c r="D42">
        <v>2</v>
      </c>
      <c r="F42">
        <v>63</v>
      </c>
      <c r="I42">
        <v>17</v>
      </c>
      <c r="J42">
        <v>1</v>
      </c>
      <c r="M42">
        <v>84</v>
      </c>
    </row>
    <row r="43" spans="1:13" x14ac:dyDescent="0.25">
      <c r="A43" s="16" t="s">
        <v>70</v>
      </c>
      <c r="C43">
        <v>1</v>
      </c>
      <c r="F43">
        <v>29</v>
      </c>
      <c r="I43">
        <v>21</v>
      </c>
      <c r="J43">
        <v>4</v>
      </c>
      <c r="K43">
        <v>1</v>
      </c>
      <c r="M43">
        <v>56</v>
      </c>
    </row>
    <row r="44" spans="1:13" x14ac:dyDescent="0.25">
      <c r="A44" s="15">
        <v>1977</v>
      </c>
      <c r="B44">
        <v>1</v>
      </c>
      <c r="C44">
        <v>1</v>
      </c>
      <c r="F44">
        <v>119</v>
      </c>
      <c r="G44">
        <v>1</v>
      </c>
      <c r="I44">
        <v>17</v>
      </c>
      <c r="J44">
        <v>7</v>
      </c>
      <c r="K44">
        <v>1</v>
      </c>
      <c r="M44">
        <v>147</v>
      </c>
    </row>
    <row r="45" spans="1:13" x14ac:dyDescent="0.25">
      <c r="A45" s="16" t="s">
        <v>155</v>
      </c>
      <c r="B45">
        <v>1</v>
      </c>
      <c r="F45">
        <v>34</v>
      </c>
      <c r="I45">
        <v>9</v>
      </c>
      <c r="J45">
        <v>4</v>
      </c>
      <c r="M45">
        <v>48</v>
      </c>
    </row>
    <row r="46" spans="1:13" x14ac:dyDescent="0.25">
      <c r="A46" s="16" t="s">
        <v>176</v>
      </c>
      <c r="F46">
        <v>44</v>
      </c>
      <c r="G46">
        <v>1</v>
      </c>
      <c r="I46">
        <v>1</v>
      </c>
      <c r="M46">
        <v>46</v>
      </c>
    </row>
    <row r="47" spans="1:13" x14ac:dyDescent="0.25">
      <c r="A47" s="16" t="s">
        <v>70</v>
      </c>
      <c r="C47">
        <v>1</v>
      </c>
      <c r="F47">
        <v>41</v>
      </c>
      <c r="I47">
        <v>7</v>
      </c>
      <c r="J47">
        <v>3</v>
      </c>
      <c r="K47">
        <v>1</v>
      </c>
      <c r="M47">
        <v>53</v>
      </c>
    </row>
    <row r="48" spans="1:13" x14ac:dyDescent="0.25">
      <c r="A48" s="15">
        <v>1980</v>
      </c>
      <c r="C48">
        <v>2</v>
      </c>
      <c r="E48">
        <v>2</v>
      </c>
      <c r="F48">
        <v>174</v>
      </c>
      <c r="I48">
        <v>134</v>
      </c>
      <c r="J48">
        <v>15</v>
      </c>
      <c r="K48">
        <v>2</v>
      </c>
      <c r="M48">
        <v>329</v>
      </c>
    </row>
    <row r="49" spans="1:13" x14ac:dyDescent="0.25">
      <c r="A49" s="16" t="s">
        <v>227</v>
      </c>
      <c r="C49">
        <v>1</v>
      </c>
      <c r="E49">
        <v>1</v>
      </c>
      <c r="F49">
        <v>70</v>
      </c>
      <c r="I49">
        <v>15</v>
      </c>
      <c r="J49">
        <v>2</v>
      </c>
      <c r="M49">
        <v>89</v>
      </c>
    </row>
    <row r="50" spans="1:13" x14ac:dyDescent="0.25">
      <c r="A50" s="16" t="s">
        <v>195</v>
      </c>
      <c r="C50">
        <v>1</v>
      </c>
      <c r="E50">
        <v>1</v>
      </c>
      <c r="F50">
        <v>104</v>
      </c>
      <c r="I50">
        <v>119</v>
      </c>
      <c r="J50">
        <v>13</v>
      </c>
      <c r="K50">
        <v>2</v>
      </c>
      <c r="M50">
        <v>240</v>
      </c>
    </row>
    <row r="51" spans="1:13" x14ac:dyDescent="0.25">
      <c r="A51" s="15">
        <v>1981</v>
      </c>
      <c r="C51">
        <v>1</v>
      </c>
      <c r="E51">
        <v>5</v>
      </c>
      <c r="F51">
        <v>43</v>
      </c>
      <c r="I51">
        <v>39</v>
      </c>
      <c r="J51">
        <v>2</v>
      </c>
      <c r="K51">
        <v>1</v>
      </c>
      <c r="M51">
        <v>91</v>
      </c>
    </row>
    <row r="52" spans="1:13" x14ac:dyDescent="0.25">
      <c r="A52" s="16" t="s">
        <v>52</v>
      </c>
      <c r="F52">
        <v>11</v>
      </c>
      <c r="I52">
        <v>9</v>
      </c>
      <c r="J52">
        <v>2</v>
      </c>
      <c r="M52">
        <v>22</v>
      </c>
    </row>
    <row r="53" spans="1:13" x14ac:dyDescent="0.25">
      <c r="A53" s="16" t="s">
        <v>232</v>
      </c>
      <c r="C53">
        <v>1</v>
      </c>
      <c r="E53">
        <v>5</v>
      </c>
      <c r="F53">
        <v>32</v>
      </c>
      <c r="I53">
        <v>30</v>
      </c>
      <c r="K53">
        <v>1</v>
      </c>
      <c r="M53">
        <v>69</v>
      </c>
    </row>
    <row r="54" spans="1:13" x14ac:dyDescent="0.25">
      <c r="A54" s="15">
        <v>1987</v>
      </c>
      <c r="E54">
        <v>2</v>
      </c>
      <c r="F54">
        <v>2</v>
      </c>
      <c r="I54">
        <v>6</v>
      </c>
      <c r="J54">
        <v>1</v>
      </c>
      <c r="K54">
        <v>1</v>
      </c>
      <c r="M54">
        <v>12</v>
      </c>
    </row>
    <row r="55" spans="1:13" x14ac:dyDescent="0.25">
      <c r="A55" s="16" t="s">
        <v>70</v>
      </c>
      <c r="E55">
        <v>2</v>
      </c>
      <c r="F55">
        <v>2</v>
      </c>
      <c r="I55">
        <v>6</v>
      </c>
      <c r="J55">
        <v>1</v>
      </c>
      <c r="K55">
        <v>1</v>
      </c>
      <c r="M55">
        <v>12</v>
      </c>
    </row>
    <row r="56" spans="1:13" x14ac:dyDescent="0.25">
      <c r="A56" s="15" t="s">
        <v>253</v>
      </c>
      <c r="B56">
        <v>2</v>
      </c>
      <c r="C56">
        <v>22</v>
      </c>
      <c r="D56">
        <v>45</v>
      </c>
      <c r="E56">
        <v>11</v>
      </c>
      <c r="F56">
        <v>595</v>
      </c>
      <c r="G56">
        <v>5</v>
      </c>
      <c r="H56">
        <v>1</v>
      </c>
      <c r="I56">
        <v>329</v>
      </c>
      <c r="J56">
        <v>83</v>
      </c>
      <c r="K56">
        <v>15</v>
      </c>
      <c r="L56">
        <v>4</v>
      </c>
      <c r="M56">
        <v>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0759-E761-49BC-B535-61ADE14D3DD1}">
  <dimension ref="A1:I10"/>
  <sheetViews>
    <sheetView workbookViewId="0">
      <selection activeCell="A4" sqref="A4"/>
    </sheetView>
  </sheetViews>
  <sheetFormatPr defaultRowHeight="15" x14ac:dyDescent="0.25"/>
  <cols>
    <col min="1" max="1" width="17.42578125" bestFit="1" customWidth="1"/>
    <col min="2" max="2" width="17.85546875" bestFit="1" customWidth="1"/>
    <col min="3" max="3" width="3" bestFit="1" customWidth="1"/>
    <col min="4" max="5" width="4" bestFit="1" customWidth="1"/>
    <col min="6" max="7" width="3" bestFit="1" customWidth="1"/>
    <col min="8" max="8" width="3.7109375" bestFit="1" customWidth="1"/>
    <col min="9" max="9" width="11.28515625" bestFit="1" customWidth="1"/>
    <col min="10" max="12" width="3" bestFit="1" customWidth="1"/>
    <col min="13" max="13" width="4" bestFit="1" customWidth="1"/>
    <col min="14" max="14" width="7.28515625" bestFit="1" customWidth="1"/>
    <col min="15" max="15" width="11.28515625" bestFit="1" customWidth="1"/>
  </cols>
  <sheetData>
    <row r="1" spans="1:9" x14ac:dyDescent="0.25">
      <c r="A1" s="14" t="s">
        <v>0</v>
      </c>
      <c r="B1" t="s">
        <v>259</v>
      </c>
    </row>
    <row r="2" spans="1:9" x14ac:dyDescent="0.25">
      <c r="A2" s="14" t="s">
        <v>4</v>
      </c>
      <c r="B2" t="s">
        <v>25</v>
      </c>
    </row>
    <row r="4" spans="1:9" x14ac:dyDescent="0.25">
      <c r="A4" s="14" t="s">
        <v>256</v>
      </c>
      <c r="B4" s="14" t="s">
        <v>254</v>
      </c>
    </row>
    <row r="5" spans="1:9" x14ac:dyDescent="0.25">
      <c r="A5" s="14" t="s">
        <v>252</v>
      </c>
      <c r="B5">
        <v>31</v>
      </c>
      <c r="C5">
        <v>41</v>
      </c>
      <c r="D5">
        <v>42</v>
      </c>
      <c r="E5">
        <v>52</v>
      </c>
      <c r="F5">
        <v>53</v>
      </c>
      <c r="G5">
        <v>63</v>
      </c>
      <c r="H5" t="s">
        <v>29</v>
      </c>
      <c r="I5" t="s">
        <v>253</v>
      </c>
    </row>
    <row r="6" spans="1:9" x14ac:dyDescent="0.25">
      <c r="A6" s="15" t="s">
        <v>227</v>
      </c>
      <c r="B6" s="19">
        <v>1</v>
      </c>
      <c r="C6" s="19">
        <v>1</v>
      </c>
      <c r="D6" s="19">
        <v>70</v>
      </c>
      <c r="E6" s="19">
        <v>15</v>
      </c>
      <c r="F6" s="19">
        <v>2</v>
      </c>
      <c r="G6" s="19"/>
      <c r="H6" s="19">
        <v>5</v>
      </c>
      <c r="I6" s="19">
        <v>94</v>
      </c>
    </row>
    <row r="7" spans="1:9" x14ac:dyDescent="0.25">
      <c r="A7" s="16">
        <v>1980</v>
      </c>
      <c r="B7" s="19">
        <v>1</v>
      </c>
      <c r="C7" s="19">
        <v>1</v>
      </c>
      <c r="D7" s="19">
        <v>70</v>
      </c>
      <c r="E7" s="19">
        <v>15</v>
      </c>
      <c r="F7" s="19">
        <v>2</v>
      </c>
      <c r="G7" s="19"/>
      <c r="H7" s="19">
        <v>5</v>
      </c>
      <c r="I7" s="19">
        <v>94</v>
      </c>
    </row>
    <row r="8" spans="1:9" x14ac:dyDescent="0.25">
      <c r="A8" s="15" t="s">
        <v>195</v>
      </c>
      <c r="B8" s="19">
        <v>1</v>
      </c>
      <c r="C8" s="19">
        <v>1</v>
      </c>
      <c r="D8" s="19">
        <v>104</v>
      </c>
      <c r="E8" s="19">
        <v>119</v>
      </c>
      <c r="F8" s="19">
        <v>13</v>
      </c>
      <c r="G8" s="19">
        <v>2</v>
      </c>
      <c r="H8" s="19">
        <v>60</v>
      </c>
      <c r="I8" s="19">
        <v>300</v>
      </c>
    </row>
    <row r="9" spans="1:9" x14ac:dyDescent="0.25">
      <c r="A9" s="16">
        <v>1980</v>
      </c>
      <c r="B9" s="19">
        <v>1</v>
      </c>
      <c r="C9" s="19">
        <v>1</v>
      </c>
      <c r="D9" s="19">
        <v>104</v>
      </c>
      <c r="E9" s="19">
        <v>119</v>
      </c>
      <c r="F9" s="19">
        <v>13</v>
      </c>
      <c r="G9" s="19">
        <v>2</v>
      </c>
      <c r="H9" s="19">
        <v>60</v>
      </c>
      <c r="I9" s="19">
        <v>300</v>
      </c>
    </row>
    <row r="10" spans="1:9" x14ac:dyDescent="0.25">
      <c r="A10" s="15" t="s">
        <v>253</v>
      </c>
      <c r="B10" s="19">
        <v>2</v>
      </c>
      <c r="C10" s="19">
        <v>2</v>
      </c>
      <c r="D10" s="19">
        <v>174</v>
      </c>
      <c r="E10" s="19">
        <v>134</v>
      </c>
      <c r="F10" s="19">
        <v>15</v>
      </c>
      <c r="G10" s="19">
        <v>2</v>
      </c>
      <c r="H10" s="19">
        <v>65</v>
      </c>
      <c r="I10" s="19">
        <v>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2000"/>
  <sheetViews>
    <sheetView tabSelected="1" workbookViewId="0">
      <pane ySplit="1" topLeftCell="A1280" activePane="bottomLeft" state="frozen"/>
      <selection pane="bottomLeft" activeCell="D514" sqref="D514"/>
    </sheetView>
  </sheetViews>
  <sheetFormatPr defaultColWidth="14.42578125" defaultRowHeight="15" customHeight="1" x14ac:dyDescent="0.25"/>
  <cols>
    <col min="1" max="1" width="13" customWidth="1"/>
    <col min="2" max="2" width="8.7109375" customWidth="1"/>
    <col min="3" max="3" width="20" customWidth="1"/>
    <col min="4" max="4" width="35" customWidth="1"/>
    <col min="5" max="5" width="8.7109375" customWidth="1"/>
    <col min="6" max="6" width="7.140625" customWidth="1"/>
    <col min="7" max="7" width="11" customWidth="1"/>
    <col min="8" max="8" width="8.5703125" customWidth="1"/>
    <col min="9" max="9" width="21" customWidth="1"/>
    <col min="10" max="10" width="7.5703125" customWidth="1"/>
    <col min="11" max="11" width="20.7109375" customWidth="1"/>
    <col min="12" max="12" width="11" customWidth="1"/>
    <col min="13" max="13" width="14.28515625" customWidth="1"/>
    <col min="14" max="14" width="13.85546875" customWidth="1"/>
    <col min="15" max="15" width="11.140625" customWidth="1"/>
    <col min="16" max="19" width="8.7109375" customWidth="1"/>
    <col min="20" max="20" width="37.85546875" customWidth="1"/>
    <col min="21" max="21" width="8.7109375" customWidth="1"/>
    <col min="22" max="22" width="13.7109375" customWidth="1"/>
    <col min="23" max="38" width="8.7109375" customWidth="1"/>
  </cols>
  <sheetData>
    <row r="1" spans="1:38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255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idden="1" x14ac:dyDescent="0.25">
      <c r="A2" s="7" t="s">
        <v>21</v>
      </c>
      <c r="B2" s="8" t="s">
        <v>22</v>
      </c>
      <c r="C2" s="8" t="s">
        <v>23</v>
      </c>
      <c r="D2" s="9" t="s">
        <v>24</v>
      </c>
      <c r="E2" s="7" t="s">
        <v>25</v>
      </c>
      <c r="F2" s="7" t="s">
        <v>26</v>
      </c>
      <c r="G2" s="7" t="s">
        <v>27</v>
      </c>
      <c r="H2" s="7">
        <v>1971</v>
      </c>
      <c r="I2" s="10">
        <v>12</v>
      </c>
      <c r="J2" s="11"/>
      <c r="K2" s="10">
        <v>7</v>
      </c>
      <c r="M2" s="7">
        <v>1</v>
      </c>
      <c r="N2" s="7">
        <v>1</v>
      </c>
      <c r="O2" s="7">
        <v>52</v>
      </c>
      <c r="T2" s="12"/>
      <c r="V2" cm="1">
        <f t="array" ref="V2">_xlfn.LET(
_xlpm.x,_xlfn._xlws.FILTER(O2:S2,(O2:S2&lt;&gt;"R")*(O2:S2&lt;&gt;"NA")*(O2:S2&lt;&gt;"W")*(O2:S2&lt;&gt;"")),
IF(COUNTA(_xlpm.x)=0,"NA",IF(MIN(_xlpm.x)=MAX(_xlpm.x),MIN(_xlpm.x),"review"))
)</f>
        <v>52</v>
      </c>
    </row>
    <row r="3" spans="1:38" hidden="1" x14ac:dyDescent="0.25">
      <c r="A3" s="7" t="s">
        <v>21</v>
      </c>
      <c r="B3" s="8" t="s">
        <v>22</v>
      </c>
      <c r="C3" s="8" t="s">
        <v>23</v>
      </c>
      <c r="D3" s="9" t="s">
        <v>24</v>
      </c>
      <c r="E3" s="7" t="s">
        <v>25</v>
      </c>
      <c r="F3" s="7" t="s">
        <v>26</v>
      </c>
      <c r="G3" s="7" t="s">
        <v>27</v>
      </c>
      <c r="H3" s="7">
        <v>1971</v>
      </c>
      <c r="I3" s="10">
        <v>12</v>
      </c>
      <c r="J3" s="11"/>
      <c r="K3" s="10">
        <v>7</v>
      </c>
      <c r="M3" s="7">
        <v>1</v>
      </c>
      <c r="N3" s="7">
        <v>2</v>
      </c>
      <c r="O3" s="7">
        <v>42</v>
      </c>
      <c r="T3" s="12"/>
      <c r="V3" cm="1">
        <f t="array" ref="V3">_xlfn.LET(
_xlpm.x,_xlfn._xlws.FILTER(O3:S3,(O3:S3&lt;&gt;"R")*(O3:S3&lt;&gt;"NA")*(O3:S3&lt;&gt;"W")*(O3:S3&lt;&gt;"")),
IF(COUNTA(_xlpm.x)=0,"NA",IF(MIN(_xlpm.x)=MAX(_xlpm.x),MIN(_xlpm.x),"review"))
)</f>
        <v>42</v>
      </c>
    </row>
    <row r="4" spans="1:38" hidden="1" x14ac:dyDescent="0.25">
      <c r="A4" s="7" t="s">
        <v>21</v>
      </c>
      <c r="B4" s="8" t="s">
        <v>22</v>
      </c>
      <c r="C4" s="8" t="s">
        <v>23</v>
      </c>
      <c r="D4" s="9" t="s">
        <v>24</v>
      </c>
      <c r="E4" s="7" t="s">
        <v>25</v>
      </c>
      <c r="F4" s="7" t="s">
        <v>26</v>
      </c>
      <c r="G4" s="7" t="s">
        <v>27</v>
      </c>
      <c r="H4" s="7">
        <v>1971</v>
      </c>
      <c r="I4" s="10">
        <v>12</v>
      </c>
      <c r="J4" s="11"/>
      <c r="K4" s="10">
        <v>7</v>
      </c>
      <c r="M4" s="7">
        <v>1</v>
      </c>
      <c r="N4" s="7">
        <v>3</v>
      </c>
      <c r="O4" s="7">
        <v>42</v>
      </c>
      <c r="T4" s="12"/>
      <c r="V4" cm="1">
        <f t="array" ref="V4">_xlfn.LET(
_xlpm.x,_xlfn._xlws.FILTER(O4:S4,(O4:S4&lt;&gt;"R")*(O4:S4&lt;&gt;"NA")*(O4:S4&lt;&gt;"W")*(O4:S4&lt;&gt;"")),
IF(COUNTA(_xlpm.x)=0,"NA",IF(MIN(_xlpm.x)=MAX(_xlpm.x),MIN(_xlpm.x),"review"))
)</f>
        <v>42</v>
      </c>
    </row>
    <row r="5" spans="1:38" hidden="1" x14ac:dyDescent="0.25">
      <c r="A5" s="7" t="s">
        <v>21</v>
      </c>
      <c r="B5" s="8" t="s">
        <v>22</v>
      </c>
      <c r="C5" s="8" t="s">
        <v>23</v>
      </c>
      <c r="D5" s="9" t="s">
        <v>24</v>
      </c>
      <c r="E5" s="7" t="s">
        <v>25</v>
      </c>
      <c r="F5" s="7" t="s">
        <v>26</v>
      </c>
      <c r="G5" s="7" t="s">
        <v>27</v>
      </c>
      <c r="H5" s="7">
        <v>1971</v>
      </c>
      <c r="I5" s="10">
        <v>12</v>
      </c>
      <c r="J5" s="11"/>
      <c r="K5" s="10">
        <v>7</v>
      </c>
      <c r="M5" s="7">
        <v>1</v>
      </c>
      <c r="N5" s="7">
        <v>4</v>
      </c>
      <c r="O5" s="7">
        <v>52</v>
      </c>
      <c r="T5" s="12"/>
      <c r="V5" cm="1">
        <f t="array" ref="V5">_xlfn.LET(
_xlpm.x,_xlfn._xlws.FILTER(O5:S5,(O5:S5&lt;&gt;"R")*(O5:S5&lt;&gt;"NA")*(O5:S5&lt;&gt;"W")*(O5:S5&lt;&gt;"")),
IF(COUNTA(_xlpm.x)=0,"NA",IF(MIN(_xlpm.x)=MAX(_xlpm.x),MIN(_xlpm.x),"review"))
)</f>
        <v>52</v>
      </c>
    </row>
    <row r="6" spans="1:38" hidden="1" x14ac:dyDescent="0.25">
      <c r="A6" s="7" t="s">
        <v>21</v>
      </c>
      <c r="B6" s="8" t="s">
        <v>22</v>
      </c>
      <c r="C6" s="8" t="s">
        <v>23</v>
      </c>
      <c r="D6" s="9" t="s">
        <v>24</v>
      </c>
      <c r="E6" s="7" t="s">
        <v>25</v>
      </c>
      <c r="F6" s="7" t="s">
        <v>26</v>
      </c>
      <c r="G6" s="7" t="s">
        <v>27</v>
      </c>
      <c r="H6" s="7">
        <v>1971</v>
      </c>
      <c r="I6" s="10">
        <v>12</v>
      </c>
      <c r="J6" s="11"/>
      <c r="K6" s="10">
        <v>7</v>
      </c>
      <c r="M6" s="7">
        <v>1</v>
      </c>
      <c r="N6" s="7">
        <v>5</v>
      </c>
      <c r="O6" s="7">
        <v>42</v>
      </c>
      <c r="T6" s="12"/>
      <c r="V6" cm="1">
        <f t="array" ref="V6">_xlfn.LET(
_xlpm.x,_xlfn._xlws.FILTER(O6:S6,(O6:S6&lt;&gt;"R")*(O6:S6&lt;&gt;"NA")*(O6:S6&lt;&gt;"W")*(O6:S6&lt;&gt;"")),
IF(COUNTA(_xlpm.x)=0,"NA",IF(MIN(_xlpm.x)=MAX(_xlpm.x),MIN(_xlpm.x),"review"))
)</f>
        <v>42</v>
      </c>
    </row>
    <row r="7" spans="1:38" hidden="1" x14ac:dyDescent="0.25">
      <c r="A7" s="7" t="s">
        <v>21</v>
      </c>
      <c r="B7" s="8" t="s">
        <v>22</v>
      </c>
      <c r="C7" s="8" t="s">
        <v>23</v>
      </c>
      <c r="D7" s="9" t="s">
        <v>24</v>
      </c>
      <c r="E7" s="7" t="s">
        <v>25</v>
      </c>
      <c r="F7" s="7" t="s">
        <v>26</v>
      </c>
      <c r="G7" s="7" t="s">
        <v>27</v>
      </c>
      <c r="H7" s="7">
        <v>1971</v>
      </c>
      <c r="I7" s="10">
        <v>12</v>
      </c>
      <c r="J7" s="11"/>
      <c r="K7" s="10">
        <v>7</v>
      </c>
      <c r="M7" s="7">
        <v>1</v>
      </c>
      <c r="N7" s="7">
        <v>6</v>
      </c>
      <c r="O7" s="7">
        <v>42</v>
      </c>
      <c r="T7" s="12"/>
      <c r="V7" cm="1">
        <f t="array" ref="V7">_xlfn.LET(
_xlpm.x,_xlfn._xlws.FILTER(O7:S7,(O7:S7&lt;&gt;"R")*(O7:S7&lt;&gt;"NA")*(O7:S7&lt;&gt;"W")*(O7:S7&lt;&gt;"")),
IF(COUNTA(_xlpm.x)=0,"NA",IF(MIN(_xlpm.x)=MAX(_xlpm.x),MIN(_xlpm.x),"review"))
)</f>
        <v>42</v>
      </c>
    </row>
    <row r="8" spans="1:38" hidden="1" x14ac:dyDescent="0.25">
      <c r="A8" s="7" t="s">
        <v>21</v>
      </c>
      <c r="B8" s="8" t="s">
        <v>22</v>
      </c>
      <c r="C8" s="8" t="s">
        <v>23</v>
      </c>
      <c r="D8" s="9" t="s">
        <v>24</v>
      </c>
      <c r="E8" s="7" t="s">
        <v>25</v>
      </c>
      <c r="F8" s="7" t="s">
        <v>26</v>
      </c>
      <c r="G8" s="7" t="s">
        <v>27</v>
      </c>
      <c r="H8" s="7">
        <v>1971</v>
      </c>
      <c r="I8" s="10">
        <v>12</v>
      </c>
      <c r="J8" s="11"/>
      <c r="K8" s="10">
        <v>7</v>
      </c>
      <c r="M8" s="7">
        <v>1</v>
      </c>
      <c r="N8" s="7">
        <v>7</v>
      </c>
      <c r="O8" s="7">
        <v>42</v>
      </c>
      <c r="T8" s="12"/>
      <c r="V8" cm="1">
        <f t="array" ref="V8">_xlfn.LET(
_xlpm.x,_xlfn._xlws.FILTER(O8:S8,(O8:S8&lt;&gt;"R")*(O8:S8&lt;&gt;"NA")*(O8:S8&lt;&gt;"W")*(O8:S8&lt;&gt;"")),
IF(COUNTA(_xlpm.x)=0,"NA",IF(MIN(_xlpm.x)=MAX(_xlpm.x),MIN(_xlpm.x),"review"))
)</f>
        <v>42</v>
      </c>
    </row>
    <row r="9" spans="1:38" hidden="1" x14ac:dyDescent="0.25">
      <c r="A9" s="7" t="s">
        <v>21</v>
      </c>
      <c r="B9" s="8" t="s">
        <v>22</v>
      </c>
      <c r="C9" s="8" t="s">
        <v>23</v>
      </c>
      <c r="D9" s="9" t="s">
        <v>24</v>
      </c>
      <c r="E9" s="7" t="s">
        <v>25</v>
      </c>
      <c r="F9" s="7" t="s">
        <v>26</v>
      </c>
      <c r="G9" s="7" t="s">
        <v>27</v>
      </c>
      <c r="H9" s="7">
        <v>1971</v>
      </c>
      <c r="I9" s="10">
        <v>12</v>
      </c>
      <c r="J9" s="11"/>
      <c r="K9" s="10">
        <v>7</v>
      </c>
      <c r="M9" s="7">
        <v>1</v>
      </c>
      <c r="N9" s="7">
        <v>8</v>
      </c>
      <c r="O9" s="7">
        <v>42</v>
      </c>
      <c r="T9" s="12"/>
      <c r="V9" cm="1">
        <f t="array" ref="V9">_xlfn.LET(
_xlpm.x,_xlfn._xlws.FILTER(O9:S9,(O9:S9&lt;&gt;"R")*(O9:S9&lt;&gt;"NA")*(O9:S9&lt;&gt;"W")*(O9:S9&lt;&gt;"")),
IF(COUNTA(_xlpm.x)=0,"NA",IF(MIN(_xlpm.x)=MAX(_xlpm.x),MIN(_xlpm.x),"review"))
)</f>
        <v>42</v>
      </c>
    </row>
    <row r="10" spans="1:38" hidden="1" x14ac:dyDescent="0.25">
      <c r="A10" s="7" t="s">
        <v>21</v>
      </c>
      <c r="B10" s="8" t="s">
        <v>22</v>
      </c>
      <c r="C10" s="8" t="s">
        <v>23</v>
      </c>
      <c r="D10" s="9" t="s">
        <v>24</v>
      </c>
      <c r="E10" s="7" t="s">
        <v>25</v>
      </c>
      <c r="F10" s="7" t="s">
        <v>26</v>
      </c>
      <c r="G10" s="7" t="s">
        <v>27</v>
      </c>
      <c r="H10" s="7">
        <v>1971</v>
      </c>
      <c r="I10" s="10">
        <v>12</v>
      </c>
      <c r="J10" s="11"/>
      <c r="K10" s="10">
        <v>7</v>
      </c>
      <c r="M10" s="7">
        <v>1</v>
      </c>
      <c r="N10" s="7">
        <v>9</v>
      </c>
      <c r="O10" s="7">
        <v>42</v>
      </c>
      <c r="T10" s="12"/>
      <c r="V10" cm="1">
        <f t="array" ref="V10">_xlfn.LET(
_xlpm.x,_xlfn._xlws.FILTER(O10:S10,(O10:S10&lt;&gt;"R")*(O10:S10&lt;&gt;"NA")*(O10:S10&lt;&gt;"W")*(O10:S10&lt;&gt;"")),
IF(COUNTA(_xlpm.x)=0,"NA",IF(MIN(_xlpm.x)=MAX(_xlpm.x),MIN(_xlpm.x),"review"))
)</f>
        <v>42</v>
      </c>
    </row>
    <row r="11" spans="1:38" hidden="1" x14ac:dyDescent="0.25">
      <c r="A11" s="7" t="s">
        <v>21</v>
      </c>
      <c r="B11" s="8" t="s">
        <v>22</v>
      </c>
      <c r="C11" s="8" t="s">
        <v>23</v>
      </c>
      <c r="D11" s="9" t="s">
        <v>24</v>
      </c>
      <c r="E11" s="7" t="s">
        <v>25</v>
      </c>
      <c r="F11" s="7" t="s">
        <v>26</v>
      </c>
      <c r="G11" s="7" t="s">
        <v>27</v>
      </c>
      <c r="H11" s="7">
        <v>1971</v>
      </c>
      <c r="I11" s="10">
        <v>12</v>
      </c>
      <c r="J11" s="11"/>
      <c r="K11" s="10">
        <v>7</v>
      </c>
      <c r="M11" s="7">
        <v>1</v>
      </c>
      <c r="N11" s="7">
        <v>10</v>
      </c>
      <c r="O11" s="7">
        <v>42</v>
      </c>
      <c r="T11" s="12"/>
      <c r="V11" cm="1">
        <f t="array" ref="V11">_xlfn.LET(
_xlpm.x,_xlfn._xlws.FILTER(O11:S11,(O11:S11&lt;&gt;"R")*(O11:S11&lt;&gt;"NA")*(O11:S11&lt;&gt;"W")*(O11:S11&lt;&gt;"")),
IF(COUNTA(_xlpm.x)=0,"NA",IF(MIN(_xlpm.x)=MAX(_xlpm.x),MIN(_xlpm.x),"review"))
)</f>
        <v>42</v>
      </c>
    </row>
    <row r="12" spans="1:38" hidden="1" x14ac:dyDescent="0.25">
      <c r="A12" s="7" t="s">
        <v>21</v>
      </c>
      <c r="B12" s="8" t="s">
        <v>22</v>
      </c>
      <c r="C12" s="8" t="s">
        <v>23</v>
      </c>
      <c r="D12" s="9" t="s">
        <v>24</v>
      </c>
      <c r="E12" s="7" t="s">
        <v>25</v>
      </c>
      <c r="F12" s="7" t="s">
        <v>26</v>
      </c>
      <c r="G12" s="7" t="s">
        <v>27</v>
      </c>
      <c r="H12" s="7">
        <v>1971</v>
      </c>
      <c r="I12" s="10">
        <v>12</v>
      </c>
      <c r="J12" s="11"/>
      <c r="K12" s="10">
        <v>7</v>
      </c>
      <c r="M12" s="7">
        <v>1</v>
      </c>
      <c r="N12" s="7">
        <v>11</v>
      </c>
      <c r="O12" s="7">
        <v>42</v>
      </c>
      <c r="T12" s="12"/>
      <c r="V12" cm="1">
        <f t="array" ref="V12">_xlfn.LET(
_xlpm.x,_xlfn._xlws.FILTER(O12:S12,(O12:S12&lt;&gt;"R")*(O12:S12&lt;&gt;"NA")*(O12:S12&lt;&gt;"W")*(O12:S12&lt;&gt;"")),
IF(COUNTA(_xlpm.x)=0,"NA",IF(MIN(_xlpm.x)=MAX(_xlpm.x),MIN(_xlpm.x),"review"))
)</f>
        <v>42</v>
      </c>
    </row>
    <row r="13" spans="1:38" hidden="1" x14ac:dyDescent="0.25">
      <c r="A13" s="7" t="s">
        <v>21</v>
      </c>
      <c r="B13" s="8" t="s">
        <v>22</v>
      </c>
      <c r="C13" s="8" t="s">
        <v>23</v>
      </c>
      <c r="D13" s="9" t="s">
        <v>24</v>
      </c>
      <c r="E13" s="7" t="s">
        <v>25</v>
      </c>
      <c r="F13" s="7" t="s">
        <v>26</v>
      </c>
      <c r="G13" s="7" t="s">
        <v>27</v>
      </c>
      <c r="H13" s="7">
        <v>1971</v>
      </c>
      <c r="I13" s="10">
        <v>12</v>
      </c>
      <c r="J13" s="11"/>
      <c r="K13" s="10">
        <v>7</v>
      </c>
      <c r="M13" s="7">
        <v>1</v>
      </c>
      <c r="N13" s="7">
        <v>12</v>
      </c>
      <c r="O13" s="7">
        <v>42</v>
      </c>
      <c r="T13" s="12"/>
      <c r="V13" cm="1">
        <f t="array" ref="V13">_xlfn.LET(
_xlpm.x,_xlfn._xlws.FILTER(O13:S13,(O13:S13&lt;&gt;"R")*(O13:S13&lt;&gt;"NA")*(O13:S13&lt;&gt;"W")*(O13:S13&lt;&gt;"")),
IF(COUNTA(_xlpm.x)=0,"NA",IF(MIN(_xlpm.x)=MAX(_xlpm.x),MIN(_xlpm.x),"review"))
)</f>
        <v>42</v>
      </c>
    </row>
    <row r="14" spans="1:38" hidden="1" x14ac:dyDescent="0.25">
      <c r="A14" s="7" t="s">
        <v>21</v>
      </c>
      <c r="B14" s="8" t="s">
        <v>22</v>
      </c>
      <c r="C14" s="8" t="s">
        <v>23</v>
      </c>
      <c r="D14" s="9" t="s">
        <v>24</v>
      </c>
      <c r="E14" s="7" t="s">
        <v>25</v>
      </c>
      <c r="F14" s="7" t="s">
        <v>26</v>
      </c>
      <c r="G14" s="7" t="s">
        <v>27</v>
      </c>
      <c r="H14" s="7">
        <v>1971</v>
      </c>
      <c r="I14" s="10">
        <v>12</v>
      </c>
      <c r="J14" s="11"/>
      <c r="K14" s="10">
        <v>7</v>
      </c>
      <c r="M14" s="7">
        <v>1</v>
      </c>
      <c r="N14" s="7">
        <v>13</v>
      </c>
      <c r="O14" s="7">
        <v>42</v>
      </c>
      <c r="T14" s="12"/>
      <c r="V14" cm="1">
        <f t="array" ref="V14">_xlfn.LET(
_xlpm.x,_xlfn._xlws.FILTER(O14:S14,(O14:S14&lt;&gt;"R")*(O14:S14&lt;&gt;"NA")*(O14:S14&lt;&gt;"W")*(O14:S14&lt;&gt;"")),
IF(COUNTA(_xlpm.x)=0,"NA",IF(MIN(_xlpm.x)=MAX(_xlpm.x),MIN(_xlpm.x),"review"))
)</f>
        <v>42</v>
      </c>
    </row>
    <row r="15" spans="1:38" hidden="1" x14ac:dyDescent="0.25">
      <c r="A15" s="7" t="s">
        <v>21</v>
      </c>
      <c r="B15" s="8" t="s">
        <v>22</v>
      </c>
      <c r="C15" s="8" t="s">
        <v>23</v>
      </c>
      <c r="D15" s="9" t="s">
        <v>24</v>
      </c>
      <c r="E15" s="7" t="s">
        <v>25</v>
      </c>
      <c r="F15" s="7" t="s">
        <v>26</v>
      </c>
      <c r="G15" s="7" t="s">
        <v>27</v>
      </c>
      <c r="H15" s="7">
        <v>1971</v>
      </c>
      <c r="I15" s="10">
        <v>12</v>
      </c>
      <c r="J15" s="11"/>
      <c r="K15" s="10">
        <v>7</v>
      </c>
      <c r="M15" s="7">
        <v>1</v>
      </c>
      <c r="N15" s="7">
        <v>14</v>
      </c>
      <c r="O15" s="7">
        <v>42</v>
      </c>
      <c r="T15" s="12"/>
      <c r="V15" cm="1">
        <f t="array" ref="V15">_xlfn.LET(
_xlpm.x,_xlfn._xlws.FILTER(O15:S15,(O15:S15&lt;&gt;"R")*(O15:S15&lt;&gt;"NA")*(O15:S15&lt;&gt;"W")*(O15:S15&lt;&gt;"")),
IF(COUNTA(_xlpm.x)=0,"NA",IF(MIN(_xlpm.x)=MAX(_xlpm.x),MIN(_xlpm.x),"review"))
)</f>
        <v>42</v>
      </c>
    </row>
    <row r="16" spans="1:38" hidden="1" x14ac:dyDescent="0.25">
      <c r="A16" s="7" t="s">
        <v>21</v>
      </c>
      <c r="B16" s="8" t="s">
        <v>22</v>
      </c>
      <c r="C16" s="8" t="s">
        <v>23</v>
      </c>
      <c r="D16" s="9" t="s">
        <v>24</v>
      </c>
      <c r="E16" s="7" t="s">
        <v>25</v>
      </c>
      <c r="F16" s="7" t="s">
        <v>26</v>
      </c>
      <c r="G16" s="7" t="s">
        <v>27</v>
      </c>
      <c r="H16" s="7">
        <v>1971</v>
      </c>
      <c r="I16" s="10">
        <v>12</v>
      </c>
      <c r="J16" s="11"/>
      <c r="K16" s="10">
        <v>7</v>
      </c>
      <c r="M16" s="7">
        <v>1</v>
      </c>
      <c r="N16" s="7">
        <v>15</v>
      </c>
      <c r="O16" s="7">
        <v>42</v>
      </c>
      <c r="T16" s="12"/>
      <c r="V16" cm="1">
        <f t="array" ref="V16">_xlfn.LET(
_xlpm.x,_xlfn._xlws.FILTER(O16:S16,(O16:S16&lt;&gt;"R")*(O16:S16&lt;&gt;"NA")*(O16:S16&lt;&gt;"W")*(O16:S16&lt;&gt;"")),
IF(COUNTA(_xlpm.x)=0,"NA",IF(MIN(_xlpm.x)=MAX(_xlpm.x),MIN(_xlpm.x),"review"))
)</f>
        <v>42</v>
      </c>
    </row>
    <row r="17" spans="1:22" hidden="1" x14ac:dyDescent="0.25">
      <c r="A17" s="7" t="s">
        <v>21</v>
      </c>
      <c r="B17" s="8" t="s">
        <v>22</v>
      </c>
      <c r="C17" s="8" t="s">
        <v>23</v>
      </c>
      <c r="D17" s="9" t="s">
        <v>24</v>
      </c>
      <c r="E17" s="7" t="s">
        <v>25</v>
      </c>
      <c r="F17" s="7" t="s">
        <v>26</v>
      </c>
      <c r="G17" s="7" t="s">
        <v>27</v>
      </c>
      <c r="H17" s="7">
        <v>1971</v>
      </c>
      <c r="I17" s="10">
        <v>12</v>
      </c>
      <c r="J17" s="11"/>
      <c r="K17" s="10">
        <v>7</v>
      </c>
      <c r="M17" s="7">
        <v>1</v>
      </c>
      <c r="N17" s="7">
        <v>16</v>
      </c>
      <c r="O17" s="7">
        <v>42</v>
      </c>
      <c r="T17" s="12"/>
      <c r="V17" cm="1">
        <f t="array" ref="V17">_xlfn.LET(
_xlpm.x,_xlfn._xlws.FILTER(O17:S17,(O17:S17&lt;&gt;"R")*(O17:S17&lt;&gt;"NA")*(O17:S17&lt;&gt;"W")*(O17:S17&lt;&gt;"")),
IF(COUNTA(_xlpm.x)=0,"NA",IF(MIN(_xlpm.x)=MAX(_xlpm.x),MIN(_xlpm.x),"review"))
)</f>
        <v>42</v>
      </c>
    </row>
    <row r="18" spans="1:22" hidden="1" x14ac:dyDescent="0.25">
      <c r="A18" s="7" t="s">
        <v>21</v>
      </c>
      <c r="B18" s="8" t="s">
        <v>22</v>
      </c>
      <c r="C18" s="8" t="s">
        <v>23</v>
      </c>
      <c r="D18" s="9" t="s">
        <v>24</v>
      </c>
      <c r="E18" s="7" t="s">
        <v>25</v>
      </c>
      <c r="F18" s="7" t="s">
        <v>26</v>
      </c>
      <c r="G18" s="7" t="s">
        <v>27</v>
      </c>
      <c r="H18" s="7">
        <v>1971</v>
      </c>
      <c r="I18" s="10">
        <v>12</v>
      </c>
      <c r="J18" s="11"/>
      <c r="K18" s="10">
        <v>7</v>
      </c>
      <c r="M18" s="7">
        <v>1</v>
      </c>
      <c r="N18" s="7">
        <v>17</v>
      </c>
      <c r="O18" s="7">
        <v>42</v>
      </c>
      <c r="T18" s="12"/>
      <c r="V18" cm="1">
        <f t="array" ref="V18">_xlfn.LET(
_xlpm.x,_xlfn._xlws.FILTER(O18:S18,(O18:S18&lt;&gt;"R")*(O18:S18&lt;&gt;"NA")*(O18:S18&lt;&gt;"W")*(O18:S18&lt;&gt;"")),
IF(COUNTA(_xlpm.x)=0,"NA",IF(MIN(_xlpm.x)=MAX(_xlpm.x),MIN(_xlpm.x),"review"))
)</f>
        <v>42</v>
      </c>
    </row>
    <row r="19" spans="1:22" hidden="1" x14ac:dyDescent="0.25">
      <c r="A19" s="7" t="s">
        <v>21</v>
      </c>
      <c r="B19" s="8" t="s">
        <v>22</v>
      </c>
      <c r="C19" s="8" t="s">
        <v>23</v>
      </c>
      <c r="D19" s="9" t="s">
        <v>24</v>
      </c>
      <c r="E19" s="7" t="s">
        <v>25</v>
      </c>
      <c r="F19" s="7" t="s">
        <v>26</v>
      </c>
      <c r="G19" s="7" t="s">
        <v>27</v>
      </c>
      <c r="H19" s="7">
        <v>1971</v>
      </c>
      <c r="I19" s="10">
        <v>12</v>
      </c>
      <c r="J19" s="11"/>
      <c r="K19" s="10">
        <v>7</v>
      </c>
      <c r="M19" s="7">
        <v>1</v>
      </c>
      <c r="N19" s="7">
        <v>18</v>
      </c>
      <c r="O19" s="7">
        <v>42</v>
      </c>
      <c r="T19" s="12"/>
      <c r="V19" cm="1">
        <f t="array" ref="V19">_xlfn.LET(
_xlpm.x,_xlfn._xlws.FILTER(O19:S19,(O19:S19&lt;&gt;"R")*(O19:S19&lt;&gt;"NA")*(O19:S19&lt;&gt;"W")*(O19:S19&lt;&gt;"")),
IF(COUNTA(_xlpm.x)=0,"NA",IF(MIN(_xlpm.x)=MAX(_xlpm.x),MIN(_xlpm.x),"review"))
)</f>
        <v>42</v>
      </c>
    </row>
    <row r="20" spans="1:22" hidden="1" x14ac:dyDescent="0.25">
      <c r="A20" s="7" t="s">
        <v>21</v>
      </c>
      <c r="B20" s="8" t="s">
        <v>22</v>
      </c>
      <c r="C20" s="8" t="s">
        <v>23</v>
      </c>
      <c r="D20" s="9" t="s">
        <v>24</v>
      </c>
      <c r="E20" s="7" t="s">
        <v>25</v>
      </c>
      <c r="F20" s="7" t="s">
        <v>26</v>
      </c>
      <c r="G20" s="7" t="s">
        <v>27</v>
      </c>
      <c r="H20" s="7">
        <v>1971</v>
      </c>
      <c r="I20" s="10">
        <v>12</v>
      </c>
      <c r="J20" s="11"/>
      <c r="K20" s="10">
        <v>7</v>
      </c>
      <c r="M20" s="7">
        <v>1</v>
      </c>
      <c r="N20" s="7">
        <v>19</v>
      </c>
      <c r="O20" s="7" t="s">
        <v>28</v>
      </c>
      <c r="T20" s="12"/>
      <c r="V20" t="s">
        <v>29</v>
      </c>
    </row>
    <row r="21" spans="1:22" ht="15.75" hidden="1" customHeight="1" x14ac:dyDescent="0.25">
      <c r="A21" s="7" t="s">
        <v>21</v>
      </c>
      <c r="B21" s="8" t="s">
        <v>22</v>
      </c>
      <c r="C21" s="8" t="s">
        <v>23</v>
      </c>
      <c r="D21" s="9" t="s">
        <v>24</v>
      </c>
      <c r="E21" s="7" t="s">
        <v>25</v>
      </c>
      <c r="F21" s="7" t="s">
        <v>26</v>
      </c>
      <c r="G21" s="7" t="s">
        <v>27</v>
      </c>
      <c r="H21" s="7">
        <v>1971</v>
      </c>
      <c r="I21" s="10">
        <v>12</v>
      </c>
      <c r="J21" s="11"/>
      <c r="K21" s="10">
        <v>7</v>
      </c>
      <c r="M21" s="7">
        <v>1</v>
      </c>
      <c r="N21" s="7">
        <v>20</v>
      </c>
      <c r="O21" s="7">
        <v>42</v>
      </c>
      <c r="T21" s="12"/>
      <c r="V21" cm="1">
        <f t="array" ref="V21">_xlfn.LET(
_xlpm.x,_xlfn._xlws.FILTER(O21:S21,(O21:S21&lt;&gt;"R")*(O21:S21&lt;&gt;"NA")*(O21:S21&lt;&gt;"W")*(O21:S21&lt;&gt;"")),
IF(COUNTA(_xlpm.x)=0,"NA",IF(MIN(_xlpm.x)=MAX(_xlpm.x),MIN(_xlpm.x),"review"))
)</f>
        <v>42</v>
      </c>
    </row>
    <row r="22" spans="1:22" ht="15.75" hidden="1" customHeight="1" x14ac:dyDescent="0.25">
      <c r="A22" s="7" t="s">
        <v>21</v>
      </c>
      <c r="B22" s="8" t="s">
        <v>22</v>
      </c>
      <c r="C22" s="8" t="s">
        <v>23</v>
      </c>
      <c r="D22" s="9" t="s">
        <v>24</v>
      </c>
      <c r="E22" s="7" t="s">
        <v>25</v>
      </c>
      <c r="F22" s="7" t="s">
        <v>26</v>
      </c>
      <c r="G22" s="7" t="s">
        <v>27</v>
      </c>
      <c r="H22" s="7">
        <v>1971</v>
      </c>
      <c r="I22" s="10">
        <v>12</v>
      </c>
      <c r="J22" s="11"/>
      <c r="K22" s="10">
        <v>7</v>
      </c>
      <c r="M22" s="7">
        <v>1</v>
      </c>
      <c r="N22" s="7">
        <v>21</v>
      </c>
      <c r="O22" s="7" t="s">
        <v>29</v>
      </c>
      <c r="T22" s="12"/>
      <c r="V22" t="s">
        <v>29</v>
      </c>
    </row>
    <row r="23" spans="1:22" ht="15.75" hidden="1" customHeight="1" x14ac:dyDescent="0.25">
      <c r="A23" s="7" t="s">
        <v>21</v>
      </c>
      <c r="B23" s="8" t="s">
        <v>22</v>
      </c>
      <c r="C23" s="8" t="s">
        <v>23</v>
      </c>
      <c r="D23" s="9" t="s">
        <v>24</v>
      </c>
      <c r="E23" s="7" t="s">
        <v>25</v>
      </c>
      <c r="F23" s="7" t="s">
        <v>26</v>
      </c>
      <c r="G23" s="7" t="s">
        <v>27</v>
      </c>
      <c r="H23" s="7">
        <v>1971</v>
      </c>
      <c r="I23" s="10">
        <v>12</v>
      </c>
      <c r="J23" s="11"/>
      <c r="K23" s="10">
        <v>7</v>
      </c>
      <c r="M23" s="7">
        <v>1</v>
      </c>
      <c r="N23" s="7">
        <v>22</v>
      </c>
      <c r="O23" s="7">
        <v>42</v>
      </c>
      <c r="T23" s="12"/>
      <c r="V23" cm="1">
        <f t="array" ref="V23">_xlfn.LET(
_xlpm.x,_xlfn._xlws.FILTER(O23:S23,(O23:S23&lt;&gt;"R")*(O23:S23&lt;&gt;"NA")*(O23:S23&lt;&gt;"W")*(O23:S23&lt;&gt;"")),
IF(COUNTA(_xlpm.x)=0,"NA",IF(MIN(_xlpm.x)=MAX(_xlpm.x),MIN(_xlpm.x),"review"))
)</f>
        <v>42</v>
      </c>
    </row>
    <row r="24" spans="1:22" ht="15.75" hidden="1" customHeight="1" x14ac:dyDescent="0.25">
      <c r="A24" s="7" t="s">
        <v>21</v>
      </c>
      <c r="B24" s="8" t="s">
        <v>22</v>
      </c>
      <c r="C24" s="8" t="s">
        <v>23</v>
      </c>
      <c r="D24" s="9" t="s">
        <v>24</v>
      </c>
      <c r="E24" s="7" t="s">
        <v>25</v>
      </c>
      <c r="F24" s="7" t="s">
        <v>26</v>
      </c>
      <c r="G24" s="7" t="s">
        <v>27</v>
      </c>
      <c r="H24" s="7">
        <v>1971</v>
      </c>
      <c r="I24" s="10">
        <v>12</v>
      </c>
      <c r="J24" s="11"/>
      <c r="K24" s="10">
        <v>7</v>
      </c>
      <c r="M24" s="7">
        <v>1</v>
      </c>
      <c r="N24" s="7">
        <v>23</v>
      </c>
      <c r="O24" s="7">
        <v>53</v>
      </c>
      <c r="T24" s="12"/>
      <c r="V24" cm="1">
        <f t="array" ref="V24">_xlfn.LET(
_xlpm.x,_xlfn._xlws.FILTER(O24:S24,(O24:S24&lt;&gt;"R")*(O24:S24&lt;&gt;"NA")*(O24:S24&lt;&gt;"W")*(O24:S24&lt;&gt;"")),
IF(COUNTA(_xlpm.x)=0,"NA",IF(MIN(_xlpm.x)=MAX(_xlpm.x),MIN(_xlpm.x),"review"))
)</f>
        <v>53</v>
      </c>
    </row>
    <row r="25" spans="1:22" ht="15.75" hidden="1" customHeight="1" x14ac:dyDescent="0.25">
      <c r="A25" s="7" t="s">
        <v>21</v>
      </c>
      <c r="B25" s="8" t="s">
        <v>22</v>
      </c>
      <c r="C25" s="8" t="s">
        <v>23</v>
      </c>
      <c r="D25" s="9" t="s">
        <v>24</v>
      </c>
      <c r="E25" s="7" t="s">
        <v>25</v>
      </c>
      <c r="F25" s="7" t="s">
        <v>26</v>
      </c>
      <c r="G25" s="7" t="s">
        <v>27</v>
      </c>
      <c r="H25" s="7">
        <v>1971</v>
      </c>
      <c r="I25" s="10">
        <v>12</v>
      </c>
      <c r="J25" s="11"/>
      <c r="K25" s="10">
        <v>7</v>
      </c>
      <c r="M25" s="7">
        <v>1</v>
      </c>
      <c r="N25" s="7">
        <v>24</v>
      </c>
      <c r="O25" s="7">
        <v>52</v>
      </c>
      <c r="T25" s="12"/>
      <c r="V25" cm="1">
        <f t="array" ref="V25">_xlfn.LET(
_xlpm.x,_xlfn._xlws.FILTER(O25:S25,(O25:S25&lt;&gt;"R")*(O25:S25&lt;&gt;"NA")*(O25:S25&lt;&gt;"W")*(O25:S25&lt;&gt;"")),
IF(COUNTA(_xlpm.x)=0,"NA",IF(MIN(_xlpm.x)=MAX(_xlpm.x),MIN(_xlpm.x),"review"))
)</f>
        <v>52</v>
      </c>
    </row>
    <row r="26" spans="1:22" ht="15.75" hidden="1" customHeight="1" x14ac:dyDescent="0.25">
      <c r="A26" s="7" t="s">
        <v>21</v>
      </c>
      <c r="B26" s="8" t="s">
        <v>22</v>
      </c>
      <c r="C26" s="8" t="s">
        <v>23</v>
      </c>
      <c r="D26" s="9" t="s">
        <v>24</v>
      </c>
      <c r="E26" s="7" t="s">
        <v>25</v>
      </c>
      <c r="F26" s="7" t="s">
        <v>26</v>
      </c>
      <c r="G26" s="7" t="s">
        <v>27</v>
      </c>
      <c r="H26" s="7">
        <v>1971</v>
      </c>
      <c r="I26" s="10">
        <v>12</v>
      </c>
      <c r="J26" s="11"/>
      <c r="K26" s="10">
        <v>7</v>
      </c>
      <c r="M26" s="7">
        <v>1</v>
      </c>
      <c r="N26" s="7">
        <v>25</v>
      </c>
      <c r="O26" s="7">
        <v>42</v>
      </c>
      <c r="T26" s="12"/>
      <c r="V26" cm="1">
        <f t="array" ref="V26">_xlfn.LET(
_xlpm.x,_xlfn._xlws.FILTER(O26:S26,(O26:S26&lt;&gt;"R")*(O26:S26&lt;&gt;"NA")*(O26:S26&lt;&gt;"W")*(O26:S26&lt;&gt;"")),
IF(COUNTA(_xlpm.x)=0,"NA",IF(MIN(_xlpm.x)=MAX(_xlpm.x),MIN(_xlpm.x),"review"))
)</f>
        <v>42</v>
      </c>
    </row>
    <row r="27" spans="1:22" ht="15.75" hidden="1" customHeight="1" x14ac:dyDescent="0.25">
      <c r="A27" s="7" t="s">
        <v>21</v>
      </c>
      <c r="B27" s="8" t="s">
        <v>22</v>
      </c>
      <c r="C27" s="8" t="s">
        <v>23</v>
      </c>
      <c r="D27" s="9" t="s">
        <v>24</v>
      </c>
      <c r="E27" s="7" t="s">
        <v>25</v>
      </c>
      <c r="F27" s="7" t="s">
        <v>26</v>
      </c>
      <c r="G27" s="7" t="s">
        <v>27</v>
      </c>
      <c r="H27" s="7">
        <v>1971</v>
      </c>
      <c r="I27" s="10">
        <v>12</v>
      </c>
      <c r="J27" s="11"/>
      <c r="K27" s="10">
        <v>7</v>
      </c>
      <c r="M27" s="7">
        <v>1</v>
      </c>
      <c r="N27" s="7">
        <v>26</v>
      </c>
      <c r="O27" s="7" t="s">
        <v>29</v>
      </c>
      <c r="T27" s="12" t="s">
        <v>30</v>
      </c>
      <c r="V27" t="s">
        <v>29</v>
      </c>
    </row>
    <row r="28" spans="1:22" ht="15.75" hidden="1" customHeight="1" x14ac:dyDescent="0.25">
      <c r="A28" s="7" t="s">
        <v>21</v>
      </c>
      <c r="B28" s="8" t="s">
        <v>22</v>
      </c>
      <c r="C28" s="8" t="s">
        <v>23</v>
      </c>
      <c r="D28" s="9" t="s">
        <v>24</v>
      </c>
      <c r="E28" s="7" t="s">
        <v>25</v>
      </c>
      <c r="F28" s="7" t="s">
        <v>26</v>
      </c>
      <c r="G28" s="7" t="s">
        <v>27</v>
      </c>
      <c r="H28" s="7">
        <v>1971</v>
      </c>
      <c r="I28" s="10">
        <v>12</v>
      </c>
      <c r="J28" s="11"/>
      <c r="K28" s="10">
        <v>7</v>
      </c>
      <c r="M28" s="7">
        <v>1</v>
      </c>
      <c r="N28" s="7">
        <v>27</v>
      </c>
      <c r="O28" s="7" t="s">
        <v>29</v>
      </c>
      <c r="T28" s="12" t="s">
        <v>31</v>
      </c>
      <c r="V28" t="s">
        <v>29</v>
      </c>
    </row>
    <row r="29" spans="1:22" ht="15.75" hidden="1" customHeight="1" x14ac:dyDescent="0.25">
      <c r="A29" s="7" t="s">
        <v>21</v>
      </c>
      <c r="B29" s="8" t="s">
        <v>22</v>
      </c>
      <c r="C29" s="8" t="s">
        <v>23</v>
      </c>
      <c r="D29" s="9" t="s">
        <v>24</v>
      </c>
      <c r="E29" s="7" t="s">
        <v>25</v>
      </c>
      <c r="F29" s="7" t="s">
        <v>26</v>
      </c>
      <c r="G29" s="7" t="s">
        <v>27</v>
      </c>
      <c r="H29" s="7">
        <v>1971</v>
      </c>
      <c r="I29" s="10">
        <v>12</v>
      </c>
      <c r="J29" s="11"/>
      <c r="K29" s="10">
        <v>7</v>
      </c>
      <c r="M29" s="7">
        <v>1</v>
      </c>
      <c r="N29" s="7">
        <v>28</v>
      </c>
      <c r="O29" s="7">
        <v>42</v>
      </c>
      <c r="T29" s="12"/>
      <c r="V29" cm="1">
        <f t="array" ref="V29">_xlfn.LET(
_xlpm.x,_xlfn._xlws.FILTER(O29:S29,(O29:S29&lt;&gt;"R")*(O29:S29&lt;&gt;"NA")*(O29:S29&lt;&gt;"W")*(O29:S29&lt;&gt;"")),
IF(COUNTA(_xlpm.x)=0,"NA",IF(MIN(_xlpm.x)=MAX(_xlpm.x),MIN(_xlpm.x),"review"))
)</f>
        <v>42</v>
      </c>
    </row>
    <row r="30" spans="1:22" ht="15.75" hidden="1" customHeight="1" x14ac:dyDescent="0.25">
      <c r="A30" s="7" t="s">
        <v>21</v>
      </c>
      <c r="B30" s="8" t="s">
        <v>22</v>
      </c>
      <c r="C30" s="8" t="s">
        <v>23</v>
      </c>
      <c r="D30" s="9" t="s">
        <v>24</v>
      </c>
      <c r="E30" s="7" t="s">
        <v>25</v>
      </c>
      <c r="F30" s="7" t="s">
        <v>26</v>
      </c>
      <c r="G30" s="7" t="s">
        <v>27</v>
      </c>
      <c r="H30" s="7">
        <v>1971</v>
      </c>
      <c r="I30" s="10">
        <v>12</v>
      </c>
      <c r="J30" s="11"/>
      <c r="K30" s="10">
        <v>7</v>
      </c>
      <c r="M30" s="7">
        <v>1</v>
      </c>
      <c r="N30" s="7">
        <v>29</v>
      </c>
      <c r="O30" s="7" t="s">
        <v>28</v>
      </c>
      <c r="T30" s="12"/>
      <c r="V30" t="s">
        <v>29</v>
      </c>
    </row>
    <row r="31" spans="1:22" ht="15.75" hidden="1" customHeight="1" x14ac:dyDescent="0.25">
      <c r="A31" s="7" t="s">
        <v>21</v>
      </c>
      <c r="B31" s="8" t="s">
        <v>22</v>
      </c>
      <c r="C31" s="8" t="s">
        <v>23</v>
      </c>
      <c r="D31" s="9" t="s">
        <v>24</v>
      </c>
      <c r="E31" s="7" t="s">
        <v>25</v>
      </c>
      <c r="F31" s="7" t="s">
        <v>26</v>
      </c>
      <c r="G31" s="7" t="s">
        <v>27</v>
      </c>
      <c r="H31" s="7">
        <v>1971</v>
      </c>
      <c r="I31" s="10">
        <v>12</v>
      </c>
      <c r="J31" s="11"/>
      <c r="K31" s="10">
        <v>7</v>
      </c>
      <c r="M31" s="7">
        <v>1</v>
      </c>
      <c r="N31" s="7">
        <v>30</v>
      </c>
      <c r="O31" s="7">
        <v>42</v>
      </c>
      <c r="T31" s="12"/>
      <c r="V31" cm="1">
        <f t="array" ref="V31">_xlfn.LET(
_xlpm.x,_xlfn._xlws.FILTER(O31:S31,(O31:S31&lt;&gt;"R")*(O31:S31&lt;&gt;"NA")*(O31:S31&lt;&gt;"W")*(O31:S31&lt;&gt;"")),
IF(COUNTA(_xlpm.x)=0,"NA",IF(MIN(_xlpm.x)=MAX(_xlpm.x),MIN(_xlpm.x),"review"))
)</f>
        <v>42</v>
      </c>
    </row>
    <row r="32" spans="1:22" ht="15.75" hidden="1" customHeight="1" x14ac:dyDescent="0.25">
      <c r="A32" s="7" t="s">
        <v>21</v>
      </c>
      <c r="B32" s="8" t="s">
        <v>22</v>
      </c>
      <c r="C32" s="8" t="s">
        <v>23</v>
      </c>
      <c r="D32" s="9" t="s">
        <v>24</v>
      </c>
      <c r="E32" s="7" t="s">
        <v>25</v>
      </c>
      <c r="F32" s="7" t="s">
        <v>26</v>
      </c>
      <c r="G32" s="7" t="s">
        <v>27</v>
      </c>
      <c r="H32" s="7">
        <v>1971</v>
      </c>
      <c r="I32" s="10">
        <v>12</v>
      </c>
      <c r="J32" s="11"/>
      <c r="K32" s="10">
        <v>7</v>
      </c>
      <c r="M32" s="7">
        <v>1</v>
      </c>
      <c r="N32" s="7">
        <v>31</v>
      </c>
      <c r="O32" s="7" t="s">
        <v>29</v>
      </c>
      <c r="T32" s="12"/>
      <c r="V32" t="s">
        <v>29</v>
      </c>
    </row>
    <row r="33" spans="1:22" ht="15.75" hidden="1" customHeight="1" x14ac:dyDescent="0.25">
      <c r="A33" s="7" t="s">
        <v>21</v>
      </c>
      <c r="B33" s="8" t="s">
        <v>22</v>
      </c>
      <c r="C33" s="8" t="s">
        <v>23</v>
      </c>
      <c r="D33" s="9" t="s">
        <v>24</v>
      </c>
      <c r="E33" s="7" t="s">
        <v>25</v>
      </c>
      <c r="F33" s="7" t="s">
        <v>26</v>
      </c>
      <c r="G33" s="7" t="s">
        <v>27</v>
      </c>
      <c r="H33" s="7">
        <v>1971</v>
      </c>
      <c r="I33" s="10">
        <v>12</v>
      </c>
      <c r="J33" s="11"/>
      <c r="K33" s="10">
        <v>7</v>
      </c>
      <c r="M33" s="7">
        <v>1</v>
      </c>
      <c r="N33" s="7">
        <v>32</v>
      </c>
      <c r="O33" s="7">
        <v>42</v>
      </c>
      <c r="T33" s="12"/>
      <c r="V33" cm="1">
        <f t="array" ref="V33">_xlfn.LET(
_xlpm.x,_xlfn._xlws.FILTER(O33:S33,(O33:S33&lt;&gt;"R")*(O33:S33&lt;&gt;"NA")*(O33:S33&lt;&gt;"W")*(O33:S33&lt;&gt;"")),
IF(COUNTA(_xlpm.x)=0,"NA",IF(MIN(_xlpm.x)=MAX(_xlpm.x),MIN(_xlpm.x),"review"))
)</f>
        <v>42</v>
      </c>
    </row>
    <row r="34" spans="1:22" ht="15.75" hidden="1" customHeight="1" x14ac:dyDescent="0.25">
      <c r="A34" s="7" t="s">
        <v>21</v>
      </c>
      <c r="B34" s="8" t="s">
        <v>22</v>
      </c>
      <c r="C34" s="8" t="s">
        <v>23</v>
      </c>
      <c r="D34" s="9" t="s">
        <v>24</v>
      </c>
      <c r="E34" s="7" t="s">
        <v>25</v>
      </c>
      <c r="F34" s="7" t="s">
        <v>26</v>
      </c>
      <c r="G34" s="7" t="s">
        <v>27</v>
      </c>
      <c r="H34" s="7">
        <v>1971</v>
      </c>
      <c r="I34" s="10">
        <v>12</v>
      </c>
      <c r="J34" s="11"/>
      <c r="K34" s="10">
        <v>7</v>
      </c>
      <c r="M34" s="7">
        <v>1</v>
      </c>
      <c r="N34" s="7">
        <v>33</v>
      </c>
      <c r="O34" s="7">
        <v>42</v>
      </c>
      <c r="T34" s="12"/>
      <c r="V34" cm="1">
        <f t="array" ref="V34">_xlfn.LET(
_xlpm.x,_xlfn._xlws.FILTER(O34:S34,(O34:S34&lt;&gt;"R")*(O34:S34&lt;&gt;"NA")*(O34:S34&lt;&gt;"W")*(O34:S34&lt;&gt;"")),
IF(COUNTA(_xlpm.x)=0,"NA",IF(MIN(_xlpm.x)=MAX(_xlpm.x),MIN(_xlpm.x),"review"))
)</f>
        <v>42</v>
      </c>
    </row>
    <row r="35" spans="1:22" ht="15.75" hidden="1" customHeight="1" x14ac:dyDescent="0.25">
      <c r="A35" s="7" t="s">
        <v>21</v>
      </c>
      <c r="B35" s="8" t="s">
        <v>22</v>
      </c>
      <c r="C35" s="8" t="s">
        <v>23</v>
      </c>
      <c r="D35" s="9" t="s">
        <v>24</v>
      </c>
      <c r="E35" s="7" t="s">
        <v>25</v>
      </c>
      <c r="F35" s="7" t="s">
        <v>26</v>
      </c>
      <c r="G35" s="7" t="s">
        <v>27</v>
      </c>
      <c r="H35" s="7">
        <v>1971</v>
      </c>
      <c r="I35" s="10">
        <v>12</v>
      </c>
      <c r="J35" s="11"/>
      <c r="K35" s="10">
        <v>7</v>
      </c>
      <c r="M35" s="7">
        <v>1</v>
      </c>
      <c r="N35" s="7">
        <v>34</v>
      </c>
      <c r="O35" s="7">
        <v>42</v>
      </c>
      <c r="T35" s="12"/>
      <c r="V35" cm="1">
        <f t="array" ref="V35">_xlfn.LET(
_xlpm.x,_xlfn._xlws.FILTER(O35:S35,(O35:S35&lt;&gt;"R")*(O35:S35&lt;&gt;"NA")*(O35:S35&lt;&gt;"W")*(O35:S35&lt;&gt;"")),
IF(COUNTA(_xlpm.x)=0,"NA",IF(MIN(_xlpm.x)=MAX(_xlpm.x),MIN(_xlpm.x),"review"))
)</f>
        <v>42</v>
      </c>
    </row>
    <row r="36" spans="1:22" ht="15.75" hidden="1" customHeight="1" x14ac:dyDescent="0.25">
      <c r="A36" s="7" t="s">
        <v>21</v>
      </c>
      <c r="B36" s="8" t="s">
        <v>22</v>
      </c>
      <c r="C36" s="8" t="s">
        <v>23</v>
      </c>
      <c r="D36" s="9" t="s">
        <v>24</v>
      </c>
      <c r="E36" s="7" t="s">
        <v>25</v>
      </c>
      <c r="F36" s="7" t="s">
        <v>26</v>
      </c>
      <c r="G36" s="7" t="s">
        <v>27</v>
      </c>
      <c r="H36" s="7">
        <v>1971</v>
      </c>
      <c r="I36" s="10">
        <v>12</v>
      </c>
      <c r="J36" s="11"/>
      <c r="K36" s="10">
        <v>7</v>
      </c>
      <c r="M36" s="7">
        <v>1</v>
      </c>
      <c r="N36" s="7">
        <v>35</v>
      </c>
      <c r="O36" s="7">
        <v>42</v>
      </c>
      <c r="T36" s="12"/>
      <c r="V36" cm="1">
        <f t="array" ref="V36">_xlfn.LET(
_xlpm.x,_xlfn._xlws.FILTER(O36:S36,(O36:S36&lt;&gt;"R")*(O36:S36&lt;&gt;"NA")*(O36:S36&lt;&gt;"W")*(O36:S36&lt;&gt;"")),
IF(COUNTA(_xlpm.x)=0,"NA",IF(MIN(_xlpm.x)=MAX(_xlpm.x),MIN(_xlpm.x),"review"))
)</f>
        <v>42</v>
      </c>
    </row>
    <row r="37" spans="1:22" ht="15.75" hidden="1" customHeight="1" x14ac:dyDescent="0.25">
      <c r="A37" s="7" t="s">
        <v>21</v>
      </c>
      <c r="B37" s="8" t="s">
        <v>22</v>
      </c>
      <c r="C37" s="8" t="s">
        <v>23</v>
      </c>
      <c r="D37" s="9" t="s">
        <v>24</v>
      </c>
      <c r="E37" s="7" t="s">
        <v>25</v>
      </c>
      <c r="F37" s="7" t="s">
        <v>26</v>
      </c>
      <c r="G37" s="7" t="s">
        <v>27</v>
      </c>
      <c r="H37" s="7">
        <v>1971</v>
      </c>
      <c r="I37" s="10">
        <v>12</v>
      </c>
      <c r="J37" s="11"/>
      <c r="K37" s="10">
        <v>7</v>
      </c>
      <c r="M37" s="7">
        <v>1</v>
      </c>
      <c r="N37" s="7">
        <v>36</v>
      </c>
      <c r="O37" s="7">
        <v>42</v>
      </c>
      <c r="T37" s="12"/>
      <c r="V37" cm="1">
        <f t="array" ref="V37">_xlfn.LET(
_xlpm.x,_xlfn._xlws.FILTER(O37:S37,(O37:S37&lt;&gt;"R")*(O37:S37&lt;&gt;"NA")*(O37:S37&lt;&gt;"W")*(O37:S37&lt;&gt;"")),
IF(COUNTA(_xlpm.x)=0,"NA",IF(MIN(_xlpm.x)=MAX(_xlpm.x),MIN(_xlpm.x),"review"))
)</f>
        <v>42</v>
      </c>
    </row>
    <row r="38" spans="1:22" ht="15.75" hidden="1" customHeight="1" x14ac:dyDescent="0.25">
      <c r="A38" s="7" t="s">
        <v>21</v>
      </c>
      <c r="B38" s="8" t="s">
        <v>22</v>
      </c>
      <c r="C38" s="8" t="s">
        <v>23</v>
      </c>
      <c r="D38" s="9" t="s">
        <v>24</v>
      </c>
      <c r="E38" s="7" t="s">
        <v>25</v>
      </c>
      <c r="F38" s="7" t="s">
        <v>26</v>
      </c>
      <c r="G38" s="7" t="s">
        <v>27</v>
      </c>
      <c r="H38" s="7">
        <v>1971</v>
      </c>
      <c r="I38" s="10">
        <v>12</v>
      </c>
      <c r="J38" s="11"/>
      <c r="K38" s="10">
        <v>7</v>
      </c>
      <c r="M38" s="7">
        <v>1</v>
      </c>
      <c r="N38" s="7">
        <v>37</v>
      </c>
      <c r="O38" s="7">
        <v>42</v>
      </c>
      <c r="T38" s="12"/>
      <c r="V38" cm="1">
        <f t="array" ref="V38">_xlfn.LET(
_xlpm.x,_xlfn._xlws.FILTER(O38:S38,(O38:S38&lt;&gt;"R")*(O38:S38&lt;&gt;"NA")*(O38:S38&lt;&gt;"W")*(O38:S38&lt;&gt;"")),
IF(COUNTA(_xlpm.x)=0,"NA",IF(MIN(_xlpm.x)=MAX(_xlpm.x),MIN(_xlpm.x),"review"))
)</f>
        <v>42</v>
      </c>
    </row>
    <row r="39" spans="1:22" ht="15.75" hidden="1" customHeight="1" x14ac:dyDescent="0.25">
      <c r="A39" s="7" t="s">
        <v>21</v>
      </c>
      <c r="B39" s="8" t="s">
        <v>22</v>
      </c>
      <c r="C39" s="8" t="s">
        <v>23</v>
      </c>
      <c r="D39" s="9" t="s">
        <v>24</v>
      </c>
      <c r="E39" s="7" t="s">
        <v>25</v>
      </c>
      <c r="F39" s="7" t="s">
        <v>26</v>
      </c>
      <c r="G39" s="7" t="s">
        <v>27</v>
      </c>
      <c r="H39" s="7">
        <v>1971</v>
      </c>
      <c r="I39" s="10">
        <v>12</v>
      </c>
      <c r="J39" s="11"/>
      <c r="K39" s="10">
        <v>7</v>
      </c>
      <c r="M39" s="7">
        <v>1</v>
      </c>
      <c r="N39" s="7">
        <v>38</v>
      </c>
      <c r="O39" s="7">
        <v>42</v>
      </c>
      <c r="T39" s="12"/>
      <c r="V39" cm="1">
        <f t="array" ref="V39">_xlfn.LET(
_xlpm.x,_xlfn._xlws.FILTER(O39:S39,(O39:S39&lt;&gt;"R")*(O39:S39&lt;&gt;"NA")*(O39:S39&lt;&gt;"W")*(O39:S39&lt;&gt;"")),
IF(COUNTA(_xlpm.x)=0,"NA",IF(MIN(_xlpm.x)=MAX(_xlpm.x),MIN(_xlpm.x),"review"))
)</f>
        <v>42</v>
      </c>
    </row>
    <row r="40" spans="1:22" ht="15.75" hidden="1" customHeight="1" x14ac:dyDescent="0.25">
      <c r="A40" s="7" t="s">
        <v>21</v>
      </c>
      <c r="B40" s="8" t="s">
        <v>22</v>
      </c>
      <c r="C40" s="8" t="s">
        <v>23</v>
      </c>
      <c r="D40" s="9" t="s">
        <v>24</v>
      </c>
      <c r="E40" s="7" t="s">
        <v>25</v>
      </c>
      <c r="F40" s="7" t="s">
        <v>26</v>
      </c>
      <c r="G40" s="7" t="s">
        <v>27</v>
      </c>
      <c r="H40" s="7">
        <v>1971</v>
      </c>
      <c r="I40" s="10">
        <v>12</v>
      </c>
      <c r="J40" s="11"/>
      <c r="K40" s="10">
        <v>7</v>
      </c>
      <c r="M40" s="7">
        <v>1</v>
      </c>
      <c r="N40" s="7">
        <v>39</v>
      </c>
      <c r="O40" s="7">
        <v>42</v>
      </c>
      <c r="T40" s="12"/>
      <c r="V40" cm="1">
        <f t="array" ref="V40">_xlfn.LET(
_xlpm.x,_xlfn._xlws.FILTER(O40:S40,(O40:S40&lt;&gt;"R")*(O40:S40&lt;&gt;"NA")*(O40:S40&lt;&gt;"W")*(O40:S40&lt;&gt;"")),
IF(COUNTA(_xlpm.x)=0,"NA",IF(MIN(_xlpm.x)=MAX(_xlpm.x),MIN(_xlpm.x),"review"))
)</f>
        <v>42</v>
      </c>
    </row>
    <row r="41" spans="1:22" ht="15.75" hidden="1" customHeight="1" x14ac:dyDescent="0.25">
      <c r="A41" s="7" t="s">
        <v>21</v>
      </c>
      <c r="B41" s="8" t="s">
        <v>22</v>
      </c>
      <c r="C41" s="8" t="s">
        <v>23</v>
      </c>
      <c r="D41" s="9" t="s">
        <v>24</v>
      </c>
      <c r="E41" s="7" t="s">
        <v>25</v>
      </c>
      <c r="F41" s="7" t="s">
        <v>26</v>
      </c>
      <c r="G41" s="7" t="s">
        <v>27</v>
      </c>
      <c r="H41" s="7">
        <v>1971</v>
      </c>
      <c r="I41" s="10">
        <v>12</v>
      </c>
      <c r="J41" s="11"/>
      <c r="K41" s="10">
        <v>7</v>
      </c>
      <c r="M41" s="7">
        <v>1</v>
      </c>
      <c r="N41" s="7">
        <v>40</v>
      </c>
      <c r="O41" s="7" t="s">
        <v>28</v>
      </c>
      <c r="T41" s="12"/>
      <c r="V41" t="s">
        <v>29</v>
      </c>
    </row>
    <row r="42" spans="1:22" ht="15.75" hidden="1" customHeight="1" x14ac:dyDescent="0.25">
      <c r="A42" s="7" t="s">
        <v>21</v>
      </c>
      <c r="B42" s="8" t="s">
        <v>22</v>
      </c>
      <c r="C42" s="8" t="s">
        <v>23</v>
      </c>
      <c r="D42" s="9" t="s">
        <v>24</v>
      </c>
      <c r="E42" s="7" t="s">
        <v>25</v>
      </c>
      <c r="F42" s="7" t="s">
        <v>26</v>
      </c>
      <c r="G42" s="7" t="s">
        <v>27</v>
      </c>
      <c r="H42" s="7">
        <v>1971</v>
      </c>
      <c r="I42" s="10">
        <v>12</v>
      </c>
      <c r="J42" s="11"/>
      <c r="K42" s="10">
        <v>7</v>
      </c>
      <c r="M42" s="7">
        <v>1</v>
      </c>
      <c r="N42" s="7">
        <v>41</v>
      </c>
      <c r="O42" s="7" t="s">
        <v>29</v>
      </c>
      <c r="T42" s="12"/>
      <c r="V42" t="s">
        <v>29</v>
      </c>
    </row>
    <row r="43" spans="1:22" ht="15.75" hidden="1" customHeight="1" x14ac:dyDescent="0.25">
      <c r="A43" s="7" t="s">
        <v>21</v>
      </c>
      <c r="B43" s="8" t="s">
        <v>22</v>
      </c>
      <c r="C43" s="8" t="s">
        <v>23</v>
      </c>
      <c r="D43" s="9" t="s">
        <v>24</v>
      </c>
      <c r="E43" s="7" t="s">
        <v>25</v>
      </c>
      <c r="F43" s="7" t="s">
        <v>26</v>
      </c>
      <c r="G43" s="7" t="s">
        <v>27</v>
      </c>
      <c r="H43" s="7">
        <v>1971</v>
      </c>
      <c r="I43" s="10">
        <v>12</v>
      </c>
      <c r="J43" s="11"/>
      <c r="K43" s="10">
        <v>7</v>
      </c>
      <c r="M43" s="7">
        <v>1</v>
      </c>
      <c r="N43" s="7">
        <v>42</v>
      </c>
      <c r="O43" s="7">
        <v>42</v>
      </c>
      <c r="T43" s="12"/>
      <c r="V43" cm="1">
        <f t="array" ref="V43">_xlfn.LET(
_xlpm.x,_xlfn._xlws.FILTER(O43:S43,(O43:S43&lt;&gt;"R")*(O43:S43&lt;&gt;"NA")*(O43:S43&lt;&gt;"W")*(O43:S43&lt;&gt;"")),
IF(COUNTA(_xlpm.x)=0,"NA",IF(MIN(_xlpm.x)=MAX(_xlpm.x),MIN(_xlpm.x),"review"))
)</f>
        <v>42</v>
      </c>
    </row>
    <row r="44" spans="1:22" ht="15.75" hidden="1" customHeight="1" x14ac:dyDescent="0.25">
      <c r="A44" s="7" t="s">
        <v>21</v>
      </c>
      <c r="B44" s="8" t="s">
        <v>22</v>
      </c>
      <c r="C44" s="8" t="s">
        <v>23</v>
      </c>
      <c r="D44" s="9" t="s">
        <v>24</v>
      </c>
      <c r="E44" s="7" t="s">
        <v>25</v>
      </c>
      <c r="F44" s="7" t="s">
        <v>26</v>
      </c>
      <c r="G44" s="7" t="s">
        <v>27</v>
      </c>
      <c r="H44" s="7">
        <v>1971</v>
      </c>
      <c r="I44" s="10">
        <v>12</v>
      </c>
      <c r="J44" s="11"/>
      <c r="K44" s="10">
        <v>7</v>
      </c>
      <c r="M44" s="7">
        <v>1</v>
      </c>
      <c r="N44" s="7">
        <v>43</v>
      </c>
      <c r="O44" s="7">
        <v>42</v>
      </c>
      <c r="T44" s="12"/>
      <c r="V44" cm="1">
        <f t="array" ref="V44">_xlfn.LET(
_xlpm.x,_xlfn._xlws.FILTER(O44:S44,(O44:S44&lt;&gt;"R")*(O44:S44&lt;&gt;"NA")*(O44:S44&lt;&gt;"W")*(O44:S44&lt;&gt;"")),
IF(COUNTA(_xlpm.x)=0,"NA",IF(MIN(_xlpm.x)=MAX(_xlpm.x),MIN(_xlpm.x),"review"))
)</f>
        <v>42</v>
      </c>
    </row>
    <row r="45" spans="1:22" ht="15.75" hidden="1" customHeight="1" x14ac:dyDescent="0.25">
      <c r="A45" s="7" t="s">
        <v>21</v>
      </c>
      <c r="B45" s="8" t="s">
        <v>22</v>
      </c>
      <c r="C45" s="8" t="s">
        <v>23</v>
      </c>
      <c r="D45" s="9" t="s">
        <v>24</v>
      </c>
      <c r="E45" s="7" t="s">
        <v>25</v>
      </c>
      <c r="F45" s="7" t="s">
        <v>26</v>
      </c>
      <c r="G45" s="7" t="s">
        <v>27</v>
      </c>
      <c r="H45" s="7">
        <v>1971</v>
      </c>
      <c r="I45" s="10">
        <v>12</v>
      </c>
      <c r="J45" s="11"/>
      <c r="K45" s="10">
        <v>7</v>
      </c>
      <c r="M45" s="7">
        <v>1</v>
      </c>
      <c r="N45" s="7">
        <v>44</v>
      </c>
      <c r="O45" s="7" t="s">
        <v>28</v>
      </c>
      <c r="T45" s="12"/>
      <c r="V45" t="s">
        <v>29</v>
      </c>
    </row>
    <row r="46" spans="1:22" ht="15.75" hidden="1" customHeight="1" x14ac:dyDescent="0.25">
      <c r="A46" s="7" t="s">
        <v>21</v>
      </c>
      <c r="B46" s="8" t="s">
        <v>22</v>
      </c>
      <c r="C46" s="8" t="s">
        <v>23</v>
      </c>
      <c r="D46" s="9" t="s">
        <v>24</v>
      </c>
      <c r="E46" s="7" t="s">
        <v>25</v>
      </c>
      <c r="F46" s="7" t="s">
        <v>26</v>
      </c>
      <c r="G46" s="7" t="s">
        <v>27</v>
      </c>
      <c r="H46" s="7">
        <v>1971</v>
      </c>
      <c r="I46" s="10">
        <v>12</v>
      </c>
      <c r="J46" s="11"/>
      <c r="K46" s="10">
        <v>7</v>
      </c>
      <c r="M46" s="7">
        <v>1</v>
      </c>
      <c r="N46" s="7">
        <v>45</v>
      </c>
      <c r="O46" s="7">
        <v>52</v>
      </c>
      <c r="T46" s="12"/>
      <c r="V46" cm="1">
        <f t="array" ref="V46">_xlfn.LET(
_xlpm.x,_xlfn._xlws.FILTER(O46:S46,(O46:S46&lt;&gt;"R")*(O46:S46&lt;&gt;"NA")*(O46:S46&lt;&gt;"W")*(O46:S46&lt;&gt;"")),
IF(COUNTA(_xlpm.x)=0,"NA",IF(MIN(_xlpm.x)=MAX(_xlpm.x),MIN(_xlpm.x),"review"))
)</f>
        <v>52</v>
      </c>
    </row>
    <row r="47" spans="1:22" ht="15.75" hidden="1" customHeight="1" x14ac:dyDescent="0.25">
      <c r="A47" s="7" t="s">
        <v>21</v>
      </c>
      <c r="B47" s="8" t="s">
        <v>22</v>
      </c>
      <c r="C47" s="8" t="s">
        <v>23</v>
      </c>
      <c r="D47" s="9" t="s">
        <v>24</v>
      </c>
      <c r="E47" s="7" t="s">
        <v>25</v>
      </c>
      <c r="F47" s="7" t="s">
        <v>26</v>
      </c>
      <c r="G47" s="7" t="s">
        <v>27</v>
      </c>
      <c r="H47" s="7">
        <v>1971</v>
      </c>
      <c r="I47" s="10">
        <v>12</v>
      </c>
      <c r="J47" s="11"/>
      <c r="K47" s="10">
        <v>7</v>
      </c>
      <c r="M47" s="7">
        <v>1</v>
      </c>
      <c r="N47" s="7">
        <v>46</v>
      </c>
      <c r="O47" s="7">
        <v>42</v>
      </c>
      <c r="T47" s="12"/>
      <c r="U47" s="13" t="s">
        <v>32</v>
      </c>
      <c r="V47" cm="1">
        <f t="array" ref="V47">_xlfn.LET(
_xlpm.x,_xlfn._xlws.FILTER(O47:S47,(O47:S47&lt;&gt;"R")*(O47:S47&lt;&gt;"NA")*(O47:S47&lt;&gt;"W")*(O47:S47&lt;&gt;"")),
IF(COUNTA(_xlpm.x)=0,"NA",IF(MIN(_xlpm.x)=MAX(_xlpm.x),MIN(_xlpm.x),"review"))
)</f>
        <v>42</v>
      </c>
    </row>
    <row r="48" spans="1:22" ht="15.75" hidden="1" customHeight="1" x14ac:dyDescent="0.25">
      <c r="A48" s="7" t="s">
        <v>21</v>
      </c>
      <c r="B48" s="8" t="s">
        <v>22</v>
      </c>
      <c r="C48" s="8" t="s">
        <v>23</v>
      </c>
      <c r="D48" s="9" t="s">
        <v>24</v>
      </c>
      <c r="E48" s="7" t="s">
        <v>25</v>
      </c>
      <c r="F48" s="7" t="s">
        <v>26</v>
      </c>
      <c r="G48" s="7" t="s">
        <v>27</v>
      </c>
      <c r="H48" s="7">
        <v>1971</v>
      </c>
      <c r="I48" s="10">
        <v>12</v>
      </c>
      <c r="J48" s="11"/>
      <c r="K48" s="10">
        <v>7</v>
      </c>
      <c r="M48" s="7">
        <v>1</v>
      </c>
      <c r="N48" s="7">
        <v>47</v>
      </c>
      <c r="O48" s="7">
        <v>42</v>
      </c>
      <c r="T48" s="12"/>
      <c r="V48" cm="1">
        <f t="array" ref="V48">_xlfn.LET(
_xlpm.x,_xlfn._xlws.FILTER(O48:S48,(O48:S48&lt;&gt;"R")*(O48:S48&lt;&gt;"NA")*(O48:S48&lt;&gt;"W")*(O48:S48&lt;&gt;"")),
IF(COUNTA(_xlpm.x)=0,"NA",IF(MIN(_xlpm.x)=MAX(_xlpm.x),MIN(_xlpm.x),"review"))
)</f>
        <v>42</v>
      </c>
    </row>
    <row r="49" spans="1:22" ht="15.75" hidden="1" customHeight="1" x14ac:dyDescent="0.25">
      <c r="A49" s="7" t="s">
        <v>21</v>
      </c>
      <c r="B49" s="8" t="s">
        <v>22</v>
      </c>
      <c r="C49" s="8" t="s">
        <v>23</v>
      </c>
      <c r="D49" s="9" t="s">
        <v>24</v>
      </c>
      <c r="E49" s="7" t="s">
        <v>25</v>
      </c>
      <c r="F49" s="7" t="s">
        <v>26</v>
      </c>
      <c r="G49" s="7" t="s">
        <v>27</v>
      </c>
      <c r="H49" s="7">
        <v>1971</v>
      </c>
      <c r="I49" s="10">
        <v>12</v>
      </c>
      <c r="J49" s="11"/>
      <c r="K49" s="10">
        <v>7</v>
      </c>
      <c r="M49" s="7">
        <v>1</v>
      </c>
      <c r="N49" s="7">
        <v>48</v>
      </c>
      <c r="O49" s="7">
        <v>42</v>
      </c>
      <c r="T49" s="12"/>
      <c r="V49" cm="1">
        <f t="array" ref="V49">_xlfn.LET(
_xlpm.x,_xlfn._xlws.FILTER(O49:S49,(O49:S49&lt;&gt;"R")*(O49:S49&lt;&gt;"NA")*(O49:S49&lt;&gt;"W")*(O49:S49&lt;&gt;"")),
IF(COUNTA(_xlpm.x)=0,"NA",IF(MIN(_xlpm.x)=MAX(_xlpm.x),MIN(_xlpm.x),"review"))
)</f>
        <v>42</v>
      </c>
    </row>
    <row r="50" spans="1:22" ht="15.75" hidden="1" customHeight="1" x14ac:dyDescent="0.25">
      <c r="A50" s="7" t="s">
        <v>21</v>
      </c>
      <c r="B50" s="8" t="s">
        <v>22</v>
      </c>
      <c r="C50" s="8" t="s">
        <v>23</v>
      </c>
      <c r="D50" s="9" t="s">
        <v>24</v>
      </c>
      <c r="E50" s="7" t="s">
        <v>25</v>
      </c>
      <c r="F50" s="7" t="s">
        <v>26</v>
      </c>
      <c r="G50" s="7" t="s">
        <v>27</v>
      </c>
      <c r="H50" s="7">
        <v>1971</v>
      </c>
      <c r="I50" s="10">
        <v>12</v>
      </c>
      <c r="J50" s="11"/>
      <c r="K50" s="10">
        <v>7</v>
      </c>
      <c r="M50" s="7">
        <v>1</v>
      </c>
      <c r="N50" s="7">
        <v>49</v>
      </c>
      <c r="O50" s="7">
        <v>42</v>
      </c>
      <c r="T50" s="12"/>
      <c r="U50" s="7" t="s">
        <v>33</v>
      </c>
      <c r="V50" cm="1">
        <f t="array" ref="V50">_xlfn.LET(
_xlpm.x,_xlfn._xlws.FILTER(O50:S50,(O50:S50&lt;&gt;"R")*(O50:S50&lt;&gt;"NA")*(O50:S50&lt;&gt;"W")*(O50:S50&lt;&gt;"")),
IF(COUNTA(_xlpm.x)=0,"NA",IF(MIN(_xlpm.x)=MAX(_xlpm.x),MIN(_xlpm.x),"review"))
)</f>
        <v>42</v>
      </c>
    </row>
    <row r="51" spans="1:22" ht="15.75" hidden="1" customHeight="1" x14ac:dyDescent="0.25">
      <c r="A51" s="7" t="s">
        <v>21</v>
      </c>
      <c r="B51" s="8" t="s">
        <v>22</v>
      </c>
      <c r="C51" s="8" t="s">
        <v>23</v>
      </c>
      <c r="D51" s="9" t="s">
        <v>24</v>
      </c>
      <c r="E51" s="7" t="s">
        <v>29</v>
      </c>
      <c r="F51" s="7" t="s">
        <v>26</v>
      </c>
      <c r="G51" s="7" t="s">
        <v>27</v>
      </c>
      <c r="H51" s="7">
        <v>1971</v>
      </c>
      <c r="I51" s="10">
        <v>12</v>
      </c>
      <c r="J51" s="11"/>
      <c r="K51" s="10">
        <v>7</v>
      </c>
      <c r="M51" s="7">
        <v>1</v>
      </c>
      <c r="N51" s="7">
        <v>50</v>
      </c>
      <c r="O51" s="7" t="s">
        <v>29</v>
      </c>
      <c r="T51" s="12" t="s">
        <v>34</v>
      </c>
      <c r="U51" s="13" t="s">
        <v>35</v>
      </c>
      <c r="V51" t="s">
        <v>29</v>
      </c>
    </row>
    <row r="52" spans="1:22" ht="15.75" hidden="1" customHeight="1" x14ac:dyDescent="0.25">
      <c r="A52" s="7" t="s">
        <v>36</v>
      </c>
      <c r="B52" s="8">
        <v>8</v>
      </c>
      <c r="C52" s="8" t="s">
        <v>37</v>
      </c>
      <c r="D52" s="9" t="s">
        <v>38</v>
      </c>
      <c r="E52" s="7" t="s">
        <v>25</v>
      </c>
      <c r="F52" s="7" t="s">
        <v>39</v>
      </c>
      <c r="G52" s="7" t="s">
        <v>27</v>
      </c>
      <c r="H52" s="7">
        <v>1972</v>
      </c>
      <c r="I52" s="10">
        <v>21</v>
      </c>
      <c r="J52" s="11"/>
      <c r="K52" s="10">
        <v>6</v>
      </c>
      <c r="M52" s="7">
        <v>1</v>
      </c>
      <c r="N52" s="7">
        <v>1</v>
      </c>
      <c r="O52" s="7">
        <v>53</v>
      </c>
      <c r="T52" s="12"/>
      <c r="V52" cm="1">
        <f t="array" ref="V52">_xlfn.LET(
_xlpm.x,_xlfn._xlws.FILTER(O52:S52,(O52:S52&lt;&gt;"R")*(O52:S52&lt;&gt;"NA")*(O52:S52&lt;&gt;"W")*(O52:S52&lt;&gt;"")),
IF(COUNTA(_xlpm.x)=0,"NA",IF(MIN(_xlpm.x)=MAX(_xlpm.x),MIN(_xlpm.x),"review"))
)</f>
        <v>53</v>
      </c>
    </row>
    <row r="53" spans="1:22" ht="15.75" hidden="1" customHeight="1" x14ac:dyDescent="0.25">
      <c r="A53" s="7" t="s">
        <v>36</v>
      </c>
      <c r="B53" s="8">
        <v>8</v>
      </c>
      <c r="C53" s="8" t="s">
        <v>37</v>
      </c>
      <c r="D53" s="9" t="s">
        <v>38</v>
      </c>
      <c r="E53" s="7" t="s">
        <v>25</v>
      </c>
      <c r="F53" s="7" t="s">
        <v>39</v>
      </c>
      <c r="G53" s="7" t="s">
        <v>27</v>
      </c>
      <c r="H53" s="7">
        <v>1972</v>
      </c>
      <c r="I53" s="10">
        <v>21</v>
      </c>
      <c r="J53" s="11"/>
      <c r="K53" s="10">
        <v>6</v>
      </c>
      <c r="M53" s="7">
        <v>1</v>
      </c>
      <c r="N53" s="7">
        <v>2</v>
      </c>
      <c r="O53" s="7">
        <v>42</v>
      </c>
      <c r="T53" s="12"/>
      <c r="V53" cm="1">
        <f t="array" ref="V53">_xlfn.LET(
_xlpm.x,_xlfn._xlws.FILTER(O53:S53,(O53:S53&lt;&gt;"R")*(O53:S53&lt;&gt;"NA")*(O53:S53&lt;&gt;"W")*(O53:S53&lt;&gt;"")),
IF(COUNTA(_xlpm.x)=0,"NA",IF(MIN(_xlpm.x)=MAX(_xlpm.x),MIN(_xlpm.x),"review"))
)</f>
        <v>42</v>
      </c>
    </row>
    <row r="54" spans="1:22" ht="15.75" hidden="1" customHeight="1" x14ac:dyDescent="0.25">
      <c r="A54" s="7" t="s">
        <v>36</v>
      </c>
      <c r="B54" s="8">
        <v>8</v>
      </c>
      <c r="C54" s="8" t="s">
        <v>37</v>
      </c>
      <c r="D54" s="9" t="s">
        <v>38</v>
      </c>
      <c r="E54" s="7" t="s">
        <v>25</v>
      </c>
      <c r="F54" s="7" t="s">
        <v>39</v>
      </c>
      <c r="G54" s="7" t="s">
        <v>27</v>
      </c>
      <c r="H54" s="7">
        <v>1972</v>
      </c>
      <c r="I54" s="10">
        <v>21</v>
      </c>
      <c r="J54" s="11"/>
      <c r="K54" s="10">
        <v>6</v>
      </c>
      <c r="M54" s="7">
        <v>1</v>
      </c>
      <c r="N54" s="7">
        <v>3</v>
      </c>
      <c r="O54" s="7">
        <v>42</v>
      </c>
      <c r="T54" s="12"/>
      <c r="V54" cm="1">
        <f t="array" ref="V54">_xlfn.LET(
_xlpm.x,_xlfn._xlws.FILTER(O54:S54,(O54:S54&lt;&gt;"R")*(O54:S54&lt;&gt;"NA")*(O54:S54&lt;&gt;"W")*(O54:S54&lt;&gt;"")),
IF(COUNTA(_xlpm.x)=0,"NA",IF(MIN(_xlpm.x)=MAX(_xlpm.x),MIN(_xlpm.x),"review"))
)</f>
        <v>42</v>
      </c>
    </row>
    <row r="55" spans="1:22" ht="15.75" hidden="1" customHeight="1" x14ac:dyDescent="0.25">
      <c r="A55" s="7" t="s">
        <v>36</v>
      </c>
      <c r="B55" s="8">
        <v>8</v>
      </c>
      <c r="C55" s="8" t="s">
        <v>37</v>
      </c>
      <c r="D55" s="9" t="s">
        <v>38</v>
      </c>
      <c r="E55" s="7" t="s">
        <v>25</v>
      </c>
      <c r="F55" s="7" t="s">
        <v>39</v>
      </c>
      <c r="G55" s="7" t="s">
        <v>27</v>
      </c>
      <c r="H55" s="7">
        <v>1972</v>
      </c>
      <c r="I55" s="10">
        <v>21</v>
      </c>
      <c r="J55" s="11"/>
      <c r="K55" s="10">
        <v>6</v>
      </c>
      <c r="M55" s="7">
        <v>1</v>
      </c>
      <c r="N55" s="7">
        <v>4</v>
      </c>
      <c r="O55" s="7">
        <v>52</v>
      </c>
      <c r="T55" s="12"/>
      <c r="V55" cm="1">
        <f t="array" ref="V55">_xlfn.LET(
_xlpm.x,_xlfn._xlws.FILTER(O55:S55,(O55:S55&lt;&gt;"R")*(O55:S55&lt;&gt;"NA")*(O55:S55&lt;&gt;"W")*(O55:S55&lt;&gt;"")),
IF(COUNTA(_xlpm.x)=0,"NA",IF(MIN(_xlpm.x)=MAX(_xlpm.x),MIN(_xlpm.x),"review"))
)</f>
        <v>52</v>
      </c>
    </row>
    <row r="56" spans="1:22" ht="15.75" hidden="1" customHeight="1" x14ac:dyDescent="0.25">
      <c r="A56" s="7" t="s">
        <v>36</v>
      </c>
      <c r="B56" s="8">
        <v>8</v>
      </c>
      <c r="C56" s="8" t="s">
        <v>37</v>
      </c>
      <c r="D56" s="9" t="s">
        <v>38</v>
      </c>
      <c r="E56" s="7" t="s">
        <v>25</v>
      </c>
      <c r="F56" s="7" t="s">
        <v>39</v>
      </c>
      <c r="G56" s="7" t="s">
        <v>27</v>
      </c>
      <c r="H56" s="7">
        <v>1972</v>
      </c>
      <c r="I56" s="10">
        <v>21</v>
      </c>
      <c r="J56" s="11"/>
      <c r="K56" s="10">
        <v>6</v>
      </c>
      <c r="M56" s="7">
        <v>1</v>
      </c>
      <c r="N56" s="7">
        <v>5</v>
      </c>
      <c r="O56" s="7">
        <v>42</v>
      </c>
      <c r="T56" s="12"/>
      <c r="V56" cm="1">
        <f t="array" ref="V56">_xlfn.LET(
_xlpm.x,_xlfn._xlws.FILTER(O56:S56,(O56:S56&lt;&gt;"R")*(O56:S56&lt;&gt;"NA")*(O56:S56&lt;&gt;"W")*(O56:S56&lt;&gt;"")),
IF(COUNTA(_xlpm.x)=0,"NA",IF(MIN(_xlpm.x)=MAX(_xlpm.x),MIN(_xlpm.x),"review"))
)</f>
        <v>42</v>
      </c>
    </row>
    <row r="57" spans="1:22" ht="15.75" hidden="1" customHeight="1" x14ac:dyDescent="0.25">
      <c r="A57" s="7" t="s">
        <v>36</v>
      </c>
      <c r="B57" s="8">
        <v>8</v>
      </c>
      <c r="C57" s="8" t="s">
        <v>37</v>
      </c>
      <c r="D57" s="9" t="s">
        <v>38</v>
      </c>
      <c r="E57" s="7" t="s">
        <v>25</v>
      </c>
      <c r="F57" s="7" t="s">
        <v>39</v>
      </c>
      <c r="G57" s="7" t="s">
        <v>27</v>
      </c>
      <c r="H57" s="7">
        <v>1972</v>
      </c>
      <c r="I57" s="10">
        <v>21</v>
      </c>
      <c r="J57" s="11"/>
      <c r="K57" s="10">
        <v>6</v>
      </c>
      <c r="M57" s="7">
        <v>1</v>
      </c>
      <c r="N57" s="7">
        <v>6</v>
      </c>
      <c r="O57" s="7">
        <v>52</v>
      </c>
      <c r="T57" s="12"/>
      <c r="V57" cm="1">
        <f t="array" ref="V57">_xlfn.LET(
_xlpm.x,_xlfn._xlws.FILTER(O57:S57,(O57:S57&lt;&gt;"R")*(O57:S57&lt;&gt;"NA")*(O57:S57&lt;&gt;"W")*(O57:S57&lt;&gt;"")),
IF(COUNTA(_xlpm.x)=0,"NA",IF(MIN(_xlpm.x)=MAX(_xlpm.x),MIN(_xlpm.x),"review"))
)</f>
        <v>52</v>
      </c>
    </row>
    <row r="58" spans="1:22" ht="15.75" hidden="1" customHeight="1" x14ac:dyDescent="0.25">
      <c r="A58" s="7" t="s">
        <v>36</v>
      </c>
      <c r="B58" s="8">
        <v>8</v>
      </c>
      <c r="C58" s="8" t="s">
        <v>37</v>
      </c>
      <c r="D58" s="9" t="s">
        <v>38</v>
      </c>
      <c r="E58" s="7" t="s">
        <v>25</v>
      </c>
      <c r="F58" s="7" t="s">
        <v>39</v>
      </c>
      <c r="G58" s="7" t="s">
        <v>27</v>
      </c>
      <c r="H58" s="7">
        <v>1972</v>
      </c>
      <c r="I58" s="10">
        <v>21</v>
      </c>
      <c r="J58" s="11"/>
      <c r="K58" s="10">
        <v>6</v>
      </c>
      <c r="M58" s="7">
        <v>1</v>
      </c>
      <c r="N58" s="7">
        <v>7</v>
      </c>
      <c r="O58" s="7">
        <v>42</v>
      </c>
      <c r="T58" s="12"/>
      <c r="V58" cm="1">
        <f t="array" ref="V58">_xlfn.LET(
_xlpm.x,_xlfn._xlws.FILTER(O58:S58,(O58:S58&lt;&gt;"R")*(O58:S58&lt;&gt;"NA")*(O58:S58&lt;&gt;"W")*(O58:S58&lt;&gt;"")),
IF(COUNTA(_xlpm.x)=0,"NA",IF(MIN(_xlpm.x)=MAX(_xlpm.x),MIN(_xlpm.x),"review"))
)</f>
        <v>42</v>
      </c>
    </row>
    <row r="59" spans="1:22" ht="15.75" hidden="1" customHeight="1" x14ac:dyDescent="0.25">
      <c r="A59" s="7" t="s">
        <v>36</v>
      </c>
      <c r="B59" s="8">
        <v>8</v>
      </c>
      <c r="C59" s="8" t="s">
        <v>37</v>
      </c>
      <c r="D59" s="9" t="s">
        <v>38</v>
      </c>
      <c r="E59" s="7" t="s">
        <v>25</v>
      </c>
      <c r="F59" s="7" t="s">
        <v>39</v>
      </c>
      <c r="G59" s="7" t="s">
        <v>27</v>
      </c>
      <c r="H59" s="7">
        <v>1972</v>
      </c>
      <c r="I59" s="10">
        <v>21</v>
      </c>
      <c r="J59" s="11"/>
      <c r="K59" s="10">
        <v>6</v>
      </c>
      <c r="M59" s="7">
        <v>1</v>
      </c>
      <c r="N59" s="7">
        <v>8</v>
      </c>
      <c r="O59" s="7">
        <v>52</v>
      </c>
      <c r="T59" s="12"/>
      <c r="V59" cm="1">
        <f t="array" ref="V59">_xlfn.LET(
_xlpm.x,_xlfn._xlws.FILTER(O59:S59,(O59:S59&lt;&gt;"R")*(O59:S59&lt;&gt;"NA")*(O59:S59&lt;&gt;"W")*(O59:S59&lt;&gt;"")),
IF(COUNTA(_xlpm.x)=0,"NA",IF(MIN(_xlpm.x)=MAX(_xlpm.x),MIN(_xlpm.x),"review"))
)</f>
        <v>52</v>
      </c>
    </row>
    <row r="60" spans="1:22" ht="15.75" hidden="1" customHeight="1" x14ac:dyDescent="0.25">
      <c r="A60" s="7" t="s">
        <v>36</v>
      </c>
      <c r="B60" s="8">
        <v>8</v>
      </c>
      <c r="C60" s="8" t="s">
        <v>37</v>
      </c>
      <c r="D60" s="9" t="s">
        <v>38</v>
      </c>
      <c r="E60" s="7" t="s">
        <v>25</v>
      </c>
      <c r="F60" s="7" t="s">
        <v>39</v>
      </c>
      <c r="G60" s="7" t="s">
        <v>27</v>
      </c>
      <c r="H60" s="7">
        <v>1972</v>
      </c>
      <c r="I60" s="10">
        <v>21</v>
      </c>
      <c r="J60" s="11"/>
      <c r="K60" s="10">
        <v>6</v>
      </c>
      <c r="M60" s="7">
        <v>1</v>
      </c>
      <c r="N60" s="7">
        <v>9</v>
      </c>
      <c r="O60" s="7">
        <v>52</v>
      </c>
      <c r="T60" s="12"/>
      <c r="V60" cm="1">
        <f t="array" ref="V60">_xlfn.LET(
_xlpm.x,_xlfn._xlws.FILTER(O60:S60,(O60:S60&lt;&gt;"R")*(O60:S60&lt;&gt;"NA")*(O60:S60&lt;&gt;"W")*(O60:S60&lt;&gt;"")),
IF(COUNTA(_xlpm.x)=0,"NA",IF(MIN(_xlpm.x)=MAX(_xlpm.x),MIN(_xlpm.x),"review"))
)</f>
        <v>52</v>
      </c>
    </row>
    <row r="61" spans="1:22" ht="15.75" hidden="1" customHeight="1" x14ac:dyDescent="0.25">
      <c r="A61" s="7" t="s">
        <v>36</v>
      </c>
      <c r="B61" s="8">
        <v>8</v>
      </c>
      <c r="C61" s="8" t="s">
        <v>37</v>
      </c>
      <c r="D61" s="9" t="s">
        <v>38</v>
      </c>
      <c r="E61" s="7" t="s">
        <v>25</v>
      </c>
      <c r="F61" s="7" t="s">
        <v>39</v>
      </c>
      <c r="G61" s="7" t="s">
        <v>27</v>
      </c>
      <c r="H61" s="7">
        <v>1972</v>
      </c>
      <c r="I61" s="10">
        <v>21</v>
      </c>
      <c r="J61" s="11"/>
      <c r="K61" s="10">
        <v>6</v>
      </c>
      <c r="M61" s="7">
        <v>1</v>
      </c>
      <c r="N61" s="7">
        <v>10</v>
      </c>
      <c r="O61" s="7">
        <v>52</v>
      </c>
      <c r="T61" s="12"/>
      <c r="V61" cm="1">
        <f t="array" ref="V61">_xlfn.LET(
_xlpm.x,_xlfn._xlws.FILTER(O61:S61,(O61:S61&lt;&gt;"R")*(O61:S61&lt;&gt;"NA")*(O61:S61&lt;&gt;"W")*(O61:S61&lt;&gt;"")),
IF(COUNTA(_xlpm.x)=0,"NA",IF(MIN(_xlpm.x)=MAX(_xlpm.x),MIN(_xlpm.x),"review"))
)</f>
        <v>52</v>
      </c>
    </row>
    <row r="62" spans="1:22" ht="15.75" hidden="1" customHeight="1" x14ac:dyDescent="0.25">
      <c r="A62" s="7" t="s">
        <v>36</v>
      </c>
      <c r="B62" s="8">
        <v>8</v>
      </c>
      <c r="C62" s="8" t="s">
        <v>37</v>
      </c>
      <c r="D62" s="9" t="s">
        <v>38</v>
      </c>
      <c r="E62" s="7" t="s">
        <v>25</v>
      </c>
      <c r="F62" s="7" t="s">
        <v>39</v>
      </c>
      <c r="G62" s="7" t="s">
        <v>27</v>
      </c>
      <c r="H62" s="7">
        <v>1972</v>
      </c>
      <c r="I62" s="10">
        <v>21</v>
      </c>
      <c r="J62" s="11"/>
      <c r="K62" s="10">
        <v>6</v>
      </c>
      <c r="M62" s="7">
        <v>1</v>
      </c>
      <c r="N62" s="7">
        <v>11</v>
      </c>
      <c r="O62" s="7">
        <v>52</v>
      </c>
      <c r="T62" s="12"/>
      <c r="V62" cm="1">
        <f t="array" ref="V62">_xlfn.LET(
_xlpm.x,_xlfn._xlws.FILTER(O62:S62,(O62:S62&lt;&gt;"R")*(O62:S62&lt;&gt;"NA")*(O62:S62&lt;&gt;"W")*(O62:S62&lt;&gt;"")),
IF(COUNTA(_xlpm.x)=0,"NA",IF(MIN(_xlpm.x)=MAX(_xlpm.x),MIN(_xlpm.x),"review"))
)</f>
        <v>52</v>
      </c>
    </row>
    <row r="63" spans="1:22" ht="15.75" hidden="1" customHeight="1" x14ac:dyDescent="0.25">
      <c r="A63" s="7" t="s">
        <v>36</v>
      </c>
      <c r="B63" s="8">
        <v>8</v>
      </c>
      <c r="C63" s="8" t="s">
        <v>37</v>
      </c>
      <c r="D63" s="9" t="s">
        <v>38</v>
      </c>
      <c r="E63" s="7" t="s">
        <v>25</v>
      </c>
      <c r="F63" s="7" t="s">
        <v>39</v>
      </c>
      <c r="G63" s="7" t="s">
        <v>27</v>
      </c>
      <c r="H63" s="7">
        <v>1972</v>
      </c>
      <c r="I63" s="10">
        <v>21</v>
      </c>
      <c r="J63" s="11"/>
      <c r="K63" s="10">
        <v>6</v>
      </c>
      <c r="M63" s="7">
        <v>1</v>
      </c>
      <c r="N63" s="7">
        <v>12</v>
      </c>
      <c r="O63" s="7">
        <v>52</v>
      </c>
      <c r="T63" s="12"/>
      <c r="V63" cm="1">
        <f t="array" ref="V63">_xlfn.LET(
_xlpm.x,_xlfn._xlws.FILTER(O63:S63,(O63:S63&lt;&gt;"R")*(O63:S63&lt;&gt;"NA")*(O63:S63&lt;&gt;"W")*(O63:S63&lt;&gt;"")),
IF(COUNTA(_xlpm.x)=0,"NA",IF(MIN(_xlpm.x)=MAX(_xlpm.x),MIN(_xlpm.x),"review"))
)</f>
        <v>52</v>
      </c>
    </row>
    <row r="64" spans="1:22" ht="15.75" hidden="1" customHeight="1" x14ac:dyDescent="0.25">
      <c r="A64" s="7" t="s">
        <v>36</v>
      </c>
      <c r="B64" s="8">
        <v>8</v>
      </c>
      <c r="C64" s="8" t="s">
        <v>37</v>
      </c>
      <c r="D64" s="9" t="s">
        <v>38</v>
      </c>
      <c r="E64" s="7" t="s">
        <v>25</v>
      </c>
      <c r="F64" s="7" t="s">
        <v>39</v>
      </c>
      <c r="G64" s="7" t="s">
        <v>27</v>
      </c>
      <c r="H64" s="7">
        <v>1972</v>
      </c>
      <c r="I64" s="10">
        <v>21</v>
      </c>
      <c r="J64" s="11"/>
      <c r="K64" s="10">
        <v>6</v>
      </c>
      <c r="M64" s="7">
        <v>1</v>
      </c>
      <c r="N64" s="7">
        <v>13</v>
      </c>
      <c r="O64" s="7" t="s">
        <v>29</v>
      </c>
      <c r="T64" s="12" t="s">
        <v>33</v>
      </c>
      <c r="U64" s="7" t="s">
        <v>40</v>
      </c>
      <c r="V64" t="s">
        <v>29</v>
      </c>
    </row>
    <row r="65" spans="1:22" ht="15.75" hidden="1" customHeight="1" x14ac:dyDescent="0.25">
      <c r="A65" s="7" t="s">
        <v>36</v>
      </c>
      <c r="B65" s="8">
        <v>8</v>
      </c>
      <c r="C65" s="8" t="s">
        <v>37</v>
      </c>
      <c r="D65" s="9" t="s">
        <v>38</v>
      </c>
      <c r="E65" s="7" t="s">
        <v>25</v>
      </c>
      <c r="F65" s="7" t="s">
        <v>39</v>
      </c>
      <c r="G65" s="7" t="s">
        <v>27</v>
      </c>
      <c r="H65" s="7">
        <v>1972</v>
      </c>
      <c r="I65" s="10">
        <v>21</v>
      </c>
      <c r="J65" s="11"/>
      <c r="K65" s="10">
        <v>6</v>
      </c>
      <c r="M65" s="7">
        <v>1</v>
      </c>
      <c r="N65" s="7">
        <v>14</v>
      </c>
      <c r="O65" s="7">
        <v>52</v>
      </c>
      <c r="T65" s="12"/>
      <c r="V65" cm="1">
        <f t="array" ref="V65">_xlfn.LET(
_xlpm.x,_xlfn._xlws.FILTER(O65:S65,(O65:S65&lt;&gt;"R")*(O65:S65&lt;&gt;"NA")*(O65:S65&lt;&gt;"W")*(O65:S65&lt;&gt;"")),
IF(COUNTA(_xlpm.x)=0,"NA",IF(MIN(_xlpm.x)=MAX(_xlpm.x),MIN(_xlpm.x),"review"))
)</f>
        <v>52</v>
      </c>
    </row>
    <row r="66" spans="1:22" ht="15.75" hidden="1" customHeight="1" x14ac:dyDescent="0.25">
      <c r="A66" s="7" t="s">
        <v>36</v>
      </c>
      <c r="B66" s="8">
        <v>8</v>
      </c>
      <c r="C66" s="8" t="s">
        <v>37</v>
      </c>
      <c r="D66" s="9" t="s">
        <v>38</v>
      </c>
      <c r="E66" s="7" t="s">
        <v>25</v>
      </c>
      <c r="F66" s="7" t="s">
        <v>39</v>
      </c>
      <c r="G66" s="7" t="s">
        <v>27</v>
      </c>
      <c r="H66" s="7">
        <v>1972</v>
      </c>
      <c r="I66" s="10">
        <v>21</v>
      </c>
      <c r="J66" s="11"/>
      <c r="K66" s="10">
        <v>6</v>
      </c>
      <c r="M66" s="7">
        <v>1</v>
      </c>
      <c r="N66" s="7">
        <v>15</v>
      </c>
      <c r="O66" s="7">
        <v>42</v>
      </c>
      <c r="T66" s="12"/>
      <c r="V66" cm="1">
        <f t="array" ref="V66">_xlfn.LET(
_xlpm.x,_xlfn._xlws.FILTER(O66:S66,(O66:S66&lt;&gt;"R")*(O66:S66&lt;&gt;"NA")*(O66:S66&lt;&gt;"W")*(O66:S66&lt;&gt;"")),
IF(COUNTA(_xlpm.x)=0,"NA",IF(MIN(_xlpm.x)=MAX(_xlpm.x),MIN(_xlpm.x),"review"))
)</f>
        <v>42</v>
      </c>
    </row>
    <row r="67" spans="1:22" ht="15.75" hidden="1" customHeight="1" x14ac:dyDescent="0.25">
      <c r="A67" s="7" t="s">
        <v>36</v>
      </c>
      <c r="B67" s="8">
        <v>8</v>
      </c>
      <c r="C67" s="8" t="s">
        <v>37</v>
      </c>
      <c r="D67" s="9" t="s">
        <v>38</v>
      </c>
      <c r="E67" s="7" t="s">
        <v>25</v>
      </c>
      <c r="F67" s="7" t="s">
        <v>39</v>
      </c>
      <c r="G67" s="7" t="s">
        <v>27</v>
      </c>
      <c r="H67" s="7">
        <v>1972</v>
      </c>
      <c r="I67" s="10">
        <v>21</v>
      </c>
      <c r="J67" s="11"/>
      <c r="K67" s="10">
        <v>6</v>
      </c>
      <c r="M67" s="7">
        <v>1</v>
      </c>
      <c r="N67" s="7">
        <v>16</v>
      </c>
      <c r="O67" s="7" t="s">
        <v>28</v>
      </c>
      <c r="T67" s="12"/>
      <c r="V67" t="s">
        <v>29</v>
      </c>
    </row>
    <row r="68" spans="1:22" ht="15.75" hidden="1" customHeight="1" x14ac:dyDescent="0.25">
      <c r="A68" s="7" t="s">
        <v>36</v>
      </c>
      <c r="B68" s="8">
        <v>8</v>
      </c>
      <c r="C68" s="8" t="s">
        <v>37</v>
      </c>
      <c r="D68" s="9" t="s">
        <v>38</v>
      </c>
      <c r="E68" s="7" t="s">
        <v>25</v>
      </c>
      <c r="F68" s="7" t="s">
        <v>39</v>
      </c>
      <c r="G68" s="7" t="s">
        <v>27</v>
      </c>
      <c r="H68" s="7">
        <v>1972</v>
      </c>
      <c r="I68" s="10">
        <v>21</v>
      </c>
      <c r="J68" s="11"/>
      <c r="K68" s="10">
        <v>6</v>
      </c>
      <c r="M68" s="7">
        <v>1</v>
      </c>
      <c r="N68" s="7">
        <v>17</v>
      </c>
      <c r="O68" s="7">
        <v>42</v>
      </c>
      <c r="T68" s="12"/>
      <c r="V68" cm="1">
        <f t="array" ref="V68">_xlfn.LET(
_xlpm.x,_xlfn._xlws.FILTER(O68:S68,(O68:S68&lt;&gt;"R")*(O68:S68&lt;&gt;"NA")*(O68:S68&lt;&gt;"W")*(O68:S68&lt;&gt;"")),
IF(COUNTA(_xlpm.x)=0,"NA",IF(MIN(_xlpm.x)=MAX(_xlpm.x),MIN(_xlpm.x),"review"))
)</f>
        <v>42</v>
      </c>
    </row>
    <row r="69" spans="1:22" ht="15.75" hidden="1" customHeight="1" x14ac:dyDescent="0.25">
      <c r="A69" s="7" t="s">
        <v>36</v>
      </c>
      <c r="B69" s="8">
        <v>8</v>
      </c>
      <c r="C69" s="8" t="s">
        <v>37</v>
      </c>
      <c r="D69" s="9" t="s">
        <v>38</v>
      </c>
      <c r="E69" s="7" t="s">
        <v>25</v>
      </c>
      <c r="F69" s="7" t="s">
        <v>39</v>
      </c>
      <c r="G69" s="7" t="s">
        <v>27</v>
      </c>
      <c r="H69" s="7">
        <v>1972</v>
      </c>
      <c r="I69" s="10">
        <v>21</v>
      </c>
      <c r="J69" s="11"/>
      <c r="K69" s="10">
        <v>6</v>
      </c>
      <c r="M69" s="7">
        <v>1</v>
      </c>
      <c r="N69" s="7">
        <v>18</v>
      </c>
      <c r="O69" s="7">
        <v>63</v>
      </c>
      <c r="T69" s="12"/>
      <c r="V69" cm="1">
        <f t="array" ref="V69">_xlfn.LET(
_xlpm.x,_xlfn._xlws.FILTER(O69:S69,(O69:S69&lt;&gt;"R")*(O69:S69&lt;&gt;"NA")*(O69:S69&lt;&gt;"W")*(O69:S69&lt;&gt;"")),
IF(COUNTA(_xlpm.x)=0,"NA",IF(MIN(_xlpm.x)=MAX(_xlpm.x),MIN(_xlpm.x),"review"))
)</f>
        <v>63</v>
      </c>
    </row>
    <row r="70" spans="1:22" ht="15.75" hidden="1" customHeight="1" x14ac:dyDescent="0.25">
      <c r="A70" s="7" t="s">
        <v>36</v>
      </c>
      <c r="B70" s="8">
        <v>8</v>
      </c>
      <c r="C70" s="8" t="s">
        <v>37</v>
      </c>
      <c r="D70" s="9" t="s">
        <v>38</v>
      </c>
      <c r="E70" s="7" t="s">
        <v>25</v>
      </c>
      <c r="F70" s="7" t="s">
        <v>39</v>
      </c>
      <c r="G70" s="7" t="s">
        <v>27</v>
      </c>
      <c r="H70" s="7">
        <v>1972</v>
      </c>
      <c r="I70" s="10">
        <v>21</v>
      </c>
      <c r="J70" s="11"/>
      <c r="K70" s="10">
        <v>6</v>
      </c>
      <c r="M70" s="7">
        <v>1</v>
      </c>
      <c r="N70" s="7">
        <v>19</v>
      </c>
      <c r="O70" s="7">
        <v>52</v>
      </c>
      <c r="T70" s="12"/>
      <c r="V70" cm="1">
        <f t="array" ref="V70">_xlfn.LET(
_xlpm.x,_xlfn._xlws.FILTER(O70:S70,(O70:S70&lt;&gt;"R")*(O70:S70&lt;&gt;"NA")*(O70:S70&lt;&gt;"W")*(O70:S70&lt;&gt;"")),
IF(COUNTA(_xlpm.x)=0,"NA",IF(MIN(_xlpm.x)=MAX(_xlpm.x),MIN(_xlpm.x),"review"))
)</f>
        <v>52</v>
      </c>
    </row>
    <row r="71" spans="1:22" ht="15.75" hidden="1" customHeight="1" x14ac:dyDescent="0.25">
      <c r="A71" s="7" t="s">
        <v>36</v>
      </c>
      <c r="B71" s="8">
        <v>8</v>
      </c>
      <c r="C71" s="8" t="s">
        <v>37</v>
      </c>
      <c r="D71" s="9" t="s">
        <v>38</v>
      </c>
      <c r="E71" s="7" t="s">
        <v>25</v>
      </c>
      <c r="F71" s="7" t="s">
        <v>39</v>
      </c>
      <c r="G71" s="7" t="s">
        <v>27</v>
      </c>
      <c r="H71" s="7">
        <v>1972</v>
      </c>
      <c r="I71" s="10">
        <v>21</v>
      </c>
      <c r="J71" s="11"/>
      <c r="K71" s="10">
        <v>6</v>
      </c>
      <c r="M71" s="7">
        <v>1</v>
      </c>
      <c r="N71" s="7">
        <v>20</v>
      </c>
      <c r="O71" s="7">
        <v>52</v>
      </c>
      <c r="T71" s="12"/>
      <c r="V71" cm="1">
        <f t="array" ref="V71">_xlfn.LET(
_xlpm.x,_xlfn._xlws.FILTER(O71:S71,(O71:S71&lt;&gt;"R")*(O71:S71&lt;&gt;"NA")*(O71:S71&lt;&gt;"W")*(O71:S71&lt;&gt;"")),
IF(COUNTA(_xlpm.x)=0,"NA",IF(MIN(_xlpm.x)=MAX(_xlpm.x),MIN(_xlpm.x),"review"))
)</f>
        <v>52</v>
      </c>
    </row>
    <row r="72" spans="1:22" ht="15.75" hidden="1" customHeight="1" x14ac:dyDescent="0.25">
      <c r="A72" s="7" t="s">
        <v>36</v>
      </c>
      <c r="B72" s="8">
        <v>8</v>
      </c>
      <c r="C72" s="8" t="s">
        <v>37</v>
      </c>
      <c r="D72" s="9" t="s">
        <v>38</v>
      </c>
      <c r="E72" s="7" t="s">
        <v>25</v>
      </c>
      <c r="F72" s="7" t="s">
        <v>39</v>
      </c>
      <c r="G72" s="7" t="s">
        <v>27</v>
      </c>
      <c r="H72" s="7">
        <v>1972</v>
      </c>
      <c r="I72" s="10">
        <v>21</v>
      </c>
      <c r="J72" s="11"/>
      <c r="K72" s="10">
        <v>6</v>
      </c>
      <c r="M72" s="7">
        <v>1</v>
      </c>
      <c r="N72" s="7">
        <v>21</v>
      </c>
      <c r="O72" s="7">
        <v>53</v>
      </c>
      <c r="T72" s="12"/>
      <c r="V72" cm="1">
        <f t="array" ref="V72">_xlfn.LET(
_xlpm.x,_xlfn._xlws.FILTER(O72:S72,(O72:S72&lt;&gt;"R")*(O72:S72&lt;&gt;"NA")*(O72:S72&lt;&gt;"W")*(O72:S72&lt;&gt;"")),
IF(COUNTA(_xlpm.x)=0,"NA",IF(MIN(_xlpm.x)=MAX(_xlpm.x),MIN(_xlpm.x),"review"))
)</f>
        <v>53</v>
      </c>
    </row>
    <row r="73" spans="1:22" ht="15.75" hidden="1" customHeight="1" x14ac:dyDescent="0.25">
      <c r="A73" s="7" t="s">
        <v>36</v>
      </c>
      <c r="B73" s="8">
        <v>8</v>
      </c>
      <c r="C73" s="8" t="s">
        <v>37</v>
      </c>
      <c r="D73" s="9" t="s">
        <v>38</v>
      </c>
      <c r="E73" s="7" t="s">
        <v>25</v>
      </c>
      <c r="F73" s="7" t="s">
        <v>39</v>
      </c>
      <c r="G73" s="7" t="s">
        <v>27</v>
      </c>
      <c r="H73" s="7">
        <v>1972</v>
      </c>
      <c r="I73" s="10">
        <v>21</v>
      </c>
      <c r="J73" s="11"/>
      <c r="K73" s="10">
        <v>6</v>
      </c>
      <c r="M73" s="7">
        <v>1</v>
      </c>
      <c r="N73" s="7">
        <v>22</v>
      </c>
      <c r="O73" s="7">
        <v>52</v>
      </c>
      <c r="T73" s="12"/>
      <c r="V73" cm="1">
        <f t="array" ref="V73">_xlfn.LET(
_xlpm.x,_xlfn._xlws.FILTER(O73:S73,(O73:S73&lt;&gt;"R")*(O73:S73&lt;&gt;"NA")*(O73:S73&lt;&gt;"W")*(O73:S73&lt;&gt;"")),
IF(COUNTA(_xlpm.x)=0,"NA",IF(MIN(_xlpm.x)=MAX(_xlpm.x),MIN(_xlpm.x),"review"))
)</f>
        <v>52</v>
      </c>
    </row>
    <row r="74" spans="1:22" ht="15.75" hidden="1" customHeight="1" x14ac:dyDescent="0.25">
      <c r="A74" s="7" t="s">
        <v>36</v>
      </c>
      <c r="B74" s="8">
        <v>8</v>
      </c>
      <c r="C74" s="8" t="s">
        <v>37</v>
      </c>
      <c r="D74" s="9" t="s">
        <v>38</v>
      </c>
      <c r="E74" s="7" t="s">
        <v>25</v>
      </c>
      <c r="F74" s="7" t="s">
        <v>39</v>
      </c>
      <c r="G74" s="7" t="s">
        <v>27</v>
      </c>
      <c r="H74" s="7">
        <v>1972</v>
      </c>
      <c r="I74" s="10">
        <v>21</v>
      </c>
      <c r="J74" s="11"/>
      <c r="K74" s="10">
        <v>6</v>
      </c>
      <c r="M74" s="7">
        <v>1</v>
      </c>
      <c r="N74" s="7">
        <v>23</v>
      </c>
      <c r="O74" s="7">
        <v>42</v>
      </c>
      <c r="T74" s="12"/>
      <c r="V74" cm="1">
        <f t="array" ref="V74">_xlfn.LET(
_xlpm.x,_xlfn._xlws.FILTER(O74:S74,(O74:S74&lt;&gt;"R")*(O74:S74&lt;&gt;"NA")*(O74:S74&lt;&gt;"W")*(O74:S74&lt;&gt;"")),
IF(COUNTA(_xlpm.x)=0,"NA",IF(MIN(_xlpm.x)=MAX(_xlpm.x),MIN(_xlpm.x),"review"))
)</f>
        <v>42</v>
      </c>
    </row>
    <row r="75" spans="1:22" ht="15.75" hidden="1" customHeight="1" x14ac:dyDescent="0.25">
      <c r="A75" s="7" t="s">
        <v>36</v>
      </c>
      <c r="B75" s="8">
        <v>8</v>
      </c>
      <c r="C75" s="8" t="s">
        <v>37</v>
      </c>
      <c r="D75" s="9" t="s">
        <v>38</v>
      </c>
      <c r="E75" s="7" t="s">
        <v>25</v>
      </c>
      <c r="F75" s="7" t="s">
        <v>39</v>
      </c>
      <c r="G75" s="7" t="s">
        <v>27</v>
      </c>
      <c r="H75" s="7">
        <v>1972</v>
      </c>
      <c r="I75" s="10">
        <v>21</v>
      </c>
      <c r="J75" s="11"/>
      <c r="K75" s="10">
        <v>6</v>
      </c>
      <c r="M75" s="7">
        <v>1</v>
      </c>
      <c r="N75" s="7">
        <v>24</v>
      </c>
      <c r="O75" s="7">
        <v>52</v>
      </c>
      <c r="T75" s="12"/>
      <c r="V75" cm="1">
        <f t="array" ref="V75">_xlfn.LET(
_xlpm.x,_xlfn._xlws.FILTER(O75:S75,(O75:S75&lt;&gt;"R")*(O75:S75&lt;&gt;"NA")*(O75:S75&lt;&gt;"W")*(O75:S75&lt;&gt;"")),
IF(COUNTA(_xlpm.x)=0,"NA",IF(MIN(_xlpm.x)=MAX(_xlpm.x),MIN(_xlpm.x),"review"))
)</f>
        <v>52</v>
      </c>
    </row>
    <row r="76" spans="1:22" ht="15.75" hidden="1" customHeight="1" x14ac:dyDescent="0.25">
      <c r="A76" s="7" t="s">
        <v>36</v>
      </c>
      <c r="B76" s="8">
        <v>8</v>
      </c>
      <c r="C76" s="8" t="s">
        <v>37</v>
      </c>
      <c r="D76" s="9" t="s">
        <v>38</v>
      </c>
      <c r="E76" s="7" t="s">
        <v>25</v>
      </c>
      <c r="F76" s="7" t="s">
        <v>39</v>
      </c>
      <c r="G76" s="7" t="s">
        <v>27</v>
      </c>
      <c r="H76" s="7">
        <v>1972</v>
      </c>
      <c r="I76" s="10">
        <v>21</v>
      </c>
      <c r="J76" s="11"/>
      <c r="K76" s="10">
        <v>6</v>
      </c>
      <c r="M76" s="7">
        <v>1</v>
      </c>
      <c r="N76" s="7">
        <v>25</v>
      </c>
      <c r="O76" s="7">
        <v>52</v>
      </c>
      <c r="T76" s="12"/>
      <c r="V76" cm="1">
        <f t="array" ref="V76">_xlfn.LET(
_xlpm.x,_xlfn._xlws.FILTER(O76:S76,(O76:S76&lt;&gt;"R")*(O76:S76&lt;&gt;"NA")*(O76:S76&lt;&gt;"W")*(O76:S76&lt;&gt;"")),
IF(COUNTA(_xlpm.x)=0,"NA",IF(MIN(_xlpm.x)=MAX(_xlpm.x),MIN(_xlpm.x),"review"))
)</f>
        <v>52</v>
      </c>
    </row>
    <row r="77" spans="1:22" ht="15.75" hidden="1" customHeight="1" x14ac:dyDescent="0.25">
      <c r="A77" s="7" t="s">
        <v>36</v>
      </c>
      <c r="B77" s="8">
        <v>8</v>
      </c>
      <c r="C77" s="8" t="s">
        <v>37</v>
      </c>
      <c r="D77" s="9" t="s">
        <v>38</v>
      </c>
      <c r="E77" s="7" t="s">
        <v>25</v>
      </c>
      <c r="F77" s="7" t="s">
        <v>39</v>
      </c>
      <c r="G77" s="7" t="s">
        <v>27</v>
      </c>
      <c r="H77" s="7">
        <v>1972</v>
      </c>
      <c r="I77" s="10">
        <v>21</v>
      </c>
      <c r="J77" s="11"/>
      <c r="K77" s="10">
        <v>6</v>
      </c>
      <c r="M77" s="7">
        <v>1</v>
      </c>
      <c r="N77" s="7">
        <v>26</v>
      </c>
      <c r="O77" s="7">
        <v>52</v>
      </c>
      <c r="T77" s="12"/>
      <c r="V77" cm="1">
        <f t="array" ref="V77">_xlfn.LET(
_xlpm.x,_xlfn._xlws.FILTER(O77:S77,(O77:S77&lt;&gt;"R")*(O77:S77&lt;&gt;"NA")*(O77:S77&lt;&gt;"W")*(O77:S77&lt;&gt;"")),
IF(COUNTA(_xlpm.x)=0,"NA",IF(MIN(_xlpm.x)=MAX(_xlpm.x),MIN(_xlpm.x),"review"))
)</f>
        <v>52</v>
      </c>
    </row>
    <row r="78" spans="1:22" ht="15.75" hidden="1" customHeight="1" x14ac:dyDescent="0.25">
      <c r="A78" s="7" t="s">
        <v>36</v>
      </c>
      <c r="B78" s="8">
        <v>8</v>
      </c>
      <c r="C78" s="8" t="s">
        <v>37</v>
      </c>
      <c r="D78" s="9" t="s">
        <v>38</v>
      </c>
      <c r="E78" s="7" t="s">
        <v>25</v>
      </c>
      <c r="F78" s="7" t="s">
        <v>39</v>
      </c>
      <c r="G78" s="7" t="s">
        <v>27</v>
      </c>
      <c r="H78" s="7">
        <v>1972</v>
      </c>
      <c r="I78" s="10">
        <v>21</v>
      </c>
      <c r="J78" s="11"/>
      <c r="K78" s="10">
        <v>6</v>
      </c>
      <c r="M78" s="7">
        <v>1</v>
      </c>
      <c r="N78" s="7">
        <v>27</v>
      </c>
      <c r="O78" s="7" t="s">
        <v>28</v>
      </c>
      <c r="T78" s="12"/>
      <c r="V78" t="s">
        <v>29</v>
      </c>
    </row>
    <row r="79" spans="1:22" ht="15.75" hidden="1" customHeight="1" x14ac:dyDescent="0.25">
      <c r="A79" s="7" t="s">
        <v>36</v>
      </c>
      <c r="B79" s="8">
        <v>8</v>
      </c>
      <c r="C79" s="8" t="s">
        <v>37</v>
      </c>
      <c r="D79" s="9" t="s">
        <v>38</v>
      </c>
      <c r="E79" s="7" t="s">
        <v>25</v>
      </c>
      <c r="F79" s="7" t="s">
        <v>39</v>
      </c>
      <c r="G79" s="7" t="s">
        <v>27</v>
      </c>
      <c r="H79" s="7">
        <v>1972</v>
      </c>
      <c r="I79" s="10">
        <v>21</v>
      </c>
      <c r="J79" s="11"/>
      <c r="K79" s="10">
        <v>6</v>
      </c>
      <c r="M79" s="7">
        <v>1</v>
      </c>
      <c r="N79" s="7">
        <v>28</v>
      </c>
      <c r="O79" s="7" t="s">
        <v>28</v>
      </c>
      <c r="T79" s="12"/>
      <c r="V79" t="s">
        <v>29</v>
      </c>
    </row>
    <row r="80" spans="1:22" ht="15.75" hidden="1" customHeight="1" x14ac:dyDescent="0.25">
      <c r="A80" s="7" t="s">
        <v>36</v>
      </c>
      <c r="B80" s="8">
        <v>8</v>
      </c>
      <c r="C80" s="8" t="s">
        <v>37</v>
      </c>
      <c r="D80" s="9" t="s">
        <v>38</v>
      </c>
      <c r="E80" s="7" t="s">
        <v>25</v>
      </c>
      <c r="F80" s="7" t="s">
        <v>39</v>
      </c>
      <c r="G80" s="7" t="s">
        <v>27</v>
      </c>
      <c r="H80" s="7">
        <v>1972</v>
      </c>
      <c r="I80" s="10">
        <v>21</v>
      </c>
      <c r="J80" s="11"/>
      <c r="K80" s="10">
        <v>6</v>
      </c>
      <c r="M80" s="7">
        <v>1</v>
      </c>
      <c r="N80" s="7">
        <v>29</v>
      </c>
      <c r="O80" s="7">
        <v>52</v>
      </c>
      <c r="T80" s="12"/>
      <c r="V80" cm="1">
        <f t="array" ref="V80">_xlfn.LET(
_xlpm.x,_xlfn._xlws.FILTER(O80:S80,(O80:S80&lt;&gt;"R")*(O80:S80&lt;&gt;"NA")*(O80:S80&lt;&gt;"W")*(O80:S80&lt;&gt;"")),
IF(COUNTA(_xlpm.x)=0,"NA",IF(MIN(_xlpm.x)=MAX(_xlpm.x),MIN(_xlpm.x),"review"))
)</f>
        <v>52</v>
      </c>
    </row>
    <row r="81" spans="1:22" ht="15.75" hidden="1" customHeight="1" x14ac:dyDescent="0.25">
      <c r="A81" s="7" t="s">
        <v>36</v>
      </c>
      <c r="B81" s="8">
        <v>8</v>
      </c>
      <c r="C81" s="8" t="s">
        <v>37</v>
      </c>
      <c r="D81" s="9" t="s">
        <v>38</v>
      </c>
      <c r="E81" s="7" t="s">
        <v>25</v>
      </c>
      <c r="F81" s="7" t="s">
        <v>39</v>
      </c>
      <c r="G81" s="7" t="s">
        <v>27</v>
      </c>
      <c r="H81" s="7">
        <v>1972</v>
      </c>
      <c r="I81" s="10">
        <v>21</v>
      </c>
      <c r="J81" s="11"/>
      <c r="K81" s="10">
        <v>6</v>
      </c>
      <c r="M81" s="7">
        <v>1</v>
      </c>
      <c r="N81" s="7">
        <v>30</v>
      </c>
      <c r="O81" s="7">
        <v>52</v>
      </c>
      <c r="T81" s="12"/>
      <c r="V81" cm="1">
        <f t="array" ref="V81">_xlfn.LET(
_xlpm.x,_xlfn._xlws.FILTER(O81:S81,(O81:S81&lt;&gt;"R")*(O81:S81&lt;&gt;"NA")*(O81:S81&lt;&gt;"W")*(O81:S81&lt;&gt;"")),
IF(COUNTA(_xlpm.x)=0,"NA",IF(MIN(_xlpm.x)=MAX(_xlpm.x),MIN(_xlpm.x),"review"))
)</f>
        <v>52</v>
      </c>
    </row>
    <row r="82" spans="1:22" ht="15.75" hidden="1" customHeight="1" x14ac:dyDescent="0.25">
      <c r="A82" s="7" t="s">
        <v>36</v>
      </c>
      <c r="B82" s="8">
        <v>8</v>
      </c>
      <c r="C82" s="8" t="s">
        <v>37</v>
      </c>
      <c r="D82" s="9" t="s">
        <v>38</v>
      </c>
      <c r="E82" s="7" t="s">
        <v>25</v>
      </c>
      <c r="F82" s="7" t="s">
        <v>39</v>
      </c>
      <c r="G82" s="7" t="s">
        <v>27</v>
      </c>
      <c r="H82" s="7">
        <v>1972</v>
      </c>
      <c r="I82" s="10">
        <v>21</v>
      </c>
      <c r="J82" s="11"/>
      <c r="K82" s="10">
        <v>6</v>
      </c>
      <c r="M82" s="7">
        <v>1</v>
      </c>
      <c r="N82" s="7">
        <v>31</v>
      </c>
      <c r="O82" s="7" t="s">
        <v>29</v>
      </c>
      <c r="T82" s="12" t="s">
        <v>33</v>
      </c>
      <c r="V82" t="s">
        <v>29</v>
      </c>
    </row>
    <row r="83" spans="1:22" ht="15.75" hidden="1" customHeight="1" x14ac:dyDescent="0.25">
      <c r="A83" s="7" t="s">
        <v>36</v>
      </c>
      <c r="B83" s="8">
        <v>8</v>
      </c>
      <c r="C83" s="8" t="s">
        <v>37</v>
      </c>
      <c r="D83" s="9" t="s">
        <v>38</v>
      </c>
      <c r="E83" s="7" t="s">
        <v>25</v>
      </c>
      <c r="F83" s="7" t="s">
        <v>39</v>
      </c>
      <c r="G83" s="7" t="s">
        <v>27</v>
      </c>
      <c r="H83" s="7">
        <v>1972</v>
      </c>
      <c r="I83" s="10">
        <v>21</v>
      </c>
      <c r="J83" s="11"/>
      <c r="K83" s="10">
        <v>6</v>
      </c>
      <c r="M83" s="7">
        <v>1</v>
      </c>
      <c r="N83" s="7">
        <v>32</v>
      </c>
      <c r="O83" s="7">
        <v>52</v>
      </c>
      <c r="T83" s="12"/>
      <c r="V83" cm="1">
        <f t="array" ref="V83">_xlfn.LET(
_xlpm.x,_xlfn._xlws.FILTER(O83:S83,(O83:S83&lt;&gt;"R")*(O83:S83&lt;&gt;"NA")*(O83:S83&lt;&gt;"W")*(O83:S83&lt;&gt;"")),
IF(COUNTA(_xlpm.x)=0,"NA",IF(MIN(_xlpm.x)=MAX(_xlpm.x),MIN(_xlpm.x),"review"))
)</f>
        <v>52</v>
      </c>
    </row>
    <row r="84" spans="1:22" ht="15.75" hidden="1" customHeight="1" x14ac:dyDescent="0.25">
      <c r="A84" s="7" t="s">
        <v>36</v>
      </c>
      <c r="B84" s="8">
        <v>8</v>
      </c>
      <c r="C84" s="8" t="s">
        <v>37</v>
      </c>
      <c r="D84" s="9" t="s">
        <v>38</v>
      </c>
      <c r="E84" s="7" t="s">
        <v>25</v>
      </c>
      <c r="F84" s="7" t="s">
        <v>39</v>
      </c>
      <c r="G84" s="7" t="s">
        <v>27</v>
      </c>
      <c r="H84" s="7">
        <v>1972</v>
      </c>
      <c r="I84" s="10">
        <v>21</v>
      </c>
      <c r="J84" s="11"/>
      <c r="K84" s="10">
        <v>6</v>
      </c>
      <c r="M84" s="7">
        <v>1</v>
      </c>
      <c r="N84" s="7">
        <v>33</v>
      </c>
      <c r="O84" s="7" t="s">
        <v>28</v>
      </c>
      <c r="T84" s="12"/>
      <c r="V84" t="s">
        <v>29</v>
      </c>
    </row>
    <row r="85" spans="1:22" ht="15.75" hidden="1" customHeight="1" x14ac:dyDescent="0.25">
      <c r="A85" s="7" t="s">
        <v>36</v>
      </c>
      <c r="B85" s="8">
        <v>8</v>
      </c>
      <c r="C85" s="8" t="s">
        <v>37</v>
      </c>
      <c r="D85" s="9" t="s">
        <v>38</v>
      </c>
      <c r="E85" s="7" t="s">
        <v>25</v>
      </c>
      <c r="F85" s="7" t="s">
        <v>39</v>
      </c>
      <c r="G85" s="7" t="s">
        <v>27</v>
      </c>
      <c r="H85" s="7">
        <v>1972</v>
      </c>
      <c r="I85" s="10">
        <v>21</v>
      </c>
      <c r="J85" s="11"/>
      <c r="K85" s="10">
        <v>6</v>
      </c>
      <c r="M85" s="7">
        <v>1</v>
      </c>
      <c r="N85" s="7">
        <v>34</v>
      </c>
      <c r="O85" s="7">
        <v>52</v>
      </c>
      <c r="T85" s="12"/>
      <c r="V85" cm="1">
        <f t="array" ref="V85">_xlfn.LET(
_xlpm.x,_xlfn._xlws.FILTER(O85:S85,(O85:S85&lt;&gt;"R")*(O85:S85&lt;&gt;"NA")*(O85:S85&lt;&gt;"W")*(O85:S85&lt;&gt;"")),
IF(COUNTA(_xlpm.x)=0,"NA",IF(MIN(_xlpm.x)=MAX(_xlpm.x),MIN(_xlpm.x),"review"))
)</f>
        <v>52</v>
      </c>
    </row>
    <row r="86" spans="1:22" ht="15.75" hidden="1" customHeight="1" x14ac:dyDescent="0.25">
      <c r="A86" s="7" t="s">
        <v>36</v>
      </c>
      <c r="B86" s="8">
        <v>8</v>
      </c>
      <c r="C86" s="8" t="s">
        <v>37</v>
      </c>
      <c r="D86" s="9" t="s">
        <v>38</v>
      </c>
      <c r="E86" s="7" t="s">
        <v>25</v>
      </c>
      <c r="F86" s="7" t="s">
        <v>39</v>
      </c>
      <c r="G86" s="7" t="s">
        <v>27</v>
      </c>
      <c r="H86" s="7">
        <v>1972</v>
      </c>
      <c r="I86" s="10">
        <v>21</v>
      </c>
      <c r="J86" s="11"/>
      <c r="K86" s="10">
        <v>6</v>
      </c>
      <c r="M86" s="7">
        <v>1</v>
      </c>
      <c r="N86" s="7">
        <v>35</v>
      </c>
      <c r="O86" s="7">
        <v>52</v>
      </c>
      <c r="T86" s="12"/>
      <c r="V86" cm="1">
        <f t="array" ref="V86">_xlfn.LET(
_xlpm.x,_xlfn._xlws.FILTER(O86:S86,(O86:S86&lt;&gt;"R")*(O86:S86&lt;&gt;"NA")*(O86:S86&lt;&gt;"W")*(O86:S86&lt;&gt;"")),
IF(COUNTA(_xlpm.x)=0,"NA",IF(MIN(_xlpm.x)=MAX(_xlpm.x),MIN(_xlpm.x),"review"))
)</f>
        <v>52</v>
      </c>
    </row>
    <row r="87" spans="1:22" ht="15.75" hidden="1" customHeight="1" x14ac:dyDescent="0.25">
      <c r="A87" s="7" t="s">
        <v>36</v>
      </c>
      <c r="B87" s="8">
        <v>8</v>
      </c>
      <c r="C87" s="8" t="s">
        <v>37</v>
      </c>
      <c r="D87" s="9" t="s">
        <v>38</v>
      </c>
      <c r="E87" s="7" t="s">
        <v>25</v>
      </c>
      <c r="F87" s="7" t="s">
        <v>39</v>
      </c>
      <c r="G87" s="7" t="s">
        <v>27</v>
      </c>
      <c r="H87" s="7">
        <v>1972</v>
      </c>
      <c r="I87" s="10">
        <v>21</v>
      </c>
      <c r="J87" s="11"/>
      <c r="K87" s="10">
        <v>6</v>
      </c>
      <c r="M87" s="7">
        <v>1</v>
      </c>
      <c r="N87" s="7">
        <v>36</v>
      </c>
      <c r="O87" s="7">
        <v>52</v>
      </c>
      <c r="T87" s="12"/>
      <c r="V87" cm="1">
        <f t="array" ref="V87">_xlfn.LET(
_xlpm.x,_xlfn._xlws.FILTER(O87:S87,(O87:S87&lt;&gt;"R")*(O87:S87&lt;&gt;"NA")*(O87:S87&lt;&gt;"W")*(O87:S87&lt;&gt;"")),
IF(COUNTA(_xlpm.x)=0,"NA",IF(MIN(_xlpm.x)=MAX(_xlpm.x),MIN(_xlpm.x),"review"))
)</f>
        <v>52</v>
      </c>
    </row>
    <row r="88" spans="1:22" ht="15.75" hidden="1" customHeight="1" x14ac:dyDescent="0.25">
      <c r="A88" s="7" t="s">
        <v>36</v>
      </c>
      <c r="B88" s="8">
        <v>8</v>
      </c>
      <c r="C88" s="8" t="s">
        <v>37</v>
      </c>
      <c r="D88" s="9" t="s">
        <v>38</v>
      </c>
      <c r="E88" s="7" t="s">
        <v>25</v>
      </c>
      <c r="F88" s="7" t="s">
        <v>39</v>
      </c>
      <c r="G88" s="7" t="s">
        <v>27</v>
      </c>
      <c r="H88" s="7">
        <v>1972</v>
      </c>
      <c r="I88" s="10">
        <v>21</v>
      </c>
      <c r="J88" s="11"/>
      <c r="K88" s="10">
        <v>6</v>
      </c>
      <c r="M88" s="7">
        <v>1</v>
      </c>
      <c r="N88" s="7">
        <v>37</v>
      </c>
      <c r="O88" s="7">
        <v>52</v>
      </c>
      <c r="T88" s="12"/>
      <c r="V88" cm="1">
        <f t="array" ref="V88">_xlfn.LET(
_xlpm.x,_xlfn._xlws.FILTER(O88:S88,(O88:S88&lt;&gt;"R")*(O88:S88&lt;&gt;"NA")*(O88:S88&lt;&gt;"W")*(O88:S88&lt;&gt;"")),
IF(COUNTA(_xlpm.x)=0,"NA",IF(MIN(_xlpm.x)=MAX(_xlpm.x),MIN(_xlpm.x),"review"))
)</f>
        <v>52</v>
      </c>
    </row>
    <row r="89" spans="1:22" ht="15.75" hidden="1" customHeight="1" x14ac:dyDescent="0.25">
      <c r="A89" s="7" t="s">
        <v>36</v>
      </c>
      <c r="B89" s="8">
        <v>8</v>
      </c>
      <c r="C89" s="8" t="s">
        <v>37</v>
      </c>
      <c r="D89" s="9" t="s">
        <v>38</v>
      </c>
      <c r="E89" s="7" t="s">
        <v>25</v>
      </c>
      <c r="F89" s="7" t="s">
        <v>39</v>
      </c>
      <c r="G89" s="7" t="s">
        <v>27</v>
      </c>
      <c r="H89" s="7">
        <v>1972</v>
      </c>
      <c r="I89" s="10">
        <v>21</v>
      </c>
      <c r="J89" s="11"/>
      <c r="K89" s="10">
        <v>6</v>
      </c>
      <c r="M89" s="7">
        <v>1</v>
      </c>
      <c r="N89" s="7">
        <v>38</v>
      </c>
      <c r="O89" s="7" t="s">
        <v>28</v>
      </c>
      <c r="T89" s="12"/>
      <c r="V89" t="s">
        <v>29</v>
      </c>
    </row>
    <row r="90" spans="1:22" ht="15.75" hidden="1" customHeight="1" x14ac:dyDescent="0.25">
      <c r="A90" s="7" t="s">
        <v>36</v>
      </c>
      <c r="B90" s="8">
        <v>8</v>
      </c>
      <c r="C90" s="8" t="s">
        <v>37</v>
      </c>
      <c r="D90" s="9" t="s">
        <v>38</v>
      </c>
      <c r="E90" s="7" t="s">
        <v>25</v>
      </c>
      <c r="F90" s="7" t="s">
        <v>39</v>
      </c>
      <c r="G90" s="7" t="s">
        <v>27</v>
      </c>
      <c r="H90" s="7">
        <v>1972</v>
      </c>
      <c r="I90" s="10">
        <v>21</v>
      </c>
      <c r="J90" s="11"/>
      <c r="K90" s="10">
        <v>6</v>
      </c>
      <c r="M90" s="7">
        <v>1</v>
      </c>
      <c r="N90" s="7">
        <v>39</v>
      </c>
      <c r="O90" s="7">
        <v>42</v>
      </c>
      <c r="T90" s="12"/>
      <c r="V90" cm="1">
        <f t="array" ref="V90">_xlfn.LET(
_xlpm.x,_xlfn._xlws.FILTER(O90:S90,(O90:S90&lt;&gt;"R")*(O90:S90&lt;&gt;"NA")*(O90:S90&lt;&gt;"W")*(O90:S90&lt;&gt;"")),
IF(COUNTA(_xlpm.x)=0,"NA",IF(MIN(_xlpm.x)=MAX(_xlpm.x),MIN(_xlpm.x),"review"))
)</f>
        <v>42</v>
      </c>
    </row>
    <row r="91" spans="1:22" ht="15.75" hidden="1" customHeight="1" x14ac:dyDescent="0.25">
      <c r="A91" s="7" t="s">
        <v>36</v>
      </c>
      <c r="B91" s="8">
        <v>8</v>
      </c>
      <c r="C91" s="8" t="s">
        <v>37</v>
      </c>
      <c r="D91" s="9" t="s">
        <v>38</v>
      </c>
      <c r="E91" s="7" t="s">
        <v>25</v>
      </c>
      <c r="F91" s="7" t="s">
        <v>39</v>
      </c>
      <c r="G91" s="7" t="s">
        <v>27</v>
      </c>
      <c r="H91" s="7">
        <v>1972</v>
      </c>
      <c r="I91" s="10">
        <v>21</v>
      </c>
      <c r="J91" s="11"/>
      <c r="K91" s="10">
        <v>6</v>
      </c>
      <c r="M91" s="7">
        <v>1</v>
      </c>
      <c r="N91" s="7">
        <v>40</v>
      </c>
      <c r="O91" s="7">
        <v>64</v>
      </c>
      <c r="T91" s="12"/>
      <c r="V91" cm="1">
        <f t="array" ref="V91">_xlfn.LET(
_xlpm.x,_xlfn._xlws.FILTER(O91:S91,(O91:S91&lt;&gt;"R")*(O91:S91&lt;&gt;"NA")*(O91:S91&lt;&gt;"W")*(O91:S91&lt;&gt;"")),
IF(COUNTA(_xlpm.x)=0,"NA",IF(MIN(_xlpm.x)=MAX(_xlpm.x),MIN(_xlpm.x),"review"))
)</f>
        <v>64</v>
      </c>
    </row>
    <row r="92" spans="1:22" ht="15.75" hidden="1" customHeight="1" x14ac:dyDescent="0.25">
      <c r="A92" s="7" t="s">
        <v>36</v>
      </c>
      <c r="B92" s="8">
        <v>8</v>
      </c>
      <c r="C92" s="8" t="s">
        <v>37</v>
      </c>
      <c r="D92" s="9" t="s">
        <v>38</v>
      </c>
      <c r="E92" s="7" t="s">
        <v>25</v>
      </c>
      <c r="F92" s="7" t="s">
        <v>39</v>
      </c>
      <c r="G92" s="7" t="s">
        <v>27</v>
      </c>
      <c r="H92" s="7">
        <v>1972</v>
      </c>
      <c r="I92" s="10">
        <v>21</v>
      </c>
      <c r="J92" s="11"/>
      <c r="K92" s="10">
        <v>6</v>
      </c>
      <c r="M92" s="7">
        <v>1</v>
      </c>
      <c r="N92" s="7">
        <v>41</v>
      </c>
      <c r="O92" s="7">
        <v>52</v>
      </c>
      <c r="T92" s="12"/>
      <c r="V92" cm="1">
        <f t="array" ref="V92">_xlfn.LET(
_xlpm.x,_xlfn._xlws.FILTER(O92:S92,(O92:S92&lt;&gt;"R")*(O92:S92&lt;&gt;"NA")*(O92:S92&lt;&gt;"W")*(O92:S92&lt;&gt;"")),
IF(COUNTA(_xlpm.x)=0,"NA",IF(MIN(_xlpm.x)=MAX(_xlpm.x),MIN(_xlpm.x),"review"))
)</f>
        <v>52</v>
      </c>
    </row>
    <row r="93" spans="1:22" ht="15.75" hidden="1" customHeight="1" x14ac:dyDescent="0.25">
      <c r="A93" s="7" t="s">
        <v>36</v>
      </c>
      <c r="B93" s="8">
        <v>8</v>
      </c>
      <c r="C93" s="8" t="s">
        <v>37</v>
      </c>
      <c r="D93" s="9" t="s">
        <v>38</v>
      </c>
      <c r="E93" s="7" t="s">
        <v>25</v>
      </c>
      <c r="F93" s="7" t="s">
        <v>39</v>
      </c>
      <c r="G93" s="7" t="s">
        <v>27</v>
      </c>
      <c r="H93" s="7">
        <v>1972</v>
      </c>
      <c r="I93" s="10">
        <v>21</v>
      </c>
      <c r="J93" s="11"/>
      <c r="K93" s="10">
        <v>6</v>
      </c>
      <c r="M93" s="7">
        <v>1</v>
      </c>
      <c r="N93" s="7">
        <v>42</v>
      </c>
      <c r="O93" s="7">
        <v>52</v>
      </c>
      <c r="T93" s="12"/>
      <c r="V93" cm="1">
        <f t="array" ref="V93">_xlfn.LET(
_xlpm.x,_xlfn._xlws.FILTER(O93:S93,(O93:S93&lt;&gt;"R")*(O93:S93&lt;&gt;"NA")*(O93:S93&lt;&gt;"W")*(O93:S93&lt;&gt;"")),
IF(COUNTA(_xlpm.x)=0,"NA",IF(MIN(_xlpm.x)=MAX(_xlpm.x),MIN(_xlpm.x),"review"))
)</f>
        <v>52</v>
      </c>
    </row>
    <row r="94" spans="1:22" ht="15.75" hidden="1" customHeight="1" x14ac:dyDescent="0.25">
      <c r="A94" s="7" t="s">
        <v>36</v>
      </c>
      <c r="B94" s="8">
        <v>8</v>
      </c>
      <c r="C94" s="8" t="s">
        <v>37</v>
      </c>
      <c r="D94" s="9" t="s">
        <v>38</v>
      </c>
      <c r="E94" s="7" t="s">
        <v>25</v>
      </c>
      <c r="F94" s="7" t="s">
        <v>39</v>
      </c>
      <c r="G94" s="7" t="s">
        <v>27</v>
      </c>
      <c r="H94" s="7">
        <v>1972</v>
      </c>
      <c r="I94" s="10">
        <v>21</v>
      </c>
      <c r="J94" s="11"/>
      <c r="K94" s="10">
        <v>6</v>
      </c>
      <c r="M94" s="7">
        <v>1</v>
      </c>
      <c r="N94" s="7">
        <v>43</v>
      </c>
      <c r="O94" s="7">
        <v>63</v>
      </c>
      <c r="T94" s="12"/>
      <c r="V94" cm="1">
        <f t="array" ref="V94">_xlfn.LET(
_xlpm.x,_xlfn._xlws.FILTER(O94:S94,(O94:S94&lt;&gt;"R")*(O94:S94&lt;&gt;"NA")*(O94:S94&lt;&gt;"W")*(O94:S94&lt;&gt;"")),
IF(COUNTA(_xlpm.x)=0,"NA",IF(MIN(_xlpm.x)=MAX(_xlpm.x),MIN(_xlpm.x),"review"))
)</f>
        <v>63</v>
      </c>
    </row>
    <row r="95" spans="1:22" ht="15.75" hidden="1" customHeight="1" x14ac:dyDescent="0.25">
      <c r="A95" s="7" t="s">
        <v>36</v>
      </c>
      <c r="B95" s="8">
        <v>8</v>
      </c>
      <c r="C95" s="8" t="s">
        <v>37</v>
      </c>
      <c r="D95" s="9" t="s">
        <v>38</v>
      </c>
      <c r="E95" s="7" t="s">
        <v>25</v>
      </c>
      <c r="F95" s="7" t="s">
        <v>39</v>
      </c>
      <c r="G95" s="7" t="s">
        <v>27</v>
      </c>
      <c r="H95" s="7">
        <v>1972</v>
      </c>
      <c r="I95" s="10">
        <v>21</v>
      </c>
      <c r="J95" s="11"/>
      <c r="K95" s="10">
        <v>6</v>
      </c>
      <c r="M95" s="7">
        <v>1</v>
      </c>
      <c r="N95" s="7">
        <v>44</v>
      </c>
      <c r="O95" s="7" t="s">
        <v>29</v>
      </c>
      <c r="T95" s="12"/>
      <c r="V95" t="s">
        <v>29</v>
      </c>
    </row>
    <row r="96" spans="1:22" ht="15.75" hidden="1" customHeight="1" x14ac:dyDescent="0.25">
      <c r="A96" s="7" t="s">
        <v>36</v>
      </c>
      <c r="B96" s="8">
        <v>8</v>
      </c>
      <c r="C96" s="8" t="s">
        <v>37</v>
      </c>
      <c r="D96" s="9" t="s">
        <v>38</v>
      </c>
      <c r="E96" s="7" t="s">
        <v>25</v>
      </c>
      <c r="F96" s="7" t="s">
        <v>39</v>
      </c>
      <c r="G96" s="7" t="s">
        <v>27</v>
      </c>
      <c r="H96" s="7">
        <v>1972</v>
      </c>
      <c r="I96" s="10">
        <v>21</v>
      </c>
      <c r="J96" s="11"/>
      <c r="K96" s="10">
        <v>6</v>
      </c>
      <c r="M96" s="7">
        <v>1</v>
      </c>
      <c r="N96" s="7">
        <v>45</v>
      </c>
      <c r="O96" s="7">
        <v>63</v>
      </c>
      <c r="T96" s="12"/>
      <c r="V96" cm="1">
        <f t="array" ref="V96">_xlfn.LET(
_xlpm.x,_xlfn._xlws.FILTER(O96:S96,(O96:S96&lt;&gt;"R")*(O96:S96&lt;&gt;"NA")*(O96:S96&lt;&gt;"W")*(O96:S96&lt;&gt;"")),
IF(COUNTA(_xlpm.x)=0,"NA",IF(MIN(_xlpm.x)=MAX(_xlpm.x),MIN(_xlpm.x),"review"))
)</f>
        <v>63</v>
      </c>
    </row>
    <row r="97" spans="1:22" ht="15.75" hidden="1" customHeight="1" x14ac:dyDescent="0.25">
      <c r="A97" s="7" t="s">
        <v>36</v>
      </c>
      <c r="B97" s="8">
        <v>8</v>
      </c>
      <c r="C97" s="8" t="s">
        <v>37</v>
      </c>
      <c r="D97" s="9" t="s">
        <v>38</v>
      </c>
      <c r="E97" s="7" t="s">
        <v>25</v>
      </c>
      <c r="F97" s="7" t="s">
        <v>39</v>
      </c>
      <c r="G97" s="7" t="s">
        <v>27</v>
      </c>
      <c r="H97" s="7">
        <v>1972</v>
      </c>
      <c r="I97" s="10">
        <v>21</v>
      </c>
      <c r="J97" s="11"/>
      <c r="K97" s="10">
        <v>6</v>
      </c>
      <c r="M97" s="7">
        <v>1</v>
      </c>
      <c r="N97" s="7">
        <v>46</v>
      </c>
      <c r="O97" s="7">
        <v>53</v>
      </c>
      <c r="T97" s="12"/>
      <c r="V97" cm="1">
        <f t="array" ref="V97">_xlfn.LET(
_xlpm.x,_xlfn._xlws.FILTER(O97:S97,(O97:S97&lt;&gt;"R")*(O97:S97&lt;&gt;"NA")*(O97:S97&lt;&gt;"W")*(O97:S97&lt;&gt;"")),
IF(COUNTA(_xlpm.x)=0,"NA",IF(MIN(_xlpm.x)=MAX(_xlpm.x),MIN(_xlpm.x),"review"))
)</f>
        <v>53</v>
      </c>
    </row>
    <row r="98" spans="1:22" ht="15.75" hidden="1" customHeight="1" x14ac:dyDescent="0.25">
      <c r="A98" s="7" t="s">
        <v>36</v>
      </c>
      <c r="B98" s="8">
        <v>8</v>
      </c>
      <c r="C98" s="8" t="s">
        <v>37</v>
      </c>
      <c r="D98" s="9" t="s">
        <v>38</v>
      </c>
      <c r="E98" s="7" t="s">
        <v>25</v>
      </c>
      <c r="F98" s="7" t="s">
        <v>39</v>
      </c>
      <c r="G98" s="7" t="s">
        <v>27</v>
      </c>
      <c r="H98" s="7">
        <v>1972</v>
      </c>
      <c r="I98" s="10">
        <v>21</v>
      </c>
      <c r="J98" s="11"/>
      <c r="K98" s="10">
        <v>6</v>
      </c>
      <c r="M98" s="7">
        <v>1</v>
      </c>
      <c r="N98" s="7">
        <v>47</v>
      </c>
      <c r="O98" s="7" t="s">
        <v>28</v>
      </c>
      <c r="T98" s="12"/>
      <c r="V98" t="s">
        <v>29</v>
      </c>
    </row>
    <row r="99" spans="1:22" ht="15.75" hidden="1" customHeight="1" x14ac:dyDescent="0.25">
      <c r="A99" s="7" t="s">
        <v>36</v>
      </c>
      <c r="B99" s="8">
        <v>8</v>
      </c>
      <c r="C99" s="8" t="s">
        <v>37</v>
      </c>
      <c r="D99" s="9" t="s">
        <v>38</v>
      </c>
      <c r="E99" s="7" t="s">
        <v>25</v>
      </c>
      <c r="F99" s="7" t="s">
        <v>39</v>
      </c>
      <c r="G99" s="7" t="s">
        <v>27</v>
      </c>
      <c r="H99" s="7">
        <v>1972</v>
      </c>
      <c r="I99" s="10">
        <v>21</v>
      </c>
      <c r="J99" s="11"/>
      <c r="K99" s="10">
        <v>6</v>
      </c>
      <c r="M99" s="7">
        <v>1</v>
      </c>
      <c r="N99" s="7">
        <v>48</v>
      </c>
      <c r="O99" s="7">
        <v>52</v>
      </c>
      <c r="T99" s="12"/>
      <c r="V99" cm="1">
        <f t="array" ref="V99">_xlfn.LET(
_xlpm.x,_xlfn._xlws.FILTER(O99:S99,(O99:S99&lt;&gt;"R")*(O99:S99&lt;&gt;"NA")*(O99:S99&lt;&gt;"W")*(O99:S99&lt;&gt;"")),
IF(COUNTA(_xlpm.x)=0,"NA",IF(MIN(_xlpm.x)=MAX(_xlpm.x),MIN(_xlpm.x),"review"))
)</f>
        <v>52</v>
      </c>
    </row>
    <row r="100" spans="1:22" ht="15.75" hidden="1" customHeight="1" x14ac:dyDescent="0.25">
      <c r="A100" s="7" t="s">
        <v>36</v>
      </c>
      <c r="B100" s="8">
        <v>8</v>
      </c>
      <c r="C100" s="8" t="s">
        <v>37</v>
      </c>
      <c r="D100" s="9" t="s">
        <v>38</v>
      </c>
      <c r="E100" s="7" t="s">
        <v>25</v>
      </c>
      <c r="F100" s="7" t="s">
        <v>39</v>
      </c>
      <c r="G100" s="7" t="s">
        <v>27</v>
      </c>
      <c r="H100" s="7">
        <v>1972</v>
      </c>
      <c r="I100" s="10">
        <v>21</v>
      </c>
      <c r="J100" s="11"/>
      <c r="K100" s="10">
        <v>6</v>
      </c>
      <c r="M100" s="7">
        <v>1</v>
      </c>
      <c r="N100" s="7">
        <v>49</v>
      </c>
      <c r="O100" s="7">
        <v>52</v>
      </c>
      <c r="T100" s="12"/>
      <c r="V100" cm="1">
        <f t="array" ref="V100">_xlfn.LET(
_xlpm.x,_xlfn._xlws.FILTER(O100:S100,(O100:S100&lt;&gt;"R")*(O100:S100&lt;&gt;"NA")*(O100:S100&lt;&gt;"W")*(O100:S100&lt;&gt;"")),
IF(COUNTA(_xlpm.x)=0,"NA",IF(MIN(_xlpm.x)=MAX(_xlpm.x),MIN(_xlpm.x),"review"))
)</f>
        <v>52</v>
      </c>
    </row>
    <row r="101" spans="1:22" ht="15.75" hidden="1" customHeight="1" x14ac:dyDescent="0.25">
      <c r="A101" s="7" t="s">
        <v>36</v>
      </c>
      <c r="B101" s="8">
        <v>8</v>
      </c>
      <c r="C101" s="8" t="s">
        <v>37</v>
      </c>
      <c r="D101" s="9" t="s">
        <v>41</v>
      </c>
      <c r="E101" s="7" t="s">
        <v>25</v>
      </c>
      <c r="F101" s="7" t="s">
        <v>39</v>
      </c>
      <c r="G101" s="7" t="s">
        <v>27</v>
      </c>
      <c r="H101" s="7">
        <v>1972</v>
      </c>
      <c r="I101" s="10">
        <v>21</v>
      </c>
      <c r="J101" s="11"/>
      <c r="K101" s="10">
        <v>6</v>
      </c>
      <c r="M101" s="7">
        <v>1</v>
      </c>
      <c r="N101" s="7">
        <v>50</v>
      </c>
      <c r="O101" s="7">
        <v>52</v>
      </c>
      <c r="T101" s="12"/>
      <c r="U101" s="7" t="s">
        <v>42</v>
      </c>
      <c r="V101" cm="1">
        <f t="array" ref="V101">_xlfn.LET(
_xlpm.x,_xlfn._xlws.FILTER(O101:S101,(O101:S101&lt;&gt;"R")*(O101:S101&lt;&gt;"NA")*(O101:S101&lt;&gt;"W")*(O101:S101&lt;&gt;"")),
IF(COUNTA(_xlpm.x)=0,"NA",IF(MIN(_xlpm.x)=MAX(_xlpm.x),MIN(_xlpm.x),"review"))
)</f>
        <v>52</v>
      </c>
    </row>
    <row r="102" spans="1:22" ht="15.75" hidden="1" customHeight="1" x14ac:dyDescent="0.25">
      <c r="A102" s="7" t="s">
        <v>43</v>
      </c>
      <c r="B102" s="8">
        <v>8</v>
      </c>
      <c r="C102" s="8" t="s">
        <v>37</v>
      </c>
      <c r="D102" s="9" t="s">
        <v>41</v>
      </c>
      <c r="E102" s="7" t="s">
        <v>25</v>
      </c>
      <c r="F102" s="7" t="s">
        <v>39</v>
      </c>
      <c r="H102" s="7">
        <v>1972</v>
      </c>
      <c r="I102" s="7">
        <v>22</v>
      </c>
      <c r="K102" s="7">
        <v>6</v>
      </c>
      <c r="M102" s="7">
        <v>2</v>
      </c>
      <c r="N102" s="7">
        <v>1</v>
      </c>
      <c r="O102" s="7">
        <v>42</v>
      </c>
      <c r="T102" s="12"/>
      <c r="V102" cm="1">
        <f t="array" ref="V102">_xlfn.LET(
_xlpm.x,_xlfn._xlws.FILTER(O102:S102,(O102:S102&lt;&gt;"R")*(O102:S102&lt;&gt;"NA")*(O102:S102&lt;&gt;"W")*(O102:S102&lt;&gt;"")),
IF(COUNTA(_xlpm.x)=0,"NA",IF(MIN(_xlpm.x)=MAX(_xlpm.x),MIN(_xlpm.x),"review"))
)</f>
        <v>42</v>
      </c>
    </row>
    <row r="103" spans="1:22" ht="15.75" hidden="1" customHeight="1" x14ac:dyDescent="0.25">
      <c r="A103" s="7" t="s">
        <v>43</v>
      </c>
      <c r="B103" s="8">
        <v>8</v>
      </c>
      <c r="C103" s="8" t="s">
        <v>37</v>
      </c>
      <c r="D103" s="9" t="s">
        <v>41</v>
      </c>
      <c r="E103" s="7" t="s">
        <v>25</v>
      </c>
      <c r="F103" s="7" t="s">
        <v>39</v>
      </c>
      <c r="H103" s="7">
        <v>1972</v>
      </c>
      <c r="I103" s="7">
        <v>22</v>
      </c>
      <c r="K103" s="7">
        <v>6</v>
      </c>
      <c r="M103" s="7">
        <v>2</v>
      </c>
      <c r="N103" s="7">
        <v>2</v>
      </c>
      <c r="O103" s="7">
        <v>52</v>
      </c>
      <c r="T103" s="12"/>
      <c r="V103" cm="1">
        <f t="array" ref="V103">_xlfn.LET(
_xlpm.x,_xlfn._xlws.FILTER(O103:S103,(O103:S103&lt;&gt;"R")*(O103:S103&lt;&gt;"NA")*(O103:S103&lt;&gt;"W")*(O103:S103&lt;&gt;"")),
IF(COUNTA(_xlpm.x)=0,"NA",IF(MIN(_xlpm.x)=MAX(_xlpm.x),MIN(_xlpm.x),"review"))
)</f>
        <v>52</v>
      </c>
    </row>
    <row r="104" spans="1:22" ht="15.75" hidden="1" customHeight="1" x14ac:dyDescent="0.25">
      <c r="A104" s="7" t="s">
        <v>43</v>
      </c>
      <c r="B104" s="8">
        <v>8</v>
      </c>
      <c r="C104" s="8" t="s">
        <v>37</v>
      </c>
      <c r="D104" s="9" t="s">
        <v>41</v>
      </c>
      <c r="E104" s="7" t="s">
        <v>25</v>
      </c>
      <c r="F104" s="7" t="s">
        <v>39</v>
      </c>
      <c r="H104" s="7">
        <v>1972</v>
      </c>
      <c r="I104" s="7">
        <v>22</v>
      </c>
      <c r="K104" s="7">
        <v>6</v>
      </c>
      <c r="M104" s="7">
        <v>2</v>
      </c>
      <c r="N104" s="7">
        <v>3</v>
      </c>
      <c r="O104" s="7">
        <v>52</v>
      </c>
      <c r="T104" s="12"/>
      <c r="V104" cm="1">
        <f t="array" ref="V104">_xlfn.LET(
_xlpm.x,_xlfn._xlws.FILTER(O104:S104,(O104:S104&lt;&gt;"R")*(O104:S104&lt;&gt;"NA")*(O104:S104&lt;&gt;"W")*(O104:S104&lt;&gt;"")),
IF(COUNTA(_xlpm.x)=0,"NA",IF(MIN(_xlpm.x)=MAX(_xlpm.x),MIN(_xlpm.x),"review"))
)</f>
        <v>52</v>
      </c>
    </row>
    <row r="105" spans="1:22" ht="15.75" hidden="1" customHeight="1" x14ac:dyDescent="0.25">
      <c r="A105" s="7" t="s">
        <v>43</v>
      </c>
      <c r="B105" s="8">
        <v>8</v>
      </c>
      <c r="C105" s="8" t="s">
        <v>37</v>
      </c>
      <c r="D105" s="9" t="s">
        <v>41</v>
      </c>
      <c r="E105" s="7" t="s">
        <v>25</v>
      </c>
      <c r="F105" s="7" t="s">
        <v>39</v>
      </c>
      <c r="H105" s="7">
        <v>1972</v>
      </c>
      <c r="I105" s="7">
        <v>22</v>
      </c>
      <c r="K105" s="7">
        <v>6</v>
      </c>
      <c r="M105" s="7">
        <v>2</v>
      </c>
      <c r="N105" s="7">
        <v>4</v>
      </c>
      <c r="O105" s="7">
        <v>52</v>
      </c>
      <c r="T105" s="12" t="s">
        <v>44</v>
      </c>
      <c r="V105" cm="1">
        <f t="array" ref="V105">_xlfn.LET(
_xlpm.x,_xlfn._xlws.FILTER(O105:S105,(O105:S105&lt;&gt;"R")*(O105:S105&lt;&gt;"NA")*(O105:S105&lt;&gt;"W")*(O105:S105&lt;&gt;"")),
IF(COUNTA(_xlpm.x)=0,"NA",IF(MIN(_xlpm.x)=MAX(_xlpm.x),MIN(_xlpm.x),"review"))
)</f>
        <v>52</v>
      </c>
    </row>
    <row r="106" spans="1:22" ht="15.75" hidden="1" customHeight="1" x14ac:dyDescent="0.25">
      <c r="A106" s="7" t="s">
        <v>43</v>
      </c>
      <c r="B106" s="8">
        <v>8</v>
      </c>
      <c r="C106" s="8" t="s">
        <v>37</v>
      </c>
      <c r="D106" s="9" t="s">
        <v>41</v>
      </c>
      <c r="E106" s="7" t="s">
        <v>25</v>
      </c>
      <c r="F106" s="7" t="s">
        <v>39</v>
      </c>
      <c r="H106" s="7">
        <v>1972</v>
      </c>
      <c r="I106" s="7">
        <v>22</v>
      </c>
      <c r="K106" s="7">
        <v>6</v>
      </c>
      <c r="M106" s="7">
        <v>2</v>
      </c>
      <c r="N106" s="7">
        <v>5</v>
      </c>
      <c r="O106" s="7" t="s">
        <v>28</v>
      </c>
      <c r="T106" s="12"/>
      <c r="V106" t="s">
        <v>29</v>
      </c>
    </row>
    <row r="107" spans="1:22" ht="15.75" hidden="1" customHeight="1" x14ac:dyDescent="0.25">
      <c r="A107" s="7" t="s">
        <v>43</v>
      </c>
      <c r="B107" s="8">
        <v>8</v>
      </c>
      <c r="C107" s="8" t="s">
        <v>37</v>
      </c>
      <c r="D107" s="9" t="s">
        <v>41</v>
      </c>
      <c r="E107" s="7" t="s">
        <v>25</v>
      </c>
      <c r="F107" s="7" t="s">
        <v>39</v>
      </c>
      <c r="H107" s="7">
        <v>1972</v>
      </c>
      <c r="I107" s="7">
        <v>22</v>
      </c>
      <c r="K107" s="7">
        <v>6</v>
      </c>
      <c r="M107" s="7">
        <v>2</v>
      </c>
      <c r="N107" s="7">
        <v>6</v>
      </c>
      <c r="O107" s="7">
        <v>31</v>
      </c>
      <c r="T107" s="12"/>
      <c r="V107" cm="1">
        <f t="array" ref="V107">_xlfn.LET(
_xlpm.x,_xlfn._xlws.FILTER(O107:S107,(O107:S107&lt;&gt;"R")*(O107:S107&lt;&gt;"NA")*(O107:S107&lt;&gt;"W")*(O107:S107&lt;&gt;"")),
IF(COUNTA(_xlpm.x)=0,"NA",IF(MIN(_xlpm.x)=MAX(_xlpm.x),MIN(_xlpm.x),"review"))
)</f>
        <v>31</v>
      </c>
    </row>
    <row r="108" spans="1:22" ht="15.75" hidden="1" customHeight="1" x14ac:dyDescent="0.25">
      <c r="A108" s="7" t="s">
        <v>43</v>
      </c>
      <c r="B108" s="8">
        <v>8</v>
      </c>
      <c r="C108" s="8" t="s">
        <v>37</v>
      </c>
      <c r="D108" s="9" t="s">
        <v>41</v>
      </c>
      <c r="E108" s="7" t="s">
        <v>25</v>
      </c>
      <c r="F108" s="7" t="s">
        <v>39</v>
      </c>
      <c r="H108" s="7">
        <v>1972</v>
      </c>
      <c r="I108" s="7">
        <v>22</v>
      </c>
      <c r="K108" s="7">
        <v>6</v>
      </c>
      <c r="M108" s="7">
        <v>2</v>
      </c>
      <c r="N108" s="7">
        <v>7</v>
      </c>
      <c r="O108" s="7">
        <v>31</v>
      </c>
      <c r="T108" s="12"/>
      <c r="V108" cm="1">
        <f t="array" ref="V108">_xlfn.LET(
_xlpm.x,_xlfn._xlws.FILTER(O108:S108,(O108:S108&lt;&gt;"R")*(O108:S108&lt;&gt;"NA")*(O108:S108&lt;&gt;"W")*(O108:S108&lt;&gt;"")),
IF(COUNTA(_xlpm.x)=0,"NA",IF(MIN(_xlpm.x)=MAX(_xlpm.x),MIN(_xlpm.x),"review"))
)</f>
        <v>31</v>
      </c>
    </row>
    <row r="109" spans="1:22" ht="15.75" hidden="1" customHeight="1" x14ac:dyDescent="0.25">
      <c r="A109" s="7" t="s">
        <v>43</v>
      </c>
      <c r="B109" s="8">
        <v>8</v>
      </c>
      <c r="C109" s="8" t="s">
        <v>37</v>
      </c>
      <c r="D109" s="9" t="s">
        <v>41</v>
      </c>
      <c r="E109" s="7" t="s">
        <v>25</v>
      </c>
      <c r="F109" s="7" t="s">
        <v>39</v>
      </c>
      <c r="H109" s="7">
        <v>1972</v>
      </c>
      <c r="I109" s="7">
        <v>22</v>
      </c>
      <c r="K109" s="7">
        <v>6</v>
      </c>
      <c r="M109" s="7">
        <v>2</v>
      </c>
      <c r="N109" s="7">
        <v>8</v>
      </c>
      <c r="O109" s="7">
        <v>42</v>
      </c>
      <c r="T109" s="12"/>
      <c r="V109" cm="1">
        <f t="array" ref="V109">_xlfn.LET(
_xlpm.x,_xlfn._xlws.FILTER(O109:S109,(O109:S109&lt;&gt;"R")*(O109:S109&lt;&gt;"NA")*(O109:S109&lt;&gt;"W")*(O109:S109&lt;&gt;"")),
IF(COUNTA(_xlpm.x)=0,"NA",IF(MIN(_xlpm.x)=MAX(_xlpm.x),MIN(_xlpm.x),"review"))
)</f>
        <v>42</v>
      </c>
    </row>
    <row r="110" spans="1:22" ht="15.75" hidden="1" customHeight="1" x14ac:dyDescent="0.25">
      <c r="A110" s="7" t="s">
        <v>43</v>
      </c>
      <c r="B110" s="8">
        <v>8</v>
      </c>
      <c r="C110" s="8" t="s">
        <v>37</v>
      </c>
      <c r="D110" s="9" t="s">
        <v>41</v>
      </c>
      <c r="E110" s="7" t="s">
        <v>25</v>
      </c>
      <c r="F110" s="7" t="s">
        <v>39</v>
      </c>
      <c r="H110" s="7">
        <v>1972</v>
      </c>
      <c r="I110" s="7">
        <v>22</v>
      </c>
      <c r="K110" s="7">
        <v>6</v>
      </c>
      <c r="M110" s="7">
        <v>2</v>
      </c>
      <c r="N110" s="7">
        <v>9</v>
      </c>
      <c r="O110" s="7">
        <v>52</v>
      </c>
      <c r="T110" s="12"/>
      <c r="V110" cm="1">
        <f t="array" ref="V110">_xlfn.LET(
_xlpm.x,_xlfn._xlws.FILTER(O110:S110,(O110:S110&lt;&gt;"R")*(O110:S110&lt;&gt;"NA")*(O110:S110&lt;&gt;"W")*(O110:S110&lt;&gt;"")),
IF(COUNTA(_xlpm.x)=0,"NA",IF(MIN(_xlpm.x)=MAX(_xlpm.x),MIN(_xlpm.x),"review"))
)</f>
        <v>52</v>
      </c>
    </row>
    <row r="111" spans="1:22" ht="15.75" hidden="1" customHeight="1" x14ac:dyDescent="0.25">
      <c r="A111" s="7" t="s">
        <v>43</v>
      </c>
      <c r="B111" s="8">
        <v>8</v>
      </c>
      <c r="C111" s="8" t="s">
        <v>37</v>
      </c>
      <c r="D111" s="9" t="s">
        <v>41</v>
      </c>
      <c r="E111" s="7" t="s">
        <v>25</v>
      </c>
      <c r="F111" s="7" t="s">
        <v>39</v>
      </c>
      <c r="H111" s="7">
        <v>1972</v>
      </c>
      <c r="I111" s="7">
        <v>22</v>
      </c>
      <c r="K111" s="7">
        <v>6</v>
      </c>
      <c r="M111" s="7">
        <v>2</v>
      </c>
      <c r="N111" s="7">
        <v>10</v>
      </c>
      <c r="O111" s="7" t="s">
        <v>29</v>
      </c>
      <c r="T111" s="12"/>
      <c r="V111" t="s">
        <v>29</v>
      </c>
    </row>
    <row r="112" spans="1:22" ht="15.75" hidden="1" customHeight="1" x14ac:dyDescent="0.25">
      <c r="A112" s="7" t="s">
        <v>43</v>
      </c>
      <c r="B112" s="8">
        <v>8</v>
      </c>
      <c r="C112" s="8" t="s">
        <v>37</v>
      </c>
      <c r="D112" s="9" t="s">
        <v>41</v>
      </c>
      <c r="E112" s="7" t="s">
        <v>25</v>
      </c>
      <c r="F112" s="7" t="s">
        <v>39</v>
      </c>
      <c r="H112" s="7">
        <v>1972</v>
      </c>
      <c r="I112" s="7">
        <v>22</v>
      </c>
      <c r="K112" s="7">
        <v>6</v>
      </c>
      <c r="M112" s="7">
        <v>2</v>
      </c>
      <c r="N112" s="7">
        <v>11</v>
      </c>
      <c r="O112" s="7">
        <v>52</v>
      </c>
      <c r="T112" s="12"/>
      <c r="V112" cm="1">
        <f t="array" ref="V112">_xlfn.LET(
_xlpm.x,_xlfn._xlws.FILTER(O112:S112,(O112:S112&lt;&gt;"R")*(O112:S112&lt;&gt;"NA")*(O112:S112&lt;&gt;"W")*(O112:S112&lt;&gt;"")),
IF(COUNTA(_xlpm.x)=0,"NA",IF(MIN(_xlpm.x)=MAX(_xlpm.x),MIN(_xlpm.x),"review"))
)</f>
        <v>52</v>
      </c>
    </row>
    <row r="113" spans="1:22" ht="15.75" hidden="1" customHeight="1" x14ac:dyDescent="0.25">
      <c r="A113" s="7" t="s">
        <v>43</v>
      </c>
      <c r="B113" s="8">
        <v>8</v>
      </c>
      <c r="C113" s="8" t="s">
        <v>37</v>
      </c>
      <c r="D113" s="9" t="s">
        <v>41</v>
      </c>
      <c r="E113" s="7" t="s">
        <v>25</v>
      </c>
      <c r="F113" s="7" t="s">
        <v>39</v>
      </c>
      <c r="H113" s="7">
        <v>1972</v>
      </c>
      <c r="I113" s="7">
        <v>22</v>
      </c>
      <c r="K113" s="7">
        <v>6</v>
      </c>
      <c r="M113" s="7">
        <v>2</v>
      </c>
      <c r="N113" s="7">
        <v>12</v>
      </c>
      <c r="O113" s="7">
        <v>52</v>
      </c>
      <c r="T113" s="12"/>
      <c r="V113" cm="1">
        <f t="array" ref="V113">_xlfn.LET(
_xlpm.x,_xlfn._xlws.FILTER(O113:S113,(O113:S113&lt;&gt;"R")*(O113:S113&lt;&gt;"NA")*(O113:S113&lt;&gt;"W")*(O113:S113&lt;&gt;"")),
IF(COUNTA(_xlpm.x)=0,"NA",IF(MIN(_xlpm.x)=MAX(_xlpm.x),MIN(_xlpm.x),"review"))
)</f>
        <v>52</v>
      </c>
    </row>
    <row r="114" spans="1:22" ht="15.75" hidden="1" customHeight="1" x14ac:dyDescent="0.25">
      <c r="A114" s="7" t="s">
        <v>43</v>
      </c>
      <c r="B114" s="8">
        <v>8</v>
      </c>
      <c r="C114" s="8" t="s">
        <v>37</v>
      </c>
      <c r="D114" s="9" t="s">
        <v>41</v>
      </c>
      <c r="E114" s="7" t="s">
        <v>25</v>
      </c>
      <c r="F114" s="7" t="s">
        <v>39</v>
      </c>
      <c r="H114" s="7">
        <v>1972</v>
      </c>
      <c r="I114" s="7">
        <v>22</v>
      </c>
      <c r="K114" s="7">
        <v>6</v>
      </c>
      <c r="M114" s="7">
        <v>2</v>
      </c>
      <c r="N114" s="7">
        <v>13</v>
      </c>
      <c r="O114" s="7">
        <v>52</v>
      </c>
      <c r="T114" s="12"/>
      <c r="V114" cm="1">
        <f t="array" ref="V114">_xlfn.LET(
_xlpm.x,_xlfn._xlws.FILTER(O114:S114,(O114:S114&lt;&gt;"R")*(O114:S114&lt;&gt;"NA")*(O114:S114&lt;&gt;"W")*(O114:S114&lt;&gt;"")),
IF(COUNTA(_xlpm.x)=0,"NA",IF(MIN(_xlpm.x)=MAX(_xlpm.x),MIN(_xlpm.x),"review"))
)</f>
        <v>52</v>
      </c>
    </row>
    <row r="115" spans="1:22" ht="15.75" hidden="1" customHeight="1" x14ac:dyDescent="0.25">
      <c r="A115" s="7" t="s">
        <v>43</v>
      </c>
      <c r="B115" s="8">
        <v>8</v>
      </c>
      <c r="C115" s="8" t="s">
        <v>37</v>
      </c>
      <c r="D115" s="9" t="s">
        <v>41</v>
      </c>
      <c r="E115" s="7" t="s">
        <v>25</v>
      </c>
      <c r="F115" s="7" t="s">
        <v>39</v>
      </c>
      <c r="H115" s="7">
        <v>1972</v>
      </c>
      <c r="I115" s="7">
        <v>22</v>
      </c>
      <c r="K115" s="7">
        <v>6</v>
      </c>
      <c r="M115" s="7">
        <v>2</v>
      </c>
      <c r="N115" s="7">
        <v>14</v>
      </c>
      <c r="O115" s="7" t="s">
        <v>29</v>
      </c>
      <c r="T115" s="12" t="s">
        <v>45</v>
      </c>
      <c r="V115" t="s">
        <v>29</v>
      </c>
    </row>
    <row r="116" spans="1:22" ht="15.75" hidden="1" customHeight="1" x14ac:dyDescent="0.25">
      <c r="A116" s="7" t="s">
        <v>43</v>
      </c>
      <c r="B116" s="8">
        <v>8</v>
      </c>
      <c r="C116" s="8" t="s">
        <v>37</v>
      </c>
      <c r="D116" s="9" t="s">
        <v>41</v>
      </c>
      <c r="E116" s="7" t="s">
        <v>25</v>
      </c>
      <c r="F116" s="7" t="s">
        <v>39</v>
      </c>
      <c r="H116" s="7">
        <v>1972</v>
      </c>
      <c r="I116" s="7">
        <v>22</v>
      </c>
      <c r="K116" s="7">
        <v>6</v>
      </c>
      <c r="M116" s="7">
        <v>2</v>
      </c>
      <c r="N116" s="7">
        <v>15</v>
      </c>
      <c r="O116" s="7">
        <v>53</v>
      </c>
      <c r="T116" s="12"/>
      <c r="V116" cm="1">
        <f t="array" ref="V116">_xlfn.LET(
_xlpm.x,_xlfn._xlws.FILTER(O116:S116,(O116:S116&lt;&gt;"R")*(O116:S116&lt;&gt;"NA")*(O116:S116&lt;&gt;"W")*(O116:S116&lt;&gt;"")),
IF(COUNTA(_xlpm.x)=0,"NA",IF(MIN(_xlpm.x)=MAX(_xlpm.x),MIN(_xlpm.x),"review"))
)</f>
        <v>53</v>
      </c>
    </row>
    <row r="117" spans="1:22" ht="15.75" hidden="1" customHeight="1" x14ac:dyDescent="0.25">
      <c r="A117" s="7" t="s">
        <v>43</v>
      </c>
      <c r="B117" s="8">
        <v>8</v>
      </c>
      <c r="C117" s="8" t="s">
        <v>37</v>
      </c>
      <c r="D117" s="9" t="s">
        <v>41</v>
      </c>
      <c r="E117" s="7" t="s">
        <v>25</v>
      </c>
      <c r="F117" s="7" t="s">
        <v>39</v>
      </c>
      <c r="H117" s="7">
        <v>1972</v>
      </c>
      <c r="I117" s="7">
        <v>22</v>
      </c>
      <c r="K117" s="7">
        <v>6</v>
      </c>
      <c r="M117" s="7">
        <v>2</v>
      </c>
      <c r="N117" s="7">
        <v>16</v>
      </c>
      <c r="O117" s="7">
        <v>52</v>
      </c>
      <c r="T117" s="12"/>
      <c r="V117" cm="1">
        <f t="array" ref="V117">_xlfn.LET(
_xlpm.x,_xlfn._xlws.FILTER(O117:S117,(O117:S117&lt;&gt;"R")*(O117:S117&lt;&gt;"NA")*(O117:S117&lt;&gt;"W")*(O117:S117&lt;&gt;"")),
IF(COUNTA(_xlpm.x)=0,"NA",IF(MIN(_xlpm.x)=MAX(_xlpm.x),MIN(_xlpm.x),"review"))
)</f>
        <v>52</v>
      </c>
    </row>
    <row r="118" spans="1:22" ht="15.75" hidden="1" customHeight="1" x14ac:dyDescent="0.25">
      <c r="A118" s="7" t="s">
        <v>43</v>
      </c>
      <c r="B118" s="8">
        <v>8</v>
      </c>
      <c r="C118" s="8" t="s">
        <v>37</v>
      </c>
      <c r="D118" s="9" t="s">
        <v>41</v>
      </c>
      <c r="E118" s="7" t="s">
        <v>25</v>
      </c>
      <c r="F118" s="7" t="s">
        <v>39</v>
      </c>
      <c r="H118" s="7">
        <v>1972</v>
      </c>
      <c r="I118" s="7">
        <v>22</v>
      </c>
      <c r="K118" s="7">
        <v>6</v>
      </c>
      <c r="M118" s="7">
        <v>2</v>
      </c>
      <c r="N118" s="7">
        <v>17</v>
      </c>
      <c r="O118" s="7">
        <v>52</v>
      </c>
      <c r="T118" s="12"/>
      <c r="V118" cm="1">
        <f t="array" ref="V118">_xlfn.LET(
_xlpm.x,_xlfn._xlws.FILTER(O118:S118,(O118:S118&lt;&gt;"R")*(O118:S118&lt;&gt;"NA")*(O118:S118&lt;&gt;"W")*(O118:S118&lt;&gt;"")),
IF(COUNTA(_xlpm.x)=0,"NA",IF(MIN(_xlpm.x)=MAX(_xlpm.x),MIN(_xlpm.x),"review"))
)</f>
        <v>52</v>
      </c>
    </row>
    <row r="119" spans="1:22" ht="15.75" hidden="1" customHeight="1" x14ac:dyDescent="0.25">
      <c r="A119" s="7" t="s">
        <v>43</v>
      </c>
      <c r="B119" s="8">
        <v>8</v>
      </c>
      <c r="C119" s="8" t="s">
        <v>37</v>
      </c>
      <c r="D119" s="9" t="s">
        <v>41</v>
      </c>
      <c r="E119" s="7" t="s">
        <v>25</v>
      </c>
      <c r="F119" s="7" t="s">
        <v>39</v>
      </c>
      <c r="H119" s="7">
        <v>1972</v>
      </c>
      <c r="I119" s="7">
        <v>22</v>
      </c>
      <c r="K119" s="7">
        <v>6</v>
      </c>
      <c r="M119" s="7">
        <v>2</v>
      </c>
      <c r="N119" s="7">
        <v>18</v>
      </c>
      <c r="O119" s="7">
        <v>31</v>
      </c>
      <c r="T119" s="12"/>
      <c r="V119" cm="1">
        <f t="array" ref="V119">_xlfn.LET(
_xlpm.x,_xlfn._xlws.FILTER(O119:S119,(O119:S119&lt;&gt;"R")*(O119:S119&lt;&gt;"NA")*(O119:S119&lt;&gt;"W")*(O119:S119&lt;&gt;"")),
IF(COUNTA(_xlpm.x)=0,"NA",IF(MIN(_xlpm.x)=MAX(_xlpm.x),MIN(_xlpm.x),"review"))
)</f>
        <v>31</v>
      </c>
    </row>
    <row r="120" spans="1:22" ht="15.75" hidden="1" customHeight="1" x14ac:dyDescent="0.25">
      <c r="A120" s="7" t="s">
        <v>43</v>
      </c>
      <c r="B120" s="8">
        <v>8</v>
      </c>
      <c r="C120" s="8" t="s">
        <v>37</v>
      </c>
      <c r="D120" s="9" t="s">
        <v>41</v>
      </c>
      <c r="E120" s="7" t="s">
        <v>25</v>
      </c>
      <c r="F120" s="7" t="s">
        <v>39</v>
      </c>
      <c r="H120" s="7">
        <v>1972</v>
      </c>
      <c r="I120" s="7">
        <v>22</v>
      </c>
      <c r="K120" s="7">
        <v>6</v>
      </c>
      <c r="M120" s="7">
        <v>2</v>
      </c>
      <c r="N120" s="7">
        <v>19</v>
      </c>
      <c r="O120" s="7">
        <v>52</v>
      </c>
      <c r="T120" s="12"/>
      <c r="V120" cm="1">
        <f t="array" ref="V120">_xlfn.LET(
_xlpm.x,_xlfn._xlws.FILTER(O120:S120,(O120:S120&lt;&gt;"R")*(O120:S120&lt;&gt;"NA")*(O120:S120&lt;&gt;"W")*(O120:S120&lt;&gt;"")),
IF(COUNTA(_xlpm.x)=0,"NA",IF(MIN(_xlpm.x)=MAX(_xlpm.x),MIN(_xlpm.x),"review"))
)</f>
        <v>52</v>
      </c>
    </row>
    <row r="121" spans="1:22" ht="15.75" hidden="1" customHeight="1" x14ac:dyDescent="0.25">
      <c r="A121" s="7" t="s">
        <v>43</v>
      </c>
      <c r="B121" s="8">
        <v>8</v>
      </c>
      <c r="C121" s="8" t="s">
        <v>37</v>
      </c>
      <c r="D121" s="9" t="s">
        <v>41</v>
      </c>
      <c r="E121" s="7" t="s">
        <v>25</v>
      </c>
      <c r="F121" s="7" t="s">
        <v>39</v>
      </c>
      <c r="H121" s="7">
        <v>1972</v>
      </c>
      <c r="I121" s="7">
        <v>22</v>
      </c>
      <c r="K121" s="7">
        <v>6</v>
      </c>
      <c r="M121" s="7">
        <v>2</v>
      </c>
      <c r="N121" s="7">
        <v>20</v>
      </c>
      <c r="O121" s="7">
        <v>53</v>
      </c>
      <c r="T121" s="12"/>
      <c r="V121" cm="1">
        <f t="array" ref="V121">_xlfn.LET(
_xlpm.x,_xlfn._xlws.FILTER(O121:S121,(O121:S121&lt;&gt;"R")*(O121:S121&lt;&gt;"NA")*(O121:S121&lt;&gt;"W")*(O121:S121&lt;&gt;"")),
IF(COUNTA(_xlpm.x)=0,"NA",IF(MIN(_xlpm.x)=MAX(_xlpm.x),MIN(_xlpm.x),"review"))
)</f>
        <v>53</v>
      </c>
    </row>
    <row r="122" spans="1:22" ht="15.75" hidden="1" customHeight="1" x14ac:dyDescent="0.25">
      <c r="A122" s="7" t="s">
        <v>43</v>
      </c>
      <c r="B122" s="8">
        <v>8</v>
      </c>
      <c r="C122" s="8" t="s">
        <v>37</v>
      </c>
      <c r="D122" s="9" t="s">
        <v>41</v>
      </c>
      <c r="E122" s="7" t="s">
        <v>25</v>
      </c>
      <c r="F122" s="7" t="s">
        <v>39</v>
      </c>
      <c r="H122" s="7">
        <v>1972</v>
      </c>
      <c r="I122" s="7">
        <v>22</v>
      </c>
      <c r="K122" s="7">
        <v>6</v>
      </c>
      <c r="M122" s="7">
        <v>2</v>
      </c>
      <c r="N122" s="7">
        <v>21</v>
      </c>
      <c r="O122" s="7">
        <v>52</v>
      </c>
      <c r="T122" s="12"/>
      <c r="V122" cm="1">
        <f t="array" ref="V122">_xlfn.LET(
_xlpm.x,_xlfn._xlws.FILTER(O122:S122,(O122:S122&lt;&gt;"R")*(O122:S122&lt;&gt;"NA")*(O122:S122&lt;&gt;"W")*(O122:S122&lt;&gt;"")),
IF(COUNTA(_xlpm.x)=0,"NA",IF(MIN(_xlpm.x)=MAX(_xlpm.x),MIN(_xlpm.x),"review"))
)</f>
        <v>52</v>
      </c>
    </row>
    <row r="123" spans="1:22" ht="15.75" hidden="1" customHeight="1" x14ac:dyDescent="0.25">
      <c r="A123" s="7" t="s">
        <v>43</v>
      </c>
      <c r="B123" s="8">
        <v>8</v>
      </c>
      <c r="C123" s="8" t="s">
        <v>37</v>
      </c>
      <c r="D123" s="9" t="s">
        <v>41</v>
      </c>
      <c r="E123" s="7" t="s">
        <v>25</v>
      </c>
      <c r="F123" s="7" t="s">
        <v>39</v>
      </c>
      <c r="H123" s="7">
        <v>1972</v>
      </c>
      <c r="I123" s="7">
        <v>22</v>
      </c>
      <c r="K123" s="7">
        <v>6</v>
      </c>
      <c r="M123" s="7">
        <v>2</v>
      </c>
      <c r="N123" s="7">
        <v>22</v>
      </c>
      <c r="O123" s="7" t="s">
        <v>28</v>
      </c>
      <c r="T123" s="12"/>
      <c r="V123" t="s">
        <v>29</v>
      </c>
    </row>
    <row r="124" spans="1:22" ht="15.75" hidden="1" customHeight="1" x14ac:dyDescent="0.25">
      <c r="A124" s="7" t="s">
        <v>43</v>
      </c>
      <c r="B124" s="8">
        <v>8</v>
      </c>
      <c r="C124" s="8" t="s">
        <v>37</v>
      </c>
      <c r="D124" s="9" t="s">
        <v>41</v>
      </c>
      <c r="E124" s="7" t="s">
        <v>25</v>
      </c>
      <c r="F124" s="7" t="s">
        <v>39</v>
      </c>
      <c r="H124" s="7">
        <v>1972</v>
      </c>
      <c r="I124" s="7">
        <v>22</v>
      </c>
      <c r="K124" s="7">
        <v>6</v>
      </c>
      <c r="M124" s="7">
        <v>2</v>
      </c>
      <c r="N124" s="7">
        <v>23</v>
      </c>
      <c r="O124" s="7">
        <v>42</v>
      </c>
      <c r="T124" s="12"/>
      <c r="V124" cm="1">
        <f t="array" ref="V124">_xlfn.LET(
_xlpm.x,_xlfn._xlws.FILTER(O124:S124,(O124:S124&lt;&gt;"R")*(O124:S124&lt;&gt;"NA")*(O124:S124&lt;&gt;"W")*(O124:S124&lt;&gt;"")),
IF(COUNTA(_xlpm.x)=0,"NA",IF(MIN(_xlpm.x)=MAX(_xlpm.x),MIN(_xlpm.x),"review"))
)</f>
        <v>42</v>
      </c>
    </row>
    <row r="125" spans="1:22" ht="15.75" hidden="1" customHeight="1" x14ac:dyDescent="0.25">
      <c r="A125" s="7" t="s">
        <v>43</v>
      </c>
      <c r="B125" s="8">
        <v>8</v>
      </c>
      <c r="C125" s="8" t="s">
        <v>37</v>
      </c>
      <c r="D125" s="9" t="s">
        <v>41</v>
      </c>
      <c r="E125" s="7" t="s">
        <v>25</v>
      </c>
      <c r="F125" s="7" t="s">
        <v>39</v>
      </c>
      <c r="H125" s="7">
        <v>1972</v>
      </c>
      <c r="I125" s="7">
        <v>22</v>
      </c>
      <c r="K125" s="7">
        <v>6</v>
      </c>
      <c r="M125" s="7">
        <v>2</v>
      </c>
      <c r="N125" s="7">
        <v>24</v>
      </c>
      <c r="O125" s="7" t="s">
        <v>28</v>
      </c>
      <c r="T125" s="12"/>
      <c r="V125" t="s">
        <v>29</v>
      </c>
    </row>
    <row r="126" spans="1:22" ht="15.75" hidden="1" customHeight="1" x14ac:dyDescent="0.25">
      <c r="A126" s="7" t="s">
        <v>43</v>
      </c>
      <c r="B126" s="8">
        <v>8</v>
      </c>
      <c r="C126" s="8" t="s">
        <v>37</v>
      </c>
      <c r="D126" s="9" t="s">
        <v>41</v>
      </c>
      <c r="E126" s="7" t="s">
        <v>25</v>
      </c>
      <c r="F126" s="7" t="s">
        <v>39</v>
      </c>
      <c r="H126" s="7">
        <v>1972</v>
      </c>
      <c r="I126" s="7">
        <v>22</v>
      </c>
      <c r="K126" s="7">
        <v>6</v>
      </c>
      <c r="M126" s="7">
        <v>2</v>
      </c>
      <c r="N126" s="7">
        <v>25</v>
      </c>
      <c r="O126" s="7">
        <v>52</v>
      </c>
      <c r="T126" s="12"/>
      <c r="V126" cm="1">
        <f t="array" ref="V126">_xlfn.LET(
_xlpm.x,_xlfn._xlws.FILTER(O126:S126,(O126:S126&lt;&gt;"R")*(O126:S126&lt;&gt;"NA")*(O126:S126&lt;&gt;"W")*(O126:S126&lt;&gt;"")),
IF(COUNTA(_xlpm.x)=0,"NA",IF(MIN(_xlpm.x)=MAX(_xlpm.x),MIN(_xlpm.x),"review"))
)</f>
        <v>52</v>
      </c>
    </row>
    <row r="127" spans="1:22" ht="15.75" hidden="1" customHeight="1" x14ac:dyDescent="0.25">
      <c r="A127" s="7" t="s">
        <v>43</v>
      </c>
      <c r="B127" s="8">
        <v>8</v>
      </c>
      <c r="C127" s="8" t="s">
        <v>37</v>
      </c>
      <c r="D127" s="9" t="s">
        <v>41</v>
      </c>
      <c r="E127" s="7" t="s">
        <v>25</v>
      </c>
      <c r="F127" s="7" t="s">
        <v>39</v>
      </c>
      <c r="H127" s="7">
        <v>1972</v>
      </c>
      <c r="I127" s="7">
        <v>22</v>
      </c>
      <c r="K127" s="7">
        <v>6</v>
      </c>
      <c r="M127" s="7">
        <v>2</v>
      </c>
      <c r="N127" s="7">
        <v>26</v>
      </c>
      <c r="O127" s="7">
        <v>63</v>
      </c>
      <c r="T127" s="12"/>
      <c r="V127" cm="1">
        <f t="array" ref="V127">_xlfn.LET(
_xlpm.x,_xlfn._xlws.FILTER(O127:S127,(O127:S127&lt;&gt;"R")*(O127:S127&lt;&gt;"NA")*(O127:S127&lt;&gt;"W")*(O127:S127&lt;&gt;"")),
IF(COUNTA(_xlpm.x)=0,"NA",IF(MIN(_xlpm.x)=MAX(_xlpm.x),MIN(_xlpm.x),"review"))
)</f>
        <v>63</v>
      </c>
    </row>
    <row r="128" spans="1:22" ht="15.75" hidden="1" customHeight="1" x14ac:dyDescent="0.25">
      <c r="A128" s="7" t="s">
        <v>43</v>
      </c>
      <c r="B128" s="8">
        <v>8</v>
      </c>
      <c r="C128" s="8" t="s">
        <v>37</v>
      </c>
      <c r="D128" s="9" t="s">
        <v>41</v>
      </c>
      <c r="E128" s="7" t="s">
        <v>25</v>
      </c>
      <c r="F128" s="7" t="s">
        <v>39</v>
      </c>
      <c r="H128" s="7">
        <v>1972</v>
      </c>
      <c r="I128" s="7">
        <v>22</v>
      </c>
      <c r="K128" s="7">
        <v>6</v>
      </c>
      <c r="M128" s="7">
        <v>2</v>
      </c>
      <c r="N128" s="7">
        <v>27</v>
      </c>
      <c r="O128" s="7">
        <v>53</v>
      </c>
      <c r="T128" s="12"/>
      <c r="V128" cm="1">
        <f t="array" ref="V128">_xlfn.LET(
_xlpm.x,_xlfn._xlws.FILTER(O128:S128,(O128:S128&lt;&gt;"R")*(O128:S128&lt;&gt;"NA")*(O128:S128&lt;&gt;"W")*(O128:S128&lt;&gt;"")),
IF(COUNTA(_xlpm.x)=0,"NA",IF(MIN(_xlpm.x)=MAX(_xlpm.x),MIN(_xlpm.x),"review"))
)</f>
        <v>53</v>
      </c>
    </row>
    <row r="129" spans="1:22" ht="15.75" hidden="1" customHeight="1" x14ac:dyDescent="0.25">
      <c r="A129" s="7" t="s">
        <v>43</v>
      </c>
      <c r="B129" s="8">
        <v>8</v>
      </c>
      <c r="C129" s="8" t="s">
        <v>37</v>
      </c>
      <c r="D129" s="9" t="s">
        <v>41</v>
      </c>
      <c r="E129" s="7" t="s">
        <v>25</v>
      </c>
      <c r="F129" s="7" t="s">
        <v>39</v>
      </c>
      <c r="H129" s="7">
        <v>1972</v>
      </c>
      <c r="I129" s="7">
        <v>22</v>
      </c>
      <c r="K129" s="7">
        <v>6</v>
      </c>
      <c r="M129" s="7">
        <v>2</v>
      </c>
      <c r="N129" s="7">
        <v>28</v>
      </c>
      <c r="O129" s="7">
        <v>42</v>
      </c>
      <c r="T129" s="12"/>
      <c r="V129" cm="1">
        <f t="array" ref="V129">_xlfn.LET(
_xlpm.x,_xlfn._xlws.FILTER(O129:S129,(O129:S129&lt;&gt;"R")*(O129:S129&lt;&gt;"NA")*(O129:S129&lt;&gt;"W")*(O129:S129&lt;&gt;"")),
IF(COUNTA(_xlpm.x)=0,"NA",IF(MIN(_xlpm.x)=MAX(_xlpm.x),MIN(_xlpm.x),"review"))
)</f>
        <v>42</v>
      </c>
    </row>
    <row r="130" spans="1:22" ht="15.75" hidden="1" customHeight="1" x14ac:dyDescent="0.25">
      <c r="A130" s="7" t="s">
        <v>43</v>
      </c>
      <c r="B130" s="8">
        <v>8</v>
      </c>
      <c r="C130" s="8" t="s">
        <v>37</v>
      </c>
      <c r="D130" s="9" t="s">
        <v>41</v>
      </c>
      <c r="E130" s="7" t="s">
        <v>25</v>
      </c>
      <c r="F130" s="7" t="s">
        <v>39</v>
      </c>
      <c r="H130" s="7">
        <v>1972</v>
      </c>
      <c r="I130" s="7">
        <v>22</v>
      </c>
      <c r="K130" s="7">
        <v>6</v>
      </c>
      <c r="M130" s="7">
        <v>2</v>
      </c>
      <c r="N130" s="7">
        <v>29</v>
      </c>
      <c r="O130" s="7">
        <v>52</v>
      </c>
      <c r="T130" s="12"/>
      <c r="V130" cm="1">
        <f t="array" ref="V130">_xlfn.LET(
_xlpm.x,_xlfn._xlws.FILTER(O130:S130,(O130:S130&lt;&gt;"R")*(O130:S130&lt;&gt;"NA")*(O130:S130&lt;&gt;"W")*(O130:S130&lt;&gt;"")),
IF(COUNTA(_xlpm.x)=0,"NA",IF(MIN(_xlpm.x)=MAX(_xlpm.x),MIN(_xlpm.x),"review"))
)</f>
        <v>52</v>
      </c>
    </row>
    <row r="131" spans="1:22" ht="15.75" hidden="1" customHeight="1" x14ac:dyDescent="0.25">
      <c r="A131" s="7" t="s">
        <v>43</v>
      </c>
      <c r="B131" s="8">
        <v>8</v>
      </c>
      <c r="C131" s="8" t="s">
        <v>37</v>
      </c>
      <c r="D131" s="9" t="s">
        <v>41</v>
      </c>
      <c r="E131" s="7" t="s">
        <v>25</v>
      </c>
      <c r="F131" s="7" t="s">
        <v>39</v>
      </c>
      <c r="H131" s="7">
        <v>1972</v>
      </c>
      <c r="I131" s="7">
        <v>22</v>
      </c>
      <c r="K131" s="7">
        <v>6</v>
      </c>
      <c r="M131" s="7">
        <v>2</v>
      </c>
      <c r="N131" s="7">
        <v>30</v>
      </c>
      <c r="O131" s="7">
        <v>42</v>
      </c>
      <c r="T131" s="12"/>
      <c r="V131" cm="1">
        <f t="array" ref="V131">_xlfn.LET(
_xlpm.x,_xlfn._xlws.FILTER(O131:S131,(O131:S131&lt;&gt;"R")*(O131:S131&lt;&gt;"NA")*(O131:S131&lt;&gt;"W")*(O131:S131&lt;&gt;"")),
IF(COUNTA(_xlpm.x)=0,"NA",IF(MIN(_xlpm.x)=MAX(_xlpm.x),MIN(_xlpm.x),"review"))
)</f>
        <v>42</v>
      </c>
    </row>
    <row r="132" spans="1:22" ht="15.75" hidden="1" customHeight="1" x14ac:dyDescent="0.25">
      <c r="A132" s="7" t="s">
        <v>43</v>
      </c>
      <c r="B132" s="8">
        <v>8</v>
      </c>
      <c r="C132" s="8" t="s">
        <v>37</v>
      </c>
      <c r="D132" s="9" t="s">
        <v>41</v>
      </c>
      <c r="E132" s="7" t="s">
        <v>25</v>
      </c>
      <c r="F132" s="7" t="s">
        <v>39</v>
      </c>
      <c r="H132" s="7">
        <v>1972</v>
      </c>
      <c r="I132" s="7">
        <v>22</v>
      </c>
      <c r="K132" s="7">
        <v>6</v>
      </c>
      <c r="M132" s="7">
        <v>2</v>
      </c>
      <c r="N132" s="7">
        <v>31</v>
      </c>
      <c r="O132" s="7">
        <v>42</v>
      </c>
      <c r="T132" s="12"/>
      <c r="V132" cm="1">
        <f t="array" ref="V132">_xlfn.LET(
_xlpm.x,_xlfn._xlws.FILTER(O132:S132,(O132:S132&lt;&gt;"R")*(O132:S132&lt;&gt;"NA")*(O132:S132&lt;&gt;"W")*(O132:S132&lt;&gt;"")),
IF(COUNTA(_xlpm.x)=0,"NA",IF(MIN(_xlpm.x)=MAX(_xlpm.x),MIN(_xlpm.x),"review"))
)</f>
        <v>42</v>
      </c>
    </row>
    <row r="133" spans="1:22" ht="15.75" hidden="1" customHeight="1" x14ac:dyDescent="0.25">
      <c r="A133" s="7" t="s">
        <v>43</v>
      </c>
      <c r="B133" s="8">
        <v>8</v>
      </c>
      <c r="C133" s="8" t="s">
        <v>37</v>
      </c>
      <c r="D133" s="9" t="s">
        <v>41</v>
      </c>
      <c r="E133" s="7" t="s">
        <v>25</v>
      </c>
      <c r="F133" s="7" t="s">
        <v>39</v>
      </c>
      <c r="H133" s="7">
        <v>1972</v>
      </c>
      <c r="I133" s="7">
        <v>22</v>
      </c>
      <c r="K133" s="7">
        <v>6</v>
      </c>
      <c r="M133" s="7">
        <v>2</v>
      </c>
      <c r="N133" s="7">
        <v>32</v>
      </c>
      <c r="O133" s="7">
        <v>42</v>
      </c>
      <c r="T133" s="12"/>
      <c r="V133" cm="1">
        <f t="array" ref="V133">_xlfn.LET(
_xlpm.x,_xlfn._xlws.FILTER(O133:S133,(O133:S133&lt;&gt;"R")*(O133:S133&lt;&gt;"NA")*(O133:S133&lt;&gt;"W")*(O133:S133&lt;&gt;"")),
IF(COUNTA(_xlpm.x)=0,"NA",IF(MIN(_xlpm.x)=MAX(_xlpm.x),MIN(_xlpm.x),"review"))
)</f>
        <v>42</v>
      </c>
    </row>
    <row r="134" spans="1:22" ht="15.75" hidden="1" customHeight="1" x14ac:dyDescent="0.25">
      <c r="A134" s="7" t="s">
        <v>43</v>
      </c>
      <c r="B134" s="8">
        <v>8</v>
      </c>
      <c r="C134" s="8" t="s">
        <v>37</v>
      </c>
      <c r="D134" s="9" t="s">
        <v>41</v>
      </c>
      <c r="E134" s="7" t="s">
        <v>25</v>
      </c>
      <c r="F134" s="7" t="s">
        <v>39</v>
      </c>
      <c r="H134" s="7">
        <v>1972</v>
      </c>
      <c r="I134" s="7">
        <v>22</v>
      </c>
      <c r="K134" s="7">
        <v>6</v>
      </c>
      <c r="M134" s="7">
        <v>2</v>
      </c>
      <c r="N134" s="7">
        <v>33</v>
      </c>
      <c r="O134" s="7">
        <v>21</v>
      </c>
      <c r="T134" s="12"/>
      <c r="V134" cm="1">
        <f t="array" ref="V134">_xlfn.LET(
_xlpm.x,_xlfn._xlws.FILTER(O134:S134,(O134:S134&lt;&gt;"R")*(O134:S134&lt;&gt;"NA")*(O134:S134&lt;&gt;"W")*(O134:S134&lt;&gt;"")),
IF(COUNTA(_xlpm.x)=0,"NA",IF(MIN(_xlpm.x)=MAX(_xlpm.x),MIN(_xlpm.x),"review"))
)</f>
        <v>21</v>
      </c>
    </row>
    <row r="135" spans="1:22" ht="15.75" hidden="1" customHeight="1" x14ac:dyDescent="0.25">
      <c r="A135" s="7" t="s">
        <v>43</v>
      </c>
      <c r="B135" s="8">
        <v>8</v>
      </c>
      <c r="C135" s="8" t="s">
        <v>37</v>
      </c>
      <c r="D135" s="9" t="s">
        <v>41</v>
      </c>
      <c r="E135" s="7" t="s">
        <v>25</v>
      </c>
      <c r="F135" s="7" t="s">
        <v>39</v>
      </c>
      <c r="H135" s="7">
        <v>1972</v>
      </c>
      <c r="I135" s="7">
        <v>22</v>
      </c>
      <c r="K135" s="7">
        <v>6</v>
      </c>
      <c r="M135" s="7">
        <v>2</v>
      </c>
      <c r="N135" s="7">
        <v>34</v>
      </c>
      <c r="O135" s="7">
        <v>64</v>
      </c>
      <c r="T135" s="12"/>
      <c r="V135" cm="1">
        <f t="array" ref="V135">_xlfn.LET(
_xlpm.x,_xlfn._xlws.FILTER(O135:S135,(O135:S135&lt;&gt;"R")*(O135:S135&lt;&gt;"NA")*(O135:S135&lt;&gt;"W")*(O135:S135&lt;&gt;"")),
IF(COUNTA(_xlpm.x)=0,"NA",IF(MIN(_xlpm.x)=MAX(_xlpm.x),MIN(_xlpm.x),"review"))
)</f>
        <v>64</v>
      </c>
    </row>
    <row r="136" spans="1:22" ht="15.75" hidden="1" customHeight="1" x14ac:dyDescent="0.25">
      <c r="A136" s="7" t="s">
        <v>43</v>
      </c>
      <c r="B136" s="8">
        <v>8</v>
      </c>
      <c r="C136" s="8" t="s">
        <v>37</v>
      </c>
      <c r="D136" s="9" t="s">
        <v>41</v>
      </c>
      <c r="E136" s="7" t="s">
        <v>25</v>
      </c>
      <c r="F136" s="7" t="s">
        <v>39</v>
      </c>
      <c r="H136" s="7">
        <v>1972</v>
      </c>
      <c r="I136" s="7">
        <v>22</v>
      </c>
      <c r="K136" s="7">
        <v>6</v>
      </c>
      <c r="M136" s="7">
        <v>2</v>
      </c>
      <c r="N136" s="7">
        <v>35</v>
      </c>
      <c r="O136" s="7">
        <v>52</v>
      </c>
      <c r="T136" s="12"/>
      <c r="V136" cm="1">
        <f t="array" ref="V136">_xlfn.LET(
_xlpm.x,_xlfn._xlws.FILTER(O136:S136,(O136:S136&lt;&gt;"R")*(O136:S136&lt;&gt;"NA")*(O136:S136&lt;&gt;"W")*(O136:S136&lt;&gt;"")),
IF(COUNTA(_xlpm.x)=0,"NA",IF(MIN(_xlpm.x)=MAX(_xlpm.x),MIN(_xlpm.x),"review"))
)</f>
        <v>52</v>
      </c>
    </row>
    <row r="137" spans="1:22" ht="15.75" hidden="1" customHeight="1" x14ac:dyDescent="0.25">
      <c r="A137" s="7" t="s">
        <v>43</v>
      </c>
      <c r="B137" s="8">
        <v>8</v>
      </c>
      <c r="C137" s="8" t="s">
        <v>37</v>
      </c>
      <c r="D137" s="9" t="s">
        <v>41</v>
      </c>
      <c r="E137" s="7" t="s">
        <v>25</v>
      </c>
      <c r="F137" s="7" t="s">
        <v>39</v>
      </c>
      <c r="H137" s="7">
        <v>1972</v>
      </c>
      <c r="I137" s="7">
        <v>22</v>
      </c>
      <c r="K137" s="7">
        <v>6</v>
      </c>
      <c r="M137" s="7">
        <v>2</v>
      </c>
      <c r="N137" s="7">
        <v>36</v>
      </c>
      <c r="O137" s="7">
        <v>42</v>
      </c>
      <c r="T137" s="12"/>
      <c r="V137" cm="1">
        <f t="array" ref="V137">_xlfn.LET(
_xlpm.x,_xlfn._xlws.FILTER(O137:S137,(O137:S137&lt;&gt;"R")*(O137:S137&lt;&gt;"NA")*(O137:S137&lt;&gt;"W")*(O137:S137&lt;&gt;"")),
IF(COUNTA(_xlpm.x)=0,"NA",IF(MIN(_xlpm.x)=MAX(_xlpm.x),MIN(_xlpm.x),"review"))
)</f>
        <v>42</v>
      </c>
    </row>
    <row r="138" spans="1:22" ht="15.75" hidden="1" customHeight="1" x14ac:dyDescent="0.25">
      <c r="A138" s="7" t="s">
        <v>43</v>
      </c>
      <c r="B138" s="8">
        <v>8</v>
      </c>
      <c r="C138" s="8" t="s">
        <v>37</v>
      </c>
      <c r="D138" s="9" t="s">
        <v>41</v>
      </c>
      <c r="E138" s="7" t="s">
        <v>25</v>
      </c>
      <c r="F138" s="7" t="s">
        <v>39</v>
      </c>
      <c r="H138" s="7">
        <v>1972</v>
      </c>
      <c r="I138" s="7">
        <v>22</v>
      </c>
      <c r="K138" s="7">
        <v>6</v>
      </c>
      <c r="M138" s="7">
        <v>2</v>
      </c>
      <c r="N138" s="7">
        <v>37</v>
      </c>
      <c r="O138" s="7">
        <v>42</v>
      </c>
      <c r="T138" s="12"/>
      <c r="V138" cm="1">
        <f t="array" ref="V138">_xlfn.LET(
_xlpm.x,_xlfn._xlws.FILTER(O138:S138,(O138:S138&lt;&gt;"R")*(O138:S138&lt;&gt;"NA")*(O138:S138&lt;&gt;"W")*(O138:S138&lt;&gt;"")),
IF(COUNTA(_xlpm.x)=0,"NA",IF(MIN(_xlpm.x)=MAX(_xlpm.x),MIN(_xlpm.x),"review"))
)</f>
        <v>42</v>
      </c>
    </row>
    <row r="139" spans="1:22" ht="15.75" hidden="1" customHeight="1" x14ac:dyDescent="0.25">
      <c r="A139" s="7" t="s">
        <v>43</v>
      </c>
      <c r="B139" s="8">
        <v>8</v>
      </c>
      <c r="C139" s="8" t="s">
        <v>37</v>
      </c>
      <c r="D139" s="9" t="s">
        <v>41</v>
      </c>
      <c r="E139" s="7" t="s">
        <v>25</v>
      </c>
      <c r="F139" s="7" t="s">
        <v>39</v>
      </c>
      <c r="H139" s="7">
        <v>1972</v>
      </c>
      <c r="I139" s="7">
        <v>22</v>
      </c>
      <c r="K139" s="7">
        <v>6</v>
      </c>
      <c r="M139" s="7">
        <v>2</v>
      </c>
      <c r="N139" s="7">
        <v>38</v>
      </c>
      <c r="O139" s="7">
        <v>31</v>
      </c>
      <c r="T139" s="12"/>
      <c r="U139" s="7" t="s">
        <v>42</v>
      </c>
      <c r="V139" cm="1">
        <f t="array" ref="V139">_xlfn.LET(
_xlpm.x,_xlfn._xlws.FILTER(O139:S139,(O139:S139&lt;&gt;"R")*(O139:S139&lt;&gt;"NA")*(O139:S139&lt;&gt;"W")*(O139:S139&lt;&gt;"")),
IF(COUNTA(_xlpm.x)=0,"NA",IF(MIN(_xlpm.x)=MAX(_xlpm.x),MIN(_xlpm.x),"review"))
)</f>
        <v>31</v>
      </c>
    </row>
    <row r="140" spans="1:22" ht="15.75" hidden="1" customHeight="1" x14ac:dyDescent="0.25">
      <c r="A140" s="7" t="s">
        <v>43</v>
      </c>
      <c r="B140" s="8">
        <v>8</v>
      </c>
      <c r="C140" s="8" t="s">
        <v>37</v>
      </c>
      <c r="D140" s="9" t="s">
        <v>41</v>
      </c>
      <c r="E140" s="7" t="s">
        <v>25</v>
      </c>
      <c r="F140" s="7" t="s">
        <v>39</v>
      </c>
      <c r="H140" s="7">
        <v>1972</v>
      </c>
      <c r="I140" s="10">
        <v>29</v>
      </c>
      <c r="J140" s="11"/>
      <c r="K140" s="10">
        <v>6</v>
      </c>
      <c r="L140" s="11"/>
      <c r="M140" s="10">
        <v>3</v>
      </c>
      <c r="N140" s="7">
        <v>1</v>
      </c>
      <c r="O140" s="7">
        <v>32</v>
      </c>
      <c r="T140" s="12"/>
      <c r="V140" cm="1">
        <f t="array" ref="V140">_xlfn.LET(
_xlpm.x,_xlfn._xlws.FILTER(O140:S140,(O140:S140&lt;&gt;"R")*(O140:S140&lt;&gt;"NA")*(O140:S140&lt;&gt;"W")*(O140:S140&lt;&gt;"")),
IF(COUNTA(_xlpm.x)=0,"NA",IF(MIN(_xlpm.x)=MAX(_xlpm.x),MIN(_xlpm.x),"review"))
)</f>
        <v>32</v>
      </c>
    </row>
    <row r="141" spans="1:22" ht="15.75" hidden="1" customHeight="1" x14ac:dyDescent="0.25">
      <c r="A141" s="7" t="s">
        <v>43</v>
      </c>
      <c r="B141" s="8">
        <v>8</v>
      </c>
      <c r="C141" s="8" t="s">
        <v>37</v>
      </c>
      <c r="D141" s="9" t="s">
        <v>41</v>
      </c>
      <c r="E141" s="7" t="s">
        <v>25</v>
      </c>
      <c r="F141" s="7" t="s">
        <v>39</v>
      </c>
      <c r="H141" s="7">
        <v>1972</v>
      </c>
      <c r="I141" s="10">
        <v>29</v>
      </c>
      <c r="J141" s="11"/>
      <c r="K141" s="10">
        <v>6</v>
      </c>
      <c r="L141" s="11"/>
      <c r="M141" s="10">
        <v>3</v>
      </c>
      <c r="N141" s="7">
        <v>2</v>
      </c>
      <c r="O141" s="7">
        <v>53</v>
      </c>
      <c r="T141" s="12"/>
      <c r="V141" cm="1">
        <f t="array" ref="V141">_xlfn.LET(
_xlpm.x,_xlfn._xlws.FILTER(O141:S141,(O141:S141&lt;&gt;"R")*(O141:S141&lt;&gt;"NA")*(O141:S141&lt;&gt;"W")*(O141:S141&lt;&gt;"")),
IF(COUNTA(_xlpm.x)=0,"NA",IF(MIN(_xlpm.x)=MAX(_xlpm.x),MIN(_xlpm.x),"review"))
)</f>
        <v>53</v>
      </c>
    </row>
    <row r="142" spans="1:22" ht="15.75" hidden="1" customHeight="1" x14ac:dyDescent="0.25">
      <c r="A142" s="7" t="s">
        <v>43</v>
      </c>
      <c r="B142" s="8">
        <v>8</v>
      </c>
      <c r="C142" s="8" t="s">
        <v>37</v>
      </c>
      <c r="D142" s="9" t="s">
        <v>41</v>
      </c>
      <c r="E142" s="7" t="s">
        <v>25</v>
      </c>
      <c r="F142" s="7" t="s">
        <v>39</v>
      </c>
      <c r="H142" s="7">
        <v>1972</v>
      </c>
      <c r="I142" s="10">
        <v>29</v>
      </c>
      <c r="J142" s="11"/>
      <c r="K142" s="10">
        <v>6</v>
      </c>
      <c r="L142" s="11"/>
      <c r="M142" s="10">
        <v>3</v>
      </c>
      <c r="N142" s="7">
        <v>3</v>
      </c>
      <c r="O142" s="7">
        <v>42</v>
      </c>
      <c r="T142" s="12" t="s">
        <v>28</v>
      </c>
      <c r="V142" cm="1">
        <f t="array" ref="V142">_xlfn.LET(
_xlpm.x,_xlfn._xlws.FILTER(O142:S142,(O142:S142&lt;&gt;"R")*(O142:S142&lt;&gt;"NA")*(O142:S142&lt;&gt;"W")*(O142:S142&lt;&gt;"")),
IF(COUNTA(_xlpm.x)=0,"NA",IF(MIN(_xlpm.x)=MAX(_xlpm.x),MIN(_xlpm.x),"review"))
)</f>
        <v>42</v>
      </c>
    </row>
    <row r="143" spans="1:22" ht="15.75" hidden="1" customHeight="1" x14ac:dyDescent="0.25">
      <c r="A143" s="7" t="s">
        <v>43</v>
      </c>
      <c r="B143" s="8">
        <v>8</v>
      </c>
      <c r="C143" s="8" t="s">
        <v>37</v>
      </c>
      <c r="D143" s="9" t="s">
        <v>41</v>
      </c>
      <c r="E143" s="7" t="s">
        <v>25</v>
      </c>
      <c r="F143" s="7" t="s">
        <v>39</v>
      </c>
      <c r="H143" s="7">
        <v>1972</v>
      </c>
      <c r="I143" s="10">
        <v>29</v>
      </c>
      <c r="J143" s="11"/>
      <c r="K143" s="10">
        <v>6</v>
      </c>
      <c r="L143" s="11"/>
      <c r="M143" s="10">
        <v>3</v>
      </c>
      <c r="N143" s="7">
        <v>4</v>
      </c>
      <c r="O143" s="7">
        <v>42</v>
      </c>
      <c r="T143" s="12"/>
      <c r="V143" cm="1">
        <f t="array" ref="V143">_xlfn.LET(
_xlpm.x,_xlfn._xlws.FILTER(O143:S143,(O143:S143&lt;&gt;"R")*(O143:S143&lt;&gt;"NA")*(O143:S143&lt;&gt;"W")*(O143:S143&lt;&gt;"")),
IF(COUNTA(_xlpm.x)=0,"NA",IF(MIN(_xlpm.x)=MAX(_xlpm.x),MIN(_xlpm.x),"review"))
)</f>
        <v>42</v>
      </c>
    </row>
    <row r="144" spans="1:22" ht="15.75" hidden="1" customHeight="1" x14ac:dyDescent="0.25">
      <c r="A144" s="7" t="s">
        <v>43</v>
      </c>
      <c r="B144" s="8">
        <v>8</v>
      </c>
      <c r="C144" s="8" t="s">
        <v>37</v>
      </c>
      <c r="D144" s="9" t="s">
        <v>41</v>
      </c>
      <c r="E144" s="7" t="s">
        <v>25</v>
      </c>
      <c r="F144" s="7" t="s">
        <v>39</v>
      </c>
      <c r="H144" s="7">
        <v>1972</v>
      </c>
      <c r="I144" s="10">
        <v>29</v>
      </c>
      <c r="J144" s="11"/>
      <c r="K144" s="10">
        <v>6</v>
      </c>
      <c r="L144" s="11"/>
      <c r="M144" s="10">
        <v>3</v>
      </c>
      <c r="N144" s="7">
        <v>5</v>
      </c>
      <c r="O144" s="7">
        <v>52</v>
      </c>
      <c r="T144" s="12"/>
      <c r="V144" cm="1">
        <f t="array" ref="V144">_xlfn.LET(
_xlpm.x,_xlfn._xlws.FILTER(O144:S144,(O144:S144&lt;&gt;"R")*(O144:S144&lt;&gt;"NA")*(O144:S144&lt;&gt;"W")*(O144:S144&lt;&gt;"")),
IF(COUNTA(_xlpm.x)=0,"NA",IF(MIN(_xlpm.x)=MAX(_xlpm.x),MIN(_xlpm.x),"review"))
)</f>
        <v>52</v>
      </c>
    </row>
    <row r="145" spans="1:22" ht="15.75" hidden="1" customHeight="1" x14ac:dyDescent="0.25">
      <c r="A145" s="7" t="s">
        <v>43</v>
      </c>
      <c r="B145" s="8">
        <v>8</v>
      </c>
      <c r="C145" s="8" t="s">
        <v>37</v>
      </c>
      <c r="D145" s="9" t="s">
        <v>41</v>
      </c>
      <c r="E145" s="7" t="s">
        <v>25</v>
      </c>
      <c r="F145" s="7" t="s">
        <v>39</v>
      </c>
      <c r="H145" s="7">
        <v>1972</v>
      </c>
      <c r="I145" s="10">
        <v>29</v>
      </c>
      <c r="J145" s="11"/>
      <c r="K145" s="10">
        <v>6</v>
      </c>
      <c r="L145" s="11"/>
      <c r="M145" s="10">
        <v>3</v>
      </c>
      <c r="N145" s="7">
        <v>6</v>
      </c>
      <c r="O145" s="7">
        <v>52</v>
      </c>
      <c r="T145" s="12"/>
      <c r="V145" cm="1">
        <f t="array" ref="V145">_xlfn.LET(
_xlpm.x,_xlfn._xlws.FILTER(O145:S145,(O145:S145&lt;&gt;"R")*(O145:S145&lt;&gt;"NA")*(O145:S145&lt;&gt;"W")*(O145:S145&lt;&gt;"")),
IF(COUNTA(_xlpm.x)=0,"NA",IF(MIN(_xlpm.x)=MAX(_xlpm.x),MIN(_xlpm.x),"review"))
)</f>
        <v>52</v>
      </c>
    </row>
    <row r="146" spans="1:22" ht="15.75" hidden="1" customHeight="1" x14ac:dyDescent="0.25">
      <c r="A146" s="7" t="s">
        <v>43</v>
      </c>
      <c r="B146" s="8">
        <v>8</v>
      </c>
      <c r="C146" s="8" t="s">
        <v>37</v>
      </c>
      <c r="D146" s="9" t="s">
        <v>41</v>
      </c>
      <c r="E146" s="7" t="s">
        <v>25</v>
      </c>
      <c r="F146" s="7" t="s">
        <v>39</v>
      </c>
      <c r="H146" s="7">
        <v>1972</v>
      </c>
      <c r="I146" s="10">
        <v>29</v>
      </c>
      <c r="J146" s="11"/>
      <c r="K146" s="10">
        <v>6</v>
      </c>
      <c r="L146" s="11"/>
      <c r="M146" s="10">
        <v>3</v>
      </c>
      <c r="N146" s="7">
        <v>7</v>
      </c>
      <c r="O146" s="7" t="s">
        <v>28</v>
      </c>
      <c r="T146" s="12"/>
      <c r="V146" t="s">
        <v>29</v>
      </c>
    </row>
    <row r="147" spans="1:22" ht="15.75" hidden="1" customHeight="1" x14ac:dyDescent="0.25">
      <c r="A147" s="7" t="s">
        <v>43</v>
      </c>
      <c r="B147" s="8">
        <v>8</v>
      </c>
      <c r="C147" s="8" t="s">
        <v>37</v>
      </c>
      <c r="D147" s="9" t="s">
        <v>41</v>
      </c>
      <c r="E147" s="7" t="s">
        <v>25</v>
      </c>
      <c r="F147" s="7" t="s">
        <v>39</v>
      </c>
      <c r="H147" s="7">
        <v>1972</v>
      </c>
      <c r="I147" s="10">
        <v>29</v>
      </c>
      <c r="J147" s="11"/>
      <c r="K147" s="10">
        <v>6</v>
      </c>
      <c r="L147" s="11"/>
      <c r="M147" s="10">
        <v>3</v>
      </c>
      <c r="N147" s="7">
        <v>8</v>
      </c>
      <c r="O147" s="7">
        <v>31</v>
      </c>
      <c r="T147" s="12"/>
      <c r="V147" cm="1">
        <f t="array" ref="V147">_xlfn.LET(
_xlpm.x,_xlfn._xlws.FILTER(O147:S147,(O147:S147&lt;&gt;"R")*(O147:S147&lt;&gt;"NA")*(O147:S147&lt;&gt;"W")*(O147:S147&lt;&gt;"")),
IF(COUNTA(_xlpm.x)=0,"NA",IF(MIN(_xlpm.x)=MAX(_xlpm.x),MIN(_xlpm.x),"review"))
)</f>
        <v>31</v>
      </c>
    </row>
    <row r="148" spans="1:22" ht="15.75" hidden="1" customHeight="1" x14ac:dyDescent="0.25">
      <c r="A148" s="7" t="s">
        <v>43</v>
      </c>
      <c r="B148" s="8">
        <v>8</v>
      </c>
      <c r="C148" s="8" t="s">
        <v>37</v>
      </c>
      <c r="D148" s="9" t="s">
        <v>41</v>
      </c>
      <c r="E148" s="7" t="s">
        <v>25</v>
      </c>
      <c r="F148" s="7" t="s">
        <v>39</v>
      </c>
      <c r="H148" s="7">
        <v>1972</v>
      </c>
      <c r="I148" s="10">
        <v>29</v>
      </c>
      <c r="J148" s="11"/>
      <c r="K148" s="10">
        <v>6</v>
      </c>
      <c r="L148" s="11"/>
      <c r="M148" s="10">
        <v>3</v>
      </c>
      <c r="N148" s="7">
        <v>9</v>
      </c>
      <c r="O148" s="7" t="s">
        <v>28</v>
      </c>
      <c r="T148" s="12"/>
      <c r="V148" t="s">
        <v>29</v>
      </c>
    </row>
    <row r="149" spans="1:22" ht="15.75" hidden="1" customHeight="1" x14ac:dyDescent="0.25">
      <c r="A149" s="7" t="s">
        <v>43</v>
      </c>
      <c r="B149" s="8">
        <v>8</v>
      </c>
      <c r="C149" s="8" t="s">
        <v>37</v>
      </c>
      <c r="D149" s="9" t="s">
        <v>41</v>
      </c>
      <c r="E149" s="7" t="s">
        <v>25</v>
      </c>
      <c r="F149" s="7" t="s">
        <v>39</v>
      </c>
      <c r="H149" s="7">
        <v>1972</v>
      </c>
      <c r="I149" s="10">
        <v>29</v>
      </c>
      <c r="J149" s="11"/>
      <c r="K149" s="10">
        <v>6</v>
      </c>
      <c r="L149" s="11"/>
      <c r="M149" s="10">
        <v>3</v>
      </c>
      <c r="N149" s="7">
        <v>10</v>
      </c>
      <c r="O149" s="7">
        <v>42</v>
      </c>
      <c r="T149" s="12"/>
      <c r="V149" cm="1">
        <f t="array" ref="V149">_xlfn.LET(
_xlpm.x,_xlfn._xlws.FILTER(O149:S149,(O149:S149&lt;&gt;"R")*(O149:S149&lt;&gt;"NA")*(O149:S149&lt;&gt;"W")*(O149:S149&lt;&gt;"")),
IF(COUNTA(_xlpm.x)=0,"NA",IF(MIN(_xlpm.x)=MAX(_xlpm.x),MIN(_xlpm.x),"review"))
)</f>
        <v>42</v>
      </c>
    </row>
    <row r="150" spans="1:22" ht="15.75" hidden="1" customHeight="1" x14ac:dyDescent="0.25">
      <c r="A150" s="7" t="s">
        <v>43</v>
      </c>
      <c r="B150" s="8">
        <v>8</v>
      </c>
      <c r="C150" s="8" t="s">
        <v>37</v>
      </c>
      <c r="D150" s="9" t="s">
        <v>41</v>
      </c>
      <c r="E150" s="7" t="s">
        <v>25</v>
      </c>
      <c r="F150" s="7" t="s">
        <v>39</v>
      </c>
      <c r="H150" s="7">
        <v>1972</v>
      </c>
      <c r="I150" s="10">
        <v>29</v>
      </c>
      <c r="J150" s="11"/>
      <c r="K150" s="10">
        <v>6</v>
      </c>
      <c r="L150" s="11"/>
      <c r="M150" s="10">
        <v>3</v>
      </c>
      <c r="N150" s="7">
        <v>11</v>
      </c>
      <c r="O150" s="7">
        <v>42</v>
      </c>
      <c r="T150" s="12"/>
      <c r="V150" cm="1">
        <f t="array" ref="V150">_xlfn.LET(
_xlpm.x,_xlfn._xlws.FILTER(O150:S150,(O150:S150&lt;&gt;"R")*(O150:S150&lt;&gt;"NA")*(O150:S150&lt;&gt;"W")*(O150:S150&lt;&gt;"")),
IF(COUNTA(_xlpm.x)=0,"NA",IF(MIN(_xlpm.x)=MAX(_xlpm.x),MIN(_xlpm.x),"review"))
)</f>
        <v>42</v>
      </c>
    </row>
    <row r="151" spans="1:22" ht="15.75" hidden="1" customHeight="1" x14ac:dyDescent="0.25">
      <c r="A151" s="7" t="s">
        <v>43</v>
      </c>
      <c r="B151" s="8">
        <v>8</v>
      </c>
      <c r="C151" s="8" t="s">
        <v>37</v>
      </c>
      <c r="D151" s="9" t="s">
        <v>41</v>
      </c>
      <c r="E151" s="7" t="s">
        <v>25</v>
      </c>
      <c r="F151" s="7" t="s">
        <v>39</v>
      </c>
      <c r="H151" s="7">
        <v>1972</v>
      </c>
      <c r="I151" s="10">
        <v>29</v>
      </c>
      <c r="J151" s="11"/>
      <c r="K151" s="10">
        <v>6</v>
      </c>
      <c r="L151" s="11"/>
      <c r="M151" s="10">
        <v>3</v>
      </c>
      <c r="N151" s="7">
        <v>12</v>
      </c>
      <c r="O151" s="7">
        <v>63</v>
      </c>
      <c r="T151" s="12"/>
      <c r="V151" cm="1">
        <f t="array" ref="V151">_xlfn.LET(
_xlpm.x,_xlfn._xlws.FILTER(O151:S151,(O151:S151&lt;&gt;"R")*(O151:S151&lt;&gt;"NA")*(O151:S151&lt;&gt;"W")*(O151:S151&lt;&gt;"")),
IF(COUNTA(_xlpm.x)=0,"NA",IF(MIN(_xlpm.x)=MAX(_xlpm.x),MIN(_xlpm.x),"review"))
)</f>
        <v>63</v>
      </c>
    </row>
    <row r="152" spans="1:22" ht="15.75" hidden="1" customHeight="1" x14ac:dyDescent="0.25">
      <c r="A152" s="7" t="s">
        <v>43</v>
      </c>
      <c r="B152" s="8">
        <v>8</v>
      </c>
      <c r="C152" s="8" t="s">
        <v>37</v>
      </c>
      <c r="D152" s="9" t="s">
        <v>41</v>
      </c>
      <c r="E152" s="7" t="s">
        <v>25</v>
      </c>
      <c r="F152" s="7" t="s">
        <v>39</v>
      </c>
      <c r="H152" s="7">
        <v>1972</v>
      </c>
      <c r="I152" s="10">
        <v>29</v>
      </c>
      <c r="J152" s="11"/>
      <c r="K152" s="10">
        <v>6</v>
      </c>
      <c r="L152" s="11"/>
      <c r="M152" s="10">
        <v>3</v>
      </c>
      <c r="N152" s="7">
        <v>13</v>
      </c>
      <c r="O152" s="7">
        <v>42</v>
      </c>
      <c r="T152" s="12"/>
      <c r="V152" cm="1">
        <f t="array" ref="V152">_xlfn.LET(
_xlpm.x,_xlfn._xlws.FILTER(O152:S152,(O152:S152&lt;&gt;"R")*(O152:S152&lt;&gt;"NA")*(O152:S152&lt;&gt;"W")*(O152:S152&lt;&gt;"")),
IF(COUNTA(_xlpm.x)=0,"NA",IF(MIN(_xlpm.x)=MAX(_xlpm.x),MIN(_xlpm.x),"review"))
)</f>
        <v>42</v>
      </c>
    </row>
    <row r="153" spans="1:22" ht="15.75" hidden="1" customHeight="1" x14ac:dyDescent="0.25">
      <c r="A153" s="7" t="s">
        <v>43</v>
      </c>
      <c r="B153" s="8">
        <v>8</v>
      </c>
      <c r="C153" s="8" t="s">
        <v>37</v>
      </c>
      <c r="D153" s="9" t="s">
        <v>41</v>
      </c>
      <c r="E153" s="7" t="s">
        <v>25</v>
      </c>
      <c r="F153" s="7" t="s">
        <v>39</v>
      </c>
      <c r="H153" s="7">
        <v>1972</v>
      </c>
      <c r="I153" s="10">
        <v>29</v>
      </c>
      <c r="J153" s="11"/>
      <c r="K153" s="10">
        <v>6</v>
      </c>
      <c r="L153" s="11"/>
      <c r="M153" s="10">
        <v>3</v>
      </c>
      <c r="N153" s="7">
        <v>14</v>
      </c>
      <c r="O153" s="7" t="s">
        <v>28</v>
      </c>
      <c r="T153" s="12"/>
      <c r="V153" t="s">
        <v>29</v>
      </c>
    </row>
    <row r="154" spans="1:22" ht="15.75" hidden="1" customHeight="1" x14ac:dyDescent="0.25">
      <c r="A154" s="7" t="s">
        <v>43</v>
      </c>
      <c r="B154" s="8">
        <v>8</v>
      </c>
      <c r="C154" s="8" t="s">
        <v>37</v>
      </c>
      <c r="D154" s="9" t="s">
        <v>41</v>
      </c>
      <c r="E154" s="7" t="s">
        <v>25</v>
      </c>
      <c r="F154" s="7" t="s">
        <v>39</v>
      </c>
      <c r="H154" s="7">
        <v>1972</v>
      </c>
      <c r="I154" s="10">
        <v>29</v>
      </c>
      <c r="J154" s="11"/>
      <c r="K154" s="10">
        <v>6</v>
      </c>
      <c r="L154" s="11"/>
      <c r="M154" s="10">
        <v>3</v>
      </c>
      <c r="N154" s="7">
        <v>15</v>
      </c>
      <c r="O154" s="7">
        <v>42</v>
      </c>
      <c r="T154" s="12"/>
      <c r="V154" cm="1">
        <f t="array" ref="V154">_xlfn.LET(
_xlpm.x,_xlfn._xlws.FILTER(O154:S154,(O154:S154&lt;&gt;"R")*(O154:S154&lt;&gt;"NA")*(O154:S154&lt;&gt;"W")*(O154:S154&lt;&gt;"")),
IF(COUNTA(_xlpm.x)=0,"NA",IF(MIN(_xlpm.x)=MAX(_xlpm.x),MIN(_xlpm.x),"review"))
)</f>
        <v>42</v>
      </c>
    </row>
    <row r="155" spans="1:22" ht="15.75" hidden="1" customHeight="1" x14ac:dyDescent="0.25">
      <c r="A155" s="7" t="s">
        <v>43</v>
      </c>
      <c r="B155" s="8">
        <v>8</v>
      </c>
      <c r="C155" s="8" t="s">
        <v>37</v>
      </c>
      <c r="D155" s="9" t="s">
        <v>41</v>
      </c>
      <c r="E155" s="7" t="s">
        <v>25</v>
      </c>
      <c r="F155" s="7" t="s">
        <v>39</v>
      </c>
      <c r="H155" s="7">
        <v>1972</v>
      </c>
      <c r="I155" s="10">
        <v>29</v>
      </c>
      <c r="J155" s="11"/>
      <c r="K155" s="10">
        <v>6</v>
      </c>
      <c r="L155" s="11"/>
      <c r="M155" s="10">
        <v>3</v>
      </c>
      <c r="N155" s="7">
        <v>16</v>
      </c>
      <c r="O155" s="7">
        <v>52</v>
      </c>
      <c r="T155" s="12"/>
      <c r="V155" cm="1">
        <f t="array" ref="V155">_xlfn.LET(
_xlpm.x,_xlfn._xlws.FILTER(O155:S155,(O155:S155&lt;&gt;"R")*(O155:S155&lt;&gt;"NA")*(O155:S155&lt;&gt;"W")*(O155:S155&lt;&gt;"")),
IF(COUNTA(_xlpm.x)=0,"NA",IF(MIN(_xlpm.x)=MAX(_xlpm.x),MIN(_xlpm.x),"review"))
)</f>
        <v>52</v>
      </c>
    </row>
    <row r="156" spans="1:22" ht="15.75" hidden="1" customHeight="1" x14ac:dyDescent="0.25">
      <c r="A156" s="7" t="s">
        <v>43</v>
      </c>
      <c r="B156" s="8">
        <v>8</v>
      </c>
      <c r="C156" s="8" t="s">
        <v>37</v>
      </c>
      <c r="D156" s="9" t="s">
        <v>41</v>
      </c>
      <c r="E156" s="7" t="s">
        <v>25</v>
      </c>
      <c r="F156" s="7" t="s">
        <v>39</v>
      </c>
      <c r="H156" s="7">
        <v>1972</v>
      </c>
      <c r="I156" s="10">
        <v>29</v>
      </c>
      <c r="J156" s="11"/>
      <c r="K156" s="10">
        <v>6</v>
      </c>
      <c r="L156" s="11"/>
      <c r="M156" s="10">
        <v>3</v>
      </c>
      <c r="N156" s="7">
        <v>17</v>
      </c>
      <c r="O156" s="7" t="s">
        <v>28</v>
      </c>
      <c r="T156" s="12"/>
      <c r="V156" t="s">
        <v>29</v>
      </c>
    </row>
    <row r="157" spans="1:22" ht="15.75" hidden="1" customHeight="1" x14ac:dyDescent="0.25">
      <c r="A157" s="7" t="s">
        <v>43</v>
      </c>
      <c r="B157" s="8">
        <v>8</v>
      </c>
      <c r="C157" s="8" t="s">
        <v>37</v>
      </c>
      <c r="D157" s="9" t="s">
        <v>41</v>
      </c>
      <c r="E157" s="7" t="s">
        <v>25</v>
      </c>
      <c r="F157" s="7" t="s">
        <v>39</v>
      </c>
      <c r="H157" s="7">
        <v>1972</v>
      </c>
      <c r="I157" s="10">
        <v>29</v>
      </c>
      <c r="J157" s="11"/>
      <c r="K157" s="10">
        <v>6</v>
      </c>
      <c r="L157" s="11"/>
      <c r="M157" s="10">
        <v>3</v>
      </c>
      <c r="N157" s="7">
        <v>18</v>
      </c>
      <c r="O157" s="7">
        <v>52</v>
      </c>
      <c r="T157" s="12"/>
      <c r="V157" cm="1">
        <f t="array" ref="V157">_xlfn.LET(
_xlpm.x,_xlfn._xlws.FILTER(O157:S157,(O157:S157&lt;&gt;"R")*(O157:S157&lt;&gt;"NA")*(O157:S157&lt;&gt;"W")*(O157:S157&lt;&gt;"")),
IF(COUNTA(_xlpm.x)=0,"NA",IF(MIN(_xlpm.x)=MAX(_xlpm.x),MIN(_xlpm.x),"review"))
)</f>
        <v>52</v>
      </c>
    </row>
    <row r="158" spans="1:22" ht="15.75" hidden="1" customHeight="1" x14ac:dyDescent="0.25">
      <c r="A158" s="7" t="s">
        <v>43</v>
      </c>
      <c r="B158" s="8">
        <v>8</v>
      </c>
      <c r="C158" s="8" t="s">
        <v>37</v>
      </c>
      <c r="D158" s="9" t="s">
        <v>41</v>
      </c>
      <c r="E158" s="7" t="s">
        <v>25</v>
      </c>
      <c r="F158" s="7" t="s">
        <v>39</v>
      </c>
      <c r="H158" s="7">
        <v>1972</v>
      </c>
      <c r="I158" s="10">
        <v>29</v>
      </c>
      <c r="J158" s="11"/>
      <c r="K158" s="10">
        <v>6</v>
      </c>
      <c r="L158" s="11"/>
      <c r="M158" s="10">
        <v>3</v>
      </c>
      <c r="N158" s="7">
        <v>19</v>
      </c>
      <c r="O158" s="7">
        <v>52</v>
      </c>
      <c r="T158" s="12"/>
      <c r="V158" cm="1">
        <f t="array" ref="V158">_xlfn.LET(
_xlpm.x,_xlfn._xlws.FILTER(O158:S158,(O158:S158&lt;&gt;"R")*(O158:S158&lt;&gt;"NA")*(O158:S158&lt;&gt;"W")*(O158:S158&lt;&gt;"")),
IF(COUNTA(_xlpm.x)=0,"NA",IF(MIN(_xlpm.x)=MAX(_xlpm.x),MIN(_xlpm.x),"review"))
)</f>
        <v>52</v>
      </c>
    </row>
    <row r="159" spans="1:22" ht="15.75" hidden="1" customHeight="1" x14ac:dyDescent="0.25">
      <c r="A159" s="7" t="s">
        <v>43</v>
      </c>
      <c r="B159" s="8">
        <v>8</v>
      </c>
      <c r="C159" s="8" t="s">
        <v>37</v>
      </c>
      <c r="D159" s="9" t="s">
        <v>41</v>
      </c>
      <c r="E159" s="7" t="s">
        <v>25</v>
      </c>
      <c r="F159" s="7" t="s">
        <v>39</v>
      </c>
      <c r="H159" s="7">
        <v>1972</v>
      </c>
      <c r="I159" s="10">
        <v>29</v>
      </c>
      <c r="J159" s="11"/>
      <c r="K159" s="10">
        <v>6</v>
      </c>
      <c r="L159" s="11"/>
      <c r="M159" s="10">
        <v>3</v>
      </c>
      <c r="N159" s="7">
        <v>20</v>
      </c>
      <c r="O159" s="7">
        <v>31</v>
      </c>
      <c r="T159" s="12"/>
      <c r="V159" cm="1">
        <f t="array" ref="V159">_xlfn.LET(
_xlpm.x,_xlfn._xlws.FILTER(O159:S159,(O159:S159&lt;&gt;"R")*(O159:S159&lt;&gt;"NA")*(O159:S159&lt;&gt;"W")*(O159:S159&lt;&gt;"")),
IF(COUNTA(_xlpm.x)=0,"NA",IF(MIN(_xlpm.x)=MAX(_xlpm.x),MIN(_xlpm.x),"review"))
)</f>
        <v>31</v>
      </c>
    </row>
    <row r="160" spans="1:22" ht="15.75" hidden="1" customHeight="1" x14ac:dyDescent="0.25">
      <c r="A160" s="7" t="s">
        <v>43</v>
      </c>
      <c r="B160" s="8">
        <v>8</v>
      </c>
      <c r="C160" s="8" t="s">
        <v>37</v>
      </c>
      <c r="D160" s="9" t="s">
        <v>41</v>
      </c>
      <c r="E160" s="7" t="s">
        <v>25</v>
      </c>
      <c r="F160" s="7" t="s">
        <v>39</v>
      </c>
      <c r="H160" s="7">
        <v>1972</v>
      </c>
      <c r="I160" s="10">
        <v>29</v>
      </c>
      <c r="J160" s="11"/>
      <c r="K160" s="10">
        <v>6</v>
      </c>
      <c r="L160" s="11"/>
      <c r="M160" s="10">
        <v>3</v>
      </c>
      <c r="N160" s="7">
        <v>21</v>
      </c>
      <c r="O160" s="7">
        <v>42</v>
      </c>
      <c r="T160" s="12"/>
      <c r="V160" cm="1">
        <f t="array" ref="V160">_xlfn.LET(
_xlpm.x,_xlfn._xlws.FILTER(O160:S160,(O160:S160&lt;&gt;"R")*(O160:S160&lt;&gt;"NA")*(O160:S160&lt;&gt;"W")*(O160:S160&lt;&gt;"")),
IF(COUNTA(_xlpm.x)=0,"NA",IF(MIN(_xlpm.x)=MAX(_xlpm.x),MIN(_xlpm.x),"review"))
)</f>
        <v>42</v>
      </c>
    </row>
    <row r="161" spans="1:22" ht="15.75" hidden="1" customHeight="1" x14ac:dyDescent="0.25">
      <c r="A161" s="7" t="s">
        <v>43</v>
      </c>
      <c r="B161" s="8">
        <v>8</v>
      </c>
      <c r="C161" s="8" t="s">
        <v>37</v>
      </c>
      <c r="D161" s="9" t="s">
        <v>41</v>
      </c>
      <c r="E161" s="7" t="s">
        <v>25</v>
      </c>
      <c r="F161" s="7" t="s">
        <v>39</v>
      </c>
      <c r="H161" s="7">
        <v>1972</v>
      </c>
      <c r="I161" s="10">
        <v>29</v>
      </c>
      <c r="J161" s="11"/>
      <c r="K161" s="10">
        <v>6</v>
      </c>
      <c r="L161" s="11"/>
      <c r="M161" s="10">
        <v>3</v>
      </c>
      <c r="N161" s="7">
        <v>22</v>
      </c>
      <c r="O161" s="7">
        <v>42</v>
      </c>
      <c r="T161" s="12"/>
      <c r="V161" cm="1">
        <f t="array" ref="V161">_xlfn.LET(
_xlpm.x,_xlfn._xlws.FILTER(O161:S161,(O161:S161&lt;&gt;"R")*(O161:S161&lt;&gt;"NA")*(O161:S161&lt;&gt;"W")*(O161:S161&lt;&gt;"")),
IF(COUNTA(_xlpm.x)=0,"NA",IF(MIN(_xlpm.x)=MAX(_xlpm.x),MIN(_xlpm.x),"review"))
)</f>
        <v>42</v>
      </c>
    </row>
    <row r="162" spans="1:22" ht="15.75" hidden="1" customHeight="1" x14ac:dyDescent="0.25">
      <c r="A162" s="7" t="s">
        <v>43</v>
      </c>
      <c r="B162" s="8">
        <v>8</v>
      </c>
      <c r="C162" s="8" t="s">
        <v>37</v>
      </c>
      <c r="D162" s="9" t="s">
        <v>41</v>
      </c>
      <c r="E162" s="7" t="s">
        <v>25</v>
      </c>
      <c r="F162" s="7" t="s">
        <v>39</v>
      </c>
      <c r="H162" s="7">
        <v>1972</v>
      </c>
      <c r="I162" s="10">
        <v>29</v>
      </c>
      <c r="J162" s="11"/>
      <c r="K162" s="10">
        <v>6</v>
      </c>
      <c r="L162" s="11"/>
      <c r="M162" s="10">
        <v>3</v>
      </c>
      <c r="N162" s="7">
        <v>23</v>
      </c>
      <c r="O162" s="7">
        <v>52</v>
      </c>
      <c r="T162" s="12" t="s">
        <v>44</v>
      </c>
      <c r="V162" cm="1">
        <f t="array" ref="V162">_xlfn.LET(
_xlpm.x,_xlfn._xlws.FILTER(O162:S162,(O162:S162&lt;&gt;"R")*(O162:S162&lt;&gt;"NA")*(O162:S162&lt;&gt;"W")*(O162:S162&lt;&gt;"")),
IF(COUNTA(_xlpm.x)=0,"NA",IF(MIN(_xlpm.x)=MAX(_xlpm.x),MIN(_xlpm.x),"review"))
)</f>
        <v>52</v>
      </c>
    </row>
    <row r="163" spans="1:22" ht="15.75" hidden="1" customHeight="1" x14ac:dyDescent="0.25">
      <c r="A163" s="7" t="s">
        <v>43</v>
      </c>
      <c r="B163" s="8">
        <v>8</v>
      </c>
      <c r="C163" s="8" t="s">
        <v>37</v>
      </c>
      <c r="D163" s="9" t="s">
        <v>41</v>
      </c>
      <c r="E163" s="7" t="s">
        <v>25</v>
      </c>
      <c r="F163" s="7" t="s">
        <v>39</v>
      </c>
      <c r="H163" s="7">
        <v>1972</v>
      </c>
      <c r="I163" s="10">
        <v>29</v>
      </c>
      <c r="J163" s="11"/>
      <c r="K163" s="10">
        <v>6</v>
      </c>
      <c r="L163" s="11"/>
      <c r="M163" s="10">
        <v>3</v>
      </c>
      <c r="N163" s="7">
        <v>24</v>
      </c>
      <c r="O163" s="7" t="s">
        <v>29</v>
      </c>
      <c r="T163" s="12"/>
      <c r="V163" t="s">
        <v>29</v>
      </c>
    </row>
    <row r="164" spans="1:22" ht="15.75" hidden="1" customHeight="1" x14ac:dyDescent="0.25">
      <c r="A164" s="7" t="s">
        <v>43</v>
      </c>
      <c r="B164" s="8">
        <v>8</v>
      </c>
      <c r="C164" s="8" t="s">
        <v>37</v>
      </c>
      <c r="D164" s="9" t="s">
        <v>41</v>
      </c>
      <c r="E164" s="7" t="s">
        <v>25</v>
      </c>
      <c r="F164" s="7" t="s">
        <v>39</v>
      </c>
      <c r="H164" s="7">
        <v>1972</v>
      </c>
      <c r="I164" s="10">
        <v>29</v>
      </c>
      <c r="J164" s="11"/>
      <c r="K164" s="10">
        <v>6</v>
      </c>
      <c r="L164" s="11"/>
      <c r="M164" s="10">
        <v>3</v>
      </c>
      <c r="N164" s="7">
        <v>25</v>
      </c>
      <c r="O164" s="7">
        <v>52</v>
      </c>
      <c r="T164" s="12"/>
      <c r="V164" cm="1">
        <f t="array" ref="V164">_xlfn.LET(
_xlpm.x,_xlfn._xlws.FILTER(O164:S164,(O164:S164&lt;&gt;"R")*(O164:S164&lt;&gt;"NA")*(O164:S164&lt;&gt;"W")*(O164:S164&lt;&gt;"")),
IF(COUNTA(_xlpm.x)=0,"NA",IF(MIN(_xlpm.x)=MAX(_xlpm.x),MIN(_xlpm.x),"review"))
)</f>
        <v>52</v>
      </c>
    </row>
    <row r="165" spans="1:22" ht="15.75" hidden="1" customHeight="1" x14ac:dyDescent="0.25">
      <c r="A165" s="7" t="s">
        <v>43</v>
      </c>
      <c r="B165" s="8">
        <v>8</v>
      </c>
      <c r="C165" s="8" t="s">
        <v>37</v>
      </c>
      <c r="D165" s="9" t="s">
        <v>41</v>
      </c>
      <c r="E165" s="7" t="s">
        <v>25</v>
      </c>
      <c r="F165" s="7" t="s">
        <v>39</v>
      </c>
      <c r="H165" s="7">
        <v>1972</v>
      </c>
      <c r="I165" s="10">
        <v>29</v>
      </c>
      <c r="J165" s="11"/>
      <c r="K165" s="10">
        <v>6</v>
      </c>
      <c r="L165" s="11"/>
      <c r="M165" s="10">
        <v>3</v>
      </c>
      <c r="N165" s="7">
        <v>26</v>
      </c>
      <c r="O165" s="7">
        <v>32</v>
      </c>
      <c r="T165" s="12"/>
      <c r="V165" cm="1">
        <f t="array" ref="V165">_xlfn.LET(
_xlpm.x,_xlfn._xlws.FILTER(O165:S165,(O165:S165&lt;&gt;"R")*(O165:S165&lt;&gt;"NA")*(O165:S165&lt;&gt;"W")*(O165:S165&lt;&gt;"")),
IF(COUNTA(_xlpm.x)=0,"NA",IF(MIN(_xlpm.x)=MAX(_xlpm.x),MIN(_xlpm.x),"review"))
)</f>
        <v>32</v>
      </c>
    </row>
    <row r="166" spans="1:22" ht="15.75" hidden="1" customHeight="1" x14ac:dyDescent="0.25">
      <c r="A166" s="7" t="s">
        <v>43</v>
      </c>
      <c r="B166" s="8">
        <v>8</v>
      </c>
      <c r="C166" s="8" t="s">
        <v>37</v>
      </c>
      <c r="D166" s="9" t="s">
        <v>41</v>
      </c>
      <c r="E166" s="7" t="s">
        <v>25</v>
      </c>
      <c r="F166" s="7" t="s">
        <v>39</v>
      </c>
      <c r="H166" s="7">
        <v>1972</v>
      </c>
      <c r="I166" s="10">
        <v>29</v>
      </c>
      <c r="J166" s="11"/>
      <c r="K166" s="10">
        <v>6</v>
      </c>
      <c r="L166" s="11"/>
      <c r="M166" s="10">
        <v>3</v>
      </c>
      <c r="N166" s="7">
        <v>27</v>
      </c>
      <c r="O166" s="7" t="s">
        <v>29</v>
      </c>
      <c r="T166" s="12"/>
      <c r="V166" t="s">
        <v>29</v>
      </c>
    </row>
    <row r="167" spans="1:22" ht="15.75" hidden="1" customHeight="1" x14ac:dyDescent="0.25">
      <c r="A167" s="7" t="s">
        <v>43</v>
      </c>
      <c r="B167" s="8">
        <v>8</v>
      </c>
      <c r="C167" s="8" t="s">
        <v>37</v>
      </c>
      <c r="D167" s="9" t="s">
        <v>41</v>
      </c>
      <c r="E167" s="7" t="s">
        <v>25</v>
      </c>
      <c r="F167" s="7" t="s">
        <v>39</v>
      </c>
      <c r="H167" s="7">
        <v>1972</v>
      </c>
      <c r="I167" s="10">
        <v>29</v>
      </c>
      <c r="J167" s="11"/>
      <c r="K167" s="10">
        <v>6</v>
      </c>
      <c r="L167" s="11"/>
      <c r="M167" s="10">
        <v>3</v>
      </c>
      <c r="N167" s="7">
        <v>28</v>
      </c>
      <c r="O167" s="7">
        <v>31</v>
      </c>
      <c r="T167" s="12"/>
      <c r="V167" cm="1">
        <f t="array" ref="V167">_xlfn.LET(
_xlpm.x,_xlfn._xlws.FILTER(O167:S167,(O167:S167&lt;&gt;"R")*(O167:S167&lt;&gt;"NA")*(O167:S167&lt;&gt;"W")*(O167:S167&lt;&gt;"")),
IF(COUNTA(_xlpm.x)=0,"NA",IF(MIN(_xlpm.x)=MAX(_xlpm.x),MIN(_xlpm.x),"review"))
)</f>
        <v>31</v>
      </c>
    </row>
    <row r="168" spans="1:22" ht="15.75" hidden="1" customHeight="1" x14ac:dyDescent="0.25">
      <c r="A168" s="7" t="s">
        <v>43</v>
      </c>
      <c r="B168" s="8">
        <v>8</v>
      </c>
      <c r="C168" s="8" t="s">
        <v>37</v>
      </c>
      <c r="D168" s="9" t="s">
        <v>41</v>
      </c>
      <c r="E168" s="7" t="s">
        <v>25</v>
      </c>
      <c r="F168" s="7" t="s">
        <v>39</v>
      </c>
      <c r="H168" s="7">
        <v>1972</v>
      </c>
      <c r="I168" s="10">
        <v>29</v>
      </c>
      <c r="J168" s="11"/>
      <c r="K168" s="10">
        <v>6</v>
      </c>
      <c r="L168" s="11"/>
      <c r="M168" s="10">
        <v>3</v>
      </c>
      <c r="N168" s="7">
        <v>29</v>
      </c>
      <c r="O168" s="7" t="s">
        <v>28</v>
      </c>
      <c r="T168" s="12"/>
      <c r="V168" t="s">
        <v>29</v>
      </c>
    </row>
    <row r="169" spans="1:22" ht="15.75" hidden="1" customHeight="1" x14ac:dyDescent="0.25">
      <c r="A169" s="7" t="s">
        <v>43</v>
      </c>
      <c r="B169" s="8">
        <v>8</v>
      </c>
      <c r="C169" s="8" t="s">
        <v>37</v>
      </c>
      <c r="D169" s="9" t="s">
        <v>41</v>
      </c>
      <c r="E169" s="7" t="s">
        <v>25</v>
      </c>
      <c r="F169" s="7" t="s">
        <v>39</v>
      </c>
      <c r="H169" s="7">
        <v>1972</v>
      </c>
      <c r="I169" s="10">
        <v>29</v>
      </c>
      <c r="J169" s="11"/>
      <c r="K169" s="10">
        <v>6</v>
      </c>
      <c r="L169" s="11"/>
      <c r="M169" s="10">
        <v>3</v>
      </c>
      <c r="N169" s="7">
        <v>30</v>
      </c>
      <c r="O169" s="7">
        <v>42</v>
      </c>
      <c r="T169" s="12"/>
      <c r="V169" cm="1">
        <f t="array" ref="V169">_xlfn.LET(
_xlpm.x,_xlfn._xlws.FILTER(O169:S169,(O169:S169&lt;&gt;"R")*(O169:S169&lt;&gt;"NA")*(O169:S169&lt;&gt;"W")*(O169:S169&lt;&gt;"")),
IF(COUNTA(_xlpm.x)=0,"NA",IF(MIN(_xlpm.x)=MAX(_xlpm.x),MIN(_xlpm.x),"review"))
)</f>
        <v>42</v>
      </c>
    </row>
    <row r="170" spans="1:22" ht="15.75" hidden="1" customHeight="1" x14ac:dyDescent="0.25">
      <c r="A170" s="7" t="s">
        <v>43</v>
      </c>
      <c r="B170" s="8">
        <v>8</v>
      </c>
      <c r="C170" s="8" t="s">
        <v>37</v>
      </c>
      <c r="D170" s="9" t="s">
        <v>41</v>
      </c>
      <c r="E170" s="7" t="s">
        <v>25</v>
      </c>
      <c r="F170" s="7" t="s">
        <v>39</v>
      </c>
      <c r="H170" s="7">
        <v>1972</v>
      </c>
      <c r="I170" s="10">
        <v>29</v>
      </c>
      <c r="J170" s="11"/>
      <c r="K170" s="10">
        <v>6</v>
      </c>
      <c r="L170" s="11"/>
      <c r="M170" s="10">
        <v>3</v>
      </c>
      <c r="N170" s="7">
        <v>31</v>
      </c>
      <c r="O170" s="7" t="s">
        <v>28</v>
      </c>
      <c r="T170" s="12"/>
      <c r="V170" t="s">
        <v>29</v>
      </c>
    </row>
    <row r="171" spans="1:22" ht="15.75" hidden="1" customHeight="1" x14ac:dyDescent="0.25">
      <c r="A171" s="7" t="s">
        <v>43</v>
      </c>
      <c r="B171" s="8">
        <v>8</v>
      </c>
      <c r="C171" s="8" t="s">
        <v>37</v>
      </c>
      <c r="D171" s="9" t="s">
        <v>41</v>
      </c>
      <c r="E171" s="7" t="s">
        <v>25</v>
      </c>
      <c r="F171" s="7" t="s">
        <v>39</v>
      </c>
      <c r="H171" s="7">
        <v>1972</v>
      </c>
      <c r="I171" s="10">
        <v>29</v>
      </c>
      <c r="J171" s="11"/>
      <c r="K171" s="10">
        <v>6</v>
      </c>
      <c r="L171" s="11"/>
      <c r="M171" s="10">
        <v>3</v>
      </c>
      <c r="N171" s="7">
        <v>32</v>
      </c>
      <c r="O171" s="7">
        <v>42</v>
      </c>
      <c r="T171" s="12"/>
      <c r="V171" cm="1">
        <f t="array" ref="V171">_xlfn.LET(
_xlpm.x,_xlfn._xlws.FILTER(O171:S171,(O171:S171&lt;&gt;"R")*(O171:S171&lt;&gt;"NA")*(O171:S171&lt;&gt;"W")*(O171:S171&lt;&gt;"")),
IF(COUNTA(_xlpm.x)=0,"NA",IF(MIN(_xlpm.x)=MAX(_xlpm.x),MIN(_xlpm.x),"review"))
)</f>
        <v>42</v>
      </c>
    </row>
    <row r="172" spans="1:22" ht="15.75" hidden="1" customHeight="1" x14ac:dyDescent="0.25">
      <c r="A172" s="7" t="s">
        <v>43</v>
      </c>
      <c r="B172" s="8">
        <v>8</v>
      </c>
      <c r="C172" s="8" t="s">
        <v>37</v>
      </c>
      <c r="D172" s="9" t="s">
        <v>41</v>
      </c>
      <c r="E172" s="7" t="s">
        <v>25</v>
      </c>
      <c r="F172" s="7" t="s">
        <v>39</v>
      </c>
      <c r="H172" s="7">
        <v>1972</v>
      </c>
      <c r="I172" s="10">
        <v>29</v>
      </c>
      <c r="J172" s="11"/>
      <c r="K172" s="10">
        <v>6</v>
      </c>
      <c r="L172" s="11"/>
      <c r="M172" s="10">
        <v>3</v>
      </c>
      <c r="N172" s="7">
        <v>33</v>
      </c>
      <c r="O172" s="7">
        <v>52</v>
      </c>
      <c r="T172" s="12"/>
      <c r="V172" cm="1">
        <f t="array" ref="V172">_xlfn.LET(
_xlpm.x,_xlfn._xlws.FILTER(O172:S172,(O172:S172&lt;&gt;"R")*(O172:S172&lt;&gt;"NA")*(O172:S172&lt;&gt;"W")*(O172:S172&lt;&gt;"")),
IF(COUNTA(_xlpm.x)=0,"NA",IF(MIN(_xlpm.x)=MAX(_xlpm.x),MIN(_xlpm.x),"review"))
)</f>
        <v>52</v>
      </c>
    </row>
    <row r="173" spans="1:22" ht="15.75" hidden="1" customHeight="1" x14ac:dyDescent="0.25">
      <c r="A173" s="7" t="s">
        <v>43</v>
      </c>
      <c r="B173" s="8">
        <v>8</v>
      </c>
      <c r="C173" s="8" t="s">
        <v>37</v>
      </c>
      <c r="D173" s="9" t="s">
        <v>41</v>
      </c>
      <c r="E173" s="7" t="s">
        <v>25</v>
      </c>
      <c r="F173" s="7" t="s">
        <v>39</v>
      </c>
      <c r="H173" s="7">
        <v>1972</v>
      </c>
      <c r="I173" s="10">
        <v>29</v>
      </c>
      <c r="J173" s="11"/>
      <c r="K173" s="10">
        <v>6</v>
      </c>
      <c r="L173" s="11"/>
      <c r="M173" s="10">
        <v>3</v>
      </c>
      <c r="N173" s="7">
        <v>34</v>
      </c>
      <c r="O173" s="7">
        <v>31</v>
      </c>
      <c r="T173" s="12"/>
      <c r="V173" cm="1">
        <f t="array" ref="V173">_xlfn.LET(
_xlpm.x,_xlfn._xlws.FILTER(O173:S173,(O173:S173&lt;&gt;"R")*(O173:S173&lt;&gt;"NA")*(O173:S173&lt;&gt;"W")*(O173:S173&lt;&gt;"")),
IF(COUNTA(_xlpm.x)=0,"NA",IF(MIN(_xlpm.x)=MAX(_xlpm.x),MIN(_xlpm.x),"review"))
)</f>
        <v>31</v>
      </c>
    </row>
    <row r="174" spans="1:22" ht="15.75" hidden="1" customHeight="1" x14ac:dyDescent="0.25">
      <c r="A174" s="7" t="s">
        <v>43</v>
      </c>
      <c r="B174" s="8">
        <v>8</v>
      </c>
      <c r="C174" s="8" t="s">
        <v>37</v>
      </c>
      <c r="D174" s="9" t="s">
        <v>41</v>
      </c>
      <c r="E174" s="7" t="s">
        <v>25</v>
      </c>
      <c r="F174" s="7" t="s">
        <v>39</v>
      </c>
      <c r="H174" s="7">
        <v>1972</v>
      </c>
      <c r="I174" s="10">
        <v>29</v>
      </c>
      <c r="J174" s="11"/>
      <c r="K174" s="10">
        <v>6</v>
      </c>
      <c r="L174" s="11"/>
      <c r="M174" s="10">
        <v>3</v>
      </c>
      <c r="N174" s="7">
        <v>35</v>
      </c>
      <c r="O174" s="7">
        <v>63</v>
      </c>
      <c r="T174" s="12"/>
      <c r="V174" cm="1">
        <f t="array" ref="V174">_xlfn.LET(
_xlpm.x,_xlfn._xlws.FILTER(O174:S174,(O174:S174&lt;&gt;"R")*(O174:S174&lt;&gt;"NA")*(O174:S174&lt;&gt;"W")*(O174:S174&lt;&gt;"")),
IF(COUNTA(_xlpm.x)=0,"NA",IF(MIN(_xlpm.x)=MAX(_xlpm.x),MIN(_xlpm.x),"review"))
)</f>
        <v>63</v>
      </c>
    </row>
    <row r="175" spans="1:22" ht="15.75" hidden="1" customHeight="1" x14ac:dyDescent="0.25">
      <c r="A175" s="7" t="s">
        <v>43</v>
      </c>
      <c r="B175" s="8">
        <v>8</v>
      </c>
      <c r="C175" s="8" t="s">
        <v>37</v>
      </c>
      <c r="D175" s="9" t="s">
        <v>41</v>
      </c>
      <c r="E175" s="7" t="s">
        <v>25</v>
      </c>
      <c r="F175" s="7" t="s">
        <v>39</v>
      </c>
      <c r="H175" s="7">
        <v>1972</v>
      </c>
      <c r="I175" s="10">
        <v>29</v>
      </c>
      <c r="J175" s="11"/>
      <c r="K175" s="10">
        <v>6</v>
      </c>
      <c r="L175" s="11"/>
      <c r="M175" s="10">
        <v>3</v>
      </c>
      <c r="N175" s="7">
        <v>36</v>
      </c>
      <c r="O175" s="7">
        <v>52</v>
      </c>
      <c r="T175" s="12"/>
      <c r="V175" cm="1">
        <f t="array" ref="V175">_xlfn.LET(
_xlpm.x,_xlfn._xlws.FILTER(O175:S175,(O175:S175&lt;&gt;"R")*(O175:S175&lt;&gt;"NA")*(O175:S175&lt;&gt;"W")*(O175:S175&lt;&gt;"")),
IF(COUNTA(_xlpm.x)=0,"NA",IF(MIN(_xlpm.x)=MAX(_xlpm.x),MIN(_xlpm.x),"review"))
)</f>
        <v>52</v>
      </c>
    </row>
    <row r="176" spans="1:22" ht="15.75" hidden="1" customHeight="1" x14ac:dyDescent="0.25">
      <c r="A176" s="7" t="s">
        <v>43</v>
      </c>
      <c r="B176" s="8">
        <v>8</v>
      </c>
      <c r="C176" s="8" t="s">
        <v>37</v>
      </c>
      <c r="D176" s="9" t="s">
        <v>41</v>
      </c>
      <c r="E176" s="7" t="s">
        <v>25</v>
      </c>
      <c r="F176" s="7" t="s">
        <v>39</v>
      </c>
      <c r="H176" s="7">
        <v>1972</v>
      </c>
      <c r="I176" s="10">
        <v>29</v>
      </c>
      <c r="J176" s="11"/>
      <c r="K176" s="10">
        <v>6</v>
      </c>
      <c r="L176" s="11"/>
      <c r="M176" s="10">
        <v>3</v>
      </c>
      <c r="N176" s="7">
        <v>37</v>
      </c>
      <c r="O176" s="7">
        <v>42</v>
      </c>
      <c r="T176" s="12"/>
      <c r="V176" cm="1">
        <f t="array" ref="V176">_xlfn.LET(
_xlpm.x,_xlfn._xlws.FILTER(O176:S176,(O176:S176&lt;&gt;"R")*(O176:S176&lt;&gt;"NA")*(O176:S176&lt;&gt;"W")*(O176:S176&lt;&gt;"")),
IF(COUNTA(_xlpm.x)=0,"NA",IF(MIN(_xlpm.x)=MAX(_xlpm.x),MIN(_xlpm.x),"review"))
)</f>
        <v>42</v>
      </c>
    </row>
    <row r="177" spans="1:22" ht="15.75" hidden="1" customHeight="1" x14ac:dyDescent="0.25">
      <c r="A177" s="7" t="s">
        <v>43</v>
      </c>
      <c r="B177" s="8">
        <v>8</v>
      </c>
      <c r="C177" s="8" t="s">
        <v>37</v>
      </c>
      <c r="D177" s="9" t="s">
        <v>41</v>
      </c>
      <c r="E177" s="7" t="s">
        <v>25</v>
      </c>
      <c r="F177" s="7" t="s">
        <v>39</v>
      </c>
      <c r="H177" s="7">
        <v>1972</v>
      </c>
      <c r="I177" s="10">
        <v>29</v>
      </c>
      <c r="J177" s="11"/>
      <c r="K177" s="10">
        <v>6</v>
      </c>
      <c r="L177" s="11"/>
      <c r="M177" s="10">
        <v>3</v>
      </c>
      <c r="N177" s="7">
        <v>38</v>
      </c>
      <c r="O177" s="7">
        <v>53</v>
      </c>
      <c r="T177" s="12"/>
      <c r="V177" cm="1">
        <f t="array" ref="V177">_xlfn.LET(
_xlpm.x,_xlfn._xlws.FILTER(O177:S177,(O177:S177&lt;&gt;"R")*(O177:S177&lt;&gt;"NA")*(O177:S177&lt;&gt;"W")*(O177:S177&lt;&gt;"")),
IF(COUNTA(_xlpm.x)=0,"NA",IF(MIN(_xlpm.x)=MAX(_xlpm.x),MIN(_xlpm.x),"review"))
)</f>
        <v>53</v>
      </c>
    </row>
    <row r="178" spans="1:22" ht="15.75" hidden="1" customHeight="1" x14ac:dyDescent="0.25">
      <c r="A178" s="7" t="s">
        <v>43</v>
      </c>
      <c r="B178" s="8">
        <v>8</v>
      </c>
      <c r="C178" s="8" t="s">
        <v>37</v>
      </c>
      <c r="D178" s="9" t="s">
        <v>41</v>
      </c>
      <c r="E178" s="7" t="s">
        <v>25</v>
      </c>
      <c r="F178" s="7" t="s">
        <v>39</v>
      </c>
      <c r="H178" s="7">
        <v>1972</v>
      </c>
      <c r="I178" s="10">
        <v>29</v>
      </c>
      <c r="J178" s="11"/>
      <c r="K178" s="10">
        <v>6</v>
      </c>
      <c r="L178" s="11"/>
      <c r="M178" s="10">
        <v>3</v>
      </c>
      <c r="N178" s="7">
        <v>39</v>
      </c>
      <c r="O178" s="7" t="s">
        <v>28</v>
      </c>
      <c r="T178" s="12"/>
      <c r="V178" t="s">
        <v>29</v>
      </c>
    </row>
    <row r="179" spans="1:22" ht="15.75" hidden="1" customHeight="1" x14ac:dyDescent="0.25">
      <c r="A179" s="7" t="s">
        <v>43</v>
      </c>
      <c r="B179" s="8">
        <v>8</v>
      </c>
      <c r="C179" s="8" t="s">
        <v>37</v>
      </c>
      <c r="D179" s="9" t="s">
        <v>41</v>
      </c>
      <c r="E179" s="7" t="s">
        <v>25</v>
      </c>
      <c r="F179" s="7" t="s">
        <v>39</v>
      </c>
      <c r="H179" s="7">
        <v>1972</v>
      </c>
      <c r="I179" s="10">
        <v>29</v>
      </c>
      <c r="J179" s="11"/>
      <c r="K179" s="10">
        <v>6</v>
      </c>
      <c r="L179" s="11"/>
      <c r="M179" s="10">
        <v>3</v>
      </c>
      <c r="N179" s="7">
        <v>40</v>
      </c>
      <c r="O179" s="7">
        <v>42</v>
      </c>
      <c r="T179" s="12"/>
      <c r="V179" cm="1">
        <f t="array" ref="V179">_xlfn.LET(
_xlpm.x,_xlfn._xlws.FILTER(O179:S179,(O179:S179&lt;&gt;"R")*(O179:S179&lt;&gt;"NA")*(O179:S179&lt;&gt;"W")*(O179:S179&lt;&gt;"")),
IF(COUNTA(_xlpm.x)=0,"NA",IF(MIN(_xlpm.x)=MAX(_xlpm.x),MIN(_xlpm.x),"review"))
)</f>
        <v>42</v>
      </c>
    </row>
    <row r="180" spans="1:22" ht="15.75" hidden="1" customHeight="1" x14ac:dyDescent="0.25">
      <c r="A180" s="7" t="s">
        <v>43</v>
      </c>
      <c r="B180" s="8">
        <v>8</v>
      </c>
      <c r="C180" s="8" t="s">
        <v>37</v>
      </c>
      <c r="D180" s="9" t="s">
        <v>41</v>
      </c>
      <c r="E180" s="7" t="s">
        <v>25</v>
      </c>
      <c r="F180" s="7" t="s">
        <v>39</v>
      </c>
      <c r="H180" s="7">
        <v>1972</v>
      </c>
      <c r="I180" s="10">
        <v>29</v>
      </c>
      <c r="J180" s="11"/>
      <c r="K180" s="10">
        <v>6</v>
      </c>
      <c r="L180" s="11"/>
      <c r="M180" s="10">
        <v>3</v>
      </c>
      <c r="N180" s="7">
        <v>41</v>
      </c>
      <c r="O180" s="7">
        <v>42</v>
      </c>
      <c r="T180" s="12"/>
      <c r="V180" cm="1">
        <f t="array" ref="V180">_xlfn.LET(
_xlpm.x,_xlfn._xlws.FILTER(O180:S180,(O180:S180&lt;&gt;"R")*(O180:S180&lt;&gt;"NA")*(O180:S180&lt;&gt;"W")*(O180:S180&lt;&gt;"")),
IF(COUNTA(_xlpm.x)=0,"NA",IF(MIN(_xlpm.x)=MAX(_xlpm.x),MIN(_xlpm.x),"review"))
)</f>
        <v>42</v>
      </c>
    </row>
    <row r="181" spans="1:22" ht="15.75" hidden="1" customHeight="1" x14ac:dyDescent="0.25">
      <c r="A181" s="7" t="s">
        <v>43</v>
      </c>
      <c r="B181" s="8">
        <v>8</v>
      </c>
      <c r="C181" s="8" t="s">
        <v>37</v>
      </c>
      <c r="D181" s="9" t="s">
        <v>41</v>
      </c>
      <c r="E181" s="7" t="s">
        <v>25</v>
      </c>
      <c r="F181" s="7" t="s">
        <v>39</v>
      </c>
      <c r="H181" s="7">
        <v>1972</v>
      </c>
      <c r="I181" s="10">
        <v>29</v>
      </c>
      <c r="J181" s="11"/>
      <c r="K181" s="10">
        <v>6</v>
      </c>
      <c r="L181" s="11"/>
      <c r="M181" s="10">
        <v>3</v>
      </c>
      <c r="N181" s="7">
        <v>42</v>
      </c>
      <c r="T181" s="12" t="s">
        <v>44</v>
      </c>
      <c r="V181" t="s">
        <v>29</v>
      </c>
    </row>
    <row r="182" spans="1:22" ht="15.75" hidden="1" customHeight="1" x14ac:dyDescent="0.25">
      <c r="A182" s="7" t="s">
        <v>43</v>
      </c>
      <c r="B182" s="8">
        <v>8</v>
      </c>
      <c r="C182" s="8" t="s">
        <v>37</v>
      </c>
      <c r="D182" s="9" t="s">
        <v>41</v>
      </c>
      <c r="E182" s="7" t="s">
        <v>25</v>
      </c>
      <c r="F182" s="7" t="s">
        <v>39</v>
      </c>
      <c r="H182" s="7">
        <v>1972</v>
      </c>
      <c r="I182" s="10">
        <v>29</v>
      </c>
      <c r="J182" s="11"/>
      <c r="K182" s="10">
        <v>6</v>
      </c>
      <c r="L182" s="11"/>
      <c r="M182" s="10">
        <v>3</v>
      </c>
      <c r="N182" s="7">
        <v>43</v>
      </c>
      <c r="O182" s="7" t="s">
        <v>29</v>
      </c>
      <c r="T182" s="12"/>
      <c r="V182" t="s">
        <v>29</v>
      </c>
    </row>
    <row r="183" spans="1:22" ht="15.75" hidden="1" customHeight="1" x14ac:dyDescent="0.25">
      <c r="A183" s="7" t="s">
        <v>43</v>
      </c>
      <c r="B183" s="8">
        <v>8</v>
      </c>
      <c r="C183" s="8" t="s">
        <v>37</v>
      </c>
      <c r="D183" s="9" t="s">
        <v>41</v>
      </c>
      <c r="E183" s="7" t="s">
        <v>25</v>
      </c>
      <c r="F183" s="7" t="s">
        <v>39</v>
      </c>
      <c r="H183" s="7">
        <v>1972</v>
      </c>
      <c r="I183" s="10">
        <v>29</v>
      </c>
      <c r="J183" s="11"/>
      <c r="K183" s="10">
        <v>6</v>
      </c>
      <c r="L183" s="11"/>
      <c r="M183" s="10">
        <v>3</v>
      </c>
      <c r="N183" s="7">
        <v>44</v>
      </c>
      <c r="O183" s="7">
        <v>42</v>
      </c>
      <c r="T183" s="12"/>
      <c r="V183" cm="1">
        <f t="array" ref="V183">_xlfn.LET(
_xlpm.x,_xlfn._xlws.FILTER(O183:S183,(O183:S183&lt;&gt;"R")*(O183:S183&lt;&gt;"NA")*(O183:S183&lt;&gt;"W")*(O183:S183&lt;&gt;"")),
IF(COUNTA(_xlpm.x)=0,"NA",IF(MIN(_xlpm.x)=MAX(_xlpm.x),MIN(_xlpm.x),"review"))
)</f>
        <v>42</v>
      </c>
    </row>
    <row r="184" spans="1:22" ht="15.75" hidden="1" customHeight="1" x14ac:dyDescent="0.25">
      <c r="A184" s="7" t="s">
        <v>43</v>
      </c>
      <c r="B184" s="8">
        <v>8</v>
      </c>
      <c r="C184" s="8" t="s">
        <v>37</v>
      </c>
      <c r="D184" s="9" t="s">
        <v>41</v>
      </c>
      <c r="E184" s="7" t="s">
        <v>25</v>
      </c>
      <c r="F184" s="7" t="s">
        <v>39</v>
      </c>
      <c r="H184" s="7">
        <v>1972</v>
      </c>
      <c r="I184" s="10">
        <v>29</v>
      </c>
      <c r="J184" s="11"/>
      <c r="K184" s="10">
        <v>6</v>
      </c>
      <c r="L184" s="11"/>
      <c r="M184" s="10">
        <v>3</v>
      </c>
      <c r="N184" s="7">
        <v>45</v>
      </c>
      <c r="O184" s="7" t="s">
        <v>28</v>
      </c>
      <c r="T184" s="12"/>
      <c r="V184" t="s">
        <v>29</v>
      </c>
    </row>
    <row r="185" spans="1:22" ht="15.75" hidden="1" customHeight="1" x14ac:dyDescent="0.25">
      <c r="A185" s="7" t="s">
        <v>43</v>
      </c>
      <c r="B185" s="8">
        <v>8</v>
      </c>
      <c r="C185" s="8" t="s">
        <v>37</v>
      </c>
      <c r="D185" s="9" t="s">
        <v>41</v>
      </c>
      <c r="E185" s="7" t="s">
        <v>25</v>
      </c>
      <c r="F185" s="7" t="s">
        <v>39</v>
      </c>
      <c r="H185" s="7">
        <v>1972</v>
      </c>
      <c r="I185" s="10">
        <v>29</v>
      </c>
      <c r="J185" s="11"/>
      <c r="K185" s="10">
        <v>6</v>
      </c>
      <c r="L185" s="11"/>
      <c r="M185" s="10">
        <v>3</v>
      </c>
      <c r="N185" s="7">
        <v>46</v>
      </c>
      <c r="O185" s="7">
        <v>52</v>
      </c>
      <c r="T185" s="12"/>
      <c r="V185" cm="1">
        <f t="array" ref="V185">_xlfn.LET(
_xlpm.x,_xlfn._xlws.FILTER(O185:S185,(O185:S185&lt;&gt;"R")*(O185:S185&lt;&gt;"NA")*(O185:S185&lt;&gt;"W")*(O185:S185&lt;&gt;"")),
IF(COUNTA(_xlpm.x)=0,"NA",IF(MIN(_xlpm.x)=MAX(_xlpm.x),MIN(_xlpm.x),"review"))
)</f>
        <v>52</v>
      </c>
    </row>
    <row r="186" spans="1:22" ht="15.75" hidden="1" customHeight="1" x14ac:dyDescent="0.25">
      <c r="A186" s="7" t="s">
        <v>43</v>
      </c>
      <c r="B186" s="8">
        <v>8</v>
      </c>
      <c r="C186" s="8" t="s">
        <v>37</v>
      </c>
      <c r="D186" s="9" t="s">
        <v>41</v>
      </c>
      <c r="E186" s="7" t="s">
        <v>25</v>
      </c>
      <c r="F186" s="7" t="s">
        <v>39</v>
      </c>
      <c r="H186" s="7">
        <v>1972</v>
      </c>
      <c r="I186" s="10">
        <v>29</v>
      </c>
      <c r="J186" s="11"/>
      <c r="K186" s="10">
        <v>6</v>
      </c>
      <c r="L186" s="11"/>
      <c r="M186" s="10">
        <v>3</v>
      </c>
      <c r="N186" s="7">
        <v>47</v>
      </c>
      <c r="O186" s="7">
        <v>53</v>
      </c>
      <c r="T186" s="12"/>
      <c r="V186" cm="1">
        <f t="array" ref="V186">_xlfn.LET(
_xlpm.x,_xlfn._xlws.FILTER(O186:S186,(O186:S186&lt;&gt;"R")*(O186:S186&lt;&gt;"NA")*(O186:S186&lt;&gt;"W")*(O186:S186&lt;&gt;"")),
IF(COUNTA(_xlpm.x)=0,"NA",IF(MIN(_xlpm.x)=MAX(_xlpm.x),MIN(_xlpm.x),"review"))
)</f>
        <v>53</v>
      </c>
    </row>
    <row r="187" spans="1:22" ht="15.75" hidden="1" customHeight="1" x14ac:dyDescent="0.25">
      <c r="A187" s="7" t="s">
        <v>43</v>
      </c>
      <c r="B187" s="8">
        <v>8</v>
      </c>
      <c r="C187" s="8" t="s">
        <v>37</v>
      </c>
      <c r="D187" s="9" t="s">
        <v>41</v>
      </c>
      <c r="E187" s="7" t="s">
        <v>25</v>
      </c>
      <c r="F187" s="7" t="s">
        <v>39</v>
      </c>
      <c r="H187" s="7">
        <v>1972</v>
      </c>
      <c r="I187" s="10">
        <v>29</v>
      </c>
      <c r="J187" s="11"/>
      <c r="K187" s="10">
        <v>6</v>
      </c>
      <c r="L187" s="11"/>
      <c r="M187" s="10">
        <v>3</v>
      </c>
      <c r="N187" s="7">
        <v>48</v>
      </c>
      <c r="O187" s="7" t="s">
        <v>28</v>
      </c>
      <c r="T187" s="12"/>
      <c r="V187" t="s">
        <v>29</v>
      </c>
    </row>
    <row r="188" spans="1:22" ht="15.75" hidden="1" customHeight="1" x14ac:dyDescent="0.25">
      <c r="A188" s="7" t="s">
        <v>43</v>
      </c>
      <c r="B188" s="8">
        <v>8</v>
      </c>
      <c r="C188" s="8" t="s">
        <v>37</v>
      </c>
      <c r="D188" s="9" t="s">
        <v>41</v>
      </c>
      <c r="E188" s="7" t="s">
        <v>25</v>
      </c>
      <c r="F188" s="7" t="s">
        <v>39</v>
      </c>
      <c r="H188" s="7">
        <v>1972</v>
      </c>
      <c r="I188" s="10">
        <v>29</v>
      </c>
      <c r="J188" s="11"/>
      <c r="K188" s="10">
        <v>6</v>
      </c>
      <c r="L188" s="11"/>
      <c r="M188" s="10">
        <v>3</v>
      </c>
      <c r="N188" s="7">
        <v>49</v>
      </c>
      <c r="O188" s="7" t="s">
        <v>28</v>
      </c>
      <c r="T188" s="12"/>
      <c r="V188" t="s">
        <v>29</v>
      </c>
    </row>
    <row r="189" spans="1:22" ht="15.75" hidden="1" customHeight="1" x14ac:dyDescent="0.25">
      <c r="A189" s="7" t="s">
        <v>43</v>
      </c>
      <c r="B189" s="8">
        <v>8</v>
      </c>
      <c r="C189" s="8" t="s">
        <v>37</v>
      </c>
      <c r="D189" s="9" t="s">
        <v>41</v>
      </c>
      <c r="E189" s="7" t="s">
        <v>25</v>
      </c>
      <c r="F189" s="7" t="s">
        <v>39</v>
      </c>
      <c r="H189" s="7">
        <v>1972</v>
      </c>
      <c r="I189" s="10">
        <v>29</v>
      </c>
      <c r="J189" s="11"/>
      <c r="K189" s="10">
        <v>6</v>
      </c>
      <c r="L189" s="11"/>
      <c r="M189" s="10">
        <v>3</v>
      </c>
      <c r="N189" s="7">
        <v>50</v>
      </c>
      <c r="O189" s="7">
        <v>53</v>
      </c>
      <c r="T189" s="12" t="s">
        <v>46</v>
      </c>
      <c r="U189" s="7" t="s">
        <v>47</v>
      </c>
      <c r="V189" cm="1">
        <f t="array" ref="V189">_xlfn.LET(
_xlpm.x,_xlfn._xlws.FILTER(O189:S189,(O189:S189&lt;&gt;"R")*(O189:S189&lt;&gt;"NA")*(O189:S189&lt;&gt;"W")*(O189:S189&lt;&gt;"")),
IF(COUNTA(_xlpm.x)=0,"NA",IF(MIN(_xlpm.x)=MAX(_xlpm.x),MIN(_xlpm.x),"review"))
)</f>
        <v>53</v>
      </c>
    </row>
    <row r="190" spans="1:22" ht="15.75" hidden="1" customHeight="1" x14ac:dyDescent="0.25">
      <c r="A190" s="7" t="s">
        <v>43</v>
      </c>
      <c r="B190" s="8">
        <v>8</v>
      </c>
      <c r="C190" s="8" t="s">
        <v>37</v>
      </c>
      <c r="D190" s="9" t="s">
        <v>41</v>
      </c>
      <c r="E190" s="7" t="s">
        <v>25</v>
      </c>
      <c r="F190" s="7" t="s">
        <v>39</v>
      </c>
      <c r="H190" s="7">
        <v>1972</v>
      </c>
      <c r="I190" s="7">
        <v>30</v>
      </c>
      <c r="K190" s="7">
        <v>6</v>
      </c>
      <c r="M190" s="7">
        <v>4</v>
      </c>
      <c r="N190" s="7">
        <v>1</v>
      </c>
      <c r="O190" s="7">
        <v>32</v>
      </c>
      <c r="T190" s="12"/>
      <c r="U190" s="7" t="s">
        <v>48</v>
      </c>
      <c r="V190" cm="1">
        <f t="array" ref="V190">_xlfn.LET(
_xlpm.x,_xlfn._xlws.FILTER(O190:S190,(O190:S190&lt;&gt;"R")*(O190:S190&lt;&gt;"NA")*(O190:S190&lt;&gt;"W")*(O190:S190&lt;&gt;"")),
IF(COUNTA(_xlpm.x)=0,"NA",IF(MIN(_xlpm.x)=MAX(_xlpm.x),MIN(_xlpm.x),"review"))
)</f>
        <v>32</v>
      </c>
    </row>
    <row r="191" spans="1:22" ht="15.75" hidden="1" customHeight="1" x14ac:dyDescent="0.25">
      <c r="A191" s="7" t="s">
        <v>43</v>
      </c>
      <c r="B191" s="8">
        <v>8</v>
      </c>
      <c r="C191" s="8" t="s">
        <v>37</v>
      </c>
      <c r="D191" s="9" t="s">
        <v>41</v>
      </c>
      <c r="E191" s="7" t="s">
        <v>25</v>
      </c>
      <c r="F191" s="7" t="s">
        <v>39</v>
      </c>
      <c r="H191" s="7">
        <v>1972</v>
      </c>
      <c r="I191" s="7">
        <v>30</v>
      </c>
      <c r="K191" s="7">
        <v>6</v>
      </c>
      <c r="M191" s="7">
        <v>4</v>
      </c>
      <c r="N191" s="7">
        <v>2</v>
      </c>
      <c r="O191" s="7">
        <v>52</v>
      </c>
      <c r="T191" s="12"/>
      <c r="V191" cm="1">
        <f t="array" ref="V191">_xlfn.LET(
_xlpm.x,_xlfn._xlws.FILTER(O191:S191,(O191:S191&lt;&gt;"R")*(O191:S191&lt;&gt;"NA")*(O191:S191&lt;&gt;"W")*(O191:S191&lt;&gt;"")),
IF(COUNTA(_xlpm.x)=0,"NA",IF(MIN(_xlpm.x)=MAX(_xlpm.x),MIN(_xlpm.x),"review"))
)</f>
        <v>52</v>
      </c>
    </row>
    <row r="192" spans="1:22" ht="15.75" hidden="1" customHeight="1" x14ac:dyDescent="0.25">
      <c r="A192" s="7" t="s">
        <v>43</v>
      </c>
      <c r="B192" s="8">
        <v>8</v>
      </c>
      <c r="C192" s="8" t="s">
        <v>37</v>
      </c>
      <c r="D192" s="9" t="s">
        <v>41</v>
      </c>
      <c r="E192" s="7" t="s">
        <v>25</v>
      </c>
      <c r="F192" s="7" t="s">
        <v>39</v>
      </c>
      <c r="H192" s="7">
        <v>1972</v>
      </c>
      <c r="I192" s="7">
        <v>30</v>
      </c>
      <c r="K192" s="7">
        <v>6</v>
      </c>
      <c r="M192" s="7">
        <v>4</v>
      </c>
      <c r="N192" s="7">
        <v>3</v>
      </c>
      <c r="O192" s="7" t="s">
        <v>28</v>
      </c>
      <c r="T192" s="12"/>
      <c r="V192" t="s">
        <v>29</v>
      </c>
    </row>
    <row r="193" spans="1:22" ht="15.75" hidden="1" customHeight="1" x14ac:dyDescent="0.25">
      <c r="A193" s="7" t="s">
        <v>43</v>
      </c>
      <c r="B193" s="8">
        <v>8</v>
      </c>
      <c r="C193" s="8" t="s">
        <v>37</v>
      </c>
      <c r="D193" s="9" t="s">
        <v>41</v>
      </c>
      <c r="E193" s="7" t="s">
        <v>25</v>
      </c>
      <c r="F193" s="7" t="s">
        <v>39</v>
      </c>
      <c r="H193" s="7">
        <v>1972</v>
      </c>
      <c r="I193" s="7">
        <v>30</v>
      </c>
      <c r="K193" s="7">
        <v>6</v>
      </c>
      <c r="M193" s="7">
        <v>4</v>
      </c>
      <c r="N193" s="7">
        <v>4</v>
      </c>
      <c r="O193" s="7">
        <v>52</v>
      </c>
      <c r="T193" s="12"/>
      <c r="V193" cm="1">
        <f t="array" ref="V193">_xlfn.LET(
_xlpm.x,_xlfn._xlws.FILTER(O193:S193,(O193:S193&lt;&gt;"R")*(O193:S193&lt;&gt;"NA")*(O193:S193&lt;&gt;"W")*(O193:S193&lt;&gt;"")),
IF(COUNTA(_xlpm.x)=0,"NA",IF(MIN(_xlpm.x)=MAX(_xlpm.x),MIN(_xlpm.x),"review"))
)</f>
        <v>52</v>
      </c>
    </row>
    <row r="194" spans="1:22" ht="15.75" hidden="1" customHeight="1" x14ac:dyDescent="0.25">
      <c r="A194" s="7" t="s">
        <v>43</v>
      </c>
      <c r="B194" s="8">
        <v>8</v>
      </c>
      <c r="C194" s="8" t="s">
        <v>37</v>
      </c>
      <c r="D194" s="9" t="s">
        <v>41</v>
      </c>
      <c r="E194" s="7" t="s">
        <v>25</v>
      </c>
      <c r="F194" s="7" t="s">
        <v>39</v>
      </c>
      <c r="H194" s="7">
        <v>1972</v>
      </c>
      <c r="I194" s="7">
        <v>30</v>
      </c>
      <c r="K194" s="7">
        <v>6</v>
      </c>
      <c r="M194" s="7">
        <v>4</v>
      </c>
      <c r="N194" s="7">
        <v>5</v>
      </c>
      <c r="O194" s="7">
        <v>42</v>
      </c>
      <c r="T194" s="12"/>
      <c r="V194" cm="1">
        <f t="array" ref="V194">_xlfn.LET(
_xlpm.x,_xlfn._xlws.FILTER(O194:S194,(O194:S194&lt;&gt;"R")*(O194:S194&lt;&gt;"NA")*(O194:S194&lt;&gt;"W")*(O194:S194&lt;&gt;"")),
IF(COUNTA(_xlpm.x)=0,"NA",IF(MIN(_xlpm.x)=MAX(_xlpm.x),MIN(_xlpm.x),"review"))
)</f>
        <v>42</v>
      </c>
    </row>
    <row r="195" spans="1:22" ht="15.75" hidden="1" customHeight="1" x14ac:dyDescent="0.25">
      <c r="A195" s="7" t="s">
        <v>43</v>
      </c>
      <c r="B195" s="8">
        <v>8</v>
      </c>
      <c r="C195" s="8" t="s">
        <v>37</v>
      </c>
      <c r="D195" s="9" t="s">
        <v>41</v>
      </c>
      <c r="E195" s="7" t="s">
        <v>25</v>
      </c>
      <c r="F195" s="7" t="s">
        <v>39</v>
      </c>
      <c r="H195" s="7">
        <v>1972</v>
      </c>
      <c r="I195" s="7">
        <v>30</v>
      </c>
      <c r="K195" s="7">
        <v>6</v>
      </c>
      <c r="M195" s="7">
        <v>4</v>
      </c>
      <c r="N195" s="7">
        <v>6</v>
      </c>
      <c r="O195" s="7" t="s">
        <v>28</v>
      </c>
      <c r="T195" s="12"/>
      <c r="V195" t="s">
        <v>29</v>
      </c>
    </row>
    <row r="196" spans="1:22" ht="15.75" hidden="1" customHeight="1" x14ac:dyDescent="0.25">
      <c r="A196" s="7" t="s">
        <v>43</v>
      </c>
      <c r="B196" s="8">
        <v>8</v>
      </c>
      <c r="C196" s="8" t="s">
        <v>37</v>
      </c>
      <c r="D196" s="9" t="s">
        <v>41</v>
      </c>
      <c r="E196" s="7" t="s">
        <v>25</v>
      </c>
      <c r="F196" s="7" t="s">
        <v>39</v>
      </c>
      <c r="H196" s="7">
        <v>1972</v>
      </c>
      <c r="I196" s="7">
        <v>30</v>
      </c>
      <c r="K196" s="7">
        <v>6</v>
      </c>
      <c r="M196" s="7">
        <v>4</v>
      </c>
      <c r="N196" s="7">
        <v>7</v>
      </c>
      <c r="O196" s="7">
        <v>53</v>
      </c>
      <c r="T196" s="12"/>
      <c r="V196" cm="1">
        <f t="array" ref="V196">_xlfn.LET(
_xlpm.x,_xlfn._xlws.FILTER(O196:S196,(O196:S196&lt;&gt;"R")*(O196:S196&lt;&gt;"NA")*(O196:S196&lt;&gt;"W")*(O196:S196&lt;&gt;"")),
IF(COUNTA(_xlpm.x)=0,"NA",IF(MIN(_xlpm.x)=MAX(_xlpm.x),MIN(_xlpm.x),"review"))
)</f>
        <v>53</v>
      </c>
    </row>
    <row r="197" spans="1:22" ht="15.75" hidden="1" customHeight="1" x14ac:dyDescent="0.25">
      <c r="A197" s="7" t="s">
        <v>43</v>
      </c>
      <c r="B197" s="8">
        <v>8</v>
      </c>
      <c r="C197" s="8" t="s">
        <v>37</v>
      </c>
      <c r="D197" s="9" t="s">
        <v>41</v>
      </c>
      <c r="E197" s="7" t="s">
        <v>25</v>
      </c>
      <c r="F197" s="7" t="s">
        <v>39</v>
      </c>
      <c r="H197" s="7">
        <v>1972</v>
      </c>
      <c r="I197" s="7">
        <v>30</v>
      </c>
      <c r="K197" s="7">
        <v>6</v>
      </c>
      <c r="M197" s="7">
        <v>4</v>
      </c>
      <c r="N197" s="7">
        <v>8</v>
      </c>
      <c r="O197" s="7">
        <v>52</v>
      </c>
      <c r="T197" s="12"/>
      <c r="V197" cm="1">
        <f t="array" ref="V197">_xlfn.LET(
_xlpm.x,_xlfn._xlws.FILTER(O197:S197,(O197:S197&lt;&gt;"R")*(O197:S197&lt;&gt;"NA")*(O197:S197&lt;&gt;"W")*(O197:S197&lt;&gt;"")),
IF(COUNTA(_xlpm.x)=0,"NA",IF(MIN(_xlpm.x)=MAX(_xlpm.x),MIN(_xlpm.x),"review"))
)</f>
        <v>52</v>
      </c>
    </row>
    <row r="198" spans="1:22" ht="15.75" hidden="1" customHeight="1" x14ac:dyDescent="0.25">
      <c r="A198" s="7" t="s">
        <v>43</v>
      </c>
      <c r="B198" s="8">
        <v>8</v>
      </c>
      <c r="C198" s="8" t="s">
        <v>37</v>
      </c>
      <c r="D198" s="9" t="s">
        <v>41</v>
      </c>
      <c r="E198" s="7" t="s">
        <v>25</v>
      </c>
      <c r="F198" s="7" t="s">
        <v>39</v>
      </c>
      <c r="H198" s="7">
        <v>1972</v>
      </c>
      <c r="I198" s="7">
        <v>30</v>
      </c>
      <c r="K198" s="7">
        <v>6</v>
      </c>
      <c r="M198" s="7">
        <v>4</v>
      </c>
      <c r="N198" s="7">
        <v>9</v>
      </c>
      <c r="O198" s="7">
        <v>42</v>
      </c>
      <c r="T198" s="12"/>
      <c r="V198" cm="1">
        <f t="array" ref="V198">_xlfn.LET(
_xlpm.x,_xlfn._xlws.FILTER(O198:S198,(O198:S198&lt;&gt;"R")*(O198:S198&lt;&gt;"NA")*(O198:S198&lt;&gt;"W")*(O198:S198&lt;&gt;"")),
IF(COUNTA(_xlpm.x)=0,"NA",IF(MIN(_xlpm.x)=MAX(_xlpm.x),MIN(_xlpm.x),"review"))
)</f>
        <v>42</v>
      </c>
    </row>
    <row r="199" spans="1:22" ht="15.75" hidden="1" customHeight="1" x14ac:dyDescent="0.25">
      <c r="A199" s="7" t="s">
        <v>43</v>
      </c>
      <c r="B199" s="8">
        <v>8</v>
      </c>
      <c r="C199" s="8" t="s">
        <v>37</v>
      </c>
      <c r="D199" s="9" t="s">
        <v>41</v>
      </c>
      <c r="E199" s="7" t="s">
        <v>25</v>
      </c>
      <c r="F199" s="7" t="s">
        <v>39</v>
      </c>
      <c r="H199" s="7">
        <v>1972</v>
      </c>
      <c r="I199" s="7">
        <v>30</v>
      </c>
      <c r="K199" s="7">
        <v>6</v>
      </c>
      <c r="M199" s="7">
        <v>4</v>
      </c>
      <c r="N199" s="7">
        <v>10</v>
      </c>
      <c r="O199" s="7">
        <v>42</v>
      </c>
      <c r="T199" s="12"/>
      <c r="V199" cm="1">
        <f t="array" ref="V199">_xlfn.LET(
_xlpm.x,_xlfn._xlws.FILTER(O199:S199,(O199:S199&lt;&gt;"R")*(O199:S199&lt;&gt;"NA")*(O199:S199&lt;&gt;"W")*(O199:S199&lt;&gt;"")),
IF(COUNTA(_xlpm.x)=0,"NA",IF(MIN(_xlpm.x)=MAX(_xlpm.x),MIN(_xlpm.x),"review"))
)</f>
        <v>42</v>
      </c>
    </row>
    <row r="200" spans="1:22" ht="15.75" hidden="1" customHeight="1" x14ac:dyDescent="0.25">
      <c r="A200" s="7" t="s">
        <v>43</v>
      </c>
      <c r="B200" s="8">
        <v>8</v>
      </c>
      <c r="C200" s="8" t="s">
        <v>37</v>
      </c>
      <c r="D200" s="9" t="s">
        <v>41</v>
      </c>
      <c r="E200" s="7" t="s">
        <v>25</v>
      </c>
      <c r="F200" s="7" t="s">
        <v>39</v>
      </c>
      <c r="H200" s="7">
        <v>1972</v>
      </c>
      <c r="I200" s="7">
        <v>30</v>
      </c>
      <c r="K200" s="7">
        <v>6</v>
      </c>
      <c r="M200" s="7">
        <v>4</v>
      </c>
      <c r="N200" s="7">
        <v>11</v>
      </c>
      <c r="O200" s="7">
        <v>42</v>
      </c>
      <c r="T200" s="12" t="s">
        <v>44</v>
      </c>
      <c r="V200" cm="1">
        <f t="array" ref="V200">_xlfn.LET(
_xlpm.x,_xlfn._xlws.FILTER(O200:S200,(O200:S200&lt;&gt;"R")*(O200:S200&lt;&gt;"NA")*(O200:S200&lt;&gt;"W")*(O200:S200&lt;&gt;"")),
IF(COUNTA(_xlpm.x)=0,"NA",IF(MIN(_xlpm.x)=MAX(_xlpm.x),MIN(_xlpm.x),"review"))
)</f>
        <v>42</v>
      </c>
    </row>
    <row r="201" spans="1:22" ht="15.75" hidden="1" customHeight="1" x14ac:dyDescent="0.25">
      <c r="A201" s="7" t="s">
        <v>43</v>
      </c>
      <c r="B201" s="8">
        <v>8</v>
      </c>
      <c r="C201" s="8" t="s">
        <v>37</v>
      </c>
      <c r="D201" s="9" t="s">
        <v>41</v>
      </c>
      <c r="E201" s="7" t="s">
        <v>25</v>
      </c>
      <c r="F201" s="7" t="s">
        <v>39</v>
      </c>
      <c r="H201" s="7">
        <v>1972</v>
      </c>
      <c r="I201" s="7">
        <v>30</v>
      </c>
      <c r="K201" s="7">
        <v>6</v>
      </c>
      <c r="M201" s="7">
        <v>4</v>
      </c>
      <c r="N201" s="7">
        <v>12</v>
      </c>
      <c r="O201" s="7">
        <v>32</v>
      </c>
      <c r="T201" s="12"/>
      <c r="V201" cm="1">
        <f t="array" ref="V201">_xlfn.LET(
_xlpm.x,_xlfn._xlws.FILTER(O201:S201,(O201:S201&lt;&gt;"R")*(O201:S201&lt;&gt;"NA")*(O201:S201&lt;&gt;"W")*(O201:S201&lt;&gt;"")),
IF(COUNTA(_xlpm.x)=0,"NA",IF(MIN(_xlpm.x)=MAX(_xlpm.x),MIN(_xlpm.x),"review"))
)</f>
        <v>32</v>
      </c>
    </row>
    <row r="202" spans="1:22" ht="15.75" hidden="1" customHeight="1" x14ac:dyDescent="0.25">
      <c r="A202" s="7" t="s">
        <v>43</v>
      </c>
      <c r="B202" s="8">
        <v>8</v>
      </c>
      <c r="C202" s="8" t="s">
        <v>37</v>
      </c>
      <c r="D202" s="9" t="s">
        <v>41</v>
      </c>
      <c r="E202" s="7" t="s">
        <v>25</v>
      </c>
      <c r="F202" s="7" t="s">
        <v>39</v>
      </c>
      <c r="H202" s="7">
        <v>1972</v>
      </c>
      <c r="I202" s="7">
        <v>30</v>
      </c>
      <c r="K202" s="7">
        <v>6</v>
      </c>
      <c r="M202" s="7">
        <v>4</v>
      </c>
      <c r="N202" s="7">
        <v>13</v>
      </c>
      <c r="O202" s="7">
        <v>42</v>
      </c>
      <c r="T202" s="12"/>
      <c r="V202" cm="1">
        <f t="array" ref="V202">_xlfn.LET(
_xlpm.x,_xlfn._xlws.FILTER(O202:S202,(O202:S202&lt;&gt;"R")*(O202:S202&lt;&gt;"NA")*(O202:S202&lt;&gt;"W")*(O202:S202&lt;&gt;"")),
IF(COUNTA(_xlpm.x)=0,"NA",IF(MIN(_xlpm.x)=MAX(_xlpm.x),MIN(_xlpm.x),"review"))
)</f>
        <v>42</v>
      </c>
    </row>
    <row r="203" spans="1:22" ht="15.75" hidden="1" customHeight="1" x14ac:dyDescent="0.25">
      <c r="A203" s="7" t="s">
        <v>43</v>
      </c>
      <c r="B203" s="8">
        <v>8</v>
      </c>
      <c r="C203" s="8" t="s">
        <v>37</v>
      </c>
      <c r="D203" s="9" t="s">
        <v>41</v>
      </c>
      <c r="E203" s="7" t="s">
        <v>25</v>
      </c>
      <c r="F203" s="7" t="s">
        <v>39</v>
      </c>
      <c r="H203" s="7">
        <v>1972</v>
      </c>
      <c r="I203" s="7">
        <v>30</v>
      </c>
      <c r="K203" s="7">
        <v>6</v>
      </c>
      <c r="M203" s="7">
        <v>4</v>
      </c>
      <c r="N203" s="7">
        <v>14</v>
      </c>
      <c r="O203" s="7">
        <v>53</v>
      </c>
      <c r="T203" s="12"/>
      <c r="V203" cm="1">
        <f t="array" ref="V203">_xlfn.LET(
_xlpm.x,_xlfn._xlws.FILTER(O203:S203,(O203:S203&lt;&gt;"R")*(O203:S203&lt;&gt;"NA")*(O203:S203&lt;&gt;"W")*(O203:S203&lt;&gt;"")),
IF(COUNTA(_xlpm.x)=0,"NA",IF(MIN(_xlpm.x)=MAX(_xlpm.x),MIN(_xlpm.x),"review"))
)</f>
        <v>53</v>
      </c>
    </row>
    <row r="204" spans="1:22" ht="15.75" hidden="1" customHeight="1" x14ac:dyDescent="0.25">
      <c r="A204" s="7" t="s">
        <v>43</v>
      </c>
      <c r="B204" s="8">
        <v>8</v>
      </c>
      <c r="C204" s="8" t="s">
        <v>37</v>
      </c>
      <c r="D204" s="9" t="s">
        <v>41</v>
      </c>
      <c r="E204" s="7" t="s">
        <v>25</v>
      </c>
      <c r="F204" s="7" t="s">
        <v>39</v>
      </c>
      <c r="H204" s="7">
        <v>1972</v>
      </c>
      <c r="I204" s="7">
        <v>30</v>
      </c>
      <c r="K204" s="7">
        <v>6</v>
      </c>
      <c r="M204" s="7">
        <v>4</v>
      </c>
      <c r="N204" s="7">
        <v>15</v>
      </c>
      <c r="O204" s="7">
        <v>42</v>
      </c>
      <c r="T204" s="12"/>
      <c r="V204" cm="1">
        <f t="array" ref="V204">_xlfn.LET(
_xlpm.x,_xlfn._xlws.FILTER(O204:S204,(O204:S204&lt;&gt;"R")*(O204:S204&lt;&gt;"NA")*(O204:S204&lt;&gt;"W")*(O204:S204&lt;&gt;"")),
IF(COUNTA(_xlpm.x)=0,"NA",IF(MIN(_xlpm.x)=MAX(_xlpm.x),MIN(_xlpm.x),"review"))
)</f>
        <v>42</v>
      </c>
    </row>
    <row r="205" spans="1:22" ht="15.75" hidden="1" customHeight="1" x14ac:dyDescent="0.25">
      <c r="A205" s="7" t="s">
        <v>43</v>
      </c>
      <c r="B205" s="8">
        <v>8</v>
      </c>
      <c r="C205" s="8" t="s">
        <v>37</v>
      </c>
      <c r="D205" s="9" t="s">
        <v>41</v>
      </c>
      <c r="E205" s="7" t="s">
        <v>25</v>
      </c>
      <c r="F205" s="7" t="s">
        <v>39</v>
      </c>
      <c r="H205" s="7">
        <v>1972</v>
      </c>
      <c r="I205" s="7">
        <v>30</v>
      </c>
      <c r="K205" s="7">
        <v>6</v>
      </c>
      <c r="M205" s="7">
        <v>4</v>
      </c>
      <c r="N205" s="7">
        <v>16</v>
      </c>
      <c r="O205" s="7" t="s">
        <v>28</v>
      </c>
      <c r="T205" s="12" t="s">
        <v>45</v>
      </c>
      <c r="V205" t="s">
        <v>29</v>
      </c>
    </row>
    <row r="206" spans="1:22" ht="15.75" hidden="1" customHeight="1" x14ac:dyDescent="0.25">
      <c r="A206" s="7" t="s">
        <v>43</v>
      </c>
      <c r="B206" s="8">
        <v>8</v>
      </c>
      <c r="C206" s="8" t="s">
        <v>37</v>
      </c>
      <c r="D206" s="9" t="s">
        <v>41</v>
      </c>
      <c r="E206" s="7" t="s">
        <v>25</v>
      </c>
      <c r="F206" s="7" t="s">
        <v>39</v>
      </c>
      <c r="H206" s="7">
        <v>1972</v>
      </c>
      <c r="I206" s="7">
        <v>30</v>
      </c>
      <c r="K206" s="7">
        <v>6</v>
      </c>
      <c r="M206" s="7">
        <v>4</v>
      </c>
      <c r="N206" s="7">
        <v>17</v>
      </c>
      <c r="O206" s="7">
        <v>42</v>
      </c>
      <c r="T206" s="12"/>
      <c r="V206" cm="1">
        <f t="array" ref="V206">_xlfn.LET(
_xlpm.x,_xlfn._xlws.FILTER(O206:S206,(O206:S206&lt;&gt;"R")*(O206:S206&lt;&gt;"NA")*(O206:S206&lt;&gt;"W")*(O206:S206&lt;&gt;"")),
IF(COUNTA(_xlpm.x)=0,"NA",IF(MIN(_xlpm.x)=MAX(_xlpm.x),MIN(_xlpm.x),"review"))
)</f>
        <v>42</v>
      </c>
    </row>
    <row r="207" spans="1:22" ht="15.75" hidden="1" customHeight="1" x14ac:dyDescent="0.25">
      <c r="A207" s="7" t="s">
        <v>43</v>
      </c>
      <c r="B207" s="8">
        <v>8</v>
      </c>
      <c r="C207" s="8" t="s">
        <v>37</v>
      </c>
      <c r="D207" s="9" t="s">
        <v>41</v>
      </c>
      <c r="E207" s="7" t="s">
        <v>25</v>
      </c>
      <c r="F207" s="7" t="s">
        <v>39</v>
      </c>
      <c r="H207" s="7">
        <v>1972</v>
      </c>
      <c r="I207" s="7">
        <v>30</v>
      </c>
      <c r="K207" s="7">
        <v>6</v>
      </c>
      <c r="M207" s="7">
        <v>4</v>
      </c>
      <c r="N207" s="7">
        <v>18</v>
      </c>
      <c r="O207" s="7" t="s">
        <v>28</v>
      </c>
      <c r="T207" s="12"/>
      <c r="V207" t="s">
        <v>29</v>
      </c>
    </row>
    <row r="208" spans="1:22" ht="15.75" hidden="1" customHeight="1" x14ac:dyDescent="0.25">
      <c r="A208" s="7" t="s">
        <v>43</v>
      </c>
      <c r="B208" s="8">
        <v>8</v>
      </c>
      <c r="C208" s="8" t="s">
        <v>37</v>
      </c>
      <c r="D208" s="9" t="s">
        <v>41</v>
      </c>
      <c r="E208" s="7" t="s">
        <v>25</v>
      </c>
      <c r="F208" s="7" t="s">
        <v>39</v>
      </c>
      <c r="H208" s="7">
        <v>1972</v>
      </c>
      <c r="I208" s="7">
        <v>30</v>
      </c>
      <c r="K208" s="7">
        <v>6</v>
      </c>
      <c r="M208" s="7">
        <v>4</v>
      </c>
      <c r="N208" s="7">
        <v>19</v>
      </c>
      <c r="O208" s="7">
        <v>42</v>
      </c>
      <c r="T208" s="12"/>
      <c r="V208" cm="1">
        <f t="array" ref="V208">_xlfn.LET(
_xlpm.x,_xlfn._xlws.FILTER(O208:S208,(O208:S208&lt;&gt;"R")*(O208:S208&lt;&gt;"NA")*(O208:S208&lt;&gt;"W")*(O208:S208&lt;&gt;"")),
IF(COUNTA(_xlpm.x)=0,"NA",IF(MIN(_xlpm.x)=MAX(_xlpm.x),MIN(_xlpm.x),"review"))
)</f>
        <v>42</v>
      </c>
    </row>
    <row r="209" spans="1:22" ht="15.75" hidden="1" customHeight="1" x14ac:dyDescent="0.25">
      <c r="A209" s="7" t="s">
        <v>43</v>
      </c>
      <c r="B209" s="8">
        <v>8</v>
      </c>
      <c r="C209" s="8" t="s">
        <v>37</v>
      </c>
      <c r="D209" s="9" t="s">
        <v>41</v>
      </c>
      <c r="E209" s="7" t="s">
        <v>25</v>
      </c>
      <c r="F209" s="7" t="s">
        <v>39</v>
      </c>
      <c r="H209" s="7">
        <v>1972</v>
      </c>
      <c r="I209" s="7">
        <v>30</v>
      </c>
      <c r="K209" s="7">
        <v>6</v>
      </c>
      <c r="M209" s="7">
        <v>4</v>
      </c>
      <c r="N209" s="7">
        <v>20</v>
      </c>
      <c r="O209" s="7">
        <v>31</v>
      </c>
      <c r="T209" s="12"/>
      <c r="V209" cm="1">
        <f t="array" ref="V209">_xlfn.LET(
_xlpm.x,_xlfn._xlws.FILTER(O209:S209,(O209:S209&lt;&gt;"R")*(O209:S209&lt;&gt;"NA")*(O209:S209&lt;&gt;"W")*(O209:S209&lt;&gt;"")),
IF(COUNTA(_xlpm.x)=0,"NA",IF(MIN(_xlpm.x)=MAX(_xlpm.x),MIN(_xlpm.x),"review"))
)</f>
        <v>31</v>
      </c>
    </row>
    <row r="210" spans="1:22" ht="15.75" hidden="1" customHeight="1" x14ac:dyDescent="0.25">
      <c r="A210" s="7" t="s">
        <v>43</v>
      </c>
      <c r="B210" s="8">
        <v>8</v>
      </c>
      <c r="C210" s="8" t="s">
        <v>37</v>
      </c>
      <c r="D210" s="9" t="s">
        <v>41</v>
      </c>
      <c r="E210" s="7" t="s">
        <v>25</v>
      </c>
      <c r="F210" s="7" t="s">
        <v>39</v>
      </c>
      <c r="H210" s="7">
        <v>1972</v>
      </c>
      <c r="I210" s="7">
        <v>30</v>
      </c>
      <c r="K210" s="7">
        <v>6</v>
      </c>
      <c r="M210" s="7">
        <v>4</v>
      </c>
      <c r="N210" s="7">
        <v>21</v>
      </c>
      <c r="O210" s="7">
        <v>42</v>
      </c>
      <c r="T210" s="12"/>
      <c r="V210" cm="1">
        <f t="array" ref="V210">_xlfn.LET(
_xlpm.x,_xlfn._xlws.FILTER(O210:S210,(O210:S210&lt;&gt;"R")*(O210:S210&lt;&gt;"NA")*(O210:S210&lt;&gt;"W")*(O210:S210&lt;&gt;"")),
IF(COUNTA(_xlpm.x)=0,"NA",IF(MIN(_xlpm.x)=MAX(_xlpm.x),MIN(_xlpm.x),"review"))
)</f>
        <v>42</v>
      </c>
    </row>
    <row r="211" spans="1:22" ht="15.75" hidden="1" customHeight="1" x14ac:dyDescent="0.25">
      <c r="A211" s="7" t="s">
        <v>43</v>
      </c>
      <c r="B211" s="8">
        <v>8</v>
      </c>
      <c r="C211" s="8" t="s">
        <v>37</v>
      </c>
      <c r="D211" s="9" t="s">
        <v>41</v>
      </c>
      <c r="E211" s="7" t="s">
        <v>25</v>
      </c>
      <c r="F211" s="7" t="s">
        <v>39</v>
      </c>
      <c r="H211" s="7">
        <v>1972</v>
      </c>
      <c r="I211" s="7">
        <v>30</v>
      </c>
      <c r="K211" s="7">
        <v>6</v>
      </c>
      <c r="M211" s="7">
        <v>4</v>
      </c>
      <c r="N211" s="7">
        <v>22</v>
      </c>
      <c r="O211" s="7">
        <v>32</v>
      </c>
      <c r="T211" s="12"/>
      <c r="V211" cm="1">
        <f t="array" ref="V211">_xlfn.LET(
_xlpm.x,_xlfn._xlws.FILTER(O211:S211,(O211:S211&lt;&gt;"R")*(O211:S211&lt;&gt;"NA")*(O211:S211&lt;&gt;"W")*(O211:S211&lt;&gt;"")),
IF(COUNTA(_xlpm.x)=0,"NA",IF(MIN(_xlpm.x)=MAX(_xlpm.x),MIN(_xlpm.x),"review"))
)</f>
        <v>32</v>
      </c>
    </row>
    <row r="212" spans="1:22" ht="15.75" hidden="1" customHeight="1" x14ac:dyDescent="0.25">
      <c r="A212" s="7" t="s">
        <v>43</v>
      </c>
      <c r="B212" s="8">
        <v>8</v>
      </c>
      <c r="C212" s="8" t="s">
        <v>37</v>
      </c>
      <c r="D212" s="9" t="s">
        <v>41</v>
      </c>
      <c r="E212" s="7" t="s">
        <v>25</v>
      </c>
      <c r="F212" s="7" t="s">
        <v>39</v>
      </c>
      <c r="H212" s="7">
        <v>1972</v>
      </c>
      <c r="I212" s="7">
        <v>30</v>
      </c>
      <c r="K212" s="7">
        <v>6</v>
      </c>
      <c r="M212" s="7">
        <v>4</v>
      </c>
      <c r="N212" s="7">
        <v>23</v>
      </c>
      <c r="O212" s="7">
        <v>42</v>
      </c>
      <c r="T212" s="12"/>
      <c r="V212" cm="1">
        <f t="array" ref="V212">_xlfn.LET(
_xlpm.x,_xlfn._xlws.FILTER(O212:S212,(O212:S212&lt;&gt;"R")*(O212:S212&lt;&gt;"NA")*(O212:S212&lt;&gt;"W")*(O212:S212&lt;&gt;"")),
IF(COUNTA(_xlpm.x)=0,"NA",IF(MIN(_xlpm.x)=MAX(_xlpm.x),MIN(_xlpm.x),"review"))
)</f>
        <v>42</v>
      </c>
    </row>
    <row r="213" spans="1:22" ht="15.75" hidden="1" customHeight="1" x14ac:dyDescent="0.25">
      <c r="A213" s="7" t="s">
        <v>43</v>
      </c>
      <c r="B213" s="8">
        <v>8</v>
      </c>
      <c r="C213" s="8" t="s">
        <v>37</v>
      </c>
      <c r="D213" s="9" t="s">
        <v>41</v>
      </c>
      <c r="E213" s="7" t="s">
        <v>25</v>
      </c>
      <c r="F213" s="7" t="s">
        <v>39</v>
      </c>
      <c r="H213" s="7">
        <v>1972</v>
      </c>
      <c r="I213" s="7">
        <v>30</v>
      </c>
      <c r="K213" s="7">
        <v>6</v>
      </c>
      <c r="M213" s="7">
        <v>4</v>
      </c>
      <c r="N213" s="7">
        <v>24</v>
      </c>
      <c r="O213" s="7" t="s">
        <v>28</v>
      </c>
      <c r="T213" s="12"/>
      <c r="V213" t="s">
        <v>29</v>
      </c>
    </row>
    <row r="214" spans="1:22" ht="15.75" hidden="1" customHeight="1" x14ac:dyDescent="0.25">
      <c r="A214" s="7" t="s">
        <v>43</v>
      </c>
      <c r="B214" s="8">
        <v>8</v>
      </c>
      <c r="C214" s="8" t="s">
        <v>37</v>
      </c>
      <c r="D214" s="9" t="s">
        <v>41</v>
      </c>
      <c r="E214" s="7" t="s">
        <v>25</v>
      </c>
      <c r="F214" s="7" t="s">
        <v>39</v>
      </c>
      <c r="H214" s="7">
        <v>1972</v>
      </c>
      <c r="I214" s="7">
        <v>30</v>
      </c>
      <c r="K214" s="7">
        <v>6</v>
      </c>
      <c r="M214" s="7">
        <v>4</v>
      </c>
      <c r="N214" s="7">
        <v>25</v>
      </c>
      <c r="O214" s="7" t="s">
        <v>28</v>
      </c>
      <c r="T214" s="12"/>
      <c r="V214" t="s">
        <v>29</v>
      </c>
    </row>
    <row r="215" spans="1:22" ht="15.75" hidden="1" customHeight="1" x14ac:dyDescent="0.25">
      <c r="A215" s="7" t="s">
        <v>43</v>
      </c>
      <c r="B215" s="8">
        <v>8</v>
      </c>
      <c r="C215" s="8" t="s">
        <v>37</v>
      </c>
      <c r="D215" s="9" t="s">
        <v>41</v>
      </c>
      <c r="E215" s="7" t="s">
        <v>25</v>
      </c>
      <c r="F215" s="7" t="s">
        <v>39</v>
      </c>
      <c r="H215" s="7">
        <v>1972</v>
      </c>
      <c r="I215" s="7">
        <v>30</v>
      </c>
      <c r="K215" s="7">
        <v>6</v>
      </c>
      <c r="M215" s="7">
        <v>4</v>
      </c>
      <c r="N215" s="7">
        <v>26</v>
      </c>
      <c r="O215" s="7">
        <v>42</v>
      </c>
      <c r="T215" s="12"/>
      <c r="V215" cm="1">
        <f t="array" ref="V215">_xlfn.LET(
_xlpm.x,_xlfn._xlws.FILTER(O215:S215,(O215:S215&lt;&gt;"R")*(O215:S215&lt;&gt;"NA")*(O215:S215&lt;&gt;"W")*(O215:S215&lt;&gt;"")),
IF(COUNTA(_xlpm.x)=0,"NA",IF(MIN(_xlpm.x)=MAX(_xlpm.x),MIN(_xlpm.x),"review"))
)</f>
        <v>42</v>
      </c>
    </row>
    <row r="216" spans="1:22" ht="15.75" hidden="1" customHeight="1" x14ac:dyDescent="0.25">
      <c r="A216" s="7" t="s">
        <v>43</v>
      </c>
      <c r="B216" s="8">
        <v>8</v>
      </c>
      <c r="C216" s="8" t="s">
        <v>37</v>
      </c>
      <c r="D216" s="9" t="s">
        <v>41</v>
      </c>
      <c r="E216" s="7" t="s">
        <v>25</v>
      </c>
      <c r="F216" s="7" t="s">
        <v>39</v>
      </c>
      <c r="H216" s="7">
        <v>1972</v>
      </c>
      <c r="I216" s="7">
        <v>30</v>
      </c>
      <c r="K216" s="7">
        <v>6</v>
      </c>
      <c r="M216" s="7">
        <v>4</v>
      </c>
      <c r="N216" s="7">
        <v>27</v>
      </c>
      <c r="O216" s="7">
        <v>42</v>
      </c>
      <c r="T216" s="12"/>
      <c r="V216" cm="1">
        <f t="array" ref="V216">_xlfn.LET(
_xlpm.x,_xlfn._xlws.FILTER(O216:S216,(O216:S216&lt;&gt;"R")*(O216:S216&lt;&gt;"NA")*(O216:S216&lt;&gt;"W")*(O216:S216&lt;&gt;"")),
IF(COUNTA(_xlpm.x)=0,"NA",IF(MIN(_xlpm.x)=MAX(_xlpm.x),MIN(_xlpm.x),"review"))
)</f>
        <v>42</v>
      </c>
    </row>
    <row r="217" spans="1:22" ht="15.75" hidden="1" customHeight="1" x14ac:dyDescent="0.25">
      <c r="A217" s="7" t="s">
        <v>43</v>
      </c>
      <c r="B217" s="8">
        <v>8</v>
      </c>
      <c r="C217" s="8" t="s">
        <v>37</v>
      </c>
      <c r="D217" s="9" t="s">
        <v>41</v>
      </c>
      <c r="E217" s="7" t="s">
        <v>25</v>
      </c>
      <c r="F217" s="7" t="s">
        <v>39</v>
      </c>
      <c r="H217" s="7">
        <v>1972</v>
      </c>
      <c r="I217" s="7">
        <v>30</v>
      </c>
      <c r="K217" s="7">
        <v>6</v>
      </c>
      <c r="M217" s="7">
        <v>4</v>
      </c>
      <c r="N217" s="7">
        <v>28</v>
      </c>
      <c r="O217" s="7">
        <v>42</v>
      </c>
      <c r="T217" s="12"/>
      <c r="U217" s="7" t="s">
        <v>49</v>
      </c>
      <c r="V217" cm="1">
        <f t="array" ref="V217">_xlfn.LET(
_xlpm.x,_xlfn._xlws.FILTER(O217:S217,(O217:S217&lt;&gt;"R")*(O217:S217&lt;&gt;"NA")*(O217:S217&lt;&gt;"W")*(O217:S217&lt;&gt;"")),
IF(COUNTA(_xlpm.x)=0,"NA",IF(MIN(_xlpm.x)=MAX(_xlpm.x),MIN(_xlpm.x),"review"))
)</f>
        <v>42</v>
      </c>
    </row>
    <row r="218" spans="1:22" ht="15.75" hidden="1" customHeight="1" x14ac:dyDescent="0.25">
      <c r="A218" s="7" t="s">
        <v>43</v>
      </c>
      <c r="B218" s="8">
        <v>8</v>
      </c>
      <c r="C218" s="8" t="s">
        <v>37</v>
      </c>
      <c r="D218" s="9" t="s">
        <v>41</v>
      </c>
      <c r="E218" s="7" t="s">
        <v>25</v>
      </c>
      <c r="F218" s="7" t="s">
        <v>39</v>
      </c>
      <c r="H218" s="7">
        <v>1972</v>
      </c>
      <c r="I218" s="7">
        <v>30</v>
      </c>
      <c r="K218" s="7">
        <v>6</v>
      </c>
      <c r="M218" s="7">
        <v>4</v>
      </c>
      <c r="N218" s="7">
        <v>29</v>
      </c>
      <c r="O218" s="7" t="s">
        <v>28</v>
      </c>
      <c r="T218" s="12"/>
      <c r="U218" s="7" t="s">
        <v>50</v>
      </c>
      <c r="V218" t="s">
        <v>29</v>
      </c>
    </row>
    <row r="219" spans="1:22" ht="15.75" hidden="1" customHeight="1" x14ac:dyDescent="0.25">
      <c r="A219" s="7" t="s">
        <v>43</v>
      </c>
      <c r="B219" s="8">
        <v>8</v>
      </c>
      <c r="C219" s="8" t="s">
        <v>37</v>
      </c>
      <c r="D219" s="9" t="s">
        <v>41</v>
      </c>
      <c r="E219" s="7" t="s">
        <v>25</v>
      </c>
      <c r="F219" s="7" t="s">
        <v>39</v>
      </c>
      <c r="H219" s="7">
        <v>1972</v>
      </c>
      <c r="I219" s="7">
        <v>30</v>
      </c>
      <c r="K219" s="7">
        <v>6</v>
      </c>
      <c r="M219" s="7">
        <v>4</v>
      </c>
      <c r="N219" s="7">
        <v>30</v>
      </c>
      <c r="O219" s="7">
        <v>42</v>
      </c>
      <c r="T219" s="12"/>
      <c r="V219" cm="1">
        <f t="array" ref="V219">_xlfn.LET(
_xlpm.x,_xlfn._xlws.FILTER(O219:S219,(O219:S219&lt;&gt;"R")*(O219:S219&lt;&gt;"NA")*(O219:S219&lt;&gt;"W")*(O219:S219&lt;&gt;"")),
IF(COUNTA(_xlpm.x)=0,"NA",IF(MIN(_xlpm.x)=MAX(_xlpm.x),MIN(_xlpm.x),"review"))
)</f>
        <v>42</v>
      </c>
    </row>
    <row r="220" spans="1:22" ht="15.75" hidden="1" customHeight="1" x14ac:dyDescent="0.25">
      <c r="A220" s="7" t="s">
        <v>43</v>
      </c>
      <c r="B220" s="8">
        <v>8</v>
      </c>
      <c r="C220" s="8" t="s">
        <v>37</v>
      </c>
      <c r="D220" s="9" t="s">
        <v>41</v>
      </c>
      <c r="E220" s="7" t="s">
        <v>25</v>
      </c>
      <c r="F220" s="7" t="s">
        <v>39</v>
      </c>
      <c r="H220" s="7">
        <v>1972</v>
      </c>
      <c r="I220" s="7">
        <v>30</v>
      </c>
      <c r="K220" s="7">
        <v>6</v>
      </c>
      <c r="M220" s="7">
        <v>4</v>
      </c>
      <c r="N220" s="7">
        <v>31</v>
      </c>
      <c r="O220" s="7" t="s">
        <v>28</v>
      </c>
      <c r="T220" s="12"/>
      <c r="V220" t="s">
        <v>29</v>
      </c>
    </row>
    <row r="221" spans="1:22" ht="15.75" hidden="1" customHeight="1" x14ac:dyDescent="0.25">
      <c r="A221" s="7" t="s">
        <v>43</v>
      </c>
      <c r="B221" s="8">
        <v>8</v>
      </c>
      <c r="C221" s="8" t="s">
        <v>37</v>
      </c>
      <c r="D221" s="9" t="s">
        <v>41</v>
      </c>
      <c r="E221" s="7" t="s">
        <v>25</v>
      </c>
      <c r="F221" s="7" t="s">
        <v>39</v>
      </c>
      <c r="H221" s="7">
        <v>1972</v>
      </c>
      <c r="I221" s="7">
        <v>30</v>
      </c>
      <c r="K221" s="7">
        <v>6</v>
      </c>
      <c r="M221" s="7">
        <v>4</v>
      </c>
      <c r="N221" s="7">
        <v>32</v>
      </c>
      <c r="O221" s="7">
        <v>42</v>
      </c>
      <c r="T221" s="12"/>
      <c r="V221" cm="1">
        <f t="array" ref="V221">_xlfn.LET(
_xlpm.x,_xlfn._xlws.FILTER(O221:S221,(O221:S221&lt;&gt;"R")*(O221:S221&lt;&gt;"NA")*(O221:S221&lt;&gt;"W")*(O221:S221&lt;&gt;"")),
IF(COUNTA(_xlpm.x)=0,"NA",IF(MIN(_xlpm.x)=MAX(_xlpm.x),MIN(_xlpm.x),"review"))
)</f>
        <v>42</v>
      </c>
    </row>
    <row r="222" spans="1:22" ht="15.75" hidden="1" customHeight="1" x14ac:dyDescent="0.25">
      <c r="A222" s="7" t="s">
        <v>43</v>
      </c>
      <c r="B222" s="8">
        <v>8</v>
      </c>
      <c r="C222" s="8" t="s">
        <v>37</v>
      </c>
      <c r="D222" s="9" t="s">
        <v>41</v>
      </c>
      <c r="E222" s="7" t="s">
        <v>25</v>
      </c>
      <c r="F222" s="7" t="s">
        <v>39</v>
      </c>
      <c r="H222" s="7">
        <v>1972</v>
      </c>
      <c r="I222" s="7">
        <v>30</v>
      </c>
      <c r="K222" s="7">
        <v>6</v>
      </c>
      <c r="M222" s="7">
        <v>4</v>
      </c>
      <c r="N222" s="7">
        <v>33</v>
      </c>
      <c r="O222" s="7">
        <v>42</v>
      </c>
      <c r="T222" s="12"/>
      <c r="V222" cm="1">
        <f t="array" ref="V222">_xlfn.LET(
_xlpm.x,_xlfn._xlws.FILTER(O222:S222,(O222:S222&lt;&gt;"R")*(O222:S222&lt;&gt;"NA")*(O222:S222&lt;&gt;"W")*(O222:S222&lt;&gt;"")),
IF(COUNTA(_xlpm.x)=0,"NA",IF(MIN(_xlpm.x)=MAX(_xlpm.x),MIN(_xlpm.x),"review"))
)</f>
        <v>42</v>
      </c>
    </row>
    <row r="223" spans="1:22" ht="15.75" hidden="1" customHeight="1" x14ac:dyDescent="0.25">
      <c r="A223" s="7" t="s">
        <v>43</v>
      </c>
      <c r="B223" s="8">
        <v>8</v>
      </c>
      <c r="C223" s="8" t="s">
        <v>37</v>
      </c>
      <c r="D223" s="9" t="s">
        <v>41</v>
      </c>
      <c r="E223" s="7" t="s">
        <v>25</v>
      </c>
      <c r="F223" s="7" t="s">
        <v>39</v>
      </c>
      <c r="H223" s="7">
        <v>1972</v>
      </c>
      <c r="I223" s="7">
        <v>30</v>
      </c>
      <c r="K223" s="7">
        <v>6</v>
      </c>
      <c r="M223" s="7">
        <v>4</v>
      </c>
      <c r="N223" s="7">
        <v>34</v>
      </c>
      <c r="O223" s="7" t="s">
        <v>28</v>
      </c>
      <c r="T223" s="12"/>
      <c r="V223" t="s">
        <v>29</v>
      </c>
    </row>
    <row r="224" spans="1:22" ht="15.75" hidden="1" customHeight="1" x14ac:dyDescent="0.25">
      <c r="A224" s="7" t="s">
        <v>43</v>
      </c>
      <c r="B224" s="8">
        <v>8</v>
      </c>
      <c r="C224" s="8" t="s">
        <v>37</v>
      </c>
      <c r="D224" s="9" t="s">
        <v>41</v>
      </c>
      <c r="E224" s="7" t="s">
        <v>25</v>
      </c>
      <c r="F224" s="7" t="s">
        <v>39</v>
      </c>
      <c r="H224" s="7">
        <v>1972</v>
      </c>
      <c r="I224" s="7">
        <v>30</v>
      </c>
      <c r="K224" s="7">
        <v>6</v>
      </c>
      <c r="M224" s="7">
        <v>4</v>
      </c>
      <c r="N224" s="7">
        <v>35</v>
      </c>
      <c r="O224" s="7">
        <v>42</v>
      </c>
      <c r="T224" s="12" t="s">
        <v>44</v>
      </c>
      <c r="V224" cm="1">
        <f t="array" ref="V224">_xlfn.LET(
_xlpm.x,_xlfn._xlws.FILTER(O224:S224,(O224:S224&lt;&gt;"R")*(O224:S224&lt;&gt;"NA")*(O224:S224&lt;&gt;"W")*(O224:S224&lt;&gt;"")),
IF(COUNTA(_xlpm.x)=0,"NA",IF(MIN(_xlpm.x)=MAX(_xlpm.x),MIN(_xlpm.x),"review"))
)</f>
        <v>42</v>
      </c>
    </row>
    <row r="225" spans="1:22" ht="15.75" hidden="1" customHeight="1" x14ac:dyDescent="0.25">
      <c r="A225" s="7" t="s">
        <v>43</v>
      </c>
      <c r="B225" s="8">
        <v>8</v>
      </c>
      <c r="C225" s="8" t="s">
        <v>37</v>
      </c>
      <c r="D225" s="9" t="s">
        <v>41</v>
      </c>
      <c r="E225" s="7" t="s">
        <v>25</v>
      </c>
      <c r="F225" s="7" t="s">
        <v>39</v>
      </c>
      <c r="H225" s="7">
        <v>1972</v>
      </c>
      <c r="I225" s="7">
        <v>30</v>
      </c>
      <c r="K225" s="7">
        <v>6</v>
      </c>
      <c r="M225" s="7">
        <v>4</v>
      </c>
      <c r="N225" s="7">
        <v>36</v>
      </c>
      <c r="O225" s="7">
        <v>31</v>
      </c>
      <c r="T225" s="12" t="s">
        <v>46</v>
      </c>
      <c r="V225" cm="1">
        <f t="array" ref="V225">_xlfn.LET(
_xlpm.x,_xlfn._xlws.FILTER(O225:S225,(O225:S225&lt;&gt;"R")*(O225:S225&lt;&gt;"NA")*(O225:S225&lt;&gt;"W")*(O225:S225&lt;&gt;"")),
IF(COUNTA(_xlpm.x)=0,"NA",IF(MIN(_xlpm.x)=MAX(_xlpm.x),MIN(_xlpm.x),"review"))
)</f>
        <v>31</v>
      </c>
    </row>
    <row r="226" spans="1:22" ht="15.75" hidden="1" customHeight="1" x14ac:dyDescent="0.25">
      <c r="A226" s="7" t="s">
        <v>43</v>
      </c>
      <c r="B226" s="8">
        <v>8</v>
      </c>
      <c r="C226" s="8" t="s">
        <v>37</v>
      </c>
      <c r="D226" s="9" t="s">
        <v>41</v>
      </c>
      <c r="E226" s="7" t="s">
        <v>25</v>
      </c>
      <c r="F226" s="7" t="s">
        <v>39</v>
      </c>
      <c r="H226" s="7">
        <v>1972</v>
      </c>
      <c r="I226" s="7">
        <v>30</v>
      </c>
      <c r="K226" s="7">
        <v>6</v>
      </c>
      <c r="M226" s="7">
        <v>4</v>
      </c>
      <c r="N226" s="7">
        <v>37</v>
      </c>
      <c r="O226" s="7" t="s">
        <v>29</v>
      </c>
      <c r="T226" s="12"/>
      <c r="V226" t="s">
        <v>29</v>
      </c>
    </row>
    <row r="227" spans="1:22" ht="15.75" hidden="1" customHeight="1" x14ac:dyDescent="0.25">
      <c r="A227" s="7" t="s">
        <v>43</v>
      </c>
      <c r="B227" s="8">
        <v>8</v>
      </c>
      <c r="C227" s="8" t="s">
        <v>37</v>
      </c>
      <c r="D227" s="9" t="s">
        <v>41</v>
      </c>
      <c r="E227" s="7" t="s">
        <v>25</v>
      </c>
      <c r="F227" s="7" t="s">
        <v>39</v>
      </c>
      <c r="H227" s="7">
        <v>1972</v>
      </c>
      <c r="I227" s="7">
        <v>30</v>
      </c>
      <c r="K227" s="7">
        <v>6</v>
      </c>
      <c r="M227" s="7">
        <v>4</v>
      </c>
      <c r="N227" s="7">
        <v>38</v>
      </c>
      <c r="O227" s="7">
        <v>42</v>
      </c>
      <c r="T227" s="12"/>
      <c r="V227" cm="1">
        <f t="array" ref="V227">_xlfn.LET(
_xlpm.x,_xlfn._xlws.FILTER(O227:S227,(O227:S227&lt;&gt;"R")*(O227:S227&lt;&gt;"NA")*(O227:S227&lt;&gt;"W")*(O227:S227&lt;&gt;"")),
IF(COUNTA(_xlpm.x)=0,"NA",IF(MIN(_xlpm.x)=MAX(_xlpm.x),MIN(_xlpm.x),"review"))
)</f>
        <v>42</v>
      </c>
    </row>
    <row r="228" spans="1:22" ht="15.75" hidden="1" customHeight="1" x14ac:dyDescent="0.25">
      <c r="A228" s="7" t="s">
        <v>43</v>
      </c>
      <c r="B228" s="8">
        <v>8</v>
      </c>
      <c r="C228" s="8" t="s">
        <v>37</v>
      </c>
      <c r="D228" s="9" t="s">
        <v>41</v>
      </c>
      <c r="E228" s="7" t="s">
        <v>25</v>
      </c>
      <c r="F228" s="7" t="s">
        <v>39</v>
      </c>
      <c r="H228" s="7">
        <v>1972</v>
      </c>
      <c r="I228" s="7">
        <v>30</v>
      </c>
      <c r="K228" s="7">
        <v>6</v>
      </c>
      <c r="M228" s="7">
        <v>4</v>
      </c>
      <c r="N228" s="7">
        <v>39</v>
      </c>
      <c r="O228" s="7" t="s">
        <v>29</v>
      </c>
      <c r="T228" s="12" t="s">
        <v>44</v>
      </c>
      <c r="V228" t="s">
        <v>29</v>
      </c>
    </row>
    <row r="229" spans="1:22" ht="15.75" hidden="1" customHeight="1" x14ac:dyDescent="0.25">
      <c r="A229" s="7" t="s">
        <v>43</v>
      </c>
      <c r="B229" s="8">
        <v>8</v>
      </c>
      <c r="C229" s="8" t="s">
        <v>37</v>
      </c>
      <c r="D229" s="9" t="s">
        <v>41</v>
      </c>
      <c r="E229" s="7" t="s">
        <v>25</v>
      </c>
      <c r="F229" s="7" t="s">
        <v>39</v>
      </c>
      <c r="H229" s="7">
        <v>1972</v>
      </c>
      <c r="I229" s="7">
        <v>30</v>
      </c>
      <c r="K229" s="7">
        <v>6</v>
      </c>
      <c r="M229" s="7">
        <v>4</v>
      </c>
      <c r="N229" s="7">
        <v>40</v>
      </c>
      <c r="O229" s="7">
        <v>52</v>
      </c>
      <c r="T229" s="12"/>
      <c r="V229" cm="1">
        <f t="array" ref="V229">_xlfn.LET(
_xlpm.x,_xlfn._xlws.FILTER(O229:S229,(O229:S229&lt;&gt;"R")*(O229:S229&lt;&gt;"NA")*(O229:S229&lt;&gt;"W")*(O229:S229&lt;&gt;"")),
IF(COUNTA(_xlpm.x)=0,"NA",IF(MIN(_xlpm.x)=MAX(_xlpm.x),MIN(_xlpm.x),"review"))
)</f>
        <v>52</v>
      </c>
    </row>
    <row r="230" spans="1:22" ht="15.75" hidden="1" customHeight="1" x14ac:dyDescent="0.25">
      <c r="A230" s="7" t="s">
        <v>43</v>
      </c>
      <c r="B230" s="8">
        <v>8</v>
      </c>
      <c r="C230" s="8" t="s">
        <v>37</v>
      </c>
      <c r="D230" s="9" t="s">
        <v>41</v>
      </c>
      <c r="E230" s="7" t="s">
        <v>25</v>
      </c>
      <c r="F230" s="7" t="s">
        <v>39</v>
      </c>
      <c r="H230" s="7">
        <v>1972</v>
      </c>
      <c r="I230" s="7">
        <v>30</v>
      </c>
      <c r="K230" s="7">
        <v>6</v>
      </c>
      <c r="M230" s="7">
        <v>4</v>
      </c>
      <c r="N230" s="7">
        <v>41</v>
      </c>
      <c r="T230" s="12" t="s">
        <v>44</v>
      </c>
      <c r="V230" t="s">
        <v>29</v>
      </c>
    </row>
    <row r="231" spans="1:22" ht="15.75" hidden="1" customHeight="1" x14ac:dyDescent="0.25">
      <c r="A231" s="7" t="s">
        <v>43</v>
      </c>
      <c r="B231" s="8">
        <v>8</v>
      </c>
      <c r="C231" s="8" t="s">
        <v>37</v>
      </c>
      <c r="D231" s="9" t="s">
        <v>41</v>
      </c>
      <c r="E231" s="7" t="s">
        <v>25</v>
      </c>
      <c r="F231" s="7" t="s">
        <v>39</v>
      </c>
      <c r="H231" s="7">
        <v>1972</v>
      </c>
      <c r="I231" s="7">
        <v>30</v>
      </c>
      <c r="K231" s="7">
        <v>6</v>
      </c>
      <c r="M231" s="7">
        <v>4</v>
      </c>
      <c r="N231" s="7">
        <v>42</v>
      </c>
      <c r="O231" s="7">
        <v>32</v>
      </c>
      <c r="T231" s="12"/>
      <c r="V231" cm="1">
        <f t="array" ref="V231">_xlfn.LET(
_xlpm.x,_xlfn._xlws.FILTER(O231:S231,(O231:S231&lt;&gt;"R")*(O231:S231&lt;&gt;"NA")*(O231:S231&lt;&gt;"W")*(O231:S231&lt;&gt;"")),
IF(COUNTA(_xlpm.x)=0,"NA",IF(MIN(_xlpm.x)=MAX(_xlpm.x),MIN(_xlpm.x),"review"))
)</f>
        <v>32</v>
      </c>
    </row>
    <row r="232" spans="1:22" ht="15.75" hidden="1" customHeight="1" x14ac:dyDescent="0.25">
      <c r="A232" s="7" t="s">
        <v>43</v>
      </c>
      <c r="B232" s="8">
        <v>8</v>
      </c>
      <c r="C232" s="8" t="s">
        <v>37</v>
      </c>
      <c r="D232" s="9" t="s">
        <v>41</v>
      </c>
      <c r="E232" s="7" t="s">
        <v>25</v>
      </c>
      <c r="F232" s="7" t="s">
        <v>39</v>
      </c>
      <c r="H232" s="7">
        <v>1972</v>
      </c>
      <c r="I232" s="7">
        <v>30</v>
      </c>
      <c r="K232" s="7">
        <v>6</v>
      </c>
      <c r="M232" s="7">
        <v>4</v>
      </c>
      <c r="N232" s="7">
        <v>43</v>
      </c>
      <c r="O232" s="7">
        <v>32</v>
      </c>
      <c r="T232" s="12"/>
      <c r="V232" cm="1">
        <f t="array" ref="V232">_xlfn.LET(
_xlpm.x,_xlfn._xlws.FILTER(O232:S232,(O232:S232&lt;&gt;"R")*(O232:S232&lt;&gt;"NA")*(O232:S232&lt;&gt;"W")*(O232:S232&lt;&gt;"")),
IF(COUNTA(_xlpm.x)=0,"NA",IF(MIN(_xlpm.x)=MAX(_xlpm.x),MIN(_xlpm.x),"review"))
)</f>
        <v>32</v>
      </c>
    </row>
    <row r="233" spans="1:22" ht="15.75" hidden="1" customHeight="1" x14ac:dyDescent="0.25">
      <c r="A233" s="7" t="s">
        <v>43</v>
      </c>
      <c r="B233" s="8">
        <v>8</v>
      </c>
      <c r="C233" s="8" t="s">
        <v>37</v>
      </c>
      <c r="D233" s="9" t="s">
        <v>41</v>
      </c>
      <c r="E233" s="7" t="s">
        <v>25</v>
      </c>
      <c r="F233" s="7" t="s">
        <v>39</v>
      </c>
      <c r="H233" s="7">
        <v>1972</v>
      </c>
      <c r="I233" s="7">
        <v>30</v>
      </c>
      <c r="K233" s="7">
        <v>6</v>
      </c>
      <c r="M233" s="7">
        <v>4</v>
      </c>
      <c r="N233" s="7">
        <v>44</v>
      </c>
      <c r="O233" s="7">
        <v>32</v>
      </c>
      <c r="T233" s="12"/>
      <c r="V233" cm="1">
        <f t="array" ref="V233">_xlfn.LET(
_xlpm.x,_xlfn._xlws.FILTER(O233:S233,(O233:S233&lt;&gt;"R")*(O233:S233&lt;&gt;"NA")*(O233:S233&lt;&gt;"W")*(O233:S233&lt;&gt;"")),
IF(COUNTA(_xlpm.x)=0,"NA",IF(MIN(_xlpm.x)=MAX(_xlpm.x),MIN(_xlpm.x),"review"))
)</f>
        <v>32</v>
      </c>
    </row>
    <row r="234" spans="1:22" ht="15.75" hidden="1" customHeight="1" x14ac:dyDescent="0.25">
      <c r="A234" s="7" t="s">
        <v>43</v>
      </c>
      <c r="B234" s="8">
        <v>8</v>
      </c>
      <c r="C234" s="8" t="s">
        <v>37</v>
      </c>
      <c r="D234" s="9" t="s">
        <v>41</v>
      </c>
      <c r="E234" s="7" t="s">
        <v>25</v>
      </c>
      <c r="F234" s="7" t="s">
        <v>39</v>
      </c>
      <c r="H234" s="7">
        <v>1972</v>
      </c>
      <c r="I234" s="7">
        <v>30</v>
      </c>
      <c r="K234" s="7">
        <v>6</v>
      </c>
      <c r="M234" s="7">
        <v>4</v>
      </c>
      <c r="N234" s="7">
        <v>45</v>
      </c>
      <c r="O234" s="7">
        <v>31</v>
      </c>
      <c r="T234" s="12" t="s">
        <v>46</v>
      </c>
      <c r="V234" cm="1">
        <f t="array" ref="V234">_xlfn.LET(
_xlpm.x,_xlfn._xlws.FILTER(O234:S234,(O234:S234&lt;&gt;"R")*(O234:S234&lt;&gt;"NA")*(O234:S234&lt;&gt;"W")*(O234:S234&lt;&gt;"")),
IF(COUNTA(_xlpm.x)=0,"NA",IF(MIN(_xlpm.x)=MAX(_xlpm.x),MIN(_xlpm.x),"review"))
)</f>
        <v>31</v>
      </c>
    </row>
    <row r="235" spans="1:22" ht="15.75" hidden="1" customHeight="1" x14ac:dyDescent="0.25">
      <c r="A235" s="7" t="s">
        <v>43</v>
      </c>
      <c r="B235" s="8">
        <v>8</v>
      </c>
      <c r="C235" s="8" t="s">
        <v>37</v>
      </c>
      <c r="D235" s="9" t="s">
        <v>41</v>
      </c>
      <c r="E235" s="7" t="s">
        <v>25</v>
      </c>
      <c r="F235" s="7" t="s">
        <v>39</v>
      </c>
      <c r="H235" s="7">
        <v>1972</v>
      </c>
      <c r="I235" s="7">
        <v>30</v>
      </c>
      <c r="K235" s="7">
        <v>6</v>
      </c>
      <c r="M235" s="7">
        <v>4</v>
      </c>
      <c r="N235" s="7">
        <v>46</v>
      </c>
      <c r="O235" s="7">
        <v>42</v>
      </c>
      <c r="T235" s="12"/>
      <c r="V235" cm="1">
        <f t="array" ref="V235">_xlfn.LET(
_xlpm.x,_xlfn._xlws.FILTER(O235:S235,(O235:S235&lt;&gt;"R")*(O235:S235&lt;&gt;"NA")*(O235:S235&lt;&gt;"W")*(O235:S235&lt;&gt;"")),
IF(COUNTA(_xlpm.x)=0,"NA",IF(MIN(_xlpm.x)=MAX(_xlpm.x),MIN(_xlpm.x),"review"))
)</f>
        <v>42</v>
      </c>
    </row>
    <row r="236" spans="1:22" ht="15.75" hidden="1" customHeight="1" x14ac:dyDescent="0.25">
      <c r="A236" s="7" t="s">
        <v>43</v>
      </c>
      <c r="B236" s="8">
        <v>8</v>
      </c>
      <c r="C236" s="8" t="s">
        <v>37</v>
      </c>
      <c r="D236" s="9" t="s">
        <v>41</v>
      </c>
      <c r="E236" s="7" t="s">
        <v>25</v>
      </c>
      <c r="F236" s="7" t="s">
        <v>39</v>
      </c>
      <c r="H236" s="7">
        <v>1972</v>
      </c>
      <c r="I236" s="7">
        <v>30</v>
      </c>
      <c r="K236" s="7">
        <v>6</v>
      </c>
      <c r="M236" s="7">
        <v>4</v>
      </c>
      <c r="N236" s="7">
        <v>47</v>
      </c>
      <c r="O236" s="7" t="s">
        <v>28</v>
      </c>
      <c r="T236" s="12"/>
      <c r="V236" t="s">
        <v>29</v>
      </c>
    </row>
    <row r="237" spans="1:22" ht="15.75" hidden="1" customHeight="1" x14ac:dyDescent="0.25">
      <c r="A237" s="7" t="s">
        <v>43</v>
      </c>
      <c r="B237" s="8">
        <v>8</v>
      </c>
      <c r="C237" s="8" t="s">
        <v>37</v>
      </c>
      <c r="D237" s="9" t="s">
        <v>41</v>
      </c>
      <c r="E237" s="7" t="s">
        <v>25</v>
      </c>
      <c r="F237" s="7" t="s">
        <v>39</v>
      </c>
      <c r="H237" s="7">
        <v>1972</v>
      </c>
      <c r="I237" s="7">
        <v>30</v>
      </c>
      <c r="K237" s="7">
        <v>6</v>
      </c>
      <c r="M237" s="7">
        <v>4</v>
      </c>
      <c r="N237" s="7">
        <v>48</v>
      </c>
      <c r="O237" s="7" t="s">
        <v>28</v>
      </c>
      <c r="T237" s="12" t="s">
        <v>44</v>
      </c>
      <c r="V237" t="s">
        <v>29</v>
      </c>
    </row>
    <row r="238" spans="1:22" ht="15.75" hidden="1" customHeight="1" x14ac:dyDescent="0.25">
      <c r="A238" s="7" t="s">
        <v>43</v>
      </c>
      <c r="B238" s="8">
        <v>8</v>
      </c>
      <c r="C238" s="8" t="s">
        <v>37</v>
      </c>
      <c r="D238" s="9" t="s">
        <v>41</v>
      </c>
      <c r="E238" s="7" t="s">
        <v>25</v>
      </c>
      <c r="F238" s="7" t="s">
        <v>39</v>
      </c>
      <c r="H238" s="7">
        <v>1972</v>
      </c>
      <c r="I238" s="7">
        <v>30</v>
      </c>
      <c r="K238" s="7">
        <v>6</v>
      </c>
      <c r="M238" s="7">
        <v>4</v>
      </c>
      <c r="N238" s="7">
        <v>49</v>
      </c>
      <c r="O238" s="7">
        <v>42</v>
      </c>
      <c r="T238" s="12"/>
      <c r="V238" cm="1">
        <f t="array" ref="V238">_xlfn.LET(
_xlpm.x,_xlfn._xlws.FILTER(O238:S238,(O238:S238&lt;&gt;"R")*(O238:S238&lt;&gt;"NA")*(O238:S238&lt;&gt;"W")*(O238:S238&lt;&gt;"")),
IF(COUNTA(_xlpm.x)=0,"NA",IF(MIN(_xlpm.x)=MAX(_xlpm.x),MIN(_xlpm.x),"review"))
)</f>
        <v>42</v>
      </c>
    </row>
    <row r="239" spans="1:22" ht="15.75" hidden="1" customHeight="1" x14ac:dyDescent="0.25">
      <c r="A239" s="7" t="s">
        <v>43</v>
      </c>
      <c r="B239" s="8">
        <v>8</v>
      </c>
      <c r="C239" s="8" t="s">
        <v>37</v>
      </c>
      <c r="D239" s="9" t="s">
        <v>41</v>
      </c>
      <c r="E239" s="7" t="s">
        <v>25</v>
      </c>
      <c r="F239" s="7" t="s">
        <v>39</v>
      </c>
      <c r="H239" s="7">
        <v>1972</v>
      </c>
      <c r="I239" s="7">
        <v>30</v>
      </c>
      <c r="K239" s="7">
        <v>6</v>
      </c>
      <c r="M239" s="7">
        <v>4</v>
      </c>
      <c r="N239" s="7">
        <v>50</v>
      </c>
      <c r="O239" s="7">
        <v>31</v>
      </c>
      <c r="T239" s="12"/>
      <c r="U239" s="7" t="s">
        <v>51</v>
      </c>
      <c r="V239" cm="1">
        <f t="array" ref="V239">_xlfn.LET(
_xlpm.x,_xlfn._xlws.FILTER(O239:S239,(O239:S239&lt;&gt;"R")*(O239:S239&lt;&gt;"NA")*(O239:S239&lt;&gt;"W")*(O239:S239&lt;&gt;"")),
IF(COUNTA(_xlpm.x)=0,"NA",IF(MIN(_xlpm.x)=MAX(_xlpm.x),MIN(_xlpm.x),"review"))
)</f>
        <v>31</v>
      </c>
    </row>
    <row r="240" spans="1:22" ht="15.75" hidden="1" customHeight="1" x14ac:dyDescent="0.25">
      <c r="A240" s="7" t="s">
        <v>43</v>
      </c>
      <c r="B240" s="8">
        <v>8</v>
      </c>
      <c r="C240" s="8" t="s">
        <v>52</v>
      </c>
      <c r="D240" s="9" t="s">
        <v>53</v>
      </c>
      <c r="E240" s="7" t="s">
        <v>25</v>
      </c>
      <c r="F240" s="7" t="s">
        <v>39</v>
      </c>
      <c r="H240" s="7">
        <v>1972</v>
      </c>
      <c r="I240" s="7">
        <v>1</v>
      </c>
      <c r="K240" s="7">
        <v>7</v>
      </c>
      <c r="M240" s="7">
        <v>5</v>
      </c>
      <c r="N240" s="7">
        <v>1</v>
      </c>
      <c r="O240" s="7">
        <v>32</v>
      </c>
      <c r="T240" s="12"/>
      <c r="V240" cm="1">
        <f t="array" ref="V240">_xlfn.LET(
_xlpm.x,_xlfn._xlws.FILTER(O240:S240,(O240:S240&lt;&gt;"R")*(O240:S240&lt;&gt;"NA")*(O240:S240&lt;&gt;"W")*(O240:S240&lt;&gt;"")),
IF(COUNTA(_xlpm.x)=0,"NA",IF(MIN(_xlpm.x)=MAX(_xlpm.x),MIN(_xlpm.x),"review"))
)</f>
        <v>32</v>
      </c>
    </row>
    <row r="241" spans="1:22" ht="15.75" hidden="1" customHeight="1" x14ac:dyDescent="0.25">
      <c r="A241" s="7" t="s">
        <v>43</v>
      </c>
      <c r="B241" s="8">
        <v>8</v>
      </c>
      <c r="C241" s="8" t="s">
        <v>52</v>
      </c>
      <c r="D241" s="9" t="s">
        <v>53</v>
      </c>
      <c r="E241" s="7" t="s">
        <v>25</v>
      </c>
      <c r="F241" s="7" t="s">
        <v>39</v>
      </c>
      <c r="H241" s="7">
        <v>1972</v>
      </c>
      <c r="I241" s="7">
        <v>1</v>
      </c>
      <c r="K241" s="7">
        <v>7</v>
      </c>
      <c r="M241" s="7">
        <v>5</v>
      </c>
      <c r="N241" s="7">
        <v>2</v>
      </c>
      <c r="O241" s="7">
        <v>53</v>
      </c>
      <c r="T241" s="12"/>
      <c r="V241" cm="1">
        <f t="array" ref="V241">_xlfn.LET(
_xlpm.x,_xlfn._xlws.FILTER(O241:S241,(O241:S241&lt;&gt;"R")*(O241:S241&lt;&gt;"NA")*(O241:S241&lt;&gt;"W")*(O241:S241&lt;&gt;"")),
IF(COUNTA(_xlpm.x)=0,"NA",IF(MIN(_xlpm.x)=MAX(_xlpm.x),MIN(_xlpm.x),"review"))
)</f>
        <v>53</v>
      </c>
    </row>
    <row r="242" spans="1:22" ht="15.75" hidden="1" customHeight="1" x14ac:dyDescent="0.25">
      <c r="A242" s="7" t="s">
        <v>43</v>
      </c>
      <c r="B242" s="8">
        <v>8</v>
      </c>
      <c r="C242" s="8" t="s">
        <v>52</v>
      </c>
      <c r="D242" s="9" t="s">
        <v>53</v>
      </c>
      <c r="E242" s="7" t="s">
        <v>25</v>
      </c>
      <c r="F242" s="7" t="s">
        <v>39</v>
      </c>
      <c r="H242" s="7">
        <v>1972</v>
      </c>
      <c r="I242" s="7">
        <v>1</v>
      </c>
      <c r="K242" s="7">
        <v>7</v>
      </c>
      <c r="M242" s="7">
        <v>5</v>
      </c>
      <c r="N242" s="7">
        <v>3</v>
      </c>
      <c r="O242" s="7">
        <v>52</v>
      </c>
      <c r="T242" s="12"/>
      <c r="V242" cm="1">
        <f t="array" ref="V242">_xlfn.LET(
_xlpm.x,_xlfn._xlws.FILTER(O242:S242,(O242:S242&lt;&gt;"R")*(O242:S242&lt;&gt;"NA")*(O242:S242&lt;&gt;"W")*(O242:S242&lt;&gt;"")),
IF(COUNTA(_xlpm.x)=0,"NA",IF(MIN(_xlpm.x)=MAX(_xlpm.x),MIN(_xlpm.x),"review"))
)</f>
        <v>52</v>
      </c>
    </row>
    <row r="243" spans="1:22" ht="15.75" hidden="1" customHeight="1" x14ac:dyDescent="0.25">
      <c r="A243" s="7" t="s">
        <v>43</v>
      </c>
      <c r="B243" s="8">
        <v>8</v>
      </c>
      <c r="C243" s="8" t="s">
        <v>52</v>
      </c>
      <c r="D243" s="9" t="s">
        <v>53</v>
      </c>
      <c r="E243" s="7" t="s">
        <v>25</v>
      </c>
      <c r="F243" s="7" t="s">
        <v>39</v>
      </c>
      <c r="H243" s="7">
        <v>1972</v>
      </c>
      <c r="I243" s="7">
        <v>1</v>
      </c>
      <c r="K243" s="7">
        <v>7</v>
      </c>
      <c r="M243" s="7">
        <v>5</v>
      </c>
      <c r="N243" s="7">
        <v>4</v>
      </c>
      <c r="O243" s="7" t="s">
        <v>28</v>
      </c>
      <c r="T243" s="12"/>
      <c r="V243" t="s">
        <v>29</v>
      </c>
    </row>
    <row r="244" spans="1:22" ht="15.75" hidden="1" customHeight="1" x14ac:dyDescent="0.25">
      <c r="A244" s="7" t="s">
        <v>43</v>
      </c>
      <c r="B244" s="8">
        <v>8</v>
      </c>
      <c r="C244" s="8" t="s">
        <v>54</v>
      </c>
      <c r="D244" s="9" t="s">
        <v>53</v>
      </c>
      <c r="E244" s="7" t="s">
        <v>25</v>
      </c>
      <c r="F244" s="7" t="s">
        <v>39</v>
      </c>
      <c r="H244" s="7">
        <v>1972</v>
      </c>
      <c r="I244" s="7">
        <v>1</v>
      </c>
      <c r="K244" s="7">
        <v>7</v>
      </c>
      <c r="M244" s="7">
        <v>5</v>
      </c>
      <c r="N244" s="7">
        <v>5</v>
      </c>
      <c r="O244" s="7">
        <v>42</v>
      </c>
      <c r="T244" s="12"/>
      <c r="V244" cm="1">
        <f t="array" ref="V244">_xlfn.LET(
_xlpm.x,_xlfn._xlws.FILTER(O244:S244,(O244:S244&lt;&gt;"R")*(O244:S244&lt;&gt;"NA")*(O244:S244&lt;&gt;"W")*(O244:S244&lt;&gt;"")),
IF(COUNTA(_xlpm.x)=0,"NA",IF(MIN(_xlpm.x)=MAX(_xlpm.x),MIN(_xlpm.x),"review"))
)</f>
        <v>42</v>
      </c>
    </row>
    <row r="245" spans="1:22" ht="15.75" hidden="1" customHeight="1" x14ac:dyDescent="0.25">
      <c r="A245" s="7" t="s">
        <v>43</v>
      </c>
      <c r="B245" s="8">
        <v>8</v>
      </c>
      <c r="C245" s="8" t="s">
        <v>52</v>
      </c>
      <c r="D245" s="9" t="s">
        <v>53</v>
      </c>
      <c r="E245" s="7" t="s">
        <v>25</v>
      </c>
      <c r="F245" s="7" t="s">
        <v>39</v>
      </c>
      <c r="H245" s="7">
        <v>1972</v>
      </c>
      <c r="I245" s="7">
        <v>1</v>
      </c>
      <c r="K245" s="7">
        <v>7</v>
      </c>
      <c r="M245" s="7">
        <v>5</v>
      </c>
      <c r="N245" s="7">
        <v>6</v>
      </c>
      <c r="O245" s="7">
        <v>42</v>
      </c>
      <c r="T245" s="12"/>
      <c r="V245" cm="1">
        <f t="array" ref="V245">_xlfn.LET(
_xlpm.x,_xlfn._xlws.FILTER(O245:S245,(O245:S245&lt;&gt;"R")*(O245:S245&lt;&gt;"NA")*(O245:S245&lt;&gt;"W")*(O245:S245&lt;&gt;"")),
IF(COUNTA(_xlpm.x)=0,"NA",IF(MIN(_xlpm.x)=MAX(_xlpm.x),MIN(_xlpm.x),"review"))
)</f>
        <v>42</v>
      </c>
    </row>
    <row r="246" spans="1:22" ht="15.75" hidden="1" customHeight="1" x14ac:dyDescent="0.25">
      <c r="A246" s="7" t="s">
        <v>43</v>
      </c>
      <c r="B246" s="8">
        <v>8</v>
      </c>
      <c r="C246" s="8" t="s">
        <v>54</v>
      </c>
      <c r="D246" s="9" t="s">
        <v>53</v>
      </c>
      <c r="E246" s="7" t="s">
        <v>25</v>
      </c>
      <c r="F246" s="7" t="s">
        <v>39</v>
      </c>
      <c r="H246" s="7">
        <v>1972</v>
      </c>
      <c r="I246" s="7">
        <v>1</v>
      </c>
      <c r="K246" s="7">
        <v>7</v>
      </c>
      <c r="M246" s="7">
        <v>5</v>
      </c>
      <c r="N246" s="7">
        <v>7</v>
      </c>
      <c r="O246" s="7">
        <v>52</v>
      </c>
      <c r="T246" s="12"/>
      <c r="V246" cm="1">
        <f t="array" ref="V246">_xlfn.LET(
_xlpm.x,_xlfn._xlws.FILTER(O246:S246,(O246:S246&lt;&gt;"R")*(O246:S246&lt;&gt;"NA")*(O246:S246&lt;&gt;"W")*(O246:S246&lt;&gt;"")),
IF(COUNTA(_xlpm.x)=0,"NA",IF(MIN(_xlpm.x)=MAX(_xlpm.x),MIN(_xlpm.x),"review"))
)</f>
        <v>52</v>
      </c>
    </row>
    <row r="247" spans="1:22" ht="15.75" hidden="1" customHeight="1" x14ac:dyDescent="0.25">
      <c r="A247" s="7" t="s">
        <v>43</v>
      </c>
      <c r="B247" s="8">
        <v>8</v>
      </c>
      <c r="C247" s="8" t="s">
        <v>52</v>
      </c>
      <c r="D247" s="9" t="s">
        <v>53</v>
      </c>
      <c r="E247" s="7" t="s">
        <v>25</v>
      </c>
      <c r="F247" s="7" t="s">
        <v>39</v>
      </c>
      <c r="H247" s="7">
        <v>1972</v>
      </c>
      <c r="I247" s="7">
        <v>1</v>
      </c>
      <c r="K247" s="7">
        <v>7</v>
      </c>
      <c r="M247" s="7">
        <v>5</v>
      </c>
      <c r="N247" s="7">
        <v>8</v>
      </c>
      <c r="O247" s="7">
        <v>41</v>
      </c>
      <c r="T247" s="12"/>
      <c r="V247" cm="1">
        <f t="array" ref="V247">_xlfn.LET(
_xlpm.x,_xlfn._xlws.FILTER(O247:S247,(O247:S247&lt;&gt;"R")*(O247:S247&lt;&gt;"NA")*(O247:S247&lt;&gt;"W")*(O247:S247&lt;&gt;"")),
IF(COUNTA(_xlpm.x)=0,"NA",IF(MIN(_xlpm.x)=MAX(_xlpm.x),MIN(_xlpm.x),"review"))
)</f>
        <v>41</v>
      </c>
    </row>
    <row r="248" spans="1:22" ht="15.75" hidden="1" customHeight="1" x14ac:dyDescent="0.25">
      <c r="A248" s="7" t="s">
        <v>43</v>
      </c>
      <c r="B248" s="8">
        <v>8</v>
      </c>
      <c r="C248" s="8" t="s">
        <v>54</v>
      </c>
      <c r="D248" s="9" t="s">
        <v>53</v>
      </c>
      <c r="E248" s="7" t="s">
        <v>25</v>
      </c>
      <c r="F248" s="7" t="s">
        <v>39</v>
      </c>
      <c r="H248" s="7">
        <v>1972</v>
      </c>
      <c r="I248" s="7">
        <v>1</v>
      </c>
      <c r="K248" s="7">
        <v>7</v>
      </c>
      <c r="M248" s="7">
        <v>5</v>
      </c>
      <c r="N248" s="7">
        <v>9</v>
      </c>
      <c r="O248" s="7">
        <v>53</v>
      </c>
      <c r="T248" s="12"/>
      <c r="V248" cm="1">
        <f t="array" ref="V248">_xlfn.LET(
_xlpm.x,_xlfn._xlws.FILTER(O248:S248,(O248:S248&lt;&gt;"R")*(O248:S248&lt;&gt;"NA")*(O248:S248&lt;&gt;"W")*(O248:S248&lt;&gt;"")),
IF(COUNTA(_xlpm.x)=0,"NA",IF(MIN(_xlpm.x)=MAX(_xlpm.x),MIN(_xlpm.x),"review"))
)</f>
        <v>53</v>
      </c>
    </row>
    <row r="249" spans="1:22" ht="15.75" hidden="1" customHeight="1" x14ac:dyDescent="0.25">
      <c r="A249" s="7" t="s">
        <v>43</v>
      </c>
      <c r="B249" s="8">
        <v>8</v>
      </c>
      <c r="C249" s="8" t="s">
        <v>52</v>
      </c>
      <c r="D249" s="9" t="s">
        <v>53</v>
      </c>
      <c r="E249" s="7" t="s">
        <v>25</v>
      </c>
      <c r="F249" s="7" t="s">
        <v>39</v>
      </c>
      <c r="H249" s="7">
        <v>1972</v>
      </c>
      <c r="I249" s="7">
        <v>1</v>
      </c>
      <c r="K249" s="7">
        <v>7</v>
      </c>
      <c r="M249" s="7">
        <v>5</v>
      </c>
      <c r="N249" s="7">
        <v>10</v>
      </c>
      <c r="O249" s="7">
        <v>52</v>
      </c>
      <c r="T249" s="12"/>
      <c r="V249" cm="1">
        <f t="array" ref="V249">_xlfn.LET(
_xlpm.x,_xlfn._xlws.FILTER(O249:S249,(O249:S249&lt;&gt;"R")*(O249:S249&lt;&gt;"NA")*(O249:S249&lt;&gt;"W")*(O249:S249&lt;&gt;"")),
IF(COUNTA(_xlpm.x)=0,"NA",IF(MIN(_xlpm.x)=MAX(_xlpm.x),MIN(_xlpm.x),"review"))
)</f>
        <v>52</v>
      </c>
    </row>
    <row r="250" spans="1:22" ht="15.75" hidden="1" customHeight="1" x14ac:dyDescent="0.25">
      <c r="A250" s="7" t="s">
        <v>43</v>
      </c>
      <c r="B250" s="8">
        <v>8</v>
      </c>
      <c r="C250" s="8" t="s">
        <v>54</v>
      </c>
      <c r="D250" s="9" t="s">
        <v>53</v>
      </c>
      <c r="E250" s="7" t="s">
        <v>25</v>
      </c>
      <c r="F250" s="7" t="s">
        <v>39</v>
      </c>
      <c r="H250" s="7">
        <v>1972</v>
      </c>
      <c r="I250" s="7">
        <v>1</v>
      </c>
      <c r="K250" s="7">
        <v>7</v>
      </c>
      <c r="M250" s="7">
        <v>5</v>
      </c>
      <c r="N250" s="7">
        <v>11</v>
      </c>
      <c r="O250" s="7" t="s">
        <v>29</v>
      </c>
      <c r="T250" s="12"/>
      <c r="V250" t="s">
        <v>29</v>
      </c>
    </row>
    <row r="251" spans="1:22" ht="15.75" hidden="1" customHeight="1" x14ac:dyDescent="0.25">
      <c r="A251" s="7" t="s">
        <v>43</v>
      </c>
      <c r="B251" s="8">
        <v>8</v>
      </c>
      <c r="C251" s="8" t="s">
        <v>52</v>
      </c>
      <c r="D251" s="9" t="s">
        <v>53</v>
      </c>
      <c r="E251" s="7" t="s">
        <v>25</v>
      </c>
      <c r="F251" s="7" t="s">
        <v>39</v>
      </c>
      <c r="H251" s="7">
        <v>1972</v>
      </c>
      <c r="I251" s="7">
        <v>1</v>
      </c>
      <c r="K251" s="7">
        <v>7</v>
      </c>
      <c r="M251" s="7">
        <v>5</v>
      </c>
      <c r="N251" s="7">
        <v>12</v>
      </c>
      <c r="O251" s="7">
        <v>31</v>
      </c>
      <c r="T251" s="12"/>
      <c r="V251" cm="1">
        <f t="array" ref="V251">_xlfn.LET(
_xlpm.x,_xlfn._xlws.FILTER(O251:S251,(O251:S251&lt;&gt;"R")*(O251:S251&lt;&gt;"NA")*(O251:S251&lt;&gt;"W")*(O251:S251&lt;&gt;"")),
IF(COUNTA(_xlpm.x)=0,"NA",IF(MIN(_xlpm.x)=MAX(_xlpm.x),MIN(_xlpm.x),"review"))
)</f>
        <v>31</v>
      </c>
    </row>
    <row r="252" spans="1:22" ht="15.75" hidden="1" customHeight="1" x14ac:dyDescent="0.25">
      <c r="A252" s="7" t="s">
        <v>43</v>
      </c>
      <c r="B252" s="8">
        <v>8</v>
      </c>
      <c r="C252" s="8" t="s">
        <v>54</v>
      </c>
      <c r="D252" s="9" t="s">
        <v>53</v>
      </c>
      <c r="E252" s="7" t="s">
        <v>25</v>
      </c>
      <c r="F252" s="7" t="s">
        <v>39</v>
      </c>
      <c r="H252" s="7">
        <v>1972</v>
      </c>
      <c r="I252" s="7">
        <v>1</v>
      </c>
      <c r="K252" s="7">
        <v>7</v>
      </c>
      <c r="M252" s="7">
        <v>5</v>
      </c>
      <c r="N252" s="7">
        <v>13</v>
      </c>
      <c r="O252" s="7" t="s">
        <v>28</v>
      </c>
      <c r="T252" s="12"/>
      <c r="V252" t="s">
        <v>29</v>
      </c>
    </row>
    <row r="253" spans="1:22" ht="15.75" hidden="1" customHeight="1" x14ac:dyDescent="0.25">
      <c r="A253" s="7" t="s">
        <v>43</v>
      </c>
      <c r="B253" s="8">
        <v>8</v>
      </c>
      <c r="C253" s="8" t="s">
        <v>52</v>
      </c>
      <c r="D253" s="9" t="s">
        <v>53</v>
      </c>
      <c r="E253" s="7" t="s">
        <v>25</v>
      </c>
      <c r="F253" s="7" t="s">
        <v>39</v>
      </c>
      <c r="H253" s="7">
        <v>1972</v>
      </c>
      <c r="I253" s="7">
        <v>1</v>
      </c>
      <c r="K253" s="7">
        <v>7</v>
      </c>
      <c r="M253" s="7">
        <v>5</v>
      </c>
      <c r="N253" s="7">
        <v>14</v>
      </c>
      <c r="O253" s="7">
        <v>53</v>
      </c>
      <c r="T253" s="12"/>
      <c r="V253" cm="1">
        <f t="array" ref="V253">_xlfn.LET(
_xlpm.x,_xlfn._xlws.FILTER(O253:S253,(O253:S253&lt;&gt;"R")*(O253:S253&lt;&gt;"NA")*(O253:S253&lt;&gt;"W")*(O253:S253&lt;&gt;"")),
IF(COUNTA(_xlpm.x)=0,"NA",IF(MIN(_xlpm.x)=MAX(_xlpm.x),MIN(_xlpm.x),"review"))
)</f>
        <v>53</v>
      </c>
    </row>
    <row r="254" spans="1:22" ht="15.75" hidden="1" customHeight="1" x14ac:dyDescent="0.25">
      <c r="A254" s="7" t="s">
        <v>43</v>
      </c>
      <c r="B254" s="8">
        <v>8</v>
      </c>
      <c r="C254" s="8" t="s">
        <v>54</v>
      </c>
      <c r="D254" s="9" t="s">
        <v>53</v>
      </c>
      <c r="E254" s="7" t="s">
        <v>25</v>
      </c>
      <c r="F254" s="7" t="s">
        <v>39</v>
      </c>
      <c r="H254" s="7">
        <v>1972</v>
      </c>
      <c r="I254" s="7">
        <v>1</v>
      </c>
      <c r="K254" s="7">
        <v>7</v>
      </c>
      <c r="M254" s="7">
        <v>5</v>
      </c>
      <c r="N254" s="7">
        <v>15</v>
      </c>
      <c r="O254" s="7" t="s">
        <v>29</v>
      </c>
      <c r="T254" s="12"/>
      <c r="U254" s="7" t="s">
        <v>55</v>
      </c>
      <c r="V254" t="s">
        <v>29</v>
      </c>
    </row>
    <row r="255" spans="1:22" ht="15.75" hidden="1" customHeight="1" x14ac:dyDescent="0.25">
      <c r="A255" s="7" t="s">
        <v>43</v>
      </c>
      <c r="B255" s="8">
        <v>8</v>
      </c>
      <c r="C255" s="8" t="s">
        <v>52</v>
      </c>
      <c r="D255" s="9" t="s">
        <v>53</v>
      </c>
      <c r="E255" s="7" t="s">
        <v>25</v>
      </c>
      <c r="F255" s="7" t="s">
        <v>39</v>
      </c>
      <c r="H255" s="7">
        <v>1972</v>
      </c>
      <c r="I255" s="7">
        <v>1</v>
      </c>
      <c r="K255" s="7">
        <v>7</v>
      </c>
      <c r="M255" s="7">
        <v>5</v>
      </c>
      <c r="N255" s="7">
        <v>16</v>
      </c>
      <c r="O255" s="7">
        <v>42</v>
      </c>
      <c r="T255" s="12"/>
      <c r="V255" cm="1">
        <f t="array" ref="V255">_xlfn.LET(
_xlpm.x,_xlfn._xlws.FILTER(O255:S255,(O255:S255&lt;&gt;"R")*(O255:S255&lt;&gt;"NA")*(O255:S255&lt;&gt;"W")*(O255:S255&lt;&gt;"")),
IF(COUNTA(_xlpm.x)=0,"NA",IF(MIN(_xlpm.x)=MAX(_xlpm.x),MIN(_xlpm.x),"review"))
)</f>
        <v>42</v>
      </c>
    </row>
    <row r="256" spans="1:22" ht="15.75" hidden="1" customHeight="1" x14ac:dyDescent="0.25">
      <c r="A256" s="7" t="s">
        <v>43</v>
      </c>
      <c r="B256" s="8">
        <v>8</v>
      </c>
      <c r="C256" s="8" t="s">
        <v>54</v>
      </c>
      <c r="D256" s="9" t="s">
        <v>53</v>
      </c>
      <c r="E256" s="7" t="s">
        <v>25</v>
      </c>
      <c r="F256" s="7" t="s">
        <v>39</v>
      </c>
      <c r="H256" s="7">
        <v>1972</v>
      </c>
      <c r="I256" s="7">
        <v>1</v>
      </c>
      <c r="K256" s="7">
        <v>7</v>
      </c>
      <c r="M256" s="7">
        <v>5</v>
      </c>
      <c r="N256" s="7">
        <v>17</v>
      </c>
      <c r="O256" s="7">
        <v>31</v>
      </c>
      <c r="T256" s="12"/>
      <c r="V256" cm="1">
        <f t="array" ref="V256">_xlfn.LET(
_xlpm.x,_xlfn._xlws.FILTER(O256:S256,(O256:S256&lt;&gt;"R")*(O256:S256&lt;&gt;"NA")*(O256:S256&lt;&gt;"W")*(O256:S256&lt;&gt;"")),
IF(COUNTA(_xlpm.x)=0,"NA",IF(MIN(_xlpm.x)=MAX(_xlpm.x),MIN(_xlpm.x),"review"))
)</f>
        <v>31</v>
      </c>
    </row>
    <row r="257" spans="1:22" ht="15.75" hidden="1" customHeight="1" x14ac:dyDescent="0.25">
      <c r="A257" s="7" t="s">
        <v>43</v>
      </c>
      <c r="B257" s="8">
        <v>8</v>
      </c>
      <c r="C257" s="8" t="s">
        <v>52</v>
      </c>
      <c r="D257" s="9" t="s">
        <v>53</v>
      </c>
      <c r="E257" s="7" t="s">
        <v>25</v>
      </c>
      <c r="F257" s="7" t="s">
        <v>39</v>
      </c>
      <c r="H257" s="7">
        <v>1972</v>
      </c>
      <c r="I257" s="7">
        <v>1</v>
      </c>
      <c r="K257" s="7">
        <v>7</v>
      </c>
      <c r="M257" s="7">
        <v>5</v>
      </c>
      <c r="N257" s="7">
        <v>18</v>
      </c>
      <c r="O257" s="7" t="s">
        <v>28</v>
      </c>
      <c r="T257" s="12"/>
      <c r="V257" t="s">
        <v>29</v>
      </c>
    </row>
    <row r="258" spans="1:22" ht="15.75" hidden="1" customHeight="1" x14ac:dyDescent="0.25">
      <c r="A258" s="7" t="s">
        <v>43</v>
      </c>
      <c r="B258" s="8">
        <v>8</v>
      </c>
      <c r="C258" s="8" t="s">
        <v>54</v>
      </c>
      <c r="D258" s="9" t="s">
        <v>53</v>
      </c>
      <c r="E258" s="7" t="s">
        <v>25</v>
      </c>
      <c r="F258" s="7" t="s">
        <v>39</v>
      </c>
      <c r="H258" s="7">
        <v>1972</v>
      </c>
      <c r="I258" s="7">
        <v>1</v>
      </c>
      <c r="K258" s="7">
        <v>7</v>
      </c>
      <c r="M258" s="7">
        <v>5</v>
      </c>
      <c r="N258" s="7">
        <v>19</v>
      </c>
      <c r="O258" s="7">
        <v>42</v>
      </c>
      <c r="T258" s="12"/>
      <c r="V258" cm="1">
        <f t="array" ref="V258">_xlfn.LET(
_xlpm.x,_xlfn._xlws.FILTER(O258:S258,(O258:S258&lt;&gt;"R")*(O258:S258&lt;&gt;"NA")*(O258:S258&lt;&gt;"W")*(O258:S258&lt;&gt;"")),
IF(COUNTA(_xlpm.x)=0,"NA",IF(MIN(_xlpm.x)=MAX(_xlpm.x),MIN(_xlpm.x),"review"))
)</f>
        <v>42</v>
      </c>
    </row>
    <row r="259" spans="1:22" ht="15.75" hidden="1" customHeight="1" x14ac:dyDescent="0.25">
      <c r="A259" s="7" t="s">
        <v>43</v>
      </c>
      <c r="B259" s="8">
        <v>8</v>
      </c>
      <c r="C259" s="8" t="s">
        <v>52</v>
      </c>
      <c r="D259" s="9" t="s">
        <v>53</v>
      </c>
      <c r="E259" s="7" t="s">
        <v>25</v>
      </c>
      <c r="F259" s="7" t="s">
        <v>39</v>
      </c>
      <c r="H259" s="7">
        <v>1972</v>
      </c>
      <c r="I259" s="7">
        <v>1</v>
      </c>
      <c r="K259" s="7">
        <v>7</v>
      </c>
      <c r="M259" s="7">
        <v>5</v>
      </c>
      <c r="N259" s="7">
        <v>20</v>
      </c>
      <c r="O259" s="7" t="s">
        <v>28</v>
      </c>
      <c r="T259" s="12"/>
      <c r="V259" t="s">
        <v>29</v>
      </c>
    </row>
    <row r="260" spans="1:22" ht="15.75" hidden="1" customHeight="1" x14ac:dyDescent="0.25">
      <c r="A260" s="7" t="s">
        <v>43</v>
      </c>
      <c r="B260" s="8">
        <v>8</v>
      </c>
      <c r="C260" s="8" t="s">
        <v>54</v>
      </c>
      <c r="D260" s="9" t="s">
        <v>53</v>
      </c>
      <c r="E260" s="7" t="s">
        <v>25</v>
      </c>
      <c r="F260" s="7" t="s">
        <v>39</v>
      </c>
      <c r="H260" s="7">
        <v>1972</v>
      </c>
      <c r="I260" s="7">
        <v>1</v>
      </c>
      <c r="K260" s="7">
        <v>7</v>
      </c>
      <c r="M260" s="7">
        <v>5</v>
      </c>
      <c r="N260" s="7">
        <v>21</v>
      </c>
      <c r="O260" s="7">
        <v>52</v>
      </c>
      <c r="T260" s="12" t="s">
        <v>33</v>
      </c>
      <c r="V260" cm="1">
        <f t="array" ref="V260">_xlfn.LET(
_xlpm.x,_xlfn._xlws.FILTER(O260:S260,(O260:S260&lt;&gt;"R")*(O260:S260&lt;&gt;"NA")*(O260:S260&lt;&gt;"W")*(O260:S260&lt;&gt;"")),
IF(COUNTA(_xlpm.x)=0,"NA",IF(MIN(_xlpm.x)=MAX(_xlpm.x),MIN(_xlpm.x),"review"))
)</f>
        <v>52</v>
      </c>
    </row>
    <row r="261" spans="1:22" ht="15.75" hidden="1" customHeight="1" x14ac:dyDescent="0.25">
      <c r="A261" s="7" t="s">
        <v>43</v>
      </c>
      <c r="B261" s="8">
        <v>8</v>
      </c>
      <c r="C261" s="8" t="s">
        <v>52</v>
      </c>
      <c r="D261" s="9" t="s">
        <v>53</v>
      </c>
      <c r="E261" s="7" t="s">
        <v>25</v>
      </c>
      <c r="F261" s="7" t="s">
        <v>39</v>
      </c>
      <c r="H261" s="7">
        <v>1972</v>
      </c>
      <c r="I261" s="7">
        <v>1</v>
      </c>
      <c r="K261" s="7">
        <v>7</v>
      </c>
      <c r="M261" s="7">
        <v>5</v>
      </c>
      <c r="N261" s="7">
        <v>22</v>
      </c>
      <c r="O261" s="7">
        <v>53</v>
      </c>
      <c r="T261" s="12"/>
      <c r="V261" cm="1">
        <f t="array" ref="V261">_xlfn.LET(
_xlpm.x,_xlfn._xlws.FILTER(O261:S261,(O261:S261&lt;&gt;"R")*(O261:S261&lt;&gt;"NA")*(O261:S261&lt;&gt;"W")*(O261:S261&lt;&gt;"")),
IF(COUNTA(_xlpm.x)=0,"NA",IF(MIN(_xlpm.x)=MAX(_xlpm.x),MIN(_xlpm.x),"review"))
)</f>
        <v>53</v>
      </c>
    </row>
    <row r="262" spans="1:22" ht="15.75" hidden="1" customHeight="1" x14ac:dyDescent="0.25">
      <c r="A262" s="7" t="s">
        <v>43</v>
      </c>
      <c r="B262" s="8">
        <v>8</v>
      </c>
      <c r="C262" s="8" t="s">
        <v>54</v>
      </c>
      <c r="D262" s="9" t="s">
        <v>53</v>
      </c>
      <c r="E262" s="7" t="s">
        <v>25</v>
      </c>
      <c r="F262" s="7" t="s">
        <v>39</v>
      </c>
      <c r="H262" s="7">
        <v>1972</v>
      </c>
      <c r="I262" s="7">
        <v>1</v>
      </c>
      <c r="K262" s="7">
        <v>7</v>
      </c>
      <c r="M262" s="7">
        <v>5</v>
      </c>
      <c r="N262" s="7">
        <v>23</v>
      </c>
      <c r="O262" s="7">
        <v>52</v>
      </c>
      <c r="T262" s="12"/>
      <c r="V262" cm="1">
        <f t="array" ref="V262">_xlfn.LET(
_xlpm.x,_xlfn._xlws.FILTER(O262:S262,(O262:S262&lt;&gt;"R")*(O262:S262&lt;&gt;"NA")*(O262:S262&lt;&gt;"W")*(O262:S262&lt;&gt;"")),
IF(COUNTA(_xlpm.x)=0,"NA",IF(MIN(_xlpm.x)=MAX(_xlpm.x),MIN(_xlpm.x),"review"))
)</f>
        <v>52</v>
      </c>
    </row>
    <row r="263" spans="1:22" ht="15.75" hidden="1" customHeight="1" x14ac:dyDescent="0.25">
      <c r="A263" s="7" t="s">
        <v>43</v>
      </c>
      <c r="B263" s="8">
        <v>8</v>
      </c>
      <c r="C263" s="8" t="s">
        <v>52</v>
      </c>
      <c r="D263" s="9" t="s">
        <v>53</v>
      </c>
      <c r="E263" s="7" t="s">
        <v>25</v>
      </c>
      <c r="F263" s="7" t="s">
        <v>39</v>
      </c>
      <c r="H263" s="7">
        <v>1972</v>
      </c>
      <c r="I263" s="7">
        <v>1</v>
      </c>
      <c r="K263" s="7">
        <v>7</v>
      </c>
      <c r="M263" s="7">
        <v>5</v>
      </c>
      <c r="N263" s="7">
        <v>24</v>
      </c>
      <c r="O263" s="7" t="s">
        <v>28</v>
      </c>
      <c r="T263" s="12"/>
      <c r="V263" t="s">
        <v>29</v>
      </c>
    </row>
    <row r="264" spans="1:22" ht="15.75" hidden="1" customHeight="1" x14ac:dyDescent="0.25">
      <c r="A264" s="7" t="s">
        <v>43</v>
      </c>
      <c r="B264" s="8">
        <v>8</v>
      </c>
      <c r="C264" s="8" t="s">
        <v>54</v>
      </c>
      <c r="D264" s="9" t="s">
        <v>53</v>
      </c>
      <c r="E264" s="7" t="s">
        <v>25</v>
      </c>
      <c r="F264" s="7" t="s">
        <v>39</v>
      </c>
      <c r="H264" s="7">
        <v>1972</v>
      </c>
      <c r="I264" s="7">
        <v>1</v>
      </c>
      <c r="K264" s="7">
        <v>7</v>
      </c>
      <c r="M264" s="7">
        <v>5</v>
      </c>
      <c r="N264" s="7">
        <v>25</v>
      </c>
      <c r="O264" s="7">
        <v>42</v>
      </c>
      <c r="T264" s="12"/>
      <c r="V264" cm="1">
        <f t="array" ref="V264">_xlfn.LET(
_xlpm.x,_xlfn._xlws.FILTER(O264:S264,(O264:S264&lt;&gt;"R")*(O264:S264&lt;&gt;"NA")*(O264:S264&lt;&gt;"W")*(O264:S264&lt;&gt;"")),
IF(COUNTA(_xlpm.x)=0,"NA",IF(MIN(_xlpm.x)=MAX(_xlpm.x),MIN(_xlpm.x),"review"))
)</f>
        <v>42</v>
      </c>
    </row>
    <row r="265" spans="1:22" ht="15.75" hidden="1" customHeight="1" x14ac:dyDescent="0.25">
      <c r="A265" s="7" t="s">
        <v>43</v>
      </c>
      <c r="B265" s="8">
        <v>8</v>
      </c>
      <c r="C265" s="8" t="s">
        <v>52</v>
      </c>
      <c r="D265" s="9" t="s">
        <v>53</v>
      </c>
      <c r="E265" s="7" t="s">
        <v>25</v>
      </c>
      <c r="F265" s="7" t="s">
        <v>39</v>
      </c>
      <c r="H265" s="7">
        <v>1972</v>
      </c>
      <c r="I265" s="7">
        <v>1</v>
      </c>
      <c r="K265" s="7">
        <v>7</v>
      </c>
      <c r="M265" s="7">
        <v>5</v>
      </c>
      <c r="N265" s="7">
        <v>26</v>
      </c>
      <c r="O265" s="7">
        <v>32</v>
      </c>
      <c r="T265" s="12"/>
      <c r="V265" cm="1">
        <f t="array" ref="V265">_xlfn.LET(
_xlpm.x,_xlfn._xlws.FILTER(O265:S265,(O265:S265&lt;&gt;"R")*(O265:S265&lt;&gt;"NA")*(O265:S265&lt;&gt;"W")*(O265:S265&lt;&gt;"")),
IF(COUNTA(_xlpm.x)=0,"NA",IF(MIN(_xlpm.x)=MAX(_xlpm.x),MIN(_xlpm.x),"review"))
)</f>
        <v>32</v>
      </c>
    </row>
    <row r="266" spans="1:22" ht="15.75" hidden="1" customHeight="1" x14ac:dyDescent="0.25">
      <c r="A266" s="7" t="s">
        <v>43</v>
      </c>
      <c r="B266" s="8">
        <v>8</v>
      </c>
      <c r="C266" s="8" t="s">
        <v>54</v>
      </c>
      <c r="D266" s="9" t="s">
        <v>53</v>
      </c>
      <c r="E266" s="7" t="s">
        <v>25</v>
      </c>
      <c r="F266" s="7" t="s">
        <v>39</v>
      </c>
      <c r="H266" s="7">
        <v>1972</v>
      </c>
      <c r="I266" s="7">
        <v>1</v>
      </c>
      <c r="K266" s="7">
        <v>7</v>
      </c>
      <c r="M266" s="7">
        <v>5</v>
      </c>
      <c r="N266" s="7">
        <v>27</v>
      </c>
      <c r="O266" s="7">
        <v>32</v>
      </c>
      <c r="T266" s="12"/>
      <c r="V266" cm="1">
        <f t="array" ref="V266">_xlfn.LET(
_xlpm.x,_xlfn._xlws.FILTER(O266:S266,(O266:S266&lt;&gt;"R")*(O266:S266&lt;&gt;"NA")*(O266:S266&lt;&gt;"W")*(O266:S266&lt;&gt;"")),
IF(COUNTA(_xlpm.x)=0,"NA",IF(MIN(_xlpm.x)=MAX(_xlpm.x),MIN(_xlpm.x),"review"))
)</f>
        <v>32</v>
      </c>
    </row>
    <row r="267" spans="1:22" ht="15.75" hidden="1" customHeight="1" x14ac:dyDescent="0.25">
      <c r="A267" s="7" t="s">
        <v>43</v>
      </c>
      <c r="B267" s="8">
        <v>8</v>
      </c>
      <c r="C267" s="8" t="s">
        <v>52</v>
      </c>
      <c r="D267" s="9" t="s">
        <v>53</v>
      </c>
      <c r="E267" s="7" t="s">
        <v>25</v>
      </c>
      <c r="F267" s="7" t="s">
        <v>39</v>
      </c>
      <c r="H267" s="7">
        <v>1972</v>
      </c>
      <c r="I267" s="7">
        <v>1</v>
      </c>
      <c r="K267" s="7">
        <v>7</v>
      </c>
      <c r="M267" s="7">
        <v>5</v>
      </c>
      <c r="N267" s="7">
        <v>28</v>
      </c>
      <c r="O267" s="7">
        <v>32</v>
      </c>
      <c r="T267" s="12"/>
      <c r="V267" cm="1">
        <f t="array" ref="V267">_xlfn.LET(
_xlpm.x,_xlfn._xlws.FILTER(O267:S267,(O267:S267&lt;&gt;"R")*(O267:S267&lt;&gt;"NA")*(O267:S267&lt;&gt;"W")*(O267:S267&lt;&gt;"")),
IF(COUNTA(_xlpm.x)=0,"NA",IF(MIN(_xlpm.x)=MAX(_xlpm.x),MIN(_xlpm.x),"review"))
)</f>
        <v>32</v>
      </c>
    </row>
    <row r="268" spans="1:22" ht="15.75" hidden="1" customHeight="1" x14ac:dyDescent="0.25">
      <c r="A268" s="7" t="s">
        <v>43</v>
      </c>
      <c r="B268" s="8">
        <v>8</v>
      </c>
      <c r="C268" s="8" t="s">
        <v>54</v>
      </c>
      <c r="D268" s="9" t="s">
        <v>53</v>
      </c>
      <c r="E268" s="7" t="s">
        <v>25</v>
      </c>
      <c r="F268" s="7" t="s">
        <v>39</v>
      </c>
      <c r="H268" s="7">
        <v>1972</v>
      </c>
      <c r="I268" s="7">
        <v>1</v>
      </c>
      <c r="K268" s="7">
        <v>7</v>
      </c>
      <c r="M268" s="7">
        <v>5</v>
      </c>
      <c r="N268" s="7">
        <v>29</v>
      </c>
      <c r="O268" s="7">
        <v>42</v>
      </c>
      <c r="T268" s="12"/>
      <c r="V268" cm="1">
        <f t="array" ref="V268">_xlfn.LET(
_xlpm.x,_xlfn._xlws.FILTER(O268:S268,(O268:S268&lt;&gt;"R")*(O268:S268&lt;&gt;"NA")*(O268:S268&lt;&gt;"W")*(O268:S268&lt;&gt;"")),
IF(COUNTA(_xlpm.x)=0,"NA",IF(MIN(_xlpm.x)=MAX(_xlpm.x),MIN(_xlpm.x),"review"))
)</f>
        <v>42</v>
      </c>
    </row>
    <row r="269" spans="1:22" ht="15.75" hidden="1" customHeight="1" x14ac:dyDescent="0.25">
      <c r="A269" s="7" t="s">
        <v>43</v>
      </c>
      <c r="B269" s="8">
        <v>8</v>
      </c>
      <c r="C269" s="8" t="s">
        <v>52</v>
      </c>
      <c r="D269" s="9" t="s">
        <v>53</v>
      </c>
      <c r="E269" s="7" t="s">
        <v>25</v>
      </c>
      <c r="F269" s="7" t="s">
        <v>39</v>
      </c>
      <c r="H269" s="7">
        <v>1972</v>
      </c>
      <c r="I269" s="7">
        <v>1</v>
      </c>
      <c r="K269" s="7">
        <v>7</v>
      </c>
      <c r="M269" s="7">
        <v>5</v>
      </c>
      <c r="N269" s="7">
        <v>30</v>
      </c>
      <c r="O269" s="7">
        <v>53</v>
      </c>
      <c r="T269" s="12"/>
      <c r="V269" cm="1">
        <f t="array" ref="V269">_xlfn.LET(
_xlpm.x,_xlfn._xlws.FILTER(O269:S269,(O269:S269&lt;&gt;"R")*(O269:S269&lt;&gt;"NA")*(O269:S269&lt;&gt;"W")*(O269:S269&lt;&gt;"")),
IF(COUNTA(_xlpm.x)=0,"NA",IF(MIN(_xlpm.x)=MAX(_xlpm.x),MIN(_xlpm.x),"review"))
)</f>
        <v>53</v>
      </c>
    </row>
    <row r="270" spans="1:22" ht="15.75" hidden="1" customHeight="1" x14ac:dyDescent="0.25">
      <c r="A270" s="7" t="s">
        <v>43</v>
      </c>
      <c r="B270" s="8">
        <v>8</v>
      </c>
      <c r="C270" s="8" t="s">
        <v>54</v>
      </c>
      <c r="D270" s="9" t="s">
        <v>53</v>
      </c>
      <c r="E270" s="7" t="s">
        <v>25</v>
      </c>
      <c r="F270" s="7" t="s">
        <v>39</v>
      </c>
      <c r="H270" s="7">
        <v>1972</v>
      </c>
      <c r="I270" s="7">
        <v>1</v>
      </c>
      <c r="K270" s="7">
        <v>7</v>
      </c>
      <c r="M270" s="7">
        <v>5</v>
      </c>
      <c r="N270" s="7">
        <v>31</v>
      </c>
      <c r="O270" s="7">
        <v>42</v>
      </c>
      <c r="T270" s="12"/>
      <c r="V270" cm="1">
        <f t="array" ref="V270">_xlfn.LET(
_xlpm.x,_xlfn._xlws.FILTER(O270:S270,(O270:S270&lt;&gt;"R")*(O270:S270&lt;&gt;"NA")*(O270:S270&lt;&gt;"W")*(O270:S270&lt;&gt;"")),
IF(COUNTA(_xlpm.x)=0,"NA",IF(MIN(_xlpm.x)=MAX(_xlpm.x),MIN(_xlpm.x),"review"))
)</f>
        <v>42</v>
      </c>
    </row>
    <row r="271" spans="1:22" ht="15.75" hidden="1" customHeight="1" x14ac:dyDescent="0.25">
      <c r="A271" s="7" t="s">
        <v>43</v>
      </c>
      <c r="B271" s="8">
        <v>8</v>
      </c>
      <c r="C271" s="8" t="s">
        <v>52</v>
      </c>
      <c r="D271" s="9" t="s">
        <v>53</v>
      </c>
      <c r="E271" s="7" t="s">
        <v>25</v>
      </c>
      <c r="F271" s="7" t="s">
        <v>39</v>
      </c>
      <c r="H271" s="7">
        <v>1972</v>
      </c>
      <c r="I271" s="7">
        <v>1</v>
      </c>
      <c r="K271" s="7">
        <v>7</v>
      </c>
      <c r="M271" s="7">
        <v>5</v>
      </c>
      <c r="N271" s="7">
        <v>32</v>
      </c>
      <c r="O271" s="7">
        <v>42</v>
      </c>
      <c r="T271" s="12"/>
      <c r="V271" cm="1">
        <f t="array" ref="V271">_xlfn.LET(
_xlpm.x,_xlfn._xlws.FILTER(O271:S271,(O271:S271&lt;&gt;"R")*(O271:S271&lt;&gt;"NA")*(O271:S271&lt;&gt;"W")*(O271:S271&lt;&gt;"")),
IF(COUNTA(_xlpm.x)=0,"NA",IF(MIN(_xlpm.x)=MAX(_xlpm.x),MIN(_xlpm.x),"review"))
)</f>
        <v>42</v>
      </c>
    </row>
    <row r="272" spans="1:22" ht="15.75" hidden="1" customHeight="1" x14ac:dyDescent="0.25">
      <c r="A272" s="7" t="s">
        <v>43</v>
      </c>
      <c r="B272" s="8">
        <v>8</v>
      </c>
      <c r="C272" s="8" t="s">
        <v>54</v>
      </c>
      <c r="D272" s="9" t="s">
        <v>53</v>
      </c>
      <c r="E272" s="7" t="s">
        <v>25</v>
      </c>
      <c r="F272" s="7" t="s">
        <v>39</v>
      </c>
      <c r="H272" s="7">
        <v>1972</v>
      </c>
      <c r="I272" s="7">
        <v>1</v>
      </c>
      <c r="K272" s="7">
        <v>7</v>
      </c>
      <c r="M272" s="7">
        <v>5</v>
      </c>
      <c r="N272" s="7">
        <v>33</v>
      </c>
      <c r="O272" s="7">
        <v>42</v>
      </c>
      <c r="T272" s="12"/>
      <c r="V272" cm="1">
        <f t="array" ref="V272">_xlfn.LET(
_xlpm.x,_xlfn._xlws.FILTER(O272:S272,(O272:S272&lt;&gt;"R")*(O272:S272&lt;&gt;"NA")*(O272:S272&lt;&gt;"W")*(O272:S272&lt;&gt;"")),
IF(COUNTA(_xlpm.x)=0,"NA",IF(MIN(_xlpm.x)=MAX(_xlpm.x),MIN(_xlpm.x),"review"))
)</f>
        <v>42</v>
      </c>
    </row>
    <row r="273" spans="1:22" ht="15.75" hidden="1" customHeight="1" x14ac:dyDescent="0.25">
      <c r="A273" s="7" t="s">
        <v>43</v>
      </c>
      <c r="B273" s="8">
        <v>8</v>
      </c>
      <c r="C273" s="8" t="s">
        <v>52</v>
      </c>
      <c r="D273" s="9" t="s">
        <v>53</v>
      </c>
      <c r="E273" s="7" t="s">
        <v>25</v>
      </c>
      <c r="F273" s="7" t="s">
        <v>39</v>
      </c>
      <c r="H273" s="7">
        <v>1972</v>
      </c>
      <c r="I273" s="7">
        <v>1</v>
      </c>
      <c r="K273" s="7">
        <v>7</v>
      </c>
      <c r="M273" s="7">
        <v>5</v>
      </c>
      <c r="N273" s="7">
        <v>34</v>
      </c>
      <c r="O273" s="7" t="s">
        <v>28</v>
      </c>
      <c r="T273" s="12"/>
      <c r="V273" t="s">
        <v>29</v>
      </c>
    </row>
    <row r="274" spans="1:22" ht="15.75" hidden="1" customHeight="1" x14ac:dyDescent="0.25">
      <c r="A274" s="7" t="s">
        <v>43</v>
      </c>
      <c r="B274" s="8">
        <v>8</v>
      </c>
      <c r="C274" s="8" t="s">
        <v>54</v>
      </c>
      <c r="D274" s="9" t="s">
        <v>53</v>
      </c>
      <c r="E274" s="7" t="s">
        <v>25</v>
      </c>
      <c r="F274" s="7" t="s">
        <v>39</v>
      </c>
      <c r="H274" s="7">
        <v>1972</v>
      </c>
      <c r="I274" s="7">
        <v>1</v>
      </c>
      <c r="K274" s="7">
        <v>7</v>
      </c>
      <c r="M274" s="7">
        <v>5</v>
      </c>
      <c r="N274" s="7">
        <v>35</v>
      </c>
      <c r="O274" s="7">
        <v>42</v>
      </c>
      <c r="T274" s="12"/>
      <c r="V274" cm="1">
        <f t="array" ref="V274">_xlfn.LET(
_xlpm.x,_xlfn._xlws.FILTER(O274:S274,(O274:S274&lt;&gt;"R")*(O274:S274&lt;&gt;"NA")*(O274:S274&lt;&gt;"W")*(O274:S274&lt;&gt;"")),
IF(COUNTA(_xlpm.x)=0,"NA",IF(MIN(_xlpm.x)=MAX(_xlpm.x),MIN(_xlpm.x),"review"))
)</f>
        <v>42</v>
      </c>
    </row>
    <row r="275" spans="1:22" ht="15.75" hidden="1" customHeight="1" x14ac:dyDescent="0.25">
      <c r="A275" s="7" t="s">
        <v>43</v>
      </c>
      <c r="B275" s="8">
        <v>8</v>
      </c>
      <c r="C275" s="8" t="s">
        <v>52</v>
      </c>
      <c r="D275" s="9" t="s">
        <v>53</v>
      </c>
      <c r="E275" s="7" t="s">
        <v>25</v>
      </c>
      <c r="F275" s="7" t="s">
        <v>39</v>
      </c>
      <c r="H275" s="7">
        <v>1972</v>
      </c>
      <c r="I275" s="7">
        <v>1</v>
      </c>
      <c r="K275" s="7">
        <v>7</v>
      </c>
      <c r="M275" s="7">
        <v>5</v>
      </c>
      <c r="N275" s="7">
        <v>36</v>
      </c>
      <c r="O275" s="7">
        <v>32</v>
      </c>
      <c r="T275" s="12"/>
      <c r="V275" cm="1">
        <f t="array" ref="V275">_xlfn.LET(
_xlpm.x,_xlfn._xlws.FILTER(O275:S275,(O275:S275&lt;&gt;"R")*(O275:S275&lt;&gt;"NA")*(O275:S275&lt;&gt;"W")*(O275:S275&lt;&gt;"")),
IF(COUNTA(_xlpm.x)=0,"NA",IF(MIN(_xlpm.x)=MAX(_xlpm.x),MIN(_xlpm.x),"review"))
)</f>
        <v>32</v>
      </c>
    </row>
    <row r="276" spans="1:22" ht="15.75" hidden="1" customHeight="1" x14ac:dyDescent="0.25">
      <c r="A276" s="7" t="s">
        <v>43</v>
      </c>
      <c r="B276" s="8">
        <v>8</v>
      </c>
      <c r="C276" s="8" t="s">
        <v>54</v>
      </c>
      <c r="D276" s="9" t="s">
        <v>53</v>
      </c>
      <c r="E276" s="7" t="s">
        <v>25</v>
      </c>
      <c r="F276" s="7" t="s">
        <v>39</v>
      </c>
      <c r="H276" s="7">
        <v>1972</v>
      </c>
      <c r="I276" s="7">
        <v>1</v>
      </c>
      <c r="K276" s="7">
        <v>7</v>
      </c>
      <c r="M276" s="7">
        <v>5</v>
      </c>
      <c r="N276" s="7">
        <v>37</v>
      </c>
      <c r="O276" s="7">
        <v>32</v>
      </c>
      <c r="T276" s="12"/>
      <c r="V276" cm="1">
        <f t="array" ref="V276">_xlfn.LET(
_xlpm.x,_xlfn._xlws.FILTER(O276:S276,(O276:S276&lt;&gt;"R")*(O276:S276&lt;&gt;"NA")*(O276:S276&lt;&gt;"W")*(O276:S276&lt;&gt;"")),
IF(COUNTA(_xlpm.x)=0,"NA",IF(MIN(_xlpm.x)=MAX(_xlpm.x),MIN(_xlpm.x),"review"))
)</f>
        <v>32</v>
      </c>
    </row>
    <row r="277" spans="1:22" ht="15.75" hidden="1" customHeight="1" x14ac:dyDescent="0.25">
      <c r="A277" s="7" t="s">
        <v>43</v>
      </c>
      <c r="B277" s="8">
        <v>8</v>
      </c>
      <c r="C277" s="8" t="s">
        <v>52</v>
      </c>
      <c r="D277" s="9" t="s">
        <v>53</v>
      </c>
      <c r="E277" s="7" t="s">
        <v>25</v>
      </c>
      <c r="F277" s="7" t="s">
        <v>39</v>
      </c>
      <c r="H277" s="7">
        <v>1972</v>
      </c>
      <c r="I277" s="7">
        <v>1</v>
      </c>
      <c r="K277" s="7">
        <v>7</v>
      </c>
      <c r="M277" s="7">
        <v>5</v>
      </c>
      <c r="N277" s="7">
        <v>38</v>
      </c>
      <c r="O277" s="7">
        <v>32</v>
      </c>
      <c r="T277" s="12"/>
      <c r="V277" cm="1">
        <f t="array" ref="V277">_xlfn.LET(
_xlpm.x,_xlfn._xlws.FILTER(O277:S277,(O277:S277&lt;&gt;"R")*(O277:S277&lt;&gt;"NA")*(O277:S277&lt;&gt;"W")*(O277:S277&lt;&gt;"")),
IF(COUNTA(_xlpm.x)=0,"NA",IF(MIN(_xlpm.x)=MAX(_xlpm.x),MIN(_xlpm.x),"review"))
)</f>
        <v>32</v>
      </c>
    </row>
    <row r="278" spans="1:22" ht="15.75" hidden="1" customHeight="1" x14ac:dyDescent="0.25">
      <c r="A278" s="7" t="s">
        <v>43</v>
      </c>
      <c r="B278" s="8">
        <v>8</v>
      </c>
      <c r="C278" s="8" t="s">
        <v>54</v>
      </c>
      <c r="D278" s="9" t="s">
        <v>53</v>
      </c>
      <c r="E278" s="7" t="s">
        <v>25</v>
      </c>
      <c r="F278" s="7" t="s">
        <v>39</v>
      </c>
      <c r="H278" s="7">
        <v>1972</v>
      </c>
      <c r="I278" s="7">
        <v>1</v>
      </c>
      <c r="K278" s="7">
        <v>7</v>
      </c>
      <c r="M278" s="7">
        <v>5</v>
      </c>
      <c r="N278" s="7">
        <v>39</v>
      </c>
      <c r="O278" s="7">
        <v>42</v>
      </c>
      <c r="T278" s="12"/>
      <c r="V278" cm="1">
        <f t="array" ref="V278">_xlfn.LET(
_xlpm.x,_xlfn._xlws.FILTER(O278:S278,(O278:S278&lt;&gt;"R")*(O278:S278&lt;&gt;"NA")*(O278:S278&lt;&gt;"W")*(O278:S278&lt;&gt;"")),
IF(COUNTA(_xlpm.x)=0,"NA",IF(MIN(_xlpm.x)=MAX(_xlpm.x),MIN(_xlpm.x),"review"))
)</f>
        <v>42</v>
      </c>
    </row>
    <row r="279" spans="1:22" ht="15.75" hidden="1" customHeight="1" x14ac:dyDescent="0.25">
      <c r="A279" s="7" t="s">
        <v>43</v>
      </c>
      <c r="B279" s="8">
        <v>8</v>
      </c>
      <c r="C279" s="8" t="s">
        <v>52</v>
      </c>
      <c r="D279" s="9" t="s">
        <v>53</v>
      </c>
      <c r="E279" s="7" t="s">
        <v>25</v>
      </c>
      <c r="F279" s="7" t="s">
        <v>39</v>
      </c>
      <c r="H279" s="7">
        <v>1972</v>
      </c>
      <c r="I279" s="7">
        <v>1</v>
      </c>
      <c r="K279" s="7">
        <v>7</v>
      </c>
      <c r="M279" s="7">
        <v>5</v>
      </c>
      <c r="N279" s="7">
        <v>40</v>
      </c>
      <c r="O279" s="7">
        <v>42</v>
      </c>
      <c r="T279" s="12"/>
      <c r="V279" cm="1">
        <f t="array" ref="V279">_xlfn.LET(
_xlpm.x,_xlfn._xlws.FILTER(O279:S279,(O279:S279&lt;&gt;"R")*(O279:S279&lt;&gt;"NA")*(O279:S279&lt;&gt;"W")*(O279:S279&lt;&gt;"")),
IF(COUNTA(_xlpm.x)=0,"NA",IF(MIN(_xlpm.x)=MAX(_xlpm.x),MIN(_xlpm.x),"review"))
)</f>
        <v>42</v>
      </c>
    </row>
    <row r="280" spans="1:22" ht="15.75" hidden="1" customHeight="1" x14ac:dyDescent="0.25">
      <c r="A280" s="7" t="s">
        <v>43</v>
      </c>
      <c r="B280" s="8">
        <v>8</v>
      </c>
      <c r="C280" s="8" t="s">
        <v>54</v>
      </c>
      <c r="D280" s="9" t="s">
        <v>53</v>
      </c>
      <c r="E280" s="7" t="s">
        <v>25</v>
      </c>
      <c r="F280" s="7" t="s">
        <v>39</v>
      </c>
      <c r="H280" s="7">
        <v>1972</v>
      </c>
      <c r="I280" s="7">
        <v>1</v>
      </c>
      <c r="K280" s="7">
        <v>7</v>
      </c>
      <c r="M280" s="7">
        <v>5</v>
      </c>
      <c r="N280" s="7">
        <v>41</v>
      </c>
      <c r="O280" s="7">
        <v>51</v>
      </c>
      <c r="T280" s="12"/>
      <c r="V280" cm="1">
        <f t="array" ref="V280">_xlfn.LET(
_xlpm.x,_xlfn._xlws.FILTER(O280:S280,(O280:S280&lt;&gt;"R")*(O280:S280&lt;&gt;"NA")*(O280:S280&lt;&gt;"W")*(O280:S280&lt;&gt;"")),
IF(COUNTA(_xlpm.x)=0,"NA",IF(MIN(_xlpm.x)=MAX(_xlpm.x),MIN(_xlpm.x),"review"))
)</f>
        <v>51</v>
      </c>
    </row>
    <row r="281" spans="1:22" ht="15.75" hidden="1" customHeight="1" x14ac:dyDescent="0.25">
      <c r="A281" s="7" t="s">
        <v>43</v>
      </c>
      <c r="B281" s="8">
        <v>8</v>
      </c>
      <c r="C281" s="8" t="s">
        <v>52</v>
      </c>
      <c r="D281" s="9" t="s">
        <v>53</v>
      </c>
      <c r="E281" s="7" t="s">
        <v>25</v>
      </c>
      <c r="F281" s="7" t="s">
        <v>39</v>
      </c>
      <c r="H281" s="7">
        <v>1972</v>
      </c>
      <c r="I281" s="7">
        <v>1</v>
      </c>
      <c r="K281" s="7">
        <v>7</v>
      </c>
      <c r="M281" s="7">
        <v>5</v>
      </c>
      <c r="N281" s="7">
        <v>42</v>
      </c>
      <c r="O281" s="7" t="s">
        <v>28</v>
      </c>
      <c r="T281" s="12"/>
      <c r="V281" t="s">
        <v>29</v>
      </c>
    </row>
    <row r="282" spans="1:22" ht="15.75" hidden="1" customHeight="1" x14ac:dyDescent="0.25">
      <c r="A282" s="7" t="s">
        <v>43</v>
      </c>
      <c r="B282" s="8">
        <v>8</v>
      </c>
      <c r="C282" s="8" t="s">
        <v>54</v>
      </c>
      <c r="D282" s="9" t="s">
        <v>53</v>
      </c>
      <c r="E282" s="7" t="s">
        <v>25</v>
      </c>
      <c r="F282" s="7" t="s">
        <v>39</v>
      </c>
      <c r="H282" s="7">
        <v>1972</v>
      </c>
      <c r="I282" s="7">
        <v>1</v>
      </c>
      <c r="K282" s="7">
        <v>7</v>
      </c>
      <c r="M282" s="7">
        <v>5</v>
      </c>
      <c r="N282" s="7">
        <v>43</v>
      </c>
      <c r="O282" s="7">
        <v>63</v>
      </c>
      <c r="T282" s="12"/>
      <c r="V282" cm="1">
        <f t="array" ref="V282">_xlfn.LET(
_xlpm.x,_xlfn._xlws.FILTER(O282:S282,(O282:S282&lt;&gt;"R")*(O282:S282&lt;&gt;"NA")*(O282:S282&lt;&gt;"W")*(O282:S282&lt;&gt;"")),
IF(COUNTA(_xlpm.x)=0,"NA",IF(MIN(_xlpm.x)=MAX(_xlpm.x),MIN(_xlpm.x),"review"))
)</f>
        <v>63</v>
      </c>
    </row>
    <row r="283" spans="1:22" ht="15.75" hidden="1" customHeight="1" x14ac:dyDescent="0.25">
      <c r="A283" s="7" t="s">
        <v>43</v>
      </c>
      <c r="B283" s="8">
        <v>8</v>
      </c>
      <c r="C283" s="8" t="s">
        <v>52</v>
      </c>
      <c r="D283" s="9" t="s">
        <v>53</v>
      </c>
      <c r="E283" s="7" t="s">
        <v>25</v>
      </c>
      <c r="F283" s="7" t="s">
        <v>39</v>
      </c>
      <c r="H283" s="7">
        <v>1972</v>
      </c>
      <c r="I283" s="7">
        <v>1</v>
      </c>
      <c r="K283" s="7">
        <v>7</v>
      </c>
      <c r="M283" s="7">
        <v>5</v>
      </c>
      <c r="N283" s="7">
        <v>44</v>
      </c>
      <c r="O283" s="7">
        <v>52</v>
      </c>
      <c r="T283" s="12"/>
      <c r="V283" cm="1">
        <f t="array" ref="V283">_xlfn.LET(
_xlpm.x,_xlfn._xlws.FILTER(O283:S283,(O283:S283&lt;&gt;"R")*(O283:S283&lt;&gt;"NA")*(O283:S283&lt;&gt;"W")*(O283:S283&lt;&gt;"")),
IF(COUNTA(_xlpm.x)=0,"NA",IF(MIN(_xlpm.x)=MAX(_xlpm.x),MIN(_xlpm.x),"review"))
)</f>
        <v>52</v>
      </c>
    </row>
    <row r="284" spans="1:22" ht="15.75" hidden="1" customHeight="1" x14ac:dyDescent="0.25">
      <c r="A284" s="7" t="s">
        <v>43</v>
      </c>
      <c r="B284" s="8">
        <v>8</v>
      </c>
      <c r="C284" s="8" t="s">
        <v>54</v>
      </c>
      <c r="D284" s="9" t="s">
        <v>53</v>
      </c>
      <c r="E284" s="7" t="s">
        <v>25</v>
      </c>
      <c r="F284" s="7" t="s">
        <v>39</v>
      </c>
      <c r="H284" s="7">
        <v>1972</v>
      </c>
      <c r="I284" s="7">
        <v>1</v>
      </c>
      <c r="K284" s="7">
        <v>7</v>
      </c>
      <c r="M284" s="7">
        <v>5</v>
      </c>
      <c r="N284" s="7">
        <v>45</v>
      </c>
      <c r="O284" s="7">
        <v>52</v>
      </c>
      <c r="T284" s="12"/>
      <c r="V284" cm="1">
        <f t="array" ref="V284">_xlfn.LET(
_xlpm.x,_xlfn._xlws.FILTER(O284:S284,(O284:S284&lt;&gt;"R")*(O284:S284&lt;&gt;"NA")*(O284:S284&lt;&gt;"W")*(O284:S284&lt;&gt;"")),
IF(COUNTA(_xlpm.x)=0,"NA",IF(MIN(_xlpm.x)=MAX(_xlpm.x),MIN(_xlpm.x),"review"))
)</f>
        <v>52</v>
      </c>
    </row>
    <row r="285" spans="1:22" ht="15.75" hidden="1" customHeight="1" x14ac:dyDescent="0.25">
      <c r="A285" s="7" t="s">
        <v>43</v>
      </c>
      <c r="B285" s="8">
        <v>8</v>
      </c>
      <c r="C285" s="8" t="s">
        <v>52</v>
      </c>
      <c r="D285" s="9" t="s">
        <v>53</v>
      </c>
      <c r="E285" s="7" t="s">
        <v>25</v>
      </c>
      <c r="F285" s="7" t="s">
        <v>39</v>
      </c>
      <c r="H285" s="7">
        <v>1972</v>
      </c>
      <c r="I285" s="7">
        <v>1</v>
      </c>
      <c r="K285" s="7">
        <v>7</v>
      </c>
      <c r="M285" s="7">
        <v>5</v>
      </c>
      <c r="N285" s="7">
        <v>46</v>
      </c>
      <c r="O285" s="7">
        <v>32</v>
      </c>
      <c r="T285" s="12"/>
      <c r="V285" cm="1">
        <f t="array" ref="V285">_xlfn.LET(
_xlpm.x,_xlfn._xlws.FILTER(O285:S285,(O285:S285&lt;&gt;"R")*(O285:S285&lt;&gt;"NA")*(O285:S285&lt;&gt;"W")*(O285:S285&lt;&gt;"")),
IF(COUNTA(_xlpm.x)=0,"NA",IF(MIN(_xlpm.x)=MAX(_xlpm.x),MIN(_xlpm.x),"review"))
)</f>
        <v>32</v>
      </c>
    </row>
    <row r="286" spans="1:22" ht="15.75" hidden="1" customHeight="1" x14ac:dyDescent="0.25">
      <c r="A286" s="7" t="s">
        <v>43</v>
      </c>
      <c r="B286" s="8">
        <v>8</v>
      </c>
      <c r="C286" s="8" t="s">
        <v>54</v>
      </c>
      <c r="D286" s="9" t="s">
        <v>53</v>
      </c>
      <c r="E286" s="7" t="s">
        <v>25</v>
      </c>
      <c r="F286" s="7" t="s">
        <v>39</v>
      </c>
      <c r="H286" s="7">
        <v>1972</v>
      </c>
      <c r="I286" s="7">
        <v>1</v>
      </c>
      <c r="K286" s="7">
        <v>7</v>
      </c>
      <c r="M286" s="7">
        <v>5</v>
      </c>
      <c r="N286" s="7">
        <v>47</v>
      </c>
      <c r="O286" s="7" t="s">
        <v>28</v>
      </c>
      <c r="T286" s="12"/>
      <c r="V286" t="s">
        <v>29</v>
      </c>
    </row>
    <row r="287" spans="1:22" ht="15.75" hidden="1" customHeight="1" x14ac:dyDescent="0.25">
      <c r="A287" s="7" t="s">
        <v>43</v>
      </c>
      <c r="B287" s="8">
        <v>8</v>
      </c>
      <c r="C287" s="8" t="s">
        <v>52</v>
      </c>
      <c r="D287" s="9" t="s">
        <v>53</v>
      </c>
      <c r="E287" s="7" t="s">
        <v>25</v>
      </c>
      <c r="F287" s="7" t="s">
        <v>39</v>
      </c>
      <c r="H287" s="7">
        <v>1972</v>
      </c>
      <c r="I287" s="7">
        <v>1</v>
      </c>
      <c r="K287" s="7">
        <v>7</v>
      </c>
      <c r="M287" s="7">
        <v>5</v>
      </c>
      <c r="N287" s="7">
        <v>48</v>
      </c>
      <c r="O287" s="7">
        <v>32</v>
      </c>
      <c r="T287" s="12"/>
      <c r="V287" cm="1">
        <f t="array" ref="V287">_xlfn.LET(
_xlpm.x,_xlfn._xlws.FILTER(O287:S287,(O287:S287&lt;&gt;"R")*(O287:S287&lt;&gt;"NA")*(O287:S287&lt;&gt;"W")*(O287:S287&lt;&gt;"")),
IF(COUNTA(_xlpm.x)=0,"NA",IF(MIN(_xlpm.x)=MAX(_xlpm.x),MIN(_xlpm.x),"review"))
)</f>
        <v>32</v>
      </c>
    </row>
    <row r="288" spans="1:22" ht="15.75" hidden="1" customHeight="1" x14ac:dyDescent="0.25">
      <c r="A288" s="7" t="s">
        <v>43</v>
      </c>
      <c r="B288" s="8">
        <v>8</v>
      </c>
      <c r="C288" s="8" t="s">
        <v>54</v>
      </c>
      <c r="D288" s="9" t="s">
        <v>53</v>
      </c>
      <c r="E288" s="7" t="s">
        <v>25</v>
      </c>
      <c r="F288" s="7" t="s">
        <v>39</v>
      </c>
      <c r="H288" s="7">
        <v>1972</v>
      </c>
      <c r="I288" s="7">
        <v>1</v>
      </c>
      <c r="K288" s="7">
        <v>7</v>
      </c>
      <c r="M288" s="7">
        <v>5</v>
      </c>
      <c r="N288" s="7">
        <v>49</v>
      </c>
      <c r="O288" s="7">
        <v>32</v>
      </c>
      <c r="T288" s="12"/>
      <c r="V288" cm="1">
        <f t="array" ref="V288">_xlfn.LET(
_xlpm.x,_xlfn._xlws.FILTER(O288:S288,(O288:S288&lt;&gt;"R")*(O288:S288&lt;&gt;"NA")*(O288:S288&lt;&gt;"W")*(O288:S288&lt;&gt;"")),
IF(COUNTA(_xlpm.x)=0,"NA",IF(MIN(_xlpm.x)=MAX(_xlpm.x),MIN(_xlpm.x),"review"))
)</f>
        <v>32</v>
      </c>
    </row>
    <row r="289" spans="1:22" ht="15.75" hidden="1" customHeight="1" x14ac:dyDescent="0.25">
      <c r="A289" s="7" t="s">
        <v>43</v>
      </c>
      <c r="B289" s="8">
        <v>8</v>
      </c>
      <c r="C289" s="8" t="s">
        <v>52</v>
      </c>
      <c r="D289" s="9" t="s">
        <v>53</v>
      </c>
      <c r="E289" s="7" t="s">
        <v>25</v>
      </c>
      <c r="F289" s="7" t="s">
        <v>39</v>
      </c>
      <c r="H289" s="7">
        <v>1972</v>
      </c>
      <c r="I289" s="7">
        <v>1</v>
      </c>
      <c r="K289" s="7">
        <v>7</v>
      </c>
      <c r="M289" s="7">
        <v>5</v>
      </c>
      <c r="N289" s="7">
        <v>50</v>
      </c>
      <c r="O289" s="7" t="s">
        <v>29</v>
      </c>
      <c r="T289" s="12"/>
      <c r="U289" s="7" t="s">
        <v>56</v>
      </c>
      <c r="V289" t="s">
        <v>29</v>
      </c>
    </row>
    <row r="290" spans="1:22" ht="15.75" hidden="1" customHeight="1" x14ac:dyDescent="0.25">
      <c r="A290" s="7" t="s">
        <v>43</v>
      </c>
      <c r="B290" s="8">
        <v>8</v>
      </c>
      <c r="C290" s="8" t="s">
        <v>54</v>
      </c>
      <c r="D290" s="9" t="s">
        <v>53</v>
      </c>
      <c r="E290" s="7" t="s">
        <v>25</v>
      </c>
      <c r="F290" s="7" t="s">
        <v>39</v>
      </c>
      <c r="H290" s="7">
        <v>1972</v>
      </c>
      <c r="I290" s="7">
        <v>6</v>
      </c>
      <c r="K290" s="7">
        <v>7</v>
      </c>
      <c r="M290" s="7">
        <v>6</v>
      </c>
      <c r="N290" s="7">
        <v>1</v>
      </c>
      <c r="O290" s="7" t="s">
        <v>28</v>
      </c>
      <c r="T290" s="12"/>
      <c r="V290" t="s">
        <v>29</v>
      </c>
    </row>
    <row r="291" spans="1:22" ht="15.75" hidden="1" customHeight="1" x14ac:dyDescent="0.25">
      <c r="A291" s="7" t="s">
        <v>43</v>
      </c>
      <c r="B291" s="8">
        <v>8</v>
      </c>
      <c r="C291" s="8" t="s">
        <v>54</v>
      </c>
      <c r="D291" s="9" t="s">
        <v>53</v>
      </c>
      <c r="E291" s="7" t="s">
        <v>25</v>
      </c>
      <c r="F291" s="7" t="s">
        <v>39</v>
      </c>
      <c r="H291" s="7">
        <v>1972</v>
      </c>
      <c r="I291" s="7">
        <v>6</v>
      </c>
      <c r="K291" s="7">
        <v>7</v>
      </c>
      <c r="M291" s="7">
        <v>6</v>
      </c>
      <c r="N291" s="7">
        <v>2</v>
      </c>
      <c r="O291" s="7" t="s">
        <v>29</v>
      </c>
      <c r="T291" s="12"/>
      <c r="V291" t="s">
        <v>29</v>
      </c>
    </row>
    <row r="292" spans="1:22" ht="15.75" hidden="1" customHeight="1" x14ac:dyDescent="0.25">
      <c r="A292" s="7" t="s">
        <v>43</v>
      </c>
      <c r="B292" s="8">
        <v>8</v>
      </c>
      <c r="C292" s="8" t="s">
        <v>54</v>
      </c>
      <c r="D292" s="9" t="s">
        <v>53</v>
      </c>
      <c r="E292" s="7" t="s">
        <v>25</v>
      </c>
      <c r="F292" s="7" t="s">
        <v>39</v>
      </c>
      <c r="H292" s="7">
        <v>1972</v>
      </c>
      <c r="I292" s="7">
        <v>6</v>
      </c>
      <c r="K292" s="7">
        <v>7</v>
      </c>
      <c r="M292" s="7">
        <v>6</v>
      </c>
      <c r="N292" s="7">
        <v>3</v>
      </c>
      <c r="O292" s="7">
        <v>42</v>
      </c>
      <c r="T292" s="12"/>
      <c r="V292" cm="1">
        <f t="array" ref="V292">_xlfn.LET(
_xlpm.x,_xlfn._xlws.FILTER(O292:S292,(O292:S292&lt;&gt;"R")*(O292:S292&lt;&gt;"NA")*(O292:S292&lt;&gt;"W")*(O292:S292&lt;&gt;"")),
IF(COUNTA(_xlpm.x)=0,"NA",IF(MIN(_xlpm.x)=MAX(_xlpm.x),MIN(_xlpm.x),"review"))
)</f>
        <v>42</v>
      </c>
    </row>
    <row r="293" spans="1:22" ht="15.75" hidden="1" customHeight="1" x14ac:dyDescent="0.25">
      <c r="A293" s="7" t="s">
        <v>43</v>
      </c>
      <c r="B293" s="8">
        <v>8</v>
      </c>
      <c r="C293" s="8" t="s">
        <v>54</v>
      </c>
      <c r="D293" s="9" t="s">
        <v>53</v>
      </c>
      <c r="E293" s="7" t="s">
        <v>25</v>
      </c>
      <c r="F293" s="7" t="s">
        <v>39</v>
      </c>
      <c r="H293" s="7">
        <v>1972</v>
      </c>
      <c r="I293" s="7">
        <v>6</v>
      </c>
      <c r="K293" s="7">
        <v>7</v>
      </c>
      <c r="M293" s="7">
        <v>6</v>
      </c>
      <c r="N293" s="7">
        <v>4</v>
      </c>
      <c r="O293" s="7" t="s">
        <v>29</v>
      </c>
      <c r="T293" s="12"/>
      <c r="V293" t="s">
        <v>29</v>
      </c>
    </row>
    <row r="294" spans="1:22" ht="15.75" hidden="1" customHeight="1" x14ac:dyDescent="0.25">
      <c r="A294" s="7" t="s">
        <v>43</v>
      </c>
      <c r="B294" s="8">
        <v>8</v>
      </c>
      <c r="C294" s="8" t="s">
        <v>54</v>
      </c>
      <c r="D294" s="9" t="s">
        <v>53</v>
      </c>
      <c r="E294" s="7" t="s">
        <v>25</v>
      </c>
      <c r="F294" s="7" t="s">
        <v>39</v>
      </c>
      <c r="H294" s="7">
        <v>1972</v>
      </c>
      <c r="I294" s="7">
        <v>6</v>
      </c>
      <c r="K294" s="7">
        <v>7</v>
      </c>
      <c r="M294" s="7">
        <v>6</v>
      </c>
      <c r="N294" s="7">
        <v>5</v>
      </c>
      <c r="O294" s="7" t="s">
        <v>29</v>
      </c>
      <c r="T294" s="12"/>
      <c r="V294" t="s">
        <v>29</v>
      </c>
    </row>
    <row r="295" spans="1:22" ht="15.75" hidden="1" customHeight="1" x14ac:dyDescent="0.25">
      <c r="A295" s="7" t="s">
        <v>43</v>
      </c>
      <c r="B295" s="8">
        <v>8</v>
      </c>
      <c r="C295" s="8" t="s">
        <v>54</v>
      </c>
      <c r="D295" s="9" t="s">
        <v>53</v>
      </c>
      <c r="E295" s="7" t="s">
        <v>25</v>
      </c>
      <c r="F295" s="7" t="s">
        <v>39</v>
      </c>
      <c r="H295" s="7">
        <v>1972</v>
      </c>
      <c r="I295" s="7">
        <v>6</v>
      </c>
      <c r="K295" s="7">
        <v>7</v>
      </c>
      <c r="M295" s="7">
        <v>6</v>
      </c>
      <c r="N295" s="7">
        <v>6</v>
      </c>
      <c r="O295" s="7">
        <v>42</v>
      </c>
      <c r="T295" s="12"/>
      <c r="V295" cm="1">
        <f t="array" ref="V295">_xlfn.LET(
_xlpm.x,_xlfn._xlws.FILTER(O295:S295,(O295:S295&lt;&gt;"R")*(O295:S295&lt;&gt;"NA")*(O295:S295&lt;&gt;"W")*(O295:S295&lt;&gt;"")),
IF(COUNTA(_xlpm.x)=0,"NA",IF(MIN(_xlpm.x)=MAX(_xlpm.x),MIN(_xlpm.x),"review"))
)</f>
        <v>42</v>
      </c>
    </row>
    <row r="296" spans="1:22" ht="15.75" hidden="1" customHeight="1" x14ac:dyDescent="0.25">
      <c r="A296" s="7" t="s">
        <v>43</v>
      </c>
      <c r="B296" s="8">
        <v>8</v>
      </c>
      <c r="C296" s="8" t="s">
        <v>54</v>
      </c>
      <c r="D296" s="9" t="s">
        <v>53</v>
      </c>
      <c r="E296" s="7" t="s">
        <v>25</v>
      </c>
      <c r="F296" s="7" t="s">
        <v>39</v>
      </c>
      <c r="H296" s="7">
        <v>1972</v>
      </c>
      <c r="I296" s="7">
        <v>6</v>
      </c>
      <c r="K296" s="7">
        <v>7</v>
      </c>
      <c r="M296" s="7">
        <v>6</v>
      </c>
      <c r="N296" s="7">
        <v>7</v>
      </c>
      <c r="O296" s="7">
        <v>32</v>
      </c>
      <c r="T296" s="12"/>
      <c r="V296" cm="1">
        <f t="array" ref="V296">_xlfn.LET(
_xlpm.x,_xlfn._xlws.FILTER(O296:S296,(O296:S296&lt;&gt;"R")*(O296:S296&lt;&gt;"NA")*(O296:S296&lt;&gt;"W")*(O296:S296&lt;&gt;"")),
IF(COUNTA(_xlpm.x)=0,"NA",IF(MIN(_xlpm.x)=MAX(_xlpm.x),MIN(_xlpm.x),"review"))
)</f>
        <v>32</v>
      </c>
    </row>
    <row r="297" spans="1:22" ht="15.75" hidden="1" customHeight="1" x14ac:dyDescent="0.25">
      <c r="A297" s="7" t="s">
        <v>43</v>
      </c>
      <c r="B297" s="8">
        <v>8</v>
      </c>
      <c r="C297" s="8" t="s">
        <v>54</v>
      </c>
      <c r="D297" s="9" t="s">
        <v>53</v>
      </c>
      <c r="E297" s="7" t="s">
        <v>25</v>
      </c>
      <c r="F297" s="7" t="s">
        <v>39</v>
      </c>
      <c r="H297" s="7">
        <v>1972</v>
      </c>
      <c r="I297" s="7">
        <v>6</v>
      </c>
      <c r="K297" s="7">
        <v>7</v>
      </c>
      <c r="M297" s="7">
        <v>6</v>
      </c>
      <c r="N297" s="7">
        <v>8</v>
      </c>
      <c r="O297" s="7">
        <v>32</v>
      </c>
      <c r="T297" s="12"/>
      <c r="V297" cm="1">
        <f t="array" ref="V297">_xlfn.LET(
_xlpm.x,_xlfn._xlws.FILTER(O297:S297,(O297:S297&lt;&gt;"R")*(O297:S297&lt;&gt;"NA")*(O297:S297&lt;&gt;"W")*(O297:S297&lt;&gt;"")),
IF(COUNTA(_xlpm.x)=0,"NA",IF(MIN(_xlpm.x)=MAX(_xlpm.x),MIN(_xlpm.x),"review"))
)</f>
        <v>32</v>
      </c>
    </row>
    <row r="298" spans="1:22" ht="15.75" hidden="1" customHeight="1" x14ac:dyDescent="0.25">
      <c r="A298" s="7" t="s">
        <v>43</v>
      </c>
      <c r="B298" s="8">
        <v>8</v>
      </c>
      <c r="C298" s="8" t="s">
        <v>54</v>
      </c>
      <c r="D298" s="9" t="s">
        <v>53</v>
      </c>
      <c r="E298" s="7" t="s">
        <v>25</v>
      </c>
      <c r="F298" s="7" t="s">
        <v>39</v>
      </c>
      <c r="H298" s="7">
        <v>1972</v>
      </c>
      <c r="I298" s="7">
        <v>6</v>
      </c>
      <c r="K298" s="7">
        <v>7</v>
      </c>
      <c r="M298" s="7">
        <v>6</v>
      </c>
      <c r="N298" s="7">
        <v>9</v>
      </c>
      <c r="O298" s="7">
        <v>43</v>
      </c>
      <c r="T298" s="12"/>
      <c r="V298" cm="1">
        <f t="array" ref="V298">_xlfn.LET(
_xlpm.x,_xlfn._xlws.FILTER(O298:S298,(O298:S298&lt;&gt;"R")*(O298:S298&lt;&gt;"NA")*(O298:S298&lt;&gt;"W")*(O298:S298&lt;&gt;"")),
IF(COUNTA(_xlpm.x)=0,"NA",IF(MIN(_xlpm.x)=MAX(_xlpm.x),MIN(_xlpm.x),"review"))
)</f>
        <v>43</v>
      </c>
    </row>
    <row r="299" spans="1:22" ht="15.75" hidden="1" customHeight="1" x14ac:dyDescent="0.25">
      <c r="A299" s="7" t="s">
        <v>43</v>
      </c>
      <c r="B299" s="8">
        <v>8</v>
      </c>
      <c r="C299" s="8" t="s">
        <v>54</v>
      </c>
      <c r="D299" s="9" t="s">
        <v>53</v>
      </c>
      <c r="E299" s="7" t="s">
        <v>25</v>
      </c>
      <c r="F299" s="7" t="s">
        <v>39</v>
      </c>
      <c r="H299" s="7">
        <v>1972</v>
      </c>
      <c r="I299" s="7">
        <v>6</v>
      </c>
      <c r="K299" s="7">
        <v>7</v>
      </c>
      <c r="M299" s="7">
        <v>6</v>
      </c>
      <c r="N299" s="7">
        <v>10</v>
      </c>
      <c r="O299" s="7" t="s">
        <v>28</v>
      </c>
      <c r="T299" s="12"/>
      <c r="V299" t="s">
        <v>29</v>
      </c>
    </row>
    <row r="300" spans="1:22" ht="15.75" hidden="1" customHeight="1" x14ac:dyDescent="0.25">
      <c r="A300" s="7" t="s">
        <v>43</v>
      </c>
      <c r="B300" s="8">
        <v>8</v>
      </c>
      <c r="C300" s="8" t="s">
        <v>54</v>
      </c>
      <c r="D300" s="9" t="s">
        <v>53</v>
      </c>
      <c r="E300" s="7" t="s">
        <v>25</v>
      </c>
      <c r="F300" s="7" t="s">
        <v>39</v>
      </c>
      <c r="H300" s="7">
        <v>1972</v>
      </c>
      <c r="I300" s="7">
        <v>6</v>
      </c>
      <c r="K300" s="7">
        <v>7</v>
      </c>
      <c r="M300" s="7">
        <v>6</v>
      </c>
      <c r="N300" s="7">
        <v>11</v>
      </c>
      <c r="O300" s="7">
        <v>52</v>
      </c>
      <c r="T300" s="12"/>
      <c r="V300" cm="1">
        <f t="array" ref="V300">_xlfn.LET(
_xlpm.x,_xlfn._xlws.FILTER(O300:S300,(O300:S300&lt;&gt;"R")*(O300:S300&lt;&gt;"NA")*(O300:S300&lt;&gt;"W")*(O300:S300&lt;&gt;"")),
IF(COUNTA(_xlpm.x)=0,"NA",IF(MIN(_xlpm.x)=MAX(_xlpm.x),MIN(_xlpm.x),"review"))
)</f>
        <v>52</v>
      </c>
    </row>
    <row r="301" spans="1:22" ht="15.75" hidden="1" customHeight="1" x14ac:dyDescent="0.25">
      <c r="A301" s="7" t="s">
        <v>43</v>
      </c>
      <c r="B301" s="8">
        <v>8</v>
      </c>
      <c r="C301" s="8" t="s">
        <v>54</v>
      </c>
      <c r="D301" s="9" t="s">
        <v>53</v>
      </c>
      <c r="E301" s="7" t="s">
        <v>25</v>
      </c>
      <c r="F301" s="7" t="s">
        <v>39</v>
      </c>
      <c r="H301" s="7">
        <v>1972</v>
      </c>
      <c r="I301" s="7">
        <v>6</v>
      </c>
      <c r="K301" s="7">
        <v>7</v>
      </c>
      <c r="M301" s="7">
        <v>6</v>
      </c>
      <c r="N301" s="7">
        <v>12</v>
      </c>
      <c r="O301" s="7" t="s">
        <v>28</v>
      </c>
      <c r="T301" s="12"/>
      <c r="V301" t="s">
        <v>29</v>
      </c>
    </row>
    <row r="302" spans="1:22" ht="15.75" hidden="1" customHeight="1" x14ac:dyDescent="0.25">
      <c r="A302" s="7" t="s">
        <v>43</v>
      </c>
      <c r="B302" s="8">
        <v>8</v>
      </c>
      <c r="C302" s="8" t="s">
        <v>54</v>
      </c>
      <c r="D302" s="9" t="s">
        <v>53</v>
      </c>
      <c r="E302" s="7" t="s">
        <v>25</v>
      </c>
      <c r="F302" s="7" t="s">
        <v>39</v>
      </c>
      <c r="H302" s="7">
        <v>1972</v>
      </c>
      <c r="I302" s="7">
        <v>6</v>
      </c>
      <c r="K302" s="7">
        <v>7</v>
      </c>
      <c r="M302" s="7">
        <v>6</v>
      </c>
      <c r="N302" s="7">
        <v>13</v>
      </c>
      <c r="O302" s="7">
        <v>52</v>
      </c>
      <c r="T302" s="12"/>
      <c r="V302" cm="1">
        <f t="array" ref="V302">_xlfn.LET(
_xlpm.x,_xlfn._xlws.FILTER(O302:S302,(O302:S302&lt;&gt;"R")*(O302:S302&lt;&gt;"NA")*(O302:S302&lt;&gt;"W")*(O302:S302&lt;&gt;"")),
IF(COUNTA(_xlpm.x)=0,"NA",IF(MIN(_xlpm.x)=MAX(_xlpm.x),MIN(_xlpm.x),"review"))
)</f>
        <v>52</v>
      </c>
    </row>
    <row r="303" spans="1:22" ht="15.75" hidden="1" customHeight="1" x14ac:dyDescent="0.25">
      <c r="A303" s="7" t="s">
        <v>43</v>
      </c>
      <c r="B303" s="8">
        <v>8</v>
      </c>
      <c r="C303" s="8" t="s">
        <v>54</v>
      </c>
      <c r="D303" s="9" t="s">
        <v>53</v>
      </c>
      <c r="E303" s="7" t="s">
        <v>25</v>
      </c>
      <c r="F303" s="7" t="s">
        <v>39</v>
      </c>
      <c r="H303" s="7">
        <v>1972</v>
      </c>
      <c r="I303" s="7">
        <v>6</v>
      </c>
      <c r="K303" s="7">
        <v>7</v>
      </c>
      <c r="M303" s="7">
        <v>6</v>
      </c>
      <c r="N303" s="7">
        <v>14</v>
      </c>
      <c r="O303" s="7">
        <v>52</v>
      </c>
      <c r="T303" s="12"/>
      <c r="V303" cm="1">
        <f t="array" ref="V303">_xlfn.LET(
_xlpm.x,_xlfn._xlws.FILTER(O303:S303,(O303:S303&lt;&gt;"R")*(O303:S303&lt;&gt;"NA")*(O303:S303&lt;&gt;"W")*(O303:S303&lt;&gt;"")),
IF(COUNTA(_xlpm.x)=0,"NA",IF(MIN(_xlpm.x)=MAX(_xlpm.x),MIN(_xlpm.x),"review"))
)</f>
        <v>52</v>
      </c>
    </row>
    <row r="304" spans="1:22" ht="15.75" hidden="1" customHeight="1" x14ac:dyDescent="0.25">
      <c r="A304" s="7" t="s">
        <v>43</v>
      </c>
      <c r="B304" s="8">
        <v>8</v>
      </c>
      <c r="C304" s="8" t="s">
        <v>54</v>
      </c>
      <c r="D304" s="9" t="s">
        <v>53</v>
      </c>
      <c r="E304" s="7" t="s">
        <v>25</v>
      </c>
      <c r="F304" s="7" t="s">
        <v>39</v>
      </c>
      <c r="H304" s="7">
        <v>1972</v>
      </c>
      <c r="I304" s="7">
        <v>6</v>
      </c>
      <c r="K304" s="7">
        <v>7</v>
      </c>
      <c r="M304" s="7">
        <v>6</v>
      </c>
      <c r="N304" s="7">
        <v>15</v>
      </c>
      <c r="O304" s="7">
        <v>31</v>
      </c>
      <c r="T304" s="12"/>
      <c r="V304" cm="1">
        <f t="array" ref="V304">_xlfn.LET(
_xlpm.x,_xlfn._xlws.FILTER(O304:S304,(O304:S304&lt;&gt;"R")*(O304:S304&lt;&gt;"NA")*(O304:S304&lt;&gt;"W")*(O304:S304&lt;&gt;"")),
IF(COUNTA(_xlpm.x)=0,"NA",IF(MIN(_xlpm.x)=MAX(_xlpm.x),MIN(_xlpm.x),"review"))
)</f>
        <v>31</v>
      </c>
    </row>
    <row r="305" spans="1:22" ht="15.75" hidden="1" customHeight="1" x14ac:dyDescent="0.25">
      <c r="A305" s="7" t="s">
        <v>43</v>
      </c>
      <c r="B305" s="8">
        <v>8</v>
      </c>
      <c r="C305" s="8" t="s">
        <v>54</v>
      </c>
      <c r="D305" s="9" t="s">
        <v>53</v>
      </c>
      <c r="E305" s="7" t="s">
        <v>25</v>
      </c>
      <c r="F305" s="7" t="s">
        <v>39</v>
      </c>
      <c r="H305" s="7">
        <v>1972</v>
      </c>
      <c r="I305" s="7">
        <v>6</v>
      </c>
      <c r="K305" s="7">
        <v>7</v>
      </c>
      <c r="M305" s="7">
        <v>6</v>
      </c>
      <c r="N305" s="7">
        <v>16</v>
      </c>
      <c r="O305" s="7">
        <v>42</v>
      </c>
      <c r="T305" s="12"/>
      <c r="V305" cm="1">
        <f t="array" ref="V305">_xlfn.LET(
_xlpm.x,_xlfn._xlws.FILTER(O305:S305,(O305:S305&lt;&gt;"R")*(O305:S305&lt;&gt;"NA")*(O305:S305&lt;&gt;"W")*(O305:S305&lt;&gt;"")),
IF(COUNTA(_xlpm.x)=0,"NA",IF(MIN(_xlpm.x)=MAX(_xlpm.x),MIN(_xlpm.x),"review"))
)</f>
        <v>42</v>
      </c>
    </row>
    <row r="306" spans="1:22" ht="15.75" hidden="1" customHeight="1" x14ac:dyDescent="0.25">
      <c r="A306" s="7" t="s">
        <v>43</v>
      </c>
      <c r="B306" s="8">
        <v>8</v>
      </c>
      <c r="C306" s="8" t="s">
        <v>54</v>
      </c>
      <c r="D306" s="9" t="s">
        <v>53</v>
      </c>
      <c r="E306" s="7" t="s">
        <v>25</v>
      </c>
      <c r="F306" s="7" t="s">
        <v>39</v>
      </c>
      <c r="H306" s="7">
        <v>1972</v>
      </c>
      <c r="I306" s="7">
        <v>6</v>
      </c>
      <c r="K306" s="7">
        <v>7</v>
      </c>
      <c r="M306" s="7">
        <v>6</v>
      </c>
      <c r="N306" s="7">
        <v>17</v>
      </c>
      <c r="O306" s="7">
        <v>52</v>
      </c>
      <c r="T306" s="12"/>
      <c r="V306" cm="1">
        <f t="array" ref="V306">_xlfn.LET(
_xlpm.x,_xlfn._xlws.FILTER(O306:S306,(O306:S306&lt;&gt;"R")*(O306:S306&lt;&gt;"NA")*(O306:S306&lt;&gt;"W")*(O306:S306&lt;&gt;"")),
IF(COUNTA(_xlpm.x)=0,"NA",IF(MIN(_xlpm.x)=MAX(_xlpm.x),MIN(_xlpm.x),"review"))
)</f>
        <v>52</v>
      </c>
    </row>
    <row r="307" spans="1:22" ht="15.75" hidden="1" customHeight="1" x14ac:dyDescent="0.25">
      <c r="A307" s="7" t="s">
        <v>43</v>
      </c>
      <c r="B307" s="8">
        <v>8</v>
      </c>
      <c r="C307" s="8" t="s">
        <v>54</v>
      </c>
      <c r="D307" s="9" t="s">
        <v>53</v>
      </c>
      <c r="E307" s="7" t="s">
        <v>25</v>
      </c>
      <c r="F307" s="7" t="s">
        <v>39</v>
      </c>
      <c r="H307" s="7">
        <v>1972</v>
      </c>
      <c r="I307" s="7">
        <v>6</v>
      </c>
      <c r="K307" s="7">
        <v>7</v>
      </c>
      <c r="M307" s="7">
        <v>6</v>
      </c>
      <c r="N307" s="7">
        <v>18</v>
      </c>
      <c r="O307" s="7">
        <v>32</v>
      </c>
      <c r="T307" s="12"/>
      <c r="V307" cm="1">
        <f t="array" ref="V307">_xlfn.LET(
_xlpm.x,_xlfn._xlws.FILTER(O307:S307,(O307:S307&lt;&gt;"R")*(O307:S307&lt;&gt;"NA")*(O307:S307&lt;&gt;"W")*(O307:S307&lt;&gt;"")),
IF(COUNTA(_xlpm.x)=0,"NA",IF(MIN(_xlpm.x)=MAX(_xlpm.x),MIN(_xlpm.x),"review"))
)</f>
        <v>32</v>
      </c>
    </row>
    <row r="308" spans="1:22" ht="15.75" hidden="1" customHeight="1" x14ac:dyDescent="0.25">
      <c r="A308" s="7" t="s">
        <v>43</v>
      </c>
      <c r="B308" s="8">
        <v>8</v>
      </c>
      <c r="C308" s="8" t="s">
        <v>54</v>
      </c>
      <c r="D308" s="9" t="s">
        <v>53</v>
      </c>
      <c r="E308" s="7" t="s">
        <v>25</v>
      </c>
      <c r="F308" s="7" t="s">
        <v>39</v>
      </c>
      <c r="H308" s="7">
        <v>1972</v>
      </c>
      <c r="I308" s="7">
        <v>6</v>
      </c>
      <c r="K308" s="7">
        <v>7</v>
      </c>
      <c r="M308" s="7">
        <v>6</v>
      </c>
      <c r="N308" s="7">
        <v>19</v>
      </c>
      <c r="O308" s="7">
        <v>42</v>
      </c>
      <c r="T308" s="12"/>
      <c r="V308" cm="1">
        <f t="array" ref="V308">_xlfn.LET(
_xlpm.x,_xlfn._xlws.FILTER(O308:S308,(O308:S308&lt;&gt;"R")*(O308:S308&lt;&gt;"NA")*(O308:S308&lt;&gt;"W")*(O308:S308&lt;&gt;"")),
IF(COUNTA(_xlpm.x)=0,"NA",IF(MIN(_xlpm.x)=MAX(_xlpm.x),MIN(_xlpm.x),"review"))
)</f>
        <v>42</v>
      </c>
    </row>
    <row r="309" spans="1:22" ht="15.75" hidden="1" customHeight="1" x14ac:dyDescent="0.25">
      <c r="A309" s="7" t="s">
        <v>43</v>
      </c>
      <c r="B309" s="8">
        <v>8</v>
      </c>
      <c r="C309" s="8" t="s">
        <v>54</v>
      </c>
      <c r="D309" s="9" t="s">
        <v>53</v>
      </c>
      <c r="E309" s="7" t="s">
        <v>25</v>
      </c>
      <c r="F309" s="7" t="s">
        <v>39</v>
      </c>
      <c r="H309" s="7">
        <v>1972</v>
      </c>
      <c r="I309" s="7">
        <v>6</v>
      </c>
      <c r="K309" s="7">
        <v>7</v>
      </c>
      <c r="M309" s="7">
        <v>6</v>
      </c>
      <c r="N309" s="7">
        <v>20</v>
      </c>
      <c r="O309" s="7">
        <v>53</v>
      </c>
      <c r="T309" s="12"/>
      <c r="V309" cm="1">
        <f t="array" ref="V309">_xlfn.LET(
_xlpm.x,_xlfn._xlws.FILTER(O309:S309,(O309:S309&lt;&gt;"R")*(O309:S309&lt;&gt;"NA")*(O309:S309&lt;&gt;"W")*(O309:S309&lt;&gt;"")),
IF(COUNTA(_xlpm.x)=0,"NA",IF(MIN(_xlpm.x)=MAX(_xlpm.x),MIN(_xlpm.x),"review"))
)</f>
        <v>53</v>
      </c>
    </row>
    <row r="310" spans="1:22" ht="15.75" hidden="1" customHeight="1" x14ac:dyDescent="0.25">
      <c r="A310" s="7" t="s">
        <v>43</v>
      </c>
      <c r="B310" s="8">
        <v>8</v>
      </c>
      <c r="C310" s="8" t="s">
        <v>54</v>
      </c>
      <c r="D310" s="9" t="s">
        <v>53</v>
      </c>
      <c r="E310" s="7" t="s">
        <v>25</v>
      </c>
      <c r="F310" s="7" t="s">
        <v>39</v>
      </c>
      <c r="H310" s="7">
        <v>1972</v>
      </c>
      <c r="I310" s="7">
        <v>6</v>
      </c>
      <c r="K310" s="7">
        <v>7</v>
      </c>
      <c r="M310" s="7">
        <v>6</v>
      </c>
      <c r="N310" s="7">
        <v>21</v>
      </c>
      <c r="O310" s="7">
        <v>32</v>
      </c>
      <c r="T310" s="12"/>
      <c r="V310" cm="1">
        <f t="array" ref="V310">_xlfn.LET(
_xlpm.x,_xlfn._xlws.FILTER(O310:S310,(O310:S310&lt;&gt;"R")*(O310:S310&lt;&gt;"NA")*(O310:S310&lt;&gt;"W")*(O310:S310&lt;&gt;"")),
IF(COUNTA(_xlpm.x)=0,"NA",IF(MIN(_xlpm.x)=MAX(_xlpm.x),MIN(_xlpm.x),"review"))
)</f>
        <v>32</v>
      </c>
    </row>
    <row r="311" spans="1:22" ht="15.75" hidden="1" customHeight="1" x14ac:dyDescent="0.25">
      <c r="A311" s="7" t="s">
        <v>43</v>
      </c>
      <c r="B311" s="8">
        <v>8</v>
      </c>
      <c r="C311" s="8" t="s">
        <v>54</v>
      </c>
      <c r="D311" s="9" t="s">
        <v>53</v>
      </c>
      <c r="E311" s="7" t="s">
        <v>25</v>
      </c>
      <c r="F311" s="7" t="s">
        <v>39</v>
      </c>
      <c r="H311" s="7">
        <v>1972</v>
      </c>
      <c r="I311" s="7">
        <v>6</v>
      </c>
      <c r="K311" s="7">
        <v>7</v>
      </c>
      <c r="M311" s="7">
        <v>6</v>
      </c>
      <c r="N311" s="7">
        <v>22</v>
      </c>
      <c r="O311" s="7">
        <v>42</v>
      </c>
      <c r="T311" s="12" t="s">
        <v>46</v>
      </c>
      <c r="V311" cm="1">
        <f t="array" ref="V311">_xlfn.LET(
_xlpm.x,_xlfn._xlws.FILTER(O311:S311,(O311:S311&lt;&gt;"R")*(O311:S311&lt;&gt;"NA")*(O311:S311&lt;&gt;"W")*(O311:S311&lt;&gt;"")),
IF(COUNTA(_xlpm.x)=0,"NA",IF(MIN(_xlpm.x)=MAX(_xlpm.x),MIN(_xlpm.x),"review"))
)</f>
        <v>42</v>
      </c>
    </row>
    <row r="312" spans="1:22" ht="15.75" hidden="1" customHeight="1" x14ac:dyDescent="0.25">
      <c r="A312" s="7" t="s">
        <v>43</v>
      </c>
      <c r="B312" s="8">
        <v>8</v>
      </c>
      <c r="C312" s="8" t="s">
        <v>54</v>
      </c>
      <c r="D312" s="9" t="s">
        <v>53</v>
      </c>
      <c r="E312" s="7" t="s">
        <v>25</v>
      </c>
      <c r="F312" s="7" t="s">
        <v>39</v>
      </c>
      <c r="H312" s="7">
        <v>1972</v>
      </c>
      <c r="I312" s="7">
        <v>6</v>
      </c>
      <c r="K312" s="7">
        <v>7</v>
      </c>
      <c r="M312" s="7">
        <v>6</v>
      </c>
      <c r="N312" s="7">
        <v>23</v>
      </c>
      <c r="O312" s="7" t="s">
        <v>29</v>
      </c>
      <c r="T312" s="12"/>
      <c r="V312" t="s">
        <v>29</v>
      </c>
    </row>
    <row r="313" spans="1:22" ht="15.75" hidden="1" customHeight="1" x14ac:dyDescent="0.25">
      <c r="A313" s="7" t="s">
        <v>43</v>
      </c>
      <c r="B313" s="8">
        <v>8</v>
      </c>
      <c r="C313" s="8" t="s">
        <v>54</v>
      </c>
      <c r="D313" s="9" t="s">
        <v>53</v>
      </c>
      <c r="E313" s="7" t="s">
        <v>25</v>
      </c>
      <c r="F313" s="7" t="s">
        <v>39</v>
      </c>
      <c r="H313" s="7">
        <v>1972</v>
      </c>
      <c r="I313" s="7">
        <v>6</v>
      </c>
      <c r="K313" s="7">
        <v>7</v>
      </c>
      <c r="M313" s="7">
        <v>6</v>
      </c>
      <c r="N313" s="7">
        <v>24</v>
      </c>
      <c r="O313" s="7">
        <v>42</v>
      </c>
      <c r="T313" s="12"/>
      <c r="V313" cm="1">
        <f t="array" ref="V313">_xlfn.LET(
_xlpm.x,_xlfn._xlws.FILTER(O313:S313,(O313:S313&lt;&gt;"R")*(O313:S313&lt;&gt;"NA")*(O313:S313&lt;&gt;"W")*(O313:S313&lt;&gt;"")),
IF(COUNTA(_xlpm.x)=0,"NA",IF(MIN(_xlpm.x)=MAX(_xlpm.x),MIN(_xlpm.x),"review"))
)</f>
        <v>42</v>
      </c>
    </row>
    <row r="314" spans="1:22" ht="15.75" hidden="1" customHeight="1" x14ac:dyDescent="0.25">
      <c r="A314" s="7" t="s">
        <v>43</v>
      </c>
      <c r="B314" s="8">
        <v>8</v>
      </c>
      <c r="C314" s="8" t="s">
        <v>54</v>
      </c>
      <c r="D314" s="9" t="s">
        <v>53</v>
      </c>
      <c r="E314" s="7" t="s">
        <v>25</v>
      </c>
      <c r="F314" s="7" t="s">
        <v>39</v>
      </c>
      <c r="H314" s="7">
        <v>1972</v>
      </c>
      <c r="I314" s="7">
        <v>6</v>
      </c>
      <c r="K314" s="7">
        <v>7</v>
      </c>
      <c r="M314" s="7">
        <v>6</v>
      </c>
      <c r="N314" s="7">
        <v>25</v>
      </c>
      <c r="O314" s="7">
        <v>42</v>
      </c>
      <c r="T314" s="12"/>
      <c r="V314" cm="1">
        <f t="array" ref="V314">_xlfn.LET(
_xlpm.x,_xlfn._xlws.FILTER(O314:S314,(O314:S314&lt;&gt;"R")*(O314:S314&lt;&gt;"NA")*(O314:S314&lt;&gt;"W")*(O314:S314&lt;&gt;"")),
IF(COUNTA(_xlpm.x)=0,"NA",IF(MIN(_xlpm.x)=MAX(_xlpm.x),MIN(_xlpm.x),"review"))
)</f>
        <v>42</v>
      </c>
    </row>
    <row r="315" spans="1:22" ht="15.75" hidden="1" customHeight="1" x14ac:dyDescent="0.25">
      <c r="A315" s="7" t="s">
        <v>43</v>
      </c>
      <c r="B315" s="8">
        <v>8</v>
      </c>
      <c r="C315" s="8" t="s">
        <v>54</v>
      </c>
      <c r="D315" s="9" t="s">
        <v>53</v>
      </c>
      <c r="E315" s="7" t="s">
        <v>25</v>
      </c>
      <c r="F315" s="7" t="s">
        <v>39</v>
      </c>
      <c r="H315" s="7">
        <v>1972</v>
      </c>
      <c r="I315" s="7">
        <v>6</v>
      </c>
      <c r="K315" s="7">
        <v>7</v>
      </c>
      <c r="M315" s="7">
        <v>6</v>
      </c>
      <c r="N315" s="7">
        <v>26</v>
      </c>
      <c r="O315" s="7">
        <v>53</v>
      </c>
      <c r="T315" s="12"/>
      <c r="V315" cm="1">
        <f t="array" ref="V315">_xlfn.LET(
_xlpm.x,_xlfn._xlws.FILTER(O315:S315,(O315:S315&lt;&gt;"R")*(O315:S315&lt;&gt;"NA")*(O315:S315&lt;&gt;"W")*(O315:S315&lt;&gt;"")),
IF(COUNTA(_xlpm.x)=0,"NA",IF(MIN(_xlpm.x)=MAX(_xlpm.x),MIN(_xlpm.x),"review"))
)</f>
        <v>53</v>
      </c>
    </row>
    <row r="316" spans="1:22" ht="15.75" hidden="1" customHeight="1" x14ac:dyDescent="0.25">
      <c r="A316" s="7" t="s">
        <v>43</v>
      </c>
      <c r="B316" s="8">
        <v>8</v>
      </c>
      <c r="C316" s="8" t="s">
        <v>54</v>
      </c>
      <c r="D316" s="9" t="s">
        <v>53</v>
      </c>
      <c r="E316" s="7" t="s">
        <v>25</v>
      </c>
      <c r="F316" s="7" t="s">
        <v>39</v>
      </c>
      <c r="H316" s="7">
        <v>1972</v>
      </c>
      <c r="I316" s="7">
        <v>6</v>
      </c>
      <c r="K316" s="7">
        <v>7</v>
      </c>
      <c r="M316" s="7">
        <v>6</v>
      </c>
      <c r="N316" s="7">
        <v>27</v>
      </c>
      <c r="O316" s="7">
        <v>32</v>
      </c>
      <c r="T316" s="12"/>
      <c r="V316" cm="1">
        <f t="array" ref="V316">_xlfn.LET(
_xlpm.x,_xlfn._xlws.FILTER(O316:S316,(O316:S316&lt;&gt;"R")*(O316:S316&lt;&gt;"NA")*(O316:S316&lt;&gt;"W")*(O316:S316&lt;&gt;"")),
IF(COUNTA(_xlpm.x)=0,"NA",IF(MIN(_xlpm.x)=MAX(_xlpm.x),MIN(_xlpm.x),"review"))
)</f>
        <v>32</v>
      </c>
    </row>
    <row r="317" spans="1:22" ht="15.75" hidden="1" customHeight="1" x14ac:dyDescent="0.25">
      <c r="A317" s="7" t="s">
        <v>43</v>
      </c>
      <c r="B317" s="8">
        <v>8</v>
      </c>
      <c r="C317" s="8" t="s">
        <v>54</v>
      </c>
      <c r="D317" s="9" t="s">
        <v>53</v>
      </c>
      <c r="E317" s="7" t="s">
        <v>25</v>
      </c>
      <c r="F317" s="7" t="s">
        <v>39</v>
      </c>
      <c r="H317" s="7">
        <v>1972</v>
      </c>
      <c r="I317" s="7">
        <v>6</v>
      </c>
      <c r="K317" s="7">
        <v>7</v>
      </c>
      <c r="M317" s="7">
        <v>6</v>
      </c>
      <c r="N317" s="7">
        <v>28</v>
      </c>
      <c r="O317" s="7">
        <v>32</v>
      </c>
      <c r="T317" s="12"/>
      <c r="V317" cm="1">
        <f t="array" ref="V317">_xlfn.LET(
_xlpm.x,_xlfn._xlws.FILTER(O317:S317,(O317:S317&lt;&gt;"R")*(O317:S317&lt;&gt;"NA")*(O317:S317&lt;&gt;"W")*(O317:S317&lt;&gt;"")),
IF(COUNTA(_xlpm.x)=0,"NA",IF(MIN(_xlpm.x)=MAX(_xlpm.x),MIN(_xlpm.x),"review"))
)</f>
        <v>32</v>
      </c>
    </row>
    <row r="318" spans="1:22" ht="15.75" hidden="1" customHeight="1" x14ac:dyDescent="0.25">
      <c r="A318" s="7" t="s">
        <v>43</v>
      </c>
      <c r="B318" s="8">
        <v>8</v>
      </c>
      <c r="C318" s="8" t="s">
        <v>54</v>
      </c>
      <c r="D318" s="9" t="s">
        <v>53</v>
      </c>
      <c r="E318" s="7" t="s">
        <v>25</v>
      </c>
      <c r="F318" s="7" t="s">
        <v>39</v>
      </c>
      <c r="H318" s="7">
        <v>1972</v>
      </c>
      <c r="I318" s="7">
        <v>6</v>
      </c>
      <c r="K318" s="7">
        <v>7</v>
      </c>
      <c r="M318" s="7">
        <v>6</v>
      </c>
      <c r="N318" s="7">
        <v>29</v>
      </c>
      <c r="O318" s="7">
        <v>42</v>
      </c>
      <c r="T318" s="12"/>
      <c r="V318" cm="1">
        <f t="array" ref="V318">_xlfn.LET(
_xlpm.x,_xlfn._xlws.FILTER(O318:S318,(O318:S318&lt;&gt;"R")*(O318:S318&lt;&gt;"NA")*(O318:S318&lt;&gt;"W")*(O318:S318&lt;&gt;"")),
IF(COUNTA(_xlpm.x)=0,"NA",IF(MIN(_xlpm.x)=MAX(_xlpm.x),MIN(_xlpm.x),"review"))
)</f>
        <v>42</v>
      </c>
    </row>
    <row r="319" spans="1:22" ht="15.75" hidden="1" customHeight="1" x14ac:dyDescent="0.25">
      <c r="A319" s="7" t="s">
        <v>43</v>
      </c>
      <c r="B319" s="8">
        <v>8</v>
      </c>
      <c r="C319" s="8" t="s">
        <v>54</v>
      </c>
      <c r="D319" s="9" t="s">
        <v>53</v>
      </c>
      <c r="E319" s="7" t="s">
        <v>25</v>
      </c>
      <c r="F319" s="7" t="s">
        <v>39</v>
      </c>
      <c r="H319" s="7">
        <v>1972</v>
      </c>
      <c r="I319" s="7">
        <v>6</v>
      </c>
      <c r="K319" s="7">
        <v>7</v>
      </c>
      <c r="M319" s="7">
        <v>6</v>
      </c>
      <c r="N319" s="7">
        <v>30</v>
      </c>
      <c r="O319" s="7" t="s">
        <v>29</v>
      </c>
      <c r="T319" s="12"/>
      <c r="V319" t="s">
        <v>29</v>
      </c>
    </row>
    <row r="320" spans="1:22" ht="15.75" hidden="1" customHeight="1" x14ac:dyDescent="0.25">
      <c r="A320" s="7" t="s">
        <v>43</v>
      </c>
      <c r="B320" s="8">
        <v>8</v>
      </c>
      <c r="C320" s="8" t="s">
        <v>54</v>
      </c>
      <c r="D320" s="9" t="s">
        <v>53</v>
      </c>
      <c r="E320" s="7" t="s">
        <v>25</v>
      </c>
      <c r="F320" s="7" t="s">
        <v>39</v>
      </c>
      <c r="H320" s="7">
        <v>1972</v>
      </c>
      <c r="I320" s="7">
        <v>6</v>
      </c>
      <c r="K320" s="7">
        <v>7</v>
      </c>
      <c r="M320" s="7">
        <v>6</v>
      </c>
      <c r="N320" s="7">
        <v>31</v>
      </c>
      <c r="O320" s="7">
        <v>52</v>
      </c>
      <c r="T320" s="12"/>
      <c r="V320" cm="1">
        <f t="array" ref="V320">_xlfn.LET(
_xlpm.x,_xlfn._xlws.FILTER(O320:S320,(O320:S320&lt;&gt;"R")*(O320:S320&lt;&gt;"NA")*(O320:S320&lt;&gt;"W")*(O320:S320&lt;&gt;"")),
IF(COUNTA(_xlpm.x)=0,"NA",IF(MIN(_xlpm.x)=MAX(_xlpm.x),MIN(_xlpm.x),"review"))
)</f>
        <v>52</v>
      </c>
    </row>
    <row r="321" spans="1:22" ht="15.75" hidden="1" customHeight="1" x14ac:dyDescent="0.25">
      <c r="A321" s="7" t="s">
        <v>43</v>
      </c>
      <c r="B321" s="8">
        <v>8</v>
      </c>
      <c r="C321" s="8" t="s">
        <v>54</v>
      </c>
      <c r="D321" s="9" t="s">
        <v>53</v>
      </c>
      <c r="E321" s="7" t="s">
        <v>25</v>
      </c>
      <c r="F321" s="7" t="s">
        <v>39</v>
      </c>
      <c r="H321" s="7">
        <v>1972</v>
      </c>
      <c r="I321" s="7">
        <v>6</v>
      </c>
      <c r="K321" s="7">
        <v>7</v>
      </c>
      <c r="M321" s="7">
        <v>6</v>
      </c>
      <c r="N321" s="7">
        <v>32</v>
      </c>
      <c r="O321" s="7">
        <v>53</v>
      </c>
      <c r="T321" s="12"/>
      <c r="V321" cm="1">
        <f t="array" ref="V321">_xlfn.LET(
_xlpm.x,_xlfn._xlws.FILTER(O321:S321,(O321:S321&lt;&gt;"R")*(O321:S321&lt;&gt;"NA")*(O321:S321&lt;&gt;"W")*(O321:S321&lt;&gt;"")),
IF(COUNTA(_xlpm.x)=0,"NA",IF(MIN(_xlpm.x)=MAX(_xlpm.x),MIN(_xlpm.x),"review"))
)</f>
        <v>53</v>
      </c>
    </row>
    <row r="322" spans="1:22" ht="15.75" hidden="1" customHeight="1" x14ac:dyDescent="0.25">
      <c r="A322" s="7" t="s">
        <v>43</v>
      </c>
      <c r="B322" s="8">
        <v>8</v>
      </c>
      <c r="C322" s="8" t="s">
        <v>54</v>
      </c>
      <c r="D322" s="9" t="s">
        <v>53</v>
      </c>
      <c r="E322" s="7" t="s">
        <v>25</v>
      </c>
      <c r="F322" s="7" t="s">
        <v>39</v>
      </c>
      <c r="H322" s="7">
        <v>1972</v>
      </c>
      <c r="I322" s="7">
        <v>6</v>
      </c>
      <c r="K322" s="7">
        <v>7</v>
      </c>
      <c r="M322" s="7">
        <v>6</v>
      </c>
      <c r="N322" s="7">
        <v>33</v>
      </c>
      <c r="O322" s="7">
        <v>42</v>
      </c>
      <c r="T322" s="12"/>
      <c r="V322" cm="1">
        <f t="array" ref="V322">_xlfn.LET(
_xlpm.x,_xlfn._xlws.FILTER(O322:S322,(O322:S322&lt;&gt;"R")*(O322:S322&lt;&gt;"NA")*(O322:S322&lt;&gt;"W")*(O322:S322&lt;&gt;"")),
IF(COUNTA(_xlpm.x)=0,"NA",IF(MIN(_xlpm.x)=MAX(_xlpm.x),MIN(_xlpm.x),"review"))
)</f>
        <v>42</v>
      </c>
    </row>
    <row r="323" spans="1:22" ht="15.75" hidden="1" customHeight="1" x14ac:dyDescent="0.25">
      <c r="A323" s="7" t="s">
        <v>43</v>
      </c>
      <c r="B323" s="8">
        <v>8</v>
      </c>
      <c r="C323" s="8" t="s">
        <v>54</v>
      </c>
      <c r="D323" s="9" t="s">
        <v>53</v>
      </c>
      <c r="E323" s="7" t="s">
        <v>25</v>
      </c>
      <c r="F323" s="7" t="s">
        <v>39</v>
      </c>
      <c r="H323" s="7">
        <v>1972</v>
      </c>
      <c r="I323" s="7">
        <v>6</v>
      </c>
      <c r="K323" s="7">
        <v>7</v>
      </c>
      <c r="M323" s="7">
        <v>6</v>
      </c>
      <c r="N323" s="7">
        <v>34</v>
      </c>
      <c r="O323" s="7">
        <v>53</v>
      </c>
      <c r="T323" s="12"/>
      <c r="V323" cm="1">
        <f t="array" ref="V323">_xlfn.LET(
_xlpm.x,_xlfn._xlws.FILTER(O323:S323,(O323:S323&lt;&gt;"R")*(O323:S323&lt;&gt;"NA")*(O323:S323&lt;&gt;"W")*(O323:S323&lt;&gt;"")),
IF(COUNTA(_xlpm.x)=0,"NA",IF(MIN(_xlpm.x)=MAX(_xlpm.x),MIN(_xlpm.x),"review"))
)</f>
        <v>53</v>
      </c>
    </row>
    <row r="324" spans="1:22" ht="15.75" hidden="1" customHeight="1" x14ac:dyDescent="0.25">
      <c r="A324" s="7" t="s">
        <v>43</v>
      </c>
      <c r="B324" s="8">
        <v>8</v>
      </c>
      <c r="C324" s="8" t="s">
        <v>54</v>
      </c>
      <c r="D324" s="9" t="s">
        <v>53</v>
      </c>
      <c r="E324" s="7" t="s">
        <v>25</v>
      </c>
      <c r="F324" s="7" t="s">
        <v>39</v>
      </c>
      <c r="H324" s="7">
        <v>1972</v>
      </c>
      <c r="I324" s="7">
        <v>6</v>
      </c>
      <c r="K324" s="7">
        <v>7</v>
      </c>
      <c r="M324" s="7">
        <v>6</v>
      </c>
      <c r="N324" s="7">
        <v>35</v>
      </c>
      <c r="O324" s="7" t="s">
        <v>28</v>
      </c>
      <c r="T324" s="12"/>
      <c r="U324" s="7" t="s">
        <v>57</v>
      </c>
      <c r="V324" t="s">
        <v>29</v>
      </c>
    </row>
    <row r="325" spans="1:22" ht="15.75" hidden="1" customHeight="1" x14ac:dyDescent="0.25">
      <c r="A325" s="7" t="s">
        <v>43</v>
      </c>
      <c r="B325" s="8">
        <v>8</v>
      </c>
      <c r="C325" s="8" t="s">
        <v>54</v>
      </c>
      <c r="D325" s="9" t="s">
        <v>53</v>
      </c>
      <c r="E325" s="7" t="s">
        <v>25</v>
      </c>
      <c r="F325" s="7" t="s">
        <v>39</v>
      </c>
      <c r="H325" s="7">
        <v>1972</v>
      </c>
      <c r="I325" s="7">
        <v>6</v>
      </c>
      <c r="K325" s="7">
        <v>7</v>
      </c>
      <c r="M325" s="7">
        <v>6</v>
      </c>
      <c r="N325" s="7">
        <v>36</v>
      </c>
      <c r="O325" s="7">
        <v>52</v>
      </c>
      <c r="T325" s="12"/>
      <c r="V325" cm="1">
        <f t="array" ref="V325">_xlfn.LET(
_xlpm.x,_xlfn._xlws.FILTER(O325:S325,(O325:S325&lt;&gt;"R")*(O325:S325&lt;&gt;"NA")*(O325:S325&lt;&gt;"W")*(O325:S325&lt;&gt;"")),
IF(COUNTA(_xlpm.x)=0,"NA",IF(MIN(_xlpm.x)=MAX(_xlpm.x),MIN(_xlpm.x),"review"))
)</f>
        <v>52</v>
      </c>
    </row>
    <row r="326" spans="1:22" ht="15.75" hidden="1" customHeight="1" x14ac:dyDescent="0.25">
      <c r="A326" s="7" t="s">
        <v>43</v>
      </c>
      <c r="B326" s="8">
        <v>8</v>
      </c>
      <c r="C326" s="8" t="s">
        <v>54</v>
      </c>
      <c r="D326" s="9" t="s">
        <v>53</v>
      </c>
      <c r="E326" s="7" t="s">
        <v>25</v>
      </c>
      <c r="F326" s="7" t="s">
        <v>39</v>
      </c>
      <c r="H326" s="7">
        <v>1972</v>
      </c>
      <c r="I326" s="7">
        <v>6</v>
      </c>
      <c r="K326" s="7">
        <v>7</v>
      </c>
      <c r="M326" s="7">
        <v>6</v>
      </c>
      <c r="N326" s="7">
        <v>37</v>
      </c>
      <c r="O326" s="7">
        <v>53</v>
      </c>
      <c r="T326" s="12"/>
      <c r="V326" cm="1">
        <f t="array" ref="V326">_xlfn.LET(
_xlpm.x,_xlfn._xlws.FILTER(O326:S326,(O326:S326&lt;&gt;"R")*(O326:S326&lt;&gt;"NA")*(O326:S326&lt;&gt;"W")*(O326:S326&lt;&gt;"")),
IF(COUNTA(_xlpm.x)=0,"NA",IF(MIN(_xlpm.x)=MAX(_xlpm.x),MIN(_xlpm.x),"review"))
)</f>
        <v>53</v>
      </c>
    </row>
    <row r="327" spans="1:22" ht="15.75" hidden="1" customHeight="1" x14ac:dyDescent="0.25">
      <c r="A327" s="7" t="s">
        <v>43</v>
      </c>
      <c r="B327" s="8">
        <v>8</v>
      </c>
      <c r="C327" s="8" t="s">
        <v>54</v>
      </c>
      <c r="D327" s="9" t="s">
        <v>53</v>
      </c>
      <c r="E327" s="7" t="s">
        <v>25</v>
      </c>
      <c r="F327" s="7" t="s">
        <v>39</v>
      </c>
      <c r="H327" s="7">
        <v>1972</v>
      </c>
      <c r="I327" s="7">
        <v>6</v>
      </c>
      <c r="K327" s="7">
        <v>7</v>
      </c>
      <c r="M327" s="7">
        <v>6</v>
      </c>
      <c r="N327" s="7">
        <v>38</v>
      </c>
      <c r="O327" s="7">
        <v>42</v>
      </c>
      <c r="T327" s="12"/>
      <c r="V327" cm="1">
        <f t="array" ref="V327">_xlfn.LET(
_xlpm.x,_xlfn._xlws.FILTER(O327:S327,(O327:S327&lt;&gt;"R")*(O327:S327&lt;&gt;"NA")*(O327:S327&lt;&gt;"W")*(O327:S327&lt;&gt;"")),
IF(COUNTA(_xlpm.x)=0,"NA",IF(MIN(_xlpm.x)=MAX(_xlpm.x),MIN(_xlpm.x),"review"))
)</f>
        <v>42</v>
      </c>
    </row>
    <row r="328" spans="1:22" ht="15.75" hidden="1" customHeight="1" x14ac:dyDescent="0.25">
      <c r="A328" s="7" t="s">
        <v>43</v>
      </c>
      <c r="B328" s="8">
        <v>8</v>
      </c>
      <c r="C328" s="8" t="s">
        <v>54</v>
      </c>
      <c r="D328" s="9" t="s">
        <v>53</v>
      </c>
      <c r="E328" s="7" t="s">
        <v>25</v>
      </c>
      <c r="F328" s="7" t="s">
        <v>39</v>
      </c>
      <c r="H328" s="7">
        <v>1972</v>
      </c>
      <c r="I328" s="7">
        <v>6</v>
      </c>
      <c r="K328" s="7">
        <v>7</v>
      </c>
      <c r="M328" s="7">
        <v>6</v>
      </c>
      <c r="N328" s="7">
        <v>39</v>
      </c>
      <c r="O328" s="7">
        <v>53</v>
      </c>
      <c r="T328" s="12"/>
      <c r="V328" cm="1">
        <f t="array" ref="V328">_xlfn.LET(
_xlpm.x,_xlfn._xlws.FILTER(O328:S328,(O328:S328&lt;&gt;"R")*(O328:S328&lt;&gt;"NA")*(O328:S328&lt;&gt;"W")*(O328:S328&lt;&gt;"")),
IF(COUNTA(_xlpm.x)=0,"NA",IF(MIN(_xlpm.x)=MAX(_xlpm.x),MIN(_xlpm.x),"review"))
)</f>
        <v>53</v>
      </c>
    </row>
    <row r="329" spans="1:22" ht="15.75" hidden="1" customHeight="1" x14ac:dyDescent="0.25">
      <c r="A329" s="7" t="s">
        <v>43</v>
      </c>
      <c r="B329" s="8">
        <v>8</v>
      </c>
      <c r="C329" s="8" t="s">
        <v>54</v>
      </c>
      <c r="D329" s="9" t="s">
        <v>53</v>
      </c>
      <c r="E329" s="7" t="s">
        <v>25</v>
      </c>
      <c r="F329" s="7" t="s">
        <v>39</v>
      </c>
      <c r="H329" s="7">
        <v>1972</v>
      </c>
      <c r="I329" s="7">
        <v>6</v>
      </c>
      <c r="K329" s="7">
        <v>7</v>
      </c>
      <c r="M329" s="7">
        <v>6</v>
      </c>
      <c r="N329" s="7">
        <v>40</v>
      </c>
      <c r="O329" s="7" t="s">
        <v>28</v>
      </c>
      <c r="T329" s="12"/>
      <c r="V329" t="s">
        <v>29</v>
      </c>
    </row>
    <row r="330" spans="1:22" ht="15.75" hidden="1" customHeight="1" x14ac:dyDescent="0.25">
      <c r="A330" s="7" t="s">
        <v>43</v>
      </c>
      <c r="B330" s="8">
        <v>8</v>
      </c>
      <c r="C330" s="8" t="s">
        <v>54</v>
      </c>
      <c r="D330" s="9" t="s">
        <v>53</v>
      </c>
      <c r="E330" s="7" t="s">
        <v>25</v>
      </c>
      <c r="F330" s="7" t="s">
        <v>39</v>
      </c>
      <c r="H330" s="7">
        <v>1972</v>
      </c>
      <c r="I330" s="7">
        <v>6</v>
      </c>
      <c r="K330" s="7">
        <v>7</v>
      </c>
      <c r="M330" s="7">
        <v>6</v>
      </c>
      <c r="N330" s="7">
        <v>41</v>
      </c>
      <c r="O330" s="7" t="s">
        <v>29</v>
      </c>
      <c r="T330" s="12"/>
      <c r="V330" t="s">
        <v>29</v>
      </c>
    </row>
    <row r="331" spans="1:22" ht="15.75" hidden="1" customHeight="1" x14ac:dyDescent="0.25">
      <c r="A331" s="7" t="s">
        <v>43</v>
      </c>
      <c r="B331" s="8">
        <v>8</v>
      </c>
      <c r="C331" s="8" t="s">
        <v>54</v>
      </c>
      <c r="D331" s="9" t="s">
        <v>53</v>
      </c>
      <c r="E331" s="7" t="s">
        <v>25</v>
      </c>
      <c r="F331" s="7" t="s">
        <v>39</v>
      </c>
      <c r="H331" s="7">
        <v>1972</v>
      </c>
      <c r="I331" s="7">
        <v>6</v>
      </c>
      <c r="K331" s="7">
        <v>7</v>
      </c>
      <c r="M331" s="7">
        <v>6</v>
      </c>
      <c r="N331" s="7">
        <v>42</v>
      </c>
      <c r="O331" s="7">
        <v>32</v>
      </c>
      <c r="T331" s="12"/>
      <c r="V331" cm="1">
        <f t="array" ref="V331">_xlfn.LET(
_xlpm.x,_xlfn._xlws.FILTER(O331:S331,(O331:S331&lt;&gt;"R")*(O331:S331&lt;&gt;"NA")*(O331:S331&lt;&gt;"W")*(O331:S331&lt;&gt;"")),
IF(COUNTA(_xlpm.x)=0,"NA",IF(MIN(_xlpm.x)=MAX(_xlpm.x),MIN(_xlpm.x),"review"))
)</f>
        <v>32</v>
      </c>
    </row>
    <row r="332" spans="1:22" ht="15.75" hidden="1" customHeight="1" x14ac:dyDescent="0.25">
      <c r="A332" s="7" t="s">
        <v>43</v>
      </c>
      <c r="B332" s="8">
        <v>8</v>
      </c>
      <c r="C332" s="8" t="s">
        <v>54</v>
      </c>
      <c r="D332" s="9" t="s">
        <v>53</v>
      </c>
      <c r="E332" s="7" t="s">
        <v>25</v>
      </c>
      <c r="F332" s="7" t="s">
        <v>39</v>
      </c>
      <c r="H332" s="7">
        <v>1972</v>
      </c>
      <c r="I332" s="7">
        <v>6</v>
      </c>
      <c r="K332" s="7">
        <v>7</v>
      </c>
      <c r="M332" s="7">
        <v>6</v>
      </c>
      <c r="N332" s="7">
        <v>43</v>
      </c>
      <c r="O332" s="7">
        <v>32</v>
      </c>
      <c r="T332" s="12"/>
      <c r="V332" cm="1">
        <f t="array" ref="V332">_xlfn.LET(
_xlpm.x,_xlfn._xlws.FILTER(O332:S332,(O332:S332&lt;&gt;"R")*(O332:S332&lt;&gt;"NA")*(O332:S332&lt;&gt;"W")*(O332:S332&lt;&gt;"")),
IF(COUNTA(_xlpm.x)=0,"NA",IF(MIN(_xlpm.x)=MAX(_xlpm.x),MIN(_xlpm.x),"review"))
)</f>
        <v>32</v>
      </c>
    </row>
    <row r="333" spans="1:22" ht="15.75" hidden="1" customHeight="1" x14ac:dyDescent="0.25">
      <c r="A333" s="7" t="s">
        <v>43</v>
      </c>
      <c r="B333" s="8">
        <v>8</v>
      </c>
      <c r="C333" s="8" t="s">
        <v>54</v>
      </c>
      <c r="D333" s="9" t="s">
        <v>53</v>
      </c>
      <c r="E333" s="7" t="s">
        <v>25</v>
      </c>
      <c r="F333" s="7" t="s">
        <v>39</v>
      </c>
      <c r="H333" s="7">
        <v>1972</v>
      </c>
      <c r="I333" s="7">
        <v>6</v>
      </c>
      <c r="K333" s="7">
        <v>7</v>
      </c>
      <c r="M333" s="7">
        <v>6</v>
      </c>
      <c r="N333" s="7">
        <v>44</v>
      </c>
      <c r="O333" s="7" t="s">
        <v>28</v>
      </c>
      <c r="T333" s="12"/>
      <c r="V333" t="s">
        <v>29</v>
      </c>
    </row>
    <row r="334" spans="1:22" ht="15.75" hidden="1" customHeight="1" x14ac:dyDescent="0.25">
      <c r="A334" s="7" t="s">
        <v>43</v>
      </c>
      <c r="B334" s="8">
        <v>8</v>
      </c>
      <c r="C334" s="8" t="s">
        <v>54</v>
      </c>
      <c r="D334" s="9" t="s">
        <v>53</v>
      </c>
      <c r="E334" s="7" t="s">
        <v>25</v>
      </c>
      <c r="F334" s="7" t="s">
        <v>39</v>
      </c>
      <c r="H334" s="7">
        <v>1972</v>
      </c>
      <c r="I334" s="7">
        <v>6</v>
      </c>
      <c r="K334" s="7">
        <v>7</v>
      </c>
      <c r="M334" s="7">
        <v>6</v>
      </c>
      <c r="N334" s="7">
        <v>45</v>
      </c>
      <c r="O334" s="7">
        <v>42</v>
      </c>
      <c r="T334" s="12"/>
      <c r="V334" cm="1">
        <f t="array" ref="V334">_xlfn.LET(
_xlpm.x,_xlfn._xlws.FILTER(O334:S334,(O334:S334&lt;&gt;"R")*(O334:S334&lt;&gt;"NA")*(O334:S334&lt;&gt;"W")*(O334:S334&lt;&gt;"")),
IF(COUNTA(_xlpm.x)=0,"NA",IF(MIN(_xlpm.x)=MAX(_xlpm.x),MIN(_xlpm.x),"review"))
)</f>
        <v>42</v>
      </c>
    </row>
    <row r="335" spans="1:22" ht="15.75" hidden="1" customHeight="1" x14ac:dyDescent="0.25">
      <c r="A335" s="7" t="s">
        <v>43</v>
      </c>
      <c r="B335" s="8">
        <v>8</v>
      </c>
      <c r="C335" s="8" t="s">
        <v>54</v>
      </c>
      <c r="D335" s="9" t="s">
        <v>53</v>
      </c>
      <c r="E335" s="7" t="s">
        <v>25</v>
      </c>
      <c r="F335" s="7" t="s">
        <v>39</v>
      </c>
      <c r="H335" s="7">
        <v>1972</v>
      </c>
      <c r="I335" s="7">
        <v>6</v>
      </c>
      <c r="K335" s="7">
        <v>7</v>
      </c>
      <c r="M335" s="7">
        <v>6</v>
      </c>
      <c r="N335" s="7">
        <v>46</v>
      </c>
      <c r="O335" s="7">
        <v>42</v>
      </c>
      <c r="T335" s="12"/>
      <c r="V335" cm="1">
        <f t="array" ref="V335">_xlfn.LET(
_xlpm.x,_xlfn._xlws.FILTER(O335:S335,(O335:S335&lt;&gt;"R")*(O335:S335&lt;&gt;"NA")*(O335:S335&lt;&gt;"W")*(O335:S335&lt;&gt;"")),
IF(COUNTA(_xlpm.x)=0,"NA",IF(MIN(_xlpm.x)=MAX(_xlpm.x),MIN(_xlpm.x),"review"))
)</f>
        <v>42</v>
      </c>
    </row>
    <row r="336" spans="1:22" ht="15.75" hidden="1" customHeight="1" x14ac:dyDescent="0.25">
      <c r="A336" s="7" t="s">
        <v>43</v>
      </c>
      <c r="B336" s="8">
        <v>8</v>
      </c>
      <c r="C336" s="8" t="s">
        <v>54</v>
      </c>
      <c r="D336" s="9" t="s">
        <v>53</v>
      </c>
      <c r="E336" s="7" t="s">
        <v>25</v>
      </c>
      <c r="F336" s="7" t="s">
        <v>39</v>
      </c>
      <c r="H336" s="7">
        <v>1972</v>
      </c>
      <c r="I336" s="7">
        <v>6</v>
      </c>
      <c r="K336" s="7">
        <v>7</v>
      </c>
      <c r="M336" s="7">
        <v>6</v>
      </c>
      <c r="N336" s="7">
        <v>47</v>
      </c>
      <c r="O336" s="7">
        <v>52</v>
      </c>
      <c r="T336" s="12"/>
      <c r="V336" cm="1">
        <f t="array" ref="V336">_xlfn.LET(
_xlpm.x,_xlfn._xlws.FILTER(O336:S336,(O336:S336&lt;&gt;"R")*(O336:S336&lt;&gt;"NA")*(O336:S336&lt;&gt;"W")*(O336:S336&lt;&gt;"")),
IF(COUNTA(_xlpm.x)=0,"NA",IF(MIN(_xlpm.x)=MAX(_xlpm.x),MIN(_xlpm.x),"review"))
)</f>
        <v>52</v>
      </c>
    </row>
    <row r="337" spans="1:22" ht="15.75" hidden="1" customHeight="1" x14ac:dyDescent="0.25">
      <c r="A337" s="7" t="s">
        <v>43</v>
      </c>
      <c r="B337" s="8">
        <v>8</v>
      </c>
      <c r="C337" s="8" t="s">
        <v>54</v>
      </c>
      <c r="D337" s="9" t="s">
        <v>53</v>
      </c>
      <c r="E337" s="7" t="s">
        <v>25</v>
      </c>
      <c r="F337" s="7" t="s">
        <v>39</v>
      </c>
      <c r="H337" s="7">
        <v>1972</v>
      </c>
      <c r="I337" s="7">
        <v>6</v>
      </c>
      <c r="K337" s="7">
        <v>7</v>
      </c>
      <c r="M337" s="7">
        <v>6</v>
      </c>
      <c r="N337" s="7">
        <v>48</v>
      </c>
      <c r="O337" s="7">
        <v>32</v>
      </c>
      <c r="T337" s="12"/>
      <c r="V337" cm="1">
        <f t="array" ref="V337">_xlfn.LET(
_xlpm.x,_xlfn._xlws.FILTER(O337:S337,(O337:S337&lt;&gt;"R")*(O337:S337&lt;&gt;"NA")*(O337:S337&lt;&gt;"W")*(O337:S337&lt;&gt;"")),
IF(COUNTA(_xlpm.x)=0,"NA",IF(MIN(_xlpm.x)=MAX(_xlpm.x),MIN(_xlpm.x),"review"))
)</f>
        <v>32</v>
      </c>
    </row>
    <row r="338" spans="1:22" ht="15.75" hidden="1" customHeight="1" x14ac:dyDescent="0.25">
      <c r="A338" s="7" t="s">
        <v>43</v>
      </c>
      <c r="B338" s="8">
        <v>8</v>
      </c>
      <c r="C338" s="8" t="s">
        <v>54</v>
      </c>
      <c r="D338" s="9" t="s">
        <v>53</v>
      </c>
      <c r="E338" s="7" t="s">
        <v>25</v>
      </c>
      <c r="F338" s="7" t="s">
        <v>39</v>
      </c>
      <c r="H338" s="7">
        <v>1972</v>
      </c>
      <c r="I338" s="7">
        <v>6</v>
      </c>
      <c r="K338" s="7">
        <v>7</v>
      </c>
      <c r="M338" s="7">
        <v>6</v>
      </c>
      <c r="N338" s="7">
        <v>49</v>
      </c>
      <c r="O338" s="7">
        <v>42</v>
      </c>
      <c r="T338" s="12"/>
      <c r="V338" cm="1">
        <f t="array" ref="V338">_xlfn.LET(
_xlpm.x,_xlfn._xlws.FILTER(O338:S338,(O338:S338&lt;&gt;"R")*(O338:S338&lt;&gt;"NA")*(O338:S338&lt;&gt;"W")*(O338:S338&lt;&gt;"")),
IF(COUNTA(_xlpm.x)=0,"NA",IF(MIN(_xlpm.x)=MAX(_xlpm.x),MIN(_xlpm.x),"review"))
)</f>
        <v>42</v>
      </c>
    </row>
    <row r="339" spans="1:22" ht="15.75" hidden="1" customHeight="1" x14ac:dyDescent="0.25">
      <c r="A339" s="7" t="s">
        <v>43</v>
      </c>
      <c r="B339" s="8">
        <v>8</v>
      </c>
      <c r="C339" s="8" t="s">
        <v>54</v>
      </c>
      <c r="D339" s="9" t="s">
        <v>53</v>
      </c>
      <c r="E339" s="7" t="s">
        <v>25</v>
      </c>
      <c r="F339" s="7" t="s">
        <v>39</v>
      </c>
      <c r="H339" s="7">
        <v>1972</v>
      </c>
      <c r="I339" s="7">
        <v>6</v>
      </c>
      <c r="K339" s="7">
        <v>7</v>
      </c>
      <c r="M339" s="7">
        <v>6</v>
      </c>
      <c r="N339" s="7">
        <v>50</v>
      </c>
      <c r="O339" s="7">
        <v>31</v>
      </c>
      <c r="T339" s="12"/>
      <c r="U339" s="7" t="s">
        <v>58</v>
      </c>
      <c r="V339" cm="1">
        <f t="array" ref="V339">_xlfn.LET(
_xlpm.x,_xlfn._xlws.FILTER(O339:S339,(O339:S339&lt;&gt;"R")*(O339:S339&lt;&gt;"NA")*(O339:S339&lt;&gt;"W")*(O339:S339&lt;&gt;"")),
IF(COUNTA(_xlpm.x)=0,"NA",IF(MIN(_xlpm.x)=MAX(_xlpm.x),MIN(_xlpm.x),"review"))
)</f>
        <v>31</v>
      </c>
    </row>
    <row r="340" spans="1:22" ht="15.75" hidden="1" customHeight="1" x14ac:dyDescent="0.25">
      <c r="A340" s="7" t="s">
        <v>43</v>
      </c>
      <c r="B340" s="8">
        <v>8</v>
      </c>
      <c r="C340" s="8" t="s">
        <v>54</v>
      </c>
      <c r="D340" s="9" t="s">
        <v>53</v>
      </c>
      <c r="E340" s="7" t="s">
        <v>25</v>
      </c>
      <c r="F340" s="7" t="s">
        <v>59</v>
      </c>
      <c r="H340" s="7">
        <v>1972</v>
      </c>
      <c r="I340" s="7">
        <v>7</v>
      </c>
      <c r="K340" s="7">
        <v>7</v>
      </c>
      <c r="M340" s="7">
        <v>7</v>
      </c>
      <c r="N340" s="7">
        <v>1</v>
      </c>
      <c r="O340" s="7" t="s">
        <v>29</v>
      </c>
      <c r="T340" s="12"/>
      <c r="V340" t="s">
        <v>29</v>
      </c>
    </row>
    <row r="341" spans="1:22" ht="15.75" hidden="1" customHeight="1" x14ac:dyDescent="0.25">
      <c r="A341" s="7" t="s">
        <v>43</v>
      </c>
      <c r="B341" s="8">
        <v>8</v>
      </c>
      <c r="C341" s="8" t="s">
        <v>54</v>
      </c>
      <c r="D341" s="9" t="s">
        <v>53</v>
      </c>
      <c r="E341" s="7" t="s">
        <v>25</v>
      </c>
      <c r="F341" s="7" t="s">
        <v>59</v>
      </c>
      <c r="H341" s="7">
        <v>1972</v>
      </c>
      <c r="I341" s="7">
        <v>7</v>
      </c>
      <c r="K341" s="7">
        <v>7</v>
      </c>
      <c r="M341" s="7">
        <v>7</v>
      </c>
      <c r="N341" s="7">
        <v>2</v>
      </c>
      <c r="O341" s="7" t="s">
        <v>29</v>
      </c>
      <c r="T341" s="12"/>
      <c r="V341" t="s">
        <v>29</v>
      </c>
    </row>
    <row r="342" spans="1:22" ht="15.75" hidden="1" customHeight="1" x14ac:dyDescent="0.25">
      <c r="A342" s="7" t="s">
        <v>43</v>
      </c>
      <c r="B342" s="8">
        <v>8</v>
      </c>
      <c r="C342" s="8" t="s">
        <v>54</v>
      </c>
      <c r="D342" s="9" t="s">
        <v>53</v>
      </c>
      <c r="E342" s="7" t="s">
        <v>25</v>
      </c>
      <c r="F342" s="7" t="s">
        <v>59</v>
      </c>
      <c r="H342" s="7">
        <v>1972</v>
      </c>
      <c r="I342" s="7">
        <v>7</v>
      </c>
      <c r="K342" s="7">
        <v>7</v>
      </c>
      <c r="M342" s="7">
        <v>7</v>
      </c>
      <c r="N342" s="7">
        <v>3</v>
      </c>
      <c r="O342" s="7">
        <v>42</v>
      </c>
      <c r="T342" s="12"/>
      <c r="V342" cm="1">
        <f t="array" ref="V342">_xlfn.LET(
_xlpm.x,_xlfn._xlws.FILTER(O342:S342,(O342:S342&lt;&gt;"R")*(O342:S342&lt;&gt;"NA")*(O342:S342&lt;&gt;"W")*(O342:S342&lt;&gt;"")),
IF(COUNTA(_xlpm.x)=0,"NA",IF(MIN(_xlpm.x)=MAX(_xlpm.x),MIN(_xlpm.x),"review"))
)</f>
        <v>42</v>
      </c>
    </row>
    <row r="343" spans="1:22" ht="15.75" hidden="1" customHeight="1" x14ac:dyDescent="0.25">
      <c r="A343" s="7" t="s">
        <v>43</v>
      </c>
      <c r="B343" s="8">
        <v>8</v>
      </c>
      <c r="C343" s="8" t="s">
        <v>54</v>
      </c>
      <c r="D343" s="9" t="s">
        <v>53</v>
      </c>
      <c r="E343" s="7" t="s">
        <v>25</v>
      </c>
      <c r="F343" s="7" t="s">
        <v>59</v>
      </c>
      <c r="H343" s="7">
        <v>1972</v>
      </c>
      <c r="I343" s="7">
        <v>7</v>
      </c>
      <c r="K343" s="7">
        <v>7</v>
      </c>
      <c r="M343" s="7">
        <v>7</v>
      </c>
      <c r="N343" s="7">
        <v>4</v>
      </c>
      <c r="O343" s="7">
        <v>53</v>
      </c>
      <c r="T343" s="12"/>
      <c r="V343" cm="1">
        <f t="array" ref="V343">_xlfn.LET(
_xlpm.x,_xlfn._xlws.FILTER(O343:S343,(O343:S343&lt;&gt;"R")*(O343:S343&lt;&gt;"NA")*(O343:S343&lt;&gt;"W")*(O343:S343&lt;&gt;"")),
IF(COUNTA(_xlpm.x)=0,"NA",IF(MIN(_xlpm.x)=MAX(_xlpm.x),MIN(_xlpm.x),"review"))
)</f>
        <v>53</v>
      </c>
    </row>
    <row r="344" spans="1:22" ht="15.75" hidden="1" customHeight="1" x14ac:dyDescent="0.25">
      <c r="A344" s="7" t="s">
        <v>43</v>
      </c>
      <c r="B344" s="8">
        <v>8</v>
      </c>
      <c r="C344" s="8" t="s">
        <v>54</v>
      </c>
      <c r="D344" s="9" t="s">
        <v>53</v>
      </c>
      <c r="E344" s="7" t="s">
        <v>25</v>
      </c>
      <c r="F344" s="7" t="s">
        <v>59</v>
      </c>
      <c r="H344" s="7">
        <v>1972</v>
      </c>
      <c r="I344" s="7">
        <v>7</v>
      </c>
      <c r="K344" s="7">
        <v>7</v>
      </c>
      <c r="M344" s="7">
        <v>7</v>
      </c>
      <c r="N344" s="7">
        <v>5</v>
      </c>
      <c r="O344" s="7">
        <v>63</v>
      </c>
      <c r="T344" s="12"/>
      <c r="V344" cm="1">
        <f t="array" ref="V344">_xlfn.LET(
_xlpm.x,_xlfn._xlws.FILTER(O344:S344,(O344:S344&lt;&gt;"R")*(O344:S344&lt;&gt;"NA")*(O344:S344&lt;&gt;"W")*(O344:S344&lt;&gt;"")),
IF(COUNTA(_xlpm.x)=0,"NA",IF(MIN(_xlpm.x)=MAX(_xlpm.x),MIN(_xlpm.x),"review"))
)</f>
        <v>63</v>
      </c>
    </row>
    <row r="345" spans="1:22" ht="15.75" hidden="1" customHeight="1" x14ac:dyDescent="0.25">
      <c r="A345" s="7" t="s">
        <v>43</v>
      </c>
      <c r="B345" s="8">
        <v>8</v>
      </c>
      <c r="C345" s="8" t="s">
        <v>54</v>
      </c>
      <c r="D345" s="9" t="s">
        <v>53</v>
      </c>
      <c r="E345" s="7" t="s">
        <v>25</v>
      </c>
      <c r="F345" s="7" t="s">
        <v>59</v>
      </c>
      <c r="H345" s="7">
        <v>1972</v>
      </c>
      <c r="I345" s="7">
        <v>7</v>
      </c>
      <c r="K345" s="7">
        <v>7</v>
      </c>
      <c r="M345" s="7">
        <v>7</v>
      </c>
      <c r="N345" s="7">
        <v>6</v>
      </c>
      <c r="O345" s="7" t="s">
        <v>29</v>
      </c>
      <c r="T345" s="12"/>
      <c r="V345" t="s">
        <v>29</v>
      </c>
    </row>
    <row r="346" spans="1:22" ht="15.75" hidden="1" customHeight="1" x14ac:dyDescent="0.25">
      <c r="A346" s="7" t="s">
        <v>43</v>
      </c>
      <c r="B346" s="8">
        <v>8</v>
      </c>
      <c r="C346" s="8" t="s">
        <v>54</v>
      </c>
      <c r="D346" s="9" t="s">
        <v>53</v>
      </c>
      <c r="E346" s="7" t="s">
        <v>25</v>
      </c>
      <c r="F346" s="7" t="s">
        <v>59</v>
      </c>
      <c r="H346" s="7">
        <v>1972</v>
      </c>
      <c r="I346" s="7">
        <v>7</v>
      </c>
      <c r="K346" s="7">
        <v>7</v>
      </c>
      <c r="M346" s="7">
        <v>7</v>
      </c>
      <c r="N346" s="7">
        <v>7</v>
      </c>
      <c r="O346" s="7" t="s">
        <v>29</v>
      </c>
      <c r="T346" s="12"/>
      <c r="V346" t="s">
        <v>29</v>
      </c>
    </row>
    <row r="347" spans="1:22" ht="15.75" hidden="1" customHeight="1" x14ac:dyDescent="0.25">
      <c r="A347" s="7" t="s">
        <v>43</v>
      </c>
      <c r="B347" s="8">
        <v>8</v>
      </c>
      <c r="C347" s="8" t="s">
        <v>54</v>
      </c>
      <c r="D347" s="9" t="s">
        <v>53</v>
      </c>
      <c r="E347" s="7" t="s">
        <v>25</v>
      </c>
      <c r="F347" s="7" t="s">
        <v>59</v>
      </c>
      <c r="H347" s="7">
        <v>1972</v>
      </c>
      <c r="I347" s="7">
        <v>7</v>
      </c>
      <c r="K347" s="7">
        <v>7</v>
      </c>
      <c r="M347" s="7">
        <v>7</v>
      </c>
      <c r="N347" s="7">
        <v>8</v>
      </c>
      <c r="O347" s="7">
        <v>32</v>
      </c>
      <c r="T347" s="12"/>
      <c r="V347" cm="1">
        <f t="array" ref="V347">_xlfn.LET(
_xlpm.x,_xlfn._xlws.FILTER(O347:S347,(O347:S347&lt;&gt;"R")*(O347:S347&lt;&gt;"NA")*(O347:S347&lt;&gt;"W")*(O347:S347&lt;&gt;"")),
IF(COUNTA(_xlpm.x)=0,"NA",IF(MIN(_xlpm.x)=MAX(_xlpm.x),MIN(_xlpm.x),"review"))
)</f>
        <v>32</v>
      </c>
    </row>
    <row r="348" spans="1:22" ht="15.75" hidden="1" customHeight="1" x14ac:dyDescent="0.25">
      <c r="A348" s="7" t="s">
        <v>43</v>
      </c>
      <c r="B348" s="8">
        <v>8</v>
      </c>
      <c r="C348" s="8" t="s">
        <v>54</v>
      </c>
      <c r="D348" s="9" t="s">
        <v>53</v>
      </c>
      <c r="E348" s="7" t="s">
        <v>25</v>
      </c>
      <c r="F348" s="7" t="s">
        <v>59</v>
      </c>
      <c r="H348" s="7">
        <v>1972</v>
      </c>
      <c r="I348" s="7">
        <v>7</v>
      </c>
      <c r="K348" s="7">
        <v>7</v>
      </c>
      <c r="M348" s="7">
        <v>7</v>
      </c>
      <c r="N348" s="7">
        <v>9</v>
      </c>
      <c r="O348" s="7" t="s">
        <v>29</v>
      </c>
      <c r="T348" s="12"/>
      <c r="V348" t="s">
        <v>29</v>
      </c>
    </row>
    <row r="349" spans="1:22" ht="15.75" hidden="1" customHeight="1" x14ac:dyDescent="0.25">
      <c r="A349" s="7" t="s">
        <v>43</v>
      </c>
      <c r="B349" s="8">
        <v>8</v>
      </c>
      <c r="C349" s="8" t="s">
        <v>54</v>
      </c>
      <c r="D349" s="9" t="s">
        <v>53</v>
      </c>
      <c r="E349" s="7" t="s">
        <v>25</v>
      </c>
      <c r="F349" s="7" t="s">
        <v>59</v>
      </c>
      <c r="H349" s="7">
        <v>1972</v>
      </c>
      <c r="I349" s="7">
        <v>7</v>
      </c>
      <c r="K349" s="7">
        <v>7</v>
      </c>
      <c r="M349" s="7">
        <v>7</v>
      </c>
      <c r="N349" s="7">
        <v>10</v>
      </c>
      <c r="O349" s="7">
        <v>53</v>
      </c>
      <c r="T349" s="12"/>
      <c r="V349" cm="1">
        <f t="array" ref="V349">_xlfn.LET(
_xlpm.x,_xlfn._xlws.FILTER(O349:S349,(O349:S349&lt;&gt;"R")*(O349:S349&lt;&gt;"NA")*(O349:S349&lt;&gt;"W")*(O349:S349&lt;&gt;"")),
IF(COUNTA(_xlpm.x)=0,"NA",IF(MIN(_xlpm.x)=MAX(_xlpm.x),MIN(_xlpm.x),"review"))
)</f>
        <v>53</v>
      </c>
    </row>
    <row r="350" spans="1:22" ht="15.75" hidden="1" customHeight="1" x14ac:dyDescent="0.25">
      <c r="A350" s="7" t="s">
        <v>43</v>
      </c>
      <c r="B350" s="8">
        <v>8</v>
      </c>
      <c r="C350" s="8" t="s">
        <v>54</v>
      </c>
      <c r="D350" s="9" t="s">
        <v>53</v>
      </c>
      <c r="E350" s="7" t="s">
        <v>25</v>
      </c>
      <c r="F350" s="7" t="s">
        <v>59</v>
      </c>
      <c r="H350" s="7">
        <v>1972</v>
      </c>
      <c r="I350" s="7">
        <v>7</v>
      </c>
      <c r="K350" s="7">
        <v>7</v>
      </c>
      <c r="M350" s="7">
        <v>7</v>
      </c>
      <c r="N350" s="7">
        <v>11</v>
      </c>
      <c r="O350" s="7">
        <v>32</v>
      </c>
      <c r="T350" s="12"/>
      <c r="V350" cm="1">
        <f t="array" ref="V350">_xlfn.LET(
_xlpm.x,_xlfn._xlws.FILTER(O350:S350,(O350:S350&lt;&gt;"R")*(O350:S350&lt;&gt;"NA")*(O350:S350&lt;&gt;"W")*(O350:S350&lt;&gt;"")),
IF(COUNTA(_xlpm.x)=0,"NA",IF(MIN(_xlpm.x)=MAX(_xlpm.x),MIN(_xlpm.x),"review"))
)</f>
        <v>32</v>
      </c>
    </row>
    <row r="351" spans="1:22" ht="15.75" hidden="1" customHeight="1" x14ac:dyDescent="0.25">
      <c r="A351" s="7" t="s">
        <v>43</v>
      </c>
      <c r="B351" s="8">
        <v>8</v>
      </c>
      <c r="C351" s="8" t="s">
        <v>54</v>
      </c>
      <c r="D351" s="9" t="s">
        <v>53</v>
      </c>
      <c r="E351" s="7" t="s">
        <v>25</v>
      </c>
      <c r="F351" s="7" t="s">
        <v>59</v>
      </c>
      <c r="H351" s="7">
        <v>1972</v>
      </c>
      <c r="I351" s="7">
        <v>7</v>
      </c>
      <c r="K351" s="7">
        <v>7</v>
      </c>
      <c r="M351" s="7">
        <v>7</v>
      </c>
      <c r="N351" s="7">
        <v>12</v>
      </c>
      <c r="O351" s="7">
        <v>42</v>
      </c>
      <c r="T351" s="12"/>
      <c r="V351" cm="1">
        <f t="array" ref="V351">_xlfn.LET(
_xlpm.x,_xlfn._xlws.FILTER(O351:S351,(O351:S351&lt;&gt;"R")*(O351:S351&lt;&gt;"NA")*(O351:S351&lt;&gt;"W")*(O351:S351&lt;&gt;"")),
IF(COUNTA(_xlpm.x)=0,"NA",IF(MIN(_xlpm.x)=MAX(_xlpm.x),MIN(_xlpm.x),"review"))
)</f>
        <v>42</v>
      </c>
    </row>
    <row r="352" spans="1:22" ht="15.75" hidden="1" customHeight="1" x14ac:dyDescent="0.25">
      <c r="A352" s="7" t="s">
        <v>43</v>
      </c>
      <c r="B352" s="8">
        <v>8</v>
      </c>
      <c r="C352" s="8" t="s">
        <v>54</v>
      </c>
      <c r="D352" s="9" t="s">
        <v>53</v>
      </c>
      <c r="E352" s="7" t="s">
        <v>25</v>
      </c>
      <c r="F352" s="7" t="s">
        <v>59</v>
      </c>
      <c r="H352" s="7">
        <v>1972</v>
      </c>
      <c r="I352" s="7">
        <v>7</v>
      </c>
      <c r="K352" s="7">
        <v>7</v>
      </c>
      <c r="M352" s="7">
        <v>7</v>
      </c>
      <c r="N352" s="7">
        <v>13</v>
      </c>
      <c r="O352" s="7">
        <v>52</v>
      </c>
      <c r="T352" s="12"/>
      <c r="V352" cm="1">
        <f t="array" ref="V352">_xlfn.LET(
_xlpm.x,_xlfn._xlws.FILTER(O352:S352,(O352:S352&lt;&gt;"R")*(O352:S352&lt;&gt;"NA")*(O352:S352&lt;&gt;"W")*(O352:S352&lt;&gt;"")),
IF(COUNTA(_xlpm.x)=0,"NA",IF(MIN(_xlpm.x)=MAX(_xlpm.x),MIN(_xlpm.x),"review"))
)</f>
        <v>52</v>
      </c>
    </row>
    <row r="353" spans="1:22" ht="15.75" hidden="1" customHeight="1" x14ac:dyDescent="0.25">
      <c r="A353" s="7" t="s">
        <v>43</v>
      </c>
      <c r="B353" s="8">
        <v>8</v>
      </c>
      <c r="C353" s="8" t="s">
        <v>54</v>
      </c>
      <c r="D353" s="9" t="s">
        <v>53</v>
      </c>
      <c r="E353" s="7" t="s">
        <v>25</v>
      </c>
      <c r="F353" s="7" t="s">
        <v>59</v>
      </c>
      <c r="H353" s="7">
        <v>1972</v>
      </c>
      <c r="I353" s="7">
        <v>7</v>
      </c>
      <c r="K353" s="7">
        <v>7</v>
      </c>
      <c r="M353" s="7">
        <v>7</v>
      </c>
      <c r="N353" s="7">
        <v>14</v>
      </c>
      <c r="O353" s="7">
        <v>43</v>
      </c>
      <c r="T353" s="12"/>
      <c r="V353" cm="1">
        <f t="array" ref="V353">_xlfn.LET(
_xlpm.x,_xlfn._xlws.FILTER(O353:S353,(O353:S353&lt;&gt;"R")*(O353:S353&lt;&gt;"NA")*(O353:S353&lt;&gt;"W")*(O353:S353&lt;&gt;"")),
IF(COUNTA(_xlpm.x)=0,"NA",IF(MIN(_xlpm.x)=MAX(_xlpm.x),MIN(_xlpm.x),"review"))
)</f>
        <v>43</v>
      </c>
    </row>
    <row r="354" spans="1:22" ht="15.75" hidden="1" customHeight="1" x14ac:dyDescent="0.25">
      <c r="A354" s="7" t="s">
        <v>43</v>
      </c>
      <c r="B354" s="8">
        <v>8</v>
      </c>
      <c r="C354" s="8" t="s">
        <v>54</v>
      </c>
      <c r="D354" s="9" t="s">
        <v>53</v>
      </c>
      <c r="E354" s="7" t="s">
        <v>25</v>
      </c>
      <c r="F354" s="7" t="s">
        <v>59</v>
      </c>
      <c r="H354" s="7">
        <v>1972</v>
      </c>
      <c r="I354" s="7">
        <v>7</v>
      </c>
      <c r="K354" s="7">
        <v>7</v>
      </c>
      <c r="M354" s="7">
        <v>7</v>
      </c>
      <c r="N354" s="7">
        <v>15</v>
      </c>
      <c r="O354" s="7">
        <v>53</v>
      </c>
      <c r="T354" s="12"/>
      <c r="V354" cm="1">
        <f t="array" ref="V354">_xlfn.LET(
_xlpm.x,_xlfn._xlws.FILTER(O354:S354,(O354:S354&lt;&gt;"R")*(O354:S354&lt;&gt;"NA")*(O354:S354&lt;&gt;"W")*(O354:S354&lt;&gt;"")),
IF(COUNTA(_xlpm.x)=0,"NA",IF(MIN(_xlpm.x)=MAX(_xlpm.x),MIN(_xlpm.x),"review"))
)</f>
        <v>53</v>
      </c>
    </row>
    <row r="355" spans="1:22" ht="15.75" hidden="1" customHeight="1" x14ac:dyDescent="0.25">
      <c r="A355" s="7" t="s">
        <v>43</v>
      </c>
      <c r="B355" s="8">
        <v>8</v>
      </c>
      <c r="C355" s="8" t="s">
        <v>54</v>
      </c>
      <c r="D355" s="9" t="s">
        <v>53</v>
      </c>
      <c r="E355" s="7" t="s">
        <v>25</v>
      </c>
      <c r="F355" s="7" t="s">
        <v>59</v>
      </c>
      <c r="H355" s="7">
        <v>1972</v>
      </c>
      <c r="I355" s="7">
        <v>7</v>
      </c>
      <c r="K355" s="7">
        <v>7</v>
      </c>
      <c r="M355" s="7">
        <v>7</v>
      </c>
      <c r="N355" s="7">
        <v>16</v>
      </c>
      <c r="O355" s="7">
        <v>53</v>
      </c>
      <c r="T355" s="12"/>
      <c r="V355" cm="1">
        <f t="array" ref="V355">_xlfn.LET(
_xlpm.x,_xlfn._xlws.FILTER(O355:S355,(O355:S355&lt;&gt;"R")*(O355:S355&lt;&gt;"NA")*(O355:S355&lt;&gt;"W")*(O355:S355&lt;&gt;"")),
IF(COUNTA(_xlpm.x)=0,"NA",IF(MIN(_xlpm.x)=MAX(_xlpm.x),MIN(_xlpm.x),"review"))
)</f>
        <v>53</v>
      </c>
    </row>
    <row r="356" spans="1:22" ht="15.75" hidden="1" customHeight="1" x14ac:dyDescent="0.25">
      <c r="A356" s="7" t="s">
        <v>43</v>
      </c>
      <c r="B356" s="8">
        <v>8</v>
      </c>
      <c r="C356" s="8" t="s">
        <v>54</v>
      </c>
      <c r="D356" s="9" t="s">
        <v>53</v>
      </c>
      <c r="E356" s="7" t="s">
        <v>25</v>
      </c>
      <c r="F356" s="7" t="s">
        <v>59</v>
      </c>
      <c r="H356" s="7">
        <v>1972</v>
      </c>
      <c r="I356" s="7">
        <v>7</v>
      </c>
      <c r="K356" s="7">
        <v>7</v>
      </c>
      <c r="M356" s="7">
        <v>7</v>
      </c>
      <c r="N356" s="7">
        <v>17</v>
      </c>
      <c r="O356" s="7">
        <v>42</v>
      </c>
      <c r="T356" s="12"/>
      <c r="V356" cm="1">
        <f t="array" ref="V356">_xlfn.LET(
_xlpm.x,_xlfn._xlws.FILTER(O356:S356,(O356:S356&lt;&gt;"R")*(O356:S356&lt;&gt;"NA")*(O356:S356&lt;&gt;"W")*(O356:S356&lt;&gt;"")),
IF(COUNTA(_xlpm.x)=0,"NA",IF(MIN(_xlpm.x)=MAX(_xlpm.x),MIN(_xlpm.x),"review"))
)</f>
        <v>42</v>
      </c>
    </row>
    <row r="357" spans="1:22" ht="15.75" hidden="1" customHeight="1" x14ac:dyDescent="0.25">
      <c r="A357" s="7" t="s">
        <v>43</v>
      </c>
      <c r="B357" s="8">
        <v>8</v>
      </c>
      <c r="C357" s="8" t="s">
        <v>54</v>
      </c>
      <c r="D357" s="9" t="s">
        <v>53</v>
      </c>
      <c r="E357" s="7" t="s">
        <v>25</v>
      </c>
      <c r="F357" s="7" t="s">
        <v>59</v>
      </c>
      <c r="H357" s="7">
        <v>1972</v>
      </c>
      <c r="I357" s="7">
        <v>7</v>
      </c>
      <c r="K357" s="7">
        <v>7</v>
      </c>
      <c r="M357" s="7">
        <v>7</v>
      </c>
      <c r="N357" s="7">
        <v>18</v>
      </c>
      <c r="O357" s="7">
        <v>64</v>
      </c>
      <c r="T357" s="12"/>
      <c r="V357" cm="1">
        <f t="array" ref="V357">_xlfn.LET(
_xlpm.x,_xlfn._xlws.FILTER(O357:S357,(O357:S357&lt;&gt;"R")*(O357:S357&lt;&gt;"NA")*(O357:S357&lt;&gt;"W")*(O357:S357&lt;&gt;"")),
IF(COUNTA(_xlpm.x)=0,"NA",IF(MIN(_xlpm.x)=MAX(_xlpm.x),MIN(_xlpm.x),"review"))
)</f>
        <v>64</v>
      </c>
    </row>
    <row r="358" spans="1:22" ht="15.75" hidden="1" customHeight="1" x14ac:dyDescent="0.25">
      <c r="A358" s="7" t="s">
        <v>43</v>
      </c>
      <c r="B358" s="8">
        <v>8</v>
      </c>
      <c r="C358" s="8" t="s">
        <v>54</v>
      </c>
      <c r="D358" s="9" t="s">
        <v>53</v>
      </c>
      <c r="E358" s="7" t="s">
        <v>25</v>
      </c>
      <c r="F358" s="7" t="s">
        <v>59</v>
      </c>
      <c r="H358" s="7">
        <v>1972</v>
      </c>
      <c r="I358" s="7">
        <v>7</v>
      </c>
      <c r="K358" s="7">
        <v>7</v>
      </c>
      <c r="M358" s="7">
        <v>7</v>
      </c>
      <c r="N358" s="7">
        <v>19</v>
      </c>
      <c r="O358" s="7">
        <v>32</v>
      </c>
      <c r="T358" s="12"/>
      <c r="V358" cm="1">
        <f t="array" ref="V358">_xlfn.LET(
_xlpm.x,_xlfn._xlws.FILTER(O358:S358,(O358:S358&lt;&gt;"R")*(O358:S358&lt;&gt;"NA")*(O358:S358&lt;&gt;"W")*(O358:S358&lt;&gt;"")),
IF(COUNTA(_xlpm.x)=0,"NA",IF(MIN(_xlpm.x)=MAX(_xlpm.x),MIN(_xlpm.x),"review"))
)</f>
        <v>32</v>
      </c>
    </row>
    <row r="359" spans="1:22" ht="15.75" hidden="1" customHeight="1" x14ac:dyDescent="0.25">
      <c r="A359" s="7" t="s">
        <v>43</v>
      </c>
      <c r="B359" s="8">
        <v>8</v>
      </c>
      <c r="C359" s="8" t="s">
        <v>54</v>
      </c>
      <c r="D359" s="9" t="s">
        <v>53</v>
      </c>
      <c r="E359" s="7" t="s">
        <v>25</v>
      </c>
      <c r="F359" s="7" t="s">
        <v>59</v>
      </c>
      <c r="H359" s="7">
        <v>1972</v>
      </c>
      <c r="I359" s="7">
        <v>7</v>
      </c>
      <c r="K359" s="7">
        <v>7</v>
      </c>
      <c r="M359" s="7">
        <v>7</v>
      </c>
      <c r="N359" s="7">
        <v>20</v>
      </c>
      <c r="O359" s="7">
        <v>32</v>
      </c>
      <c r="T359" s="12"/>
      <c r="V359" cm="1">
        <f t="array" ref="V359">_xlfn.LET(
_xlpm.x,_xlfn._xlws.FILTER(O359:S359,(O359:S359&lt;&gt;"R")*(O359:S359&lt;&gt;"NA")*(O359:S359&lt;&gt;"W")*(O359:S359&lt;&gt;"")),
IF(COUNTA(_xlpm.x)=0,"NA",IF(MIN(_xlpm.x)=MAX(_xlpm.x),MIN(_xlpm.x),"review"))
)</f>
        <v>32</v>
      </c>
    </row>
    <row r="360" spans="1:22" ht="15.75" hidden="1" customHeight="1" x14ac:dyDescent="0.25">
      <c r="A360" s="7" t="s">
        <v>43</v>
      </c>
      <c r="B360" s="8">
        <v>8</v>
      </c>
      <c r="C360" s="8" t="s">
        <v>54</v>
      </c>
      <c r="D360" s="9" t="s">
        <v>53</v>
      </c>
      <c r="E360" s="7" t="s">
        <v>25</v>
      </c>
      <c r="F360" s="7" t="s">
        <v>59</v>
      </c>
      <c r="H360" s="7">
        <v>1972</v>
      </c>
      <c r="I360" s="7">
        <v>7</v>
      </c>
      <c r="K360" s="7">
        <v>7</v>
      </c>
      <c r="M360" s="7">
        <v>7</v>
      </c>
      <c r="N360" s="7">
        <v>21</v>
      </c>
      <c r="O360" s="7">
        <v>42</v>
      </c>
      <c r="T360" s="12"/>
      <c r="V360" cm="1">
        <f t="array" ref="V360">_xlfn.LET(
_xlpm.x,_xlfn._xlws.FILTER(O360:S360,(O360:S360&lt;&gt;"R")*(O360:S360&lt;&gt;"NA")*(O360:S360&lt;&gt;"W")*(O360:S360&lt;&gt;"")),
IF(COUNTA(_xlpm.x)=0,"NA",IF(MIN(_xlpm.x)=MAX(_xlpm.x),MIN(_xlpm.x),"review"))
)</f>
        <v>42</v>
      </c>
    </row>
    <row r="361" spans="1:22" ht="15.75" hidden="1" customHeight="1" x14ac:dyDescent="0.25">
      <c r="A361" s="7" t="s">
        <v>43</v>
      </c>
      <c r="B361" s="8">
        <v>8</v>
      </c>
      <c r="C361" s="8" t="s">
        <v>54</v>
      </c>
      <c r="D361" s="9" t="s">
        <v>53</v>
      </c>
      <c r="E361" s="7" t="s">
        <v>25</v>
      </c>
      <c r="F361" s="7" t="s">
        <v>59</v>
      </c>
      <c r="H361" s="7">
        <v>1972</v>
      </c>
      <c r="I361" s="7">
        <v>7</v>
      </c>
      <c r="K361" s="7">
        <v>7</v>
      </c>
      <c r="M361" s="7">
        <v>7</v>
      </c>
      <c r="N361" s="7">
        <v>22</v>
      </c>
      <c r="O361" s="7">
        <v>32</v>
      </c>
      <c r="T361" s="12"/>
      <c r="V361" cm="1">
        <f t="array" ref="V361">_xlfn.LET(
_xlpm.x,_xlfn._xlws.FILTER(O361:S361,(O361:S361&lt;&gt;"R")*(O361:S361&lt;&gt;"NA")*(O361:S361&lt;&gt;"W")*(O361:S361&lt;&gt;"")),
IF(COUNTA(_xlpm.x)=0,"NA",IF(MIN(_xlpm.x)=MAX(_xlpm.x),MIN(_xlpm.x),"review"))
)</f>
        <v>32</v>
      </c>
    </row>
    <row r="362" spans="1:22" ht="15.75" hidden="1" customHeight="1" x14ac:dyDescent="0.25">
      <c r="A362" s="7" t="s">
        <v>43</v>
      </c>
      <c r="B362" s="8">
        <v>8</v>
      </c>
      <c r="C362" s="8" t="s">
        <v>54</v>
      </c>
      <c r="D362" s="9" t="s">
        <v>53</v>
      </c>
      <c r="E362" s="7" t="s">
        <v>25</v>
      </c>
      <c r="F362" s="7" t="s">
        <v>59</v>
      </c>
      <c r="H362" s="7">
        <v>1972</v>
      </c>
      <c r="I362" s="7">
        <v>7</v>
      </c>
      <c r="K362" s="7">
        <v>7</v>
      </c>
      <c r="M362" s="7">
        <v>7</v>
      </c>
      <c r="N362" s="7">
        <v>23</v>
      </c>
      <c r="O362" s="7" t="s">
        <v>29</v>
      </c>
      <c r="T362" s="12"/>
      <c r="V362" t="s">
        <v>29</v>
      </c>
    </row>
    <row r="363" spans="1:22" ht="15.75" hidden="1" customHeight="1" x14ac:dyDescent="0.25">
      <c r="A363" s="7" t="s">
        <v>43</v>
      </c>
      <c r="B363" s="8">
        <v>8</v>
      </c>
      <c r="C363" s="8" t="s">
        <v>54</v>
      </c>
      <c r="D363" s="9" t="s">
        <v>53</v>
      </c>
      <c r="E363" s="7" t="s">
        <v>25</v>
      </c>
      <c r="F363" s="7" t="s">
        <v>59</v>
      </c>
      <c r="H363" s="7">
        <v>1972</v>
      </c>
      <c r="I363" s="7">
        <v>7</v>
      </c>
      <c r="K363" s="7">
        <v>7</v>
      </c>
      <c r="M363" s="7">
        <v>7</v>
      </c>
      <c r="N363" s="7">
        <v>24</v>
      </c>
      <c r="O363" s="7">
        <v>42</v>
      </c>
      <c r="T363" s="12"/>
      <c r="V363" cm="1">
        <f t="array" ref="V363">_xlfn.LET(
_xlpm.x,_xlfn._xlws.FILTER(O363:S363,(O363:S363&lt;&gt;"R")*(O363:S363&lt;&gt;"NA")*(O363:S363&lt;&gt;"W")*(O363:S363&lt;&gt;"")),
IF(COUNTA(_xlpm.x)=0,"NA",IF(MIN(_xlpm.x)=MAX(_xlpm.x),MIN(_xlpm.x),"review"))
)</f>
        <v>42</v>
      </c>
    </row>
    <row r="364" spans="1:22" ht="15.75" hidden="1" customHeight="1" x14ac:dyDescent="0.25">
      <c r="A364" s="7" t="s">
        <v>43</v>
      </c>
      <c r="B364" s="8">
        <v>8</v>
      </c>
      <c r="C364" s="8" t="s">
        <v>54</v>
      </c>
      <c r="D364" s="9" t="s">
        <v>53</v>
      </c>
      <c r="E364" s="7" t="s">
        <v>25</v>
      </c>
      <c r="F364" s="7" t="s">
        <v>59</v>
      </c>
      <c r="H364" s="7">
        <v>1972</v>
      </c>
      <c r="I364" s="7">
        <v>7</v>
      </c>
      <c r="K364" s="7">
        <v>7</v>
      </c>
      <c r="M364" s="7">
        <v>7</v>
      </c>
      <c r="N364" s="7">
        <v>25</v>
      </c>
      <c r="O364" s="7">
        <v>64</v>
      </c>
      <c r="T364" s="12"/>
      <c r="V364" cm="1">
        <f t="array" ref="V364">_xlfn.LET(
_xlpm.x,_xlfn._xlws.FILTER(O364:S364,(O364:S364&lt;&gt;"R")*(O364:S364&lt;&gt;"NA")*(O364:S364&lt;&gt;"W")*(O364:S364&lt;&gt;"")),
IF(COUNTA(_xlpm.x)=0,"NA",IF(MIN(_xlpm.x)=MAX(_xlpm.x),MIN(_xlpm.x),"review"))
)</f>
        <v>64</v>
      </c>
    </row>
    <row r="365" spans="1:22" ht="15.75" hidden="1" customHeight="1" x14ac:dyDescent="0.25">
      <c r="A365" s="7" t="s">
        <v>43</v>
      </c>
      <c r="B365" s="8">
        <v>8</v>
      </c>
      <c r="C365" s="8" t="s">
        <v>54</v>
      </c>
      <c r="D365" s="9" t="s">
        <v>53</v>
      </c>
      <c r="E365" s="7" t="s">
        <v>25</v>
      </c>
      <c r="F365" s="7" t="s">
        <v>59</v>
      </c>
      <c r="H365" s="7">
        <v>1972</v>
      </c>
      <c r="I365" s="7">
        <v>7</v>
      </c>
      <c r="K365" s="7">
        <v>7</v>
      </c>
      <c r="M365" s="7">
        <v>7</v>
      </c>
      <c r="N365" s="7">
        <v>26</v>
      </c>
      <c r="O365" s="7">
        <v>53</v>
      </c>
      <c r="T365" s="12"/>
      <c r="V365" cm="1">
        <f t="array" ref="V365">_xlfn.LET(
_xlpm.x,_xlfn._xlws.FILTER(O365:S365,(O365:S365&lt;&gt;"R")*(O365:S365&lt;&gt;"NA")*(O365:S365&lt;&gt;"W")*(O365:S365&lt;&gt;"")),
IF(COUNTA(_xlpm.x)=0,"NA",IF(MIN(_xlpm.x)=MAX(_xlpm.x),MIN(_xlpm.x),"review"))
)</f>
        <v>53</v>
      </c>
    </row>
    <row r="366" spans="1:22" ht="15.75" hidden="1" customHeight="1" x14ac:dyDescent="0.25">
      <c r="A366" s="7" t="s">
        <v>43</v>
      </c>
      <c r="B366" s="8">
        <v>8</v>
      </c>
      <c r="C366" s="8" t="s">
        <v>54</v>
      </c>
      <c r="D366" s="9" t="s">
        <v>53</v>
      </c>
      <c r="E366" s="7" t="s">
        <v>25</v>
      </c>
      <c r="F366" s="7" t="s">
        <v>59</v>
      </c>
      <c r="H366" s="7">
        <v>1972</v>
      </c>
      <c r="I366" s="7">
        <v>7</v>
      </c>
      <c r="K366" s="7">
        <v>7</v>
      </c>
      <c r="M366" s="7">
        <v>7</v>
      </c>
      <c r="N366" s="7">
        <v>27</v>
      </c>
      <c r="O366" s="7">
        <v>52</v>
      </c>
      <c r="T366" s="12"/>
      <c r="V366" cm="1">
        <f t="array" ref="V366">_xlfn.LET(
_xlpm.x,_xlfn._xlws.FILTER(O366:S366,(O366:S366&lt;&gt;"R")*(O366:S366&lt;&gt;"NA")*(O366:S366&lt;&gt;"W")*(O366:S366&lt;&gt;"")),
IF(COUNTA(_xlpm.x)=0,"NA",IF(MIN(_xlpm.x)=MAX(_xlpm.x),MIN(_xlpm.x),"review"))
)</f>
        <v>52</v>
      </c>
    </row>
    <row r="367" spans="1:22" ht="15.75" hidden="1" customHeight="1" x14ac:dyDescent="0.25">
      <c r="A367" s="7" t="s">
        <v>43</v>
      </c>
      <c r="B367" s="8">
        <v>8</v>
      </c>
      <c r="C367" s="8" t="s">
        <v>54</v>
      </c>
      <c r="D367" s="9" t="s">
        <v>53</v>
      </c>
      <c r="E367" s="7" t="s">
        <v>25</v>
      </c>
      <c r="F367" s="7" t="s">
        <v>59</v>
      </c>
      <c r="H367" s="7">
        <v>1972</v>
      </c>
      <c r="I367" s="7">
        <v>7</v>
      </c>
      <c r="K367" s="7">
        <v>7</v>
      </c>
      <c r="M367" s="7">
        <v>7</v>
      </c>
      <c r="N367" s="7">
        <v>28</v>
      </c>
      <c r="O367" s="7">
        <v>53</v>
      </c>
      <c r="T367" s="12"/>
      <c r="V367" cm="1">
        <f t="array" ref="V367">_xlfn.LET(
_xlpm.x,_xlfn._xlws.FILTER(O367:S367,(O367:S367&lt;&gt;"R")*(O367:S367&lt;&gt;"NA")*(O367:S367&lt;&gt;"W")*(O367:S367&lt;&gt;"")),
IF(COUNTA(_xlpm.x)=0,"NA",IF(MIN(_xlpm.x)=MAX(_xlpm.x),MIN(_xlpm.x),"review"))
)</f>
        <v>53</v>
      </c>
    </row>
    <row r="368" spans="1:22" ht="15.75" hidden="1" customHeight="1" x14ac:dyDescent="0.25">
      <c r="A368" s="7" t="s">
        <v>43</v>
      </c>
      <c r="B368" s="8">
        <v>8</v>
      </c>
      <c r="C368" s="8" t="s">
        <v>54</v>
      </c>
      <c r="D368" s="9" t="s">
        <v>53</v>
      </c>
      <c r="E368" s="7" t="s">
        <v>25</v>
      </c>
      <c r="F368" s="7" t="s">
        <v>59</v>
      </c>
      <c r="H368" s="7">
        <v>1972</v>
      </c>
      <c r="I368" s="7">
        <v>7</v>
      </c>
      <c r="K368" s="7">
        <v>7</v>
      </c>
      <c r="M368" s="7">
        <v>7</v>
      </c>
      <c r="N368" s="7">
        <v>29</v>
      </c>
      <c r="O368" s="7">
        <v>53</v>
      </c>
      <c r="T368" s="12"/>
      <c r="V368" cm="1">
        <f t="array" ref="V368">_xlfn.LET(
_xlpm.x,_xlfn._xlws.FILTER(O368:S368,(O368:S368&lt;&gt;"R")*(O368:S368&lt;&gt;"NA")*(O368:S368&lt;&gt;"W")*(O368:S368&lt;&gt;"")),
IF(COUNTA(_xlpm.x)=0,"NA",IF(MIN(_xlpm.x)=MAX(_xlpm.x),MIN(_xlpm.x),"review"))
)</f>
        <v>53</v>
      </c>
    </row>
    <row r="369" spans="1:22" ht="15.75" hidden="1" customHeight="1" x14ac:dyDescent="0.25">
      <c r="A369" s="7" t="s">
        <v>43</v>
      </c>
      <c r="B369" s="8">
        <v>8</v>
      </c>
      <c r="C369" s="8" t="s">
        <v>54</v>
      </c>
      <c r="D369" s="9" t="s">
        <v>53</v>
      </c>
      <c r="E369" s="7" t="s">
        <v>25</v>
      </c>
      <c r="F369" s="7" t="s">
        <v>59</v>
      </c>
      <c r="H369" s="7">
        <v>1972</v>
      </c>
      <c r="I369" s="7">
        <v>7</v>
      </c>
      <c r="K369" s="7">
        <v>7</v>
      </c>
      <c r="M369" s="7">
        <v>7</v>
      </c>
      <c r="N369" s="7">
        <v>30</v>
      </c>
      <c r="O369" s="7" t="s">
        <v>29</v>
      </c>
      <c r="T369" s="12"/>
      <c r="V369" t="s">
        <v>29</v>
      </c>
    </row>
    <row r="370" spans="1:22" ht="15.75" hidden="1" customHeight="1" x14ac:dyDescent="0.25">
      <c r="A370" s="7" t="s">
        <v>43</v>
      </c>
      <c r="B370" s="8">
        <v>8</v>
      </c>
      <c r="C370" s="8" t="s">
        <v>54</v>
      </c>
      <c r="D370" s="9" t="s">
        <v>53</v>
      </c>
      <c r="E370" s="7" t="s">
        <v>25</v>
      </c>
      <c r="F370" s="7" t="s">
        <v>59</v>
      </c>
      <c r="H370" s="7">
        <v>1972</v>
      </c>
      <c r="I370" s="7">
        <v>7</v>
      </c>
      <c r="K370" s="7">
        <v>7</v>
      </c>
      <c r="M370" s="7">
        <v>7</v>
      </c>
      <c r="N370" s="7">
        <v>31</v>
      </c>
      <c r="O370" s="7">
        <v>42</v>
      </c>
      <c r="T370" s="12"/>
      <c r="V370" cm="1">
        <f t="array" ref="V370">_xlfn.LET(
_xlpm.x,_xlfn._xlws.FILTER(O370:S370,(O370:S370&lt;&gt;"R")*(O370:S370&lt;&gt;"NA")*(O370:S370&lt;&gt;"W")*(O370:S370&lt;&gt;"")),
IF(COUNTA(_xlpm.x)=0,"NA",IF(MIN(_xlpm.x)=MAX(_xlpm.x),MIN(_xlpm.x),"review"))
)</f>
        <v>42</v>
      </c>
    </row>
    <row r="371" spans="1:22" ht="15.75" hidden="1" customHeight="1" x14ac:dyDescent="0.25">
      <c r="A371" s="7" t="s">
        <v>43</v>
      </c>
      <c r="B371" s="8">
        <v>8</v>
      </c>
      <c r="C371" s="8" t="s">
        <v>54</v>
      </c>
      <c r="D371" s="9" t="s">
        <v>53</v>
      </c>
      <c r="E371" s="7" t="s">
        <v>25</v>
      </c>
      <c r="F371" s="7" t="s">
        <v>59</v>
      </c>
      <c r="H371" s="7">
        <v>1972</v>
      </c>
      <c r="I371" s="7">
        <v>7</v>
      </c>
      <c r="K371" s="7">
        <v>7</v>
      </c>
      <c r="M371" s="7">
        <v>7</v>
      </c>
      <c r="N371" s="7">
        <v>32</v>
      </c>
      <c r="O371" s="7" t="s">
        <v>29</v>
      </c>
      <c r="T371" s="12"/>
      <c r="V371" t="s">
        <v>29</v>
      </c>
    </row>
    <row r="372" spans="1:22" ht="15.75" hidden="1" customHeight="1" x14ac:dyDescent="0.25">
      <c r="A372" s="7" t="s">
        <v>43</v>
      </c>
      <c r="B372" s="8">
        <v>8</v>
      </c>
      <c r="C372" s="8" t="s">
        <v>54</v>
      </c>
      <c r="D372" s="9" t="s">
        <v>53</v>
      </c>
      <c r="E372" s="7" t="s">
        <v>25</v>
      </c>
      <c r="F372" s="7" t="s">
        <v>59</v>
      </c>
      <c r="H372" s="7">
        <v>1972</v>
      </c>
      <c r="I372" s="7">
        <v>7</v>
      </c>
      <c r="K372" s="7">
        <v>7</v>
      </c>
      <c r="M372" s="7">
        <v>7</v>
      </c>
      <c r="N372" s="7">
        <v>33</v>
      </c>
      <c r="O372" s="7" t="s">
        <v>29</v>
      </c>
      <c r="T372" s="12"/>
      <c r="V372" t="s">
        <v>29</v>
      </c>
    </row>
    <row r="373" spans="1:22" ht="15.75" hidden="1" customHeight="1" x14ac:dyDescent="0.25">
      <c r="A373" s="7" t="s">
        <v>43</v>
      </c>
      <c r="B373" s="8">
        <v>8</v>
      </c>
      <c r="C373" s="8" t="s">
        <v>54</v>
      </c>
      <c r="D373" s="9" t="s">
        <v>53</v>
      </c>
      <c r="E373" s="7" t="s">
        <v>25</v>
      </c>
      <c r="F373" s="7" t="s">
        <v>59</v>
      </c>
      <c r="H373" s="7">
        <v>1972</v>
      </c>
      <c r="I373" s="7">
        <v>7</v>
      </c>
      <c r="K373" s="7">
        <v>7</v>
      </c>
      <c r="M373" s="7">
        <v>7</v>
      </c>
      <c r="N373" s="7">
        <v>34</v>
      </c>
      <c r="O373" s="7" t="s">
        <v>29</v>
      </c>
      <c r="T373" s="12"/>
      <c r="V373" t="s">
        <v>29</v>
      </c>
    </row>
    <row r="374" spans="1:22" ht="15.75" hidden="1" customHeight="1" x14ac:dyDescent="0.25">
      <c r="A374" s="7" t="s">
        <v>43</v>
      </c>
      <c r="B374" s="8">
        <v>8</v>
      </c>
      <c r="C374" s="8" t="s">
        <v>54</v>
      </c>
      <c r="D374" s="9" t="s">
        <v>53</v>
      </c>
      <c r="E374" s="7" t="s">
        <v>25</v>
      </c>
      <c r="F374" s="7" t="s">
        <v>59</v>
      </c>
      <c r="H374" s="7">
        <v>1972</v>
      </c>
      <c r="I374" s="7">
        <v>7</v>
      </c>
      <c r="K374" s="7">
        <v>7</v>
      </c>
      <c r="M374" s="7">
        <v>7</v>
      </c>
      <c r="N374" s="7">
        <v>35</v>
      </c>
      <c r="O374" s="7">
        <v>53</v>
      </c>
      <c r="T374" s="12"/>
      <c r="V374" cm="1">
        <f t="array" ref="V374">_xlfn.LET(
_xlpm.x,_xlfn._xlws.FILTER(O374:S374,(O374:S374&lt;&gt;"R")*(O374:S374&lt;&gt;"NA")*(O374:S374&lt;&gt;"W")*(O374:S374&lt;&gt;"")),
IF(COUNTA(_xlpm.x)=0,"NA",IF(MIN(_xlpm.x)=MAX(_xlpm.x),MIN(_xlpm.x),"review"))
)</f>
        <v>53</v>
      </c>
    </row>
    <row r="375" spans="1:22" ht="15.75" hidden="1" customHeight="1" x14ac:dyDescent="0.25">
      <c r="A375" s="7" t="s">
        <v>43</v>
      </c>
      <c r="B375" s="8">
        <v>8</v>
      </c>
      <c r="C375" s="8" t="s">
        <v>54</v>
      </c>
      <c r="D375" s="9" t="s">
        <v>53</v>
      </c>
      <c r="E375" s="7" t="s">
        <v>25</v>
      </c>
      <c r="F375" s="7" t="s">
        <v>59</v>
      </c>
      <c r="H375" s="7">
        <v>1972</v>
      </c>
      <c r="I375" s="7">
        <v>7</v>
      </c>
      <c r="K375" s="7">
        <v>7</v>
      </c>
      <c r="M375" s="7">
        <v>7</v>
      </c>
      <c r="N375" s="7">
        <v>36</v>
      </c>
      <c r="O375" s="7">
        <v>32</v>
      </c>
      <c r="T375" s="12"/>
      <c r="V375" cm="1">
        <f t="array" ref="V375">_xlfn.LET(
_xlpm.x,_xlfn._xlws.FILTER(O375:S375,(O375:S375&lt;&gt;"R")*(O375:S375&lt;&gt;"NA")*(O375:S375&lt;&gt;"W")*(O375:S375&lt;&gt;"")),
IF(COUNTA(_xlpm.x)=0,"NA",IF(MIN(_xlpm.x)=MAX(_xlpm.x),MIN(_xlpm.x),"review"))
)</f>
        <v>32</v>
      </c>
    </row>
    <row r="376" spans="1:22" ht="15.75" hidden="1" customHeight="1" x14ac:dyDescent="0.25">
      <c r="A376" s="7" t="s">
        <v>43</v>
      </c>
      <c r="B376" s="8">
        <v>8</v>
      </c>
      <c r="C376" s="8" t="s">
        <v>54</v>
      </c>
      <c r="D376" s="9" t="s">
        <v>53</v>
      </c>
      <c r="E376" s="7" t="s">
        <v>25</v>
      </c>
      <c r="F376" s="7" t="s">
        <v>59</v>
      </c>
      <c r="H376" s="7">
        <v>1972</v>
      </c>
      <c r="I376" s="7">
        <v>7</v>
      </c>
      <c r="K376" s="7">
        <v>7</v>
      </c>
      <c r="M376" s="7">
        <v>7</v>
      </c>
      <c r="N376" s="7">
        <v>37</v>
      </c>
      <c r="O376" s="7" t="s">
        <v>29</v>
      </c>
      <c r="T376" s="12"/>
      <c r="V376" t="s">
        <v>29</v>
      </c>
    </row>
    <row r="377" spans="1:22" ht="15.75" hidden="1" customHeight="1" x14ac:dyDescent="0.25">
      <c r="A377" s="7" t="s">
        <v>43</v>
      </c>
      <c r="B377" s="8">
        <v>8</v>
      </c>
      <c r="C377" s="8" t="s">
        <v>54</v>
      </c>
      <c r="D377" s="9" t="s">
        <v>53</v>
      </c>
      <c r="E377" s="7" t="s">
        <v>25</v>
      </c>
      <c r="F377" s="7" t="s">
        <v>59</v>
      </c>
      <c r="H377" s="7">
        <v>1972</v>
      </c>
      <c r="I377" s="7">
        <v>7</v>
      </c>
      <c r="K377" s="7">
        <v>7</v>
      </c>
      <c r="M377" s="7">
        <v>7</v>
      </c>
      <c r="N377" s="7">
        <v>38</v>
      </c>
      <c r="O377" s="7">
        <v>53</v>
      </c>
      <c r="T377" s="12"/>
      <c r="V377" cm="1">
        <f t="array" ref="V377">_xlfn.LET(
_xlpm.x,_xlfn._xlws.FILTER(O377:S377,(O377:S377&lt;&gt;"R")*(O377:S377&lt;&gt;"NA")*(O377:S377&lt;&gt;"W")*(O377:S377&lt;&gt;"")),
IF(COUNTA(_xlpm.x)=0,"NA",IF(MIN(_xlpm.x)=MAX(_xlpm.x),MIN(_xlpm.x),"review"))
)</f>
        <v>53</v>
      </c>
    </row>
    <row r="378" spans="1:22" ht="15.75" hidden="1" customHeight="1" x14ac:dyDescent="0.25">
      <c r="A378" s="7" t="s">
        <v>43</v>
      </c>
      <c r="B378" s="8">
        <v>8</v>
      </c>
      <c r="C378" s="8" t="s">
        <v>54</v>
      </c>
      <c r="D378" s="9" t="s">
        <v>53</v>
      </c>
      <c r="E378" s="7" t="s">
        <v>25</v>
      </c>
      <c r="F378" s="7" t="s">
        <v>59</v>
      </c>
      <c r="H378" s="7">
        <v>1972</v>
      </c>
      <c r="I378" s="7">
        <v>7</v>
      </c>
      <c r="K378" s="7">
        <v>7</v>
      </c>
      <c r="M378" s="7">
        <v>7</v>
      </c>
      <c r="N378" s="7">
        <v>39</v>
      </c>
      <c r="O378" s="7">
        <v>53</v>
      </c>
      <c r="T378" s="12"/>
      <c r="V378" cm="1">
        <f t="array" ref="V378">_xlfn.LET(
_xlpm.x,_xlfn._xlws.FILTER(O378:S378,(O378:S378&lt;&gt;"R")*(O378:S378&lt;&gt;"NA")*(O378:S378&lt;&gt;"W")*(O378:S378&lt;&gt;"")),
IF(COUNTA(_xlpm.x)=0,"NA",IF(MIN(_xlpm.x)=MAX(_xlpm.x),MIN(_xlpm.x),"review"))
)</f>
        <v>53</v>
      </c>
    </row>
    <row r="379" spans="1:22" ht="15.75" hidden="1" customHeight="1" x14ac:dyDescent="0.25">
      <c r="A379" s="7" t="s">
        <v>43</v>
      </c>
      <c r="B379" s="8">
        <v>8</v>
      </c>
      <c r="C379" s="8" t="s">
        <v>54</v>
      </c>
      <c r="D379" s="9" t="s">
        <v>53</v>
      </c>
      <c r="E379" s="7" t="s">
        <v>25</v>
      </c>
      <c r="F379" s="7" t="s">
        <v>59</v>
      </c>
      <c r="H379" s="7">
        <v>1972</v>
      </c>
      <c r="I379" s="7">
        <v>7</v>
      </c>
      <c r="K379" s="7">
        <v>7</v>
      </c>
      <c r="M379" s="7">
        <v>7</v>
      </c>
      <c r="N379" s="7">
        <v>40</v>
      </c>
      <c r="O379" s="7">
        <v>53</v>
      </c>
      <c r="T379" s="12"/>
      <c r="V379" cm="1">
        <f t="array" ref="V379">_xlfn.LET(
_xlpm.x,_xlfn._xlws.FILTER(O379:S379,(O379:S379&lt;&gt;"R")*(O379:S379&lt;&gt;"NA")*(O379:S379&lt;&gt;"W")*(O379:S379&lt;&gt;"")),
IF(COUNTA(_xlpm.x)=0,"NA",IF(MIN(_xlpm.x)=MAX(_xlpm.x),MIN(_xlpm.x),"review"))
)</f>
        <v>53</v>
      </c>
    </row>
    <row r="380" spans="1:22" ht="15.75" hidden="1" customHeight="1" x14ac:dyDescent="0.25">
      <c r="A380" s="7" t="s">
        <v>43</v>
      </c>
      <c r="B380" s="8">
        <v>8</v>
      </c>
      <c r="C380" s="8" t="s">
        <v>54</v>
      </c>
      <c r="D380" s="9" t="s">
        <v>53</v>
      </c>
      <c r="E380" s="7" t="s">
        <v>25</v>
      </c>
      <c r="F380" s="7" t="s">
        <v>59</v>
      </c>
      <c r="H380" s="7">
        <v>1972</v>
      </c>
      <c r="I380" s="7">
        <v>7</v>
      </c>
      <c r="K380" s="7">
        <v>7</v>
      </c>
      <c r="M380" s="7">
        <v>7</v>
      </c>
      <c r="N380" s="7">
        <v>41</v>
      </c>
      <c r="O380" s="7">
        <v>53</v>
      </c>
      <c r="T380" s="12"/>
      <c r="V380" cm="1">
        <f t="array" ref="V380">_xlfn.LET(
_xlpm.x,_xlfn._xlws.FILTER(O380:S380,(O380:S380&lt;&gt;"R")*(O380:S380&lt;&gt;"NA")*(O380:S380&lt;&gt;"W")*(O380:S380&lt;&gt;"")),
IF(COUNTA(_xlpm.x)=0,"NA",IF(MIN(_xlpm.x)=MAX(_xlpm.x),MIN(_xlpm.x),"review"))
)</f>
        <v>53</v>
      </c>
    </row>
    <row r="381" spans="1:22" ht="15.75" hidden="1" customHeight="1" x14ac:dyDescent="0.25">
      <c r="A381" s="7" t="s">
        <v>43</v>
      </c>
      <c r="B381" s="8">
        <v>8</v>
      </c>
      <c r="C381" s="8" t="s">
        <v>54</v>
      </c>
      <c r="D381" s="9" t="s">
        <v>53</v>
      </c>
      <c r="E381" s="7" t="s">
        <v>25</v>
      </c>
      <c r="F381" s="7" t="s">
        <v>59</v>
      </c>
      <c r="H381" s="7">
        <v>1972</v>
      </c>
      <c r="I381" s="7">
        <v>7</v>
      </c>
      <c r="K381" s="7">
        <v>7</v>
      </c>
      <c r="M381" s="7">
        <v>7</v>
      </c>
      <c r="N381" s="7">
        <v>42</v>
      </c>
      <c r="O381" s="7">
        <v>52</v>
      </c>
      <c r="T381" s="12"/>
      <c r="V381" cm="1">
        <f t="array" ref="V381">_xlfn.LET(
_xlpm.x,_xlfn._xlws.FILTER(O381:S381,(O381:S381&lt;&gt;"R")*(O381:S381&lt;&gt;"NA")*(O381:S381&lt;&gt;"W")*(O381:S381&lt;&gt;"")),
IF(COUNTA(_xlpm.x)=0,"NA",IF(MIN(_xlpm.x)=MAX(_xlpm.x),MIN(_xlpm.x),"review"))
)</f>
        <v>52</v>
      </c>
    </row>
    <row r="382" spans="1:22" ht="15.75" hidden="1" customHeight="1" x14ac:dyDescent="0.25">
      <c r="A382" s="7" t="s">
        <v>43</v>
      </c>
      <c r="B382" s="8">
        <v>8</v>
      </c>
      <c r="C382" s="8" t="s">
        <v>54</v>
      </c>
      <c r="D382" s="9" t="s">
        <v>53</v>
      </c>
      <c r="E382" s="7" t="s">
        <v>25</v>
      </c>
      <c r="F382" s="7" t="s">
        <v>59</v>
      </c>
      <c r="H382" s="7">
        <v>1972</v>
      </c>
      <c r="I382" s="7">
        <v>7</v>
      </c>
      <c r="K382" s="7">
        <v>7</v>
      </c>
      <c r="M382" s="7">
        <v>7</v>
      </c>
      <c r="N382" s="7">
        <v>43</v>
      </c>
      <c r="O382" s="7">
        <v>32</v>
      </c>
      <c r="T382" s="12"/>
      <c r="V382" cm="1">
        <f t="array" ref="V382">_xlfn.LET(
_xlpm.x,_xlfn._xlws.FILTER(O382:S382,(O382:S382&lt;&gt;"R")*(O382:S382&lt;&gt;"NA")*(O382:S382&lt;&gt;"W")*(O382:S382&lt;&gt;"")),
IF(COUNTA(_xlpm.x)=0,"NA",IF(MIN(_xlpm.x)=MAX(_xlpm.x),MIN(_xlpm.x),"review"))
)</f>
        <v>32</v>
      </c>
    </row>
    <row r="383" spans="1:22" ht="15.75" hidden="1" customHeight="1" x14ac:dyDescent="0.25">
      <c r="A383" s="7" t="s">
        <v>43</v>
      </c>
      <c r="B383" s="8">
        <v>8</v>
      </c>
      <c r="C383" s="8" t="s">
        <v>54</v>
      </c>
      <c r="D383" s="9" t="s">
        <v>53</v>
      </c>
      <c r="E383" s="7" t="s">
        <v>25</v>
      </c>
      <c r="F383" s="7" t="s">
        <v>59</v>
      </c>
      <c r="H383" s="7">
        <v>1972</v>
      </c>
      <c r="I383" s="7">
        <v>7</v>
      </c>
      <c r="K383" s="7">
        <v>7</v>
      </c>
      <c r="M383" s="7">
        <v>7</v>
      </c>
      <c r="N383" s="7">
        <v>44</v>
      </c>
      <c r="O383" s="7">
        <v>52</v>
      </c>
      <c r="T383" s="12"/>
      <c r="V383" cm="1">
        <f t="array" ref="V383">_xlfn.LET(
_xlpm.x,_xlfn._xlws.FILTER(O383:S383,(O383:S383&lt;&gt;"R")*(O383:S383&lt;&gt;"NA")*(O383:S383&lt;&gt;"W")*(O383:S383&lt;&gt;"")),
IF(COUNTA(_xlpm.x)=0,"NA",IF(MIN(_xlpm.x)=MAX(_xlpm.x),MIN(_xlpm.x),"review"))
)</f>
        <v>52</v>
      </c>
    </row>
    <row r="384" spans="1:22" ht="15.75" hidden="1" customHeight="1" x14ac:dyDescent="0.25">
      <c r="A384" s="7" t="s">
        <v>43</v>
      </c>
      <c r="B384" s="8">
        <v>8</v>
      </c>
      <c r="C384" s="8" t="s">
        <v>54</v>
      </c>
      <c r="D384" s="9" t="s">
        <v>53</v>
      </c>
      <c r="E384" s="7" t="s">
        <v>25</v>
      </c>
      <c r="F384" s="7" t="s">
        <v>59</v>
      </c>
      <c r="H384" s="7">
        <v>1972</v>
      </c>
      <c r="I384" s="7">
        <v>7</v>
      </c>
      <c r="K384" s="7">
        <v>7</v>
      </c>
      <c r="M384" s="7">
        <v>7</v>
      </c>
      <c r="N384" s="7">
        <v>45</v>
      </c>
      <c r="O384" s="7">
        <v>42</v>
      </c>
      <c r="T384" s="12"/>
      <c r="V384" cm="1">
        <f t="array" ref="V384">_xlfn.LET(
_xlpm.x,_xlfn._xlws.FILTER(O384:S384,(O384:S384&lt;&gt;"R")*(O384:S384&lt;&gt;"NA")*(O384:S384&lt;&gt;"W")*(O384:S384&lt;&gt;"")),
IF(COUNTA(_xlpm.x)=0,"NA",IF(MIN(_xlpm.x)=MAX(_xlpm.x),MIN(_xlpm.x),"review"))
)</f>
        <v>42</v>
      </c>
    </row>
    <row r="385" spans="1:22" ht="15.75" hidden="1" customHeight="1" x14ac:dyDescent="0.25">
      <c r="A385" s="7" t="s">
        <v>43</v>
      </c>
      <c r="B385" s="8">
        <v>8</v>
      </c>
      <c r="C385" s="8" t="s">
        <v>54</v>
      </c>
      <c r="D385" s="9" t="s">
        <v>53</v>
      </c>
      <c r="E385" s="7" t="s">
        <v>25</v>
      </c>
      <c r="F385" s="7" t="s">
        <v>59</v>
      </c>
      <c r="H385" s="7">
        <v>1972</v>
      </c>
      <c r="I385" s="7">
        <v>7</v>
      </c>
      <c r="K385" s="7">
        <v>7</v>
      </c>
      <c r="M385" s="7">
        <v>7</v>
      </c>
      <c r="N385" s="7">
        <v>46</v>
      </c>
      <c r="O385" s="7">
        <v>53</v>
      </c>
      <c r="T385" s="12"/>
      <c r="V385" cm="1">
        <f t="array" ref="V385">_xlfn.LET(
_xlpm.x,_xlfn._xlws.FILTER(O385:S385,(O385:S385&lt;&gt;"R")*(O385:S385&lt;&gt;"NA")*(O385:S385&lt;&gt;"W")*(O385:S385&lt;&gt;"")),
IF(COUNTA(_xlpm.x)=0,"NA",IF(MIN(_xlpm.x)=MAX(_xlpm.x),MIN(_xlpm.x),"review"))
)</f>
        <v>53</v>
      </c>
    </row>
    <row r="386" spans="1:22" ht="15.75" hidden="1" customHeight="1" x14ac:dyDescent="0.25">
      <c r="A386" s="7" t="s">
        <v>43</v>
      </c>
      <c r="B386" s="8">
        <v>8</v>
      </c>
      <c r="C386" s="8" t="s">
        <v>54</v>
      </c>
      <c r="D386" s="9" t="s">
        <v>53</v>
      </c>
      <c r="E386" s="7" t="s">
        <v>25</v>
      </c>
      <c r="F386" s="7" t="s">
        <v>59</v>
      </c>
      <c r="H386" s="7">
        <v>1972</v>
      </c>
      <c r="I386" s="7">
        <v>7</v>
      </c>
      <c r="K386" s="7">
        <v>7</v>
      </c>
      <c r="M386" s="7">
        <v>7</v>
      </c>
      <c r="N386" s="7">
        <v>47</v>
      </c>
      <c r="O386" s="7">
        <v>42</v>
      </c>
      <c r="T386" s="12"/>
      <c r="V386" cm="1">
        <f t="array" ref="V386">_xlfn.LET(
_xlpm.x,_xlfn._xlws.FILTER(O386:S386,(O386:S386&lt;&gt;"R")*(O386:S386&lt;&gt;"NA")*(O386:S386&lt;&gt;"W")*(O386:S386&lt;&gt;"")),
IF(COUNTA(_xlpm.x)=0,"NA",IF(MIN(_xlpm.x)=MAX(_xlpm.x),MIN(_xlpm.x),"review"))
)</f>
        <v>42</v>
      </c>
    </row>
    <row r="387" spans="1:22" ht="15.75" hidden="1" customHeight="1" x14ac:dyDescent="0.25">
      <c r="A387" s="7" t="s">
        <v>43</v>
      </c>
      <c r="B387" s="8">
        <v>8</v>
      </c>
      <c r="C387" s="8" t="s">
        <v>54</v>
      </c>
      <c r="D387" s="9" t="s">
        <v>53</v>
      </c>
      <c r="E387" s="7" t="s">
        <v>25</v>
      </c>
      <c r="F387" s="7" t="s">
        <v>59</v>
      </c>
      <c r="H387" s="7">
        <v>1972</v>
      </c>
      <c r="I387" s="7">
        <v>7</v>
      </c>
      <c r="K387" s="7">
        <v>7</v>
      </c>
      <c r="M387" s="7">
        <v>7</v>
      </c>
      <c r="N387" s="7">
        <v>48</v>
      </c>
      <c r="O387" s="7">
        <v>63</v>
      </c>
      <c r="T387" s="12"/>
      <c r="V387" cm="1">
        <f t="array" ref="V387">_xlfn.LET(
_xlpm.x,_xlfn._xlws.FILTER(O387:S387,(O387:S387&lt;&gt;"R")*(O387:S387&lt;&gt;"NA")*(O387:S387&lt;&gt;"W")*(O387:S387&lt;&gt;"")),
IF(COUNTA(_xlpm.x)=0,"NA",IF(MIN(_xlpm.x)=MAX(_xlpm.x),MIN(_xlpm.x),"review"))
)</f>
        <v>63</v>
      </c>
    </row>
    <row r="388" spans="1:22" ht="15.75" hidden="1" customHeight="1" x14ac:dyDescent="0.25">
      <c r="A388" s="7" t="s">
        <v>43</v>
      </c>
      <c r="B388" s="8">
        <v>8</v>
      </c>
      <c r="C388" s="8" t="s">
        <v>54</v>
      </c>
      <c r="D388" s="9" t="s">
        <v>53</v>
      </c>
      <c r="E388" s="7" t="s">
        <v>25</v>
      </c>
      <c r="F388" s="7" t="s">
        <v>59</v>
      </c>
      <c r="H388" s="7">
        <v>1972</v>
      </c>
      <c r="I388" s="7">
        <v>7</v>
      </c>
      <c r="K388" s="7">
        <v>7</v>
      </c>
      <c r="M388" s="7">
        <v>7</v>
      </c>
      <c r="N388" s="7">
        <v>49</v>
      </c>
      <c r="O388" s="7" t="s">
        <v>29</v>
      </c>
      <c r="T388" s="12"/>
      <c r="V388" t="s">
        <v>29</v>
      </c>
    </row>
    <row r="389" spans="1:22" ht="15.75" hidden="1" customHeight="1" x14ac:dyDescent="0.25">
      <c r="A389" s="7" t="s">
        <v>43</v>
      </c>
      <c r="B389" s="8">
        <v>8</v>
      </c>
      <c r="C389" s="8" t="s">
        <v>54</v>
      </c>
      <c r="D389" s="9" t="s">
        <v>53</v>
      </c>
      <c r="E389" s="7" t="s">
        <v>25</v>
      </c>
      <c r="F389" s="7" t="s">
        <v>59</v>
      </c>
      <c r="H389" s="7">
        <v>1972</v>
      </c>
      <c r="I389" s="7">
        <v>7</v>
      </c>
      <c r="K389" s="7">
        <v>7</v>
      </c>
      <c r="M389" s="7">
        <v>7</v>
      </c>
      <c r="N389" s="7">
        <v>50</v>
      </c>
      <c r="O389" s="7" t="s">
        <v>29</v>
      </c>
      <c r="T389" s="12"/>
      <c r="U389" s="7" t="s">
        <v>60</v>
      </c>
      <c r="V389" t="s">
        <v>29</v>
      </c>
    </row>
    <row r="390" spans="1:22" ht="15.75" hidden="1" customHeight="1" x14ac:dyDescent="0.25">
      <c r="A390" s="7" t="s">
        <v>43</v>
      </c>
      <c r="B390" s="8">
        <v>8</v>
      </c>
      <c r="C390" s="8" t="s">
        <v>54</v>
      </c>
      <c r="D390" s="9" t="s">
        <v>53</v>
      </c>
      <c r="E390" s="7" t="s">
        <v>25</v>
      </c>
      <c r="F390" s="7" t="s">
        <v>39</v>
      </c>
      <c r="H390" s="7">
        <v>1972</v>
      </c>
      <c r="K390" s="7">
        <v>7</v>
      </c>
      <c r="M390" s="7">
        <v>8</v>
      </c>
      <c r="N390" s="7">
        <v>1</v>
      </c>
      <c r="O390" s="7" t="s">
        <v>28</v>
      </c>
      <c r="T390" s="12"/>
      <c r="V390" t="s">
        <v>29</v>
      </c>
    </row>
    <row r="391" spans="1:22" ht="15.75" hidden="1" customHeight="1" x14ac:dyDescent="0.25">
      <c r="A391" s="7" t="s">
        <v>43</v>
      </c>
      <c r="B391" s="8">
        <v>8</v>
      </c>
      <c r="C391" s="8" t="s">
        <v>54</v>
      </c>
      <c r="D391" s="9" t="s">
        <v>53</v>
      </c>
      <c r="E391" s="7" t="s">
        <v>25</v>
      </c>
      <c r="F391" s="7" t="s">
        <v>39</v>
      </c>
      <c r="H391" s="7">
        <v>1972</v>
      </c>
      <c r="K391" s="7">
        <v>7</v>
      </c>
      <c r="M391" s="7">
        <v>8</v>
      </c>
      <c r="N391" s="7">
        <v>2</v>
      </c>
      <c r="O391" s="7" t="s">
        <v>28</v>
      </c>
      <c r="T391" s="12"/>
      <c r="V391" t="s">
        <v>29</v>
      </c>
    </row>
    <row r="392" spans="1:22" ht="15.75" hidden="1" customHeight="1" x14ac:dyDescent="0.25">
      <c r="A392" s="7" t="s">
        <v>43</v>
      </c>
      <c r="B392" s="8">
        <v>8</v>
      </c>
      <c r="C392" s="8" t="s">
        <v>54</v>
      </c>
      <c r="D392" s="9" t="s">
        <v>53</v>
      </c>
      <c r="E392" s="7" t="s">
        <v>25</v>
      </c>
      <c r="F392" s="7" t="s">
        <v>39</v>
      </c>
      <c r="H392" s="7">
        <v>1972</v>
      </c>
      <c r="K392" s="7">
        <v>7</v>
      </c>
      <c r="M392" s="7">
        <v>8</v>
      </c>
      <c r="N392" s="7">
        <v>3</v>
      </c>
      <c r="O392" s="7">
        <v>42</v>
      </c>
      <c r="T392" s="12"/>
      <c r="V392" cm="1">
        <f t="array" ref="V392">_xlfn.LET(
_xlpm.x,_xlfn._xlws.FILTER(O392:S392,(O392:S392&lt;&gt;"R")*(O392:S392&lt;&gt;"NA")*(O392:S392&lt;&gt;"W")*(O392:S392&lt;&gt;"")),
IF(COUNTA(_xlpm.x)=0,"NA",IF(MIN(_xlpm.x)=MAX(_xlpm.x),MIN(_xlpm.x),"review"))
)</f>
        <v>42</v>
      </c>
    </row>
    <row r="393" spans="1:22" ht="15.75" hidden="1" customHeight="1" x14ac:dyDescent="0.25">
      <c r="A393" s="7" t="s">
        <v>43</v>
      </c>
      <c r="B393" s="8">
        <v>8</v>
      </c>
      <c r="C393" s="8" t="s">
        <v>54</v>
      </c>
      <c r="D393" s="9" t="s">
        <v>53</v>
      </c>
      <c r="E393" s="7" t="s">
        <v>25</v>
      </c>
      <c r="F393" s="7" t="s">
        <v>39</v>
      </c>
      <c r="H393" s="7">
        <v>1972</v>
      </c>
      <c r="K393" s="7">
        <v>7</v>
      </c>
      <c r="M393" s="7">
        <v>8</v>
      </c>
      <c r="N393" s="7">
        <v>4</v>
      </c>
      <c r="O393" s="7">
        <v>42</v>
      </c>
      <c r="T393" s="12" t="s">
        <v>46</v>
      </c>
      <c r="V393" cm="1">
        <f t="array" ref="V393">_xlfn.LET(
_xlpm.x,_xlfn._xlws.FILTER(O393:S393,(O393:S393&lt;&gt;"R")*(O393:S393&lt;&gt;"NA")*(O393:S393&lt;&gt;"W")*(O393:S393&lt;&gt;"")),
IF(COUNTA(_xlpm.x)=0,"NA",IF(MIN(_xlpm.x)=MAX(_xlpm.x),MIN(_xlpm.x),"review"))
)</f>
        <v>42</v>
      </c>
    </row>
    <row r="394" spans="1:22" ht="15.75" hidden="1" customHeight="1" x14ac:dyDescent="0.25">
      <c r="A394" s="7" t="s">
        <v>43</v>
      </c>
      <c r="B394" s="8">
        <v>8</v>
      </c>
      <c r="C394" s="8" t="s">
        <v>54</v>
      </c>
      <c r="D394" s="9" t="s">
        <v>53</v>
      </c>
      <c r="E394" s="7" t="s">
        <v>25</v>
      </c>
      <c r="F394" s="7" t="s">
        <v>39</v>
      </c>
      <c r="H394" s="7">
        <v>1972</v>
      </c>
      <c r="K394" s="7">
        <v>7</v>
      </c>
      <c r="M394" s="7">
        <v>8</v>
      </c>
      <c r="N394" s="7">
        <v>5</v>
      </c>
      <c r="O394" s="7">
        <v>42</v>
      </c>
      <c r="T394" s="12"/>
      <c r="V394" cm="1">
        <f t="array" ref="V394">_xlfn.LET(
_xlpm.x,_xlfn._xlws.FILTER(O394:S394,(O394:S394&lt;&gt;"R")*(O394:S394&lt;&gt;"NA")*(O394:S394&lt;&gt;"W")*(O394:S394&lt;&gt;"")),
IF(COUNTA(_xlpm.x)=0,"NA",IF(MIN(_xlpm.x)=MAX(_xlpm.x),MIN(_xlpm.x),"review"))
)</f>
        <v>42</v>
      </c>
    </row>
    <row r="395" spans="1:22" ht="15.75" hidden="1" customHeight="1" x14ac:dyDescent="0.25">
      <c r="A395" s="7" t="s">
        <v>43</v>
      </c>
      <c r="B395" s="8">
        <v>8</v>
      </c>
      <c r="C395" s="8" t="s">
        <v>54</v>
      </c>
      <c r="D395" s="9" t="s">
        <v>53</v>
      </c>
      <c r="E395" s="7" t="s">
        <v>25</v>
      </c>
      <c r="F395" s="7" t="s">
        <v>39</v>
      </c>
      <c r="H395" s="7">
        <v>1972</v>
      </c>
      <c r="K395" s="7">
        <v>7</v>
      </c>
      <c r="M395" s="7">
        <v>8</v>
      </c>
      <c r="N395" s="7">
        <v>6</v>
      </c>
      <c r="O395" s="7" t="s">
        <v>29</v>
      </c>
      <c r="T395" s="12"/>
      <c r="V395" t="s">
        <v>29</v>
      </c>
    </row>
    <row r="396" spans="1:22" ht="15.75" hidden="1" customHeight="1" x14ac:dyDescent="0.25">
      <c r="A396" s="7" t="s">
        <v>43</v>
      </c>
      <c r="B396" s="8">
        <v>8</v>
      </c>
      <c r="C396" s="8" t="s">
        <v>54</v>
      </c>
      <c r="D396" s="9" t="s">
        <v>53</v>
      </c>
      <c r="E396" s="7" t="s">
        <v>25</v>
      </c>
      <c r="F396" s="7" t="s">
        <v>39</v>
      </c>
      <c r="H396" s="7">
        <v>1972</v>
      </c>
      <c r="K396" s="7">
        <v>7</v>
      </c>
      <c r="M396" s="7">
        <v>8</v>
      </c>
      <c r="N396" s="7">
        <v>7</v>
      </c>
      <c r="O396" s="7" t="s">
        <v>29</v>
      </c>
      <c r="T396" s="12"/>
      <c r="V396" t="s">
        <v>29</v>
      </c>
    </row>
    <row r="397" spans="1:22" ht="15.75" hidden="1" customHeight="1" x14ac:dyDescent="0.25">
      <c r="A397" s="7" t="s">
        <v>43</v>
      </c>
      <c r="B397" s="8">
        <v>8</v>
      </c>
      <c r="C397" s="8" t="s">
        <v>54</v>
      </c>
      <c r="D397" s="9" t="s">
        <v>53</v>
      </c>
      <c r="E397" s="7" t="s">
        <v>25</v>
      </c>
      <c r="F397" s="7" t="s">
        <v>39</v>
      </c>
      <c r="H397" s="7">
        <v>1972</v>
      </c>
      <c r="K397" s="7">
        <v>7</v>
      </c>
      <c r="M397" s="7">
        <v>8</v>
      </c>
      <c r="N397" s="7">
        <v>8</v>
      </c>
      <c r="O397" s="7">
        <v>42</v>
      </c>
      <c r="T397" s="12"/>
      <c r="V397" cm="1">
        <f t="array" ref="V397">_xlfn.LET(
_xlpm.x,_xlfn._xlws.FILTER(O397:S397,(O397:S397&lt;&gt;"R")*(O397:S397&lt;&gt;"NA")*(O397:S397&lt;&gt;"W")*(O397:S397&lt;&gt;"")),
IF(COUNTA(_xlpm.x)=0,"NA",IF(MIN(_xlpm.x)=MAX(_xlpm.x),MIN(_xlpm.x),"review"))
)</f>
        <v>42</v>
      </c>
    </row>
    <row r="398" spans="1:22" ht="15.75" hidden="1" customHeight="1" x14ac:dyDescent="0.25">
      <c r="A398" s="7" t="s">
        <v>43</v>
      </c>
      <c r="B398" s="8">
        <v>8</v>
      </c>
      <c r="C398" s="8" t="s">
        <v>54</v>
      </c>
      <c r="D398" s="9" t="s">
        <v>53</v>
      </c>
      <c r="E398" s="7" t="s">
        <v>25</v>
      </c>
      <c r="F398" s="7" t="s">
        <v>39</v>
      </c>
      <c r="H398" s="7">
        <v>1972</v>
      </c>
      <c r="K398" s="7">
        <v>7</v>
      </c>
      <c r="M398" s="7">
        <v>8</v>
      </c>
      <c r="N398" s="7">
        <v>9</v>
      </c>
      <c r="O398" s="7" t="s">
        <v>28</v>
      </c>
      <c r="T398" s="12"/>
      <c r="V398" t="s">
        <v>29</v>
      </c>
    </row>
    <row r="399" spans="1:22" ht="15.75" hidden="1" customHeight="1" x14ac:dyDescent="0.25">
      <c r="A399" s="7" t="s">
        <v>43</v>
      </c>
      <c r="B399" s="8">
        <v>8</v>
      </c>
      <c r="C399" s="8" t="s">
        <v>54</v>
      </c>
      <c r="D399" s="9" t="s">
        <v>53</v>
      </c>
      <c r="E399" s="7" t="s">
        <v>25</v>
      </c>
      <c r="F399" s="7" t="s">
        <v>39</v>
      </c>
      <c r="H399" s="7">
        <v>1972</v>
      </c>
      <c r="K399" s="7">
        <v>7</v>
      </c>
      <c r="M399" s="7">
        <v>8</v>
      </c>
      <c r="N399" s="7">
        <v>10</v>
      </c>
      <c r="O399" s="7" t="s">
        <v>29</v>
      </c>
      <c r="T399" s="12"/>
      <c r="V399" t="s">
        <v>29</v>
      </c>
    </row>
    <row r="400" spans="1:22" ht="15.75" hidden="1" customHeight="1" x14ac:dyDescent="0.25">
      <c r="A400" s="7" t="s">
        <v>43</v>
      </c>
      <c r="B400" s="8">
        <v>8</v>
      </c>
      <c r="C400" s="8" t="s">
        <v>54</v>
      </c>
      <c r="D400" s="9" t="s">
        <v>53</v>
      </c>
      <c r="E400" s="7" t="s">
        <v>25</v>
      </c>
      <c r="F400" s="7" t="s">
        <v>39</v>
      </c>
      <c r="H400" s="7">
        <v>1972</v>
      </c>
      <c r="K400" s="7">
        <v>7</v>
      </c>
      <c r="M400" s="7">
        <v>8</v>
      </c>
      <c r="N400" s="7">
        <v>11</v>
      </c>
      <c r="O400" s="7">
        <v>43</v>
      </c>
      <c r="T400" s="12"/>
      <c r="V400" cm="1">
        <f t="array" ref="V400">_xlfn.LET(
_xlpm.x,_xlfn._xlws.FILTER(O400:S400,(O400:S400&lt;&gt;"R")*(O400:S400&lt;&gt;"NA")*(O400:S400&lt;&gt;"W")*(O400:S400&lt;&gt;"")),
IF(COUNTA(_xlpm.x)=0,"NA",IF(MIN(_xlpm.x)=MAX(_xlpm.x),MIN(_xlpm.x),"review"))
)</f>
        <v>43</v>
      </c>
    </row>
    <row r="401" spans="1:22" ht="15.75" hidden="1" customHeight="1" x14ac:dyDescent="0.25">
      <c r="A401" s="7" t="s">
        <v>43</v>
      </c>
      <c r="B401" s="8">
        <v>8</v>
      </c>
      <c r="C401" s="8" t="s">
        <v>54</v>
      </c>
      <c r="D401" s="9" t="s">
        <v>53</v>
      </c>
      <c r="E401" s="7" t="s">
        <v>25</v>
      </c>
      <c r="F401" s="7" t="s">
        <v>39</v>
      </c>
      <c r="H401" s="7">
        <v>1972</v>
      </c>
      <c r="K401" s="7">
        <v>7</v>
      </c>
      <c r="M401" s="7">
        <v>8</v>
      </c>
      <c r="N401" s="7">
        <v>12</v>
      </c>
      <c r="O401" s="7">
        <v>32</v>
      </c>
      <c r="T401" s="12"/>
      <c r="V401" cm="1">
        <f t="array" ref="V401">_xlfn.LET(
_xlpm.x,_xlfn._xlws.FILTER(O401:S401,(O401:S401&lt;&gt;"R")*(O401:S401&lt;&gt;"NA")*(O401:S401&lt;&gt;"W")*(O401:S401&lt;&gt;"")),
IF(COUNTA(_xlpm.x)=0,"NA",IF(MIN(_xlpm.x)=MAX(_xlpm.x),MIN(_xlpm.x),"review"))
)</f>
        <v>32</v>
      </c>
    </row>
    <row r="402" spans="1:22" ht="15.75" hidden="1" customHeight="1" x14ac:dyDescent="0.25">
      <c r="A402" s="7" t="s">
        <v>43</v>
      </c>
      <c r="B402" s="8">
        <v>8</v>
      </c>
      <c r="C402" s="8" t="s">
        <v>54</v>
      </c>
      <c r="D402" s="9" t="s">
        <v>53</v>
      </c>
      <c r="E402" s="7" t="s">
        <v>25</v>
      </c>
      <c r="F402" s="7" t="s">
        <v>39</v>
      </c>
      <c r="H402" s="7">
        <v>1972</v>
      </c>
      <c r="K402" s="7">
        <v>7</v>
      </c>
      <c r="M402" s="7">
        <v>8</v>
      </c>
      <c r="N402" s="7">
        <v>13</v>
      </c>
      <c r="O402" s="7">
        <v>53</v>
      </c>
      <c r="T402" s="12"/>
      <c r="V402" cm="1">
        <f t="array" ref="V402">_xlfn.LET(
_xlpm.x,_xlfn._xlws.FILTER(O402:S402,(O402:S402&lt;&gt;"R")*(O402:S402&lt;&gt;"NA")*(O402:S402&lt;&gt;"W")*(O402:S402&lt;&gt;"")),
IF(COUNTA(_xlpm.x)=0,"NA",IF(MIN(_xlpm.x)=MAX(_xlpm.x),MIN(_xlpm.x),"review"))
)</f>
        <v>53</v>
      </c>
    </row>
    <row r="403" spans="1:22" ht="15.75" hidden="1" customHeight="1" x14ac:dyDescent="0.25">
      <c r="A403" s="7" t="s">
        <v>43</v>
      </c>
      <c r="B403" s="8">
        <v>8</v>
      </c>
      <c r="C403" s="8" t="s">
        <v>54</v>
      </c>
      <c r="D403" s="9" t="s">
        <v>53</v>
      </c>
      <c r="E403" s="7" t="s">
        <v>25</v>
      </c>
      <c r="F403" s="7" t="s">
        <v>39</v>
      </c>
      <c r="H403" s="7">
        <v>1972</v>
      </c>
      <c r="K403" s="7">
        <v>7</v>
      </c>
      <c r="M403" s="7">
        <v>8</v>
      </c>
      <c r="N403" s="7">
        <v>14</v>
      </c>
      <c r="O403" s="7" t="s">
        <v>29</v>
      </c>
      <c r="T403" s="12"/>
      <c r="V403" t="s">
        <v>29</v>
      </c>
    </row>
    <row r="404" spans="1:22" ht="15.75" hidden="1" customHeight="1" x14ac:dyDescent="0.25">
      <c r="A404" s="7" t="s">
        <v>43</v>
      </c>
      <c r="B404" s="8">
        <v>8</v>
      </c>
      <c r="C404" s="8" t="s">
        <v>54</v>
      </c>
      <c r="D404" s="9" t="s">
        <v>53</v>
      </c>
      <c r="E404" s="7" t="s">
        <v>25</v>
      </c>
      <c r="F404" s="7" t="s">
        <v>39</v>
      </c>
      <c r="H404" s="7">
        <v>1972</v>
      </c>
      <c r="K404" s="7">
        <v>7</v>
      </c>
      <c r="M404" s="7">
        <v>8</v>
      </c>
      <c r="N404" s="7">
        <v>15</v>
      </c>
      <c r="O404" s="7" t="s">
        <v>29</v>
      </c>
      <c r="T404" s="12"/>
      <c r="V404" t="s">
        <v>29</v>
      </c>
    </row>
    <row r="405" spans="1:22" ht="15.75" hidden="1" customHeight="1" x14ac:dyDescent="0.25">
      <c r="A405" s="7" t="s">
        <v>43</v>
      </c>
      <c r="B405" s="8">
        <v>8</v>
      </c>
      <c r="C405" s="8" t="s">
        <v>54</v>
      </c>
      <c r="D405" s="9" t="s">
        <v>53</v>
      </c>
      <c r="E405" s="7" t="s">
        <v>25</v>
      </c>
      <c r="F405" s="7" t="s">
        <v>39</v>
      </c>
      <c r="H405" s="7">
        <v>1972</v>
      </c>
      <c r="K405" s="7">
        <v>7</v>
      </c>
      <c r="M405" s="7">
        <v>8</v>
      </c>
      <c r="N405" s="7">
        <v>16</v>
      </c>
      <c r="O405" s="7">
        <v>42</v>
      </c>
      <c r="T405" s="12"/>
      <c r="V405" cm="1">
        <f t="array" ref="V405">_xlfn.LET(
_xlpm.x,_xlfn._xlws.FILTER(O405:S405,(O405:S405&lt;&gt;"R")*(O405:S405&lt;&gt;"NA")*(O405:S405&lt;&gt;"W")*(O405:S405&lt;&gt;"")),
IF(COUNTA(_xlpm.x)=0,"NA",IF(MIN(_xlpm.x)=MAX(_xlpm.x),MIN(_xlpm.x),"review"))
)</f>
        <v>42</v>
      </c>
    </row>
    <row r="406" spans="1:22" ht="15.75" hidden="1" customHeight="1" x14ac:dyDescent="0.25">
      <c r="A406" s="7" t="s">
        <v>43</v>
      </c>
      <c r="B406" s="8">
        <v>8</v>
      </c>
      <c r="C406" s="8" t="s">
        <v>54</v>
      </c>
      <c r="D406" s="9" t="s">
        <v>53</v>
      </c>
      <c r="E406" s="7" t="s">
        <v>25</v>
      </c>
      <c r="F406" s="7" t="s">
        <v>39</v>
      </c>
      <c r="H406" s="7">
        <v>1972</v>
      </c>
      <c r="K406" s="7">
        <v>7</v>
      </c>
      <c r="M406" s="7">
        <v>8</v>
      </c>
      <c r="N406" s="7">
        <v>17</v>
      </c>
      <c r="O406" s="7" t="s">
        <v>28</v>
      </c>
      <c r="T406" s="12"/>
      <c r="V406" t="s">
        <v>29</v>
      </c>
    </row>
    <row r="407" spans="1:22" ht="15.75" hidden="1" customHeight="1" x14ac:dyDescent="0.25">
      <c r="A407" s="7" t="s">
        <v>43</v>
      </c>
      <c r="B407" s="8">
        <v>8</v>
      </c>
      <c r="C407" s="8" t="s">
        <v>54</v>
      </c>
      <c r="D407" s="9" t="s">
        <v>53</v>
      </c>
      <c r="E407" s="7" t="s">
        <v>25</v>
      </c>
      <c r="F407" s="7" t="s">
        <v>39</v>
      </c>
      <c r="H407" s="7">
        <v>1972</v>
      </c>
      <c r="K407" s="7">
        <v>7</v>
      </c>
      <c r="M407" s="7">
        <v>8</v>
      </c>
      <c r="N407" s="7">
        <v>18</v>
      </c>
      <c r="O407" s="7">
        <v>52</v>
      </c>
      <c r="T407" s="12"/>
      <c r="V407" cm="1">
        <f t="array" ref="V407">_xlfn.LET(
_xlpm.x,_xlfn._xlws.FILTER(O407:S407,(O407:S407&lt;&gt;"R")*(O407:S407&lt;&gt;"NA")*(O407:S407&lt;&gt;"W")*(O407:S407&lt;&gt;"")),
IF(COUNTA(_xlpm.x)=0,"NA",IF(MIN(_xlpm.x)=MAX(_xlpm.x),MIN(_xlpm.x),"review"))
)</f>
        <v>52</v>
      </c>
    </row>
    <row r="408" spans="1:22" ht="15.75" hidden="1" customHeight="1" x14ac:dyDescent="0.25">
      <c r="A408" s="7" t="s">
        <v>43</v>
      </c>
      <c r="B408" s="8">
        <v>8</v>
      </c>
      <c r="C408" s="8" t="s">
        <v>54</v>
      </c>
      <c r="D408" s="9" t="s">
        <v>53</v>
      </c>
      <c r="E408" s="7" t="s">
        <v>25</v>
      </c>
      <c r="F408" s="7" t="s">
        <v>39</v>
      </c>
      <c r="H408" s="7">
        <v>1972</v>
      </c>
      <c r="K408" s="7">
        <v>7</v>
      </c>
      <c r="M408" s="7">
        <v>8</v>
      </c>
      <c r="N408" s="7">
        <v>19</v>
      </c>
      <c r="O408" s="7">
        <v>42</v>
      </c>
      <c r="T408" s="12"/>
      <c r="V408" cm="1">
        <f t="array" ref="V408">_xlfn.LET(
_xlpm.x,_xlfn._xlws.FILTER(O408:S408,(O408:S408&lt;&gt;"R")*(O408:S408&lt;&gt;"NA")*(O408:S408&lt;&gt;"W")*(O408:S408&lt;&gt;"")),
IF(COUNTA(_xlpm.x)=0,"NA",IF(MIN(_xlpm.x)=MAX(_xlpm.x),MIN(_xlpm.x),"review"))
)</f>
        <v>42</v>
      </c>
    </row>
    <row r="409" spans="1:22" ht="15.75" hidden="1" customHeight="1" x14ac:dyDescent="0.25">
      <c r="A409" s="7" t="s">
        <v>43</v>
      </c>
      <c r="B409" s="8">
        <v>8</v>
      </c>
      <c r="C409" s="8" t="s">
        <v>54</v>
      </c>
      <c r="D409" s="9" t="s">
        <v>53</v>
      </c>
      <c r="E409" s="7" t="s">
        <v>25</v>
      </c>
      <c r="F409" s="7" t="s">
        <v>39</v>
      </c>
      <c r="H409" s="7">
        <v>1972</v>
      </c>
      <c r="K409" s="7">
        <v>7</v>
      </c>
      <c r="M409" s="7">
        <v>8</v>
      </c>
      <c r="N409" s="7">
        <v>20</v>
      </c>
      <c r="O409" s="7">
        <v>42</v>
      </c>
      <c r="T409" s="12" t="s">
        <v>46</v>
      </c>
      <c r="V409" cm="1">
        <f t="array" ref="V409">_xlfn.LET(
_xlpm.x,_xlfn._xlws.FILTER(O409:S409,(O409:S409&lt;&gt;"R")*(O409:S409&lt;&gt;"NA")*(O409:S409&lt;&gt;"W")*(O409:S409&lt;&gt;"")),
IF(COUNTA(_xlpm.x)=0,"NA",IF(MIN(_xlpm.x)=MAX(_xlpm.x),MIN(_xlpm.x),"review"))
)</f>
        <v>42</v>
      </c>
    </row>
    <row r="410" spans="1:22" ht="15.75" hidden="1" customHeight="1" x14ac:dyDescent="0.25">
      <c r="A410" s="7" t="s">
        <v>43</v>
      </c>
      <c r="B410" s="8">
        <v>8</v>
      </c>
      <c r="C410" s="8" t="s">
        <v>54</v>
      </c>
      <c r="D410" s="9" t="s">
        <v>53</v>
      </c>
      <c r="E410" s="7" t="s">
        <v>25</v>
      </c>
      <c r="F410" s="7" t="s">
        <v>39</v>
      </c>
      <c r="H410" s="7">
        <v>1972</v>
      </c>
      <c r="K410" s="7">
        <v>7</v>
      </c>
      <c r="M410" s="7">
        <v>8</v>
      </c>
      <c r="N410" s="7">
        <v>21</v>
      </c>
      <c r="O410" s="7">
        <v>42</v>
      </c>
      <c r="T410" s="12"/>
      <c r="V410" cm="1">
        <f t="array" ref="V410">_xlfn.LET(
_xlpm.x,_xlfn._xlws.FILTER(O410:S410,(O410:S410&lt;&gt;"R")*(O410:S410&lt;&gt;"NA")*(O410:S410&lt;&gt;"W")*(O410:S410&lt;&gt;"")),
IF(COUNTA(_xlpm.x)=0,"NA",IF(MIN(_xlpm.x)=MAX(_xlpm.x),MIN(_xlpm.x),"review"))
)</f>
        <v>42</v>
      </c>
    </row>
    <row r="411" spans="1:22" ht="15.75" hidden="1" customHeight="1" x14ac:dyDescent="0.25">
      <c r="A411" s="7" t="s">
        <v>43</v>
      </c>
      <c r="B411" s="8">
        <v>8</v>
      </c>
      <c r="C411" s="8" t="s">
        <v>54</v>
      </c>
      <c r="D411" s="9" t="s">
        <v>53</v>
      </c>
      <c r="E411" s="7" t="s">
        <v>25</v>
      </c>
      <c r="F411" s="7" t="s">
        <v>39</v>
      </c>
      <c r="H411" s="7">
        <v>1972</v>
      </c>
      <c r="K411" s="7">
        <v>7</v>
      </c>
      <c r="M411" s="7">
        <v>8</v>
      </c>
      <c r="N411" s="7">
        <v>22</v>
      </c>
      <c r="O411" s="7">
        <v>52</v>
      </c>
      <c r="T411" s="12"/>
      <c r="V411" cm="1">
        <f t="array" ref="V411">_xlfn.LET(
_xlpm.x,_xlfn._xlws.FILTER(O411:S411,(O411:S411&lt;&gt;"R")*(O411:S411&lt;&gt;"NA")*(O411:S411&lt;&gt;"W")*(O411:S411&lt;&gt;"")),
IF(COUNTA(_xlpm.x)=0,"NA",IF(MIN(_xlpm.x)=MAX(_xlpm.x),MIN(_xlpm.x),"review"))
)</f>
        <v>52</v>
      </c>
    </row>
    <row r="412" spans="1:22" ht="15.75" hidden="1" customHeight="1" x14ac:dyDescent="0.25">
      <c r="A412" s="7" t="s">
        <v>43</v>
      </c>
      <c r="B412" s="8">
        <v>8</v>
      </c>
      <c r="C412" s="8" t="s">
        <v>54</v>
      </c>
      <c r="D412" s="9" t="s">
        <v>53</v>
      </c>
      <c r="E412" s="7" t="s">
        <v>25</v>
      </c>
      <c r="F412" s="7" t="s">
        <v>39</v>
      </c>
      <c r="H412" s="7">
        <v>1972</v>
      </c>
      <c r="K412" s="7">
        <v>7</v>
      </c>
      <c r="M412" s="7">
        <v>8</v>
      </c>
      <c r="N412" s="7">
        <v>23</v>
      </c>
      <c r="O412" s="7">
        <v>32</v>
      </c>
      <c r="T412" s="12"/>
      <c r="V412" cm="1">
        <f t="array" ref="V412">_xlfn.LET(
_xlpm.x,_xlfn._xlws.FILTER(O412:S412,(O412:S412&lt;&gt;"R")*(O412:S412&lt;&gt;"NA")*(O412:S412&lt;&gt;"W")*(O412:S412&lt;&gt;"")),
IF(COUNTA(_xlpm.x)=0,"NA",IF(MIN(_xlpm.x)=MAX(_xlpm.x),MIN(_xlpm.x),"review"))
)</f>
        <v>32</v>
      </c>
    </row>
    <row r="413" spans="1:22" ht="15.75" hidden="1" customHeight="1" x14ac:dyDescent="0.25">
      <c r="A413" s="7" t="s">
        <v>43</v>
      </c>
      <c r="B413" s="8">
        <v>8</v>
      </c>
      <c r="C413" s="8" t="s">
        <v>54</v>
      </c>
      <c r="D413" s="9" t="s">
        <v>53</v>
      </c>
      <c r="E413" s="7" t="s">
        <v>25</v>
      </c>
      <c r="F413" s="7" t="s">
        <v>39</v>
      </c>
      <c r="H413" s="7">
        <v>1972</v>
      </c>
      <c r="K413" s="7">
        <v>7</v>
      </c>
      <c r="M413" s="7">
        <v>8</v>
      </c>
      <c r="N413" s="7">
        <v>24</v>
      </c>
      <c r="O413" s="7">
        <v>42</v>
      </c>
      <c r="T413" s="12"/>
      <c r="V413" cm="1">
        <f t="array" ref="V413">_xlfn.LET(
_xlpm.x,_xlfn._xlws.FILTER(O413:S413,(O413:S413&lt;&gt;"R")*(O413:S413&lt;&gt;"NA")*(O413:S413&lt;&gt;"W")*(O413:S413&lt;&gt;"")),
IF(COUNTA(_xlpm.x)=0,"NA",IF(MIN(_xlpm.x)=MAX(_xlpm.x),MIN(_xlpm.x),"review"))
)</f>
        <v>42</v>
      </c>
    </row>
    <row r="414" spans="1:22" ht="15.75" hidden="1" customHeight="1" x14ac:dyDescent="0.25">
      <c r="A414" s="7" t="s">
        <v>43</v>
      </c>
      <c r="B414" s="8">
        <v>8</v>
      </c>
      <c r="C414" s="8" t="s">
        <v>54</v>
      </c>
      <c r="D414" s="9" t="s">
        <v>53</v>
      </c>
      <c r="E414" s="7" t="s">
        <v>25</v>
      </c>
      <c r="F414" s="7" t="s">
        <v>39</v>
      </c>
      <c r="H414" s="7">
        <v>1972</v>
      </c>
      <c r="K414" s="7">
        <v>7</v>
      </c>
      <c r="M414" s="7">
        <v>8</v>
      </c>
      <c r="N414" s="7">
        <v>25</v>
      </c>
      <c r="O414" s="7" t="s">
        <v>29</v>
      </c>
      <c r="T414" s="12"/>
      <c r="V414" t="s">
        <v>29</v>
      </c>
    </row>
    <row r="415" spans="1:22" ht="15.75" hidden="1" customHeight="1" x14ac:dyDescent="0.25">
      <c r="A415" s="7" t="s">
        <v>43</v>
      </c>
      <c r="B415" s="8">
        <v>8</v>
      </c>
      <c r="C415" s="8" t="s">
        <v>54</v>
      </c>
      <c r="D415" s="9" t="s">
        <v>53</v>
      </c>
      <c r="E415" s="7" t="s">
        <v>25</v>
      </c>
      <c r="F415" s="7" t="s">
        <v>39</v>
      </c>
      <c r="H415" s="7">
        <v>1972</v>
      </c>
      <c r="K415" s="7">
        <v>7</v>
      </c>
      <c r="M415" s="7">
        <v>8</v>
      </c>
      <c r="N415" s="7">
        <v>26</v>
      </c>
      <c r="O415" s="7">
        <v>42</v>
      </c>
      <c r="T415" s="12"/>
      <c r="V415" cm="1">
        <f t="array" ref="V415">_xlfn.LET(
_xlpm.x,_xlfn._xlws.FILTER(O415:S415,(O415:S415&lt;&gt;"R")*(O415:S415&lt;&gt;"NA")*(O415:S415&lt;&gt;"W")*(O415:S415&lt;&gt;"")),
IF(COUNTA(_xlpm.x)=0,"NA",IF(MIN(_xlpm.x)=MAX(_xlpm.x),MIN(_xlpm.x),"review"))
)</f>
        <v>42</v>
      </c>
    </row>
    <row r="416" spans="1:22" ht="15.75" hidden="1" customHeight="1" x14ac:dyDescent="0.25">
      <c r="A416" s="7" t="s">
        <v>43</v>
      </c>
      <c r="B416" s="8">
        <v>8</v>
      </c>
      <c r="C416" s="8" t="s">
        <v>54</v>
      </c>
      <c r="D416" s="9" t="s">
        <v>53</v>
      </c>
      <c r="E416" s="7" t="s">
        <v>25</v>
      </c>
      <c r="F416" s="7" t="s">
        <v>39</v>
      </c>
      <c r="H416" s="7">
        <v>1972</v>
      </c>
      <c r="K416" s="7">
        <v>7</v>
      </c>
      <c r="M416" s="7">
        <v>8</v>
      </c>
      <c r="N416" s="7">
        <v>27</v>
      </c>
      <c r="O416" s="7">
        <v>53</v>
      </c>
      <c r="T416" s="12" t="s">
        <v>46</v>
      </c>
      <c r="V416" cm="1">
        <f t="array" ref="V416">_xlfn.LET(
_xlpm.x,_xlfn._xlws.FILTER(O416:S416,(O416:S416&lt;&gt;"R")*(O416:S416&lt;&gt;"NA")*(O416:S416&lt;&gt;"W")*(O416:S416&lt;&gt;"")),
IF(COUNTA(_xlpm.x)=0,"NA",IF(MIN(_xlpm.x)=MAX(_xlpm.x),MIN(_xlpm.x),"review"))
)</f>
        <v>53</v>
      </c>
    </row>
    <row r="417" spans="1:22" ht="15.75" hidden="1" customHeight="1" x14ac:dyDescent="0.25">
      <c r="A417" s="7" t="s">
        <v>43</v>
      </c>
      <c r="B417" s="8">
        <v>8</v>
      </c>
      <c r="C417" s="8" t="s">
        <v>54</v>
      </c>
      <c r="D417" s="9" t="s">
        <v>53</v>
      </c>
      <c r="E417" s="7" t="s">
        <v>25</v>
      </c>
      <c r="F417" s="7" t="s">
        <v>39</v>
      </c>
      <c r="H417" s="7">
        <v>1972</v>
      </c>
      <c r="K417" s="7">
        <v>7</v>
      </c>
      <c r="M417" s="7">
        <v>8</v>
      </c>
      <c r="N417" s="7">
        <v>28</v>
      </c>
      <c r="O417" s="7">
        <v>53</v>
      </c>
      <c r="T417" s="12"/>
      <c r="V417" cm="1">
        <f t="array" ref="V417">_xlfn.LET(
_xlpm.x,_xlfn._xlws.FILTER(O417:S417,(O417:S417&lt;&gt;"R")*(O417:S417&lt;&gt;"NA")*(O417:S417&lt;&gt;"W")*(O417:S417&lt;&gt;"")),
IF(COUNTA(_xlpm.x)=0,"NA",IF(MIN(_xlpm.x)=MAX(_xlpm.x),MIN(_xlpm.x),"review"))
)</f>
        <v>53</v>
      </c>
    </row>
    <row r="418" spans="1:22" ht="15.75" hidden="1" customHeight="1" x14ac:dyDescent="0.25">
      <c r="A418" s="7" t="s">
        <v>43</v>
      </c>
      <c r="B418" s="8">
        <v>8</v>
      </c>
      <c r="C418" s="8" t="s">
        <v>54</v>
      </c>
      <c r="D418" s="9" t="s">
        <v>53</v>
      </c>
      <c r="E418" s="7" t="s">
        <v>25</v>
      </c>
      <c r="F418" s="7" t="s">
        <v>39</v>
      </c>
      <c r="H418" s="7">
        <v>1972</v>
      </c>
      <c r="K418" s="7">
        <v>7</v>
      </c>
      <c r="M418" s="7">
        <v>8</v>
      </c>
      <c r="N418" s="7">
        <v>29</v>
      </c>
      <c r="O418" s="7" t="s">
        <v>28</v>
      </c>
      <c r="T418" s="12"/>
      <c r="V418" t="s">
        <v>29</v>
      </c>
    </row>
    <row r="419" spans="1:22" ht="15.75" hidden="1" customHeight="1" x14ac:dyDescent="0.25">
      <c r="A419" s="7" t="s">
        <v>43</v>
      </c>
      <c r="B419" s="8">
        <v>8</v>
      </c>
      <c r="C419" s="8" t="s">
        <v>54</v>
      </c>
      <c r="D419" s="9" t="s">
        <v>53</v>
      </c>
      <c r="E419" s="7" t="s">
        <v>25</v>
      </c>
      <c r="F419" s="7" t="s">
        <v>39</v>
      </c>
      <c r="H419" s="7">
        <v>1972</v>
      </c>
      <c r="K419" s="7">
        <v>7</v>
      </c>
      <c r="M419" s="7">
        <v>8</v>
      </c>
      <c r="N419" s="7">
        <v>30</v>
      </c>
      <c r="O419" s="7">
        <v>42</v>
      </c>
      <c r="T419" s="12"/>
      <c r="V419" cm="1">
        <f t="array" ref="V419">_xlfn.LET(
_xlpm.x,_xlfn._xlws.FILTER(O419:S419,(O419:S419&lt;&gt;"R")*(O419:S419&lt;&gt;"NA")*(O419:S419&lt;&gt;"W")*(O419:S419&lt;&gt;"")),
IF(COUNTA(_xlpm.x)=0,"NA",IF(MIN(_xlpm.x)=MAX(_xlpm.x),MIN(_xlpm.x),"review"))
)</f>
        <v>42</v>
      </c>
    </row>
    <row r="420" spans="1:22" ht="15.75" hidden="1" customHeight="1" x14ac:dyDescent="0.25">
      <c r="A420" s="7" t="s">
        <v>43</v>
      </c>
      <c r="B420" s="8">
        <v>8</v>
      </c>
      <c r="C420" s="8" t="s">
        <v>54</v>
      </c>
      <c r="D420" s="9" t="s">
        <v>53</v>
      </c>
      <c r="E420" s="7" t="s">
        <v>25</v>
      </c>
      <c r="F420" s="7" t="s">
        <v>39</v>
      </c>
      <c r="H420" s="7">
        <v>1972</v>
      </c>
      <c r="K420" s="7">
        <v>7</v>
      </c>
      <c r="M420" s="7">
        <v>8</v>
      </c>
      <c r="N420" s="7">
        <v>31</v>
      </c>
      <c r="O420" s="7">
        <v>42</v>
      </c>
      <c r="T420" s="12"/>
      <c r="V420" cm="1">
        <f t="array" ref="V420">_xlfn.LET(
_xlpm.x,_xlfn._xlws.FILTER(O420:S420,(O420:S420&lt;&gt;"R")*(O420:S420&lt;&gt;"NA")*(O420:S420&lt;&gt;"W")*(O420:S420&lt;&gt;"")),
IF(COUNTA(_xlpm.x)=0,"NA",IF(MIN(_xlpm.x)=MAX(_xlpm.x),MIN(_xlpm.x),"review"))
)</f>
        <v>42</v>
      </c>
    </row>
    <row r="421" spans="1:22" ht="15.75" hidden="1" customHeight="1" x14ac:dyDescent="0.25">
      <c r="A421" s="7" t="s">
        <v>43</v>
      </c>
      <c r="B421" s="8">
        <v>8</v>
      </c>
      <c r="C421" s="8" t="s">
        <v>54</v>
      </c>
      <c r="D421" s="9" t="s">
        <v>53</v>
      </c>
      <c r="E421" s="7" t="s">
        <v>25</v>
      </c>
      <c r="F421" s="7" t="s">
        <v>39</v>
      </c>
      <c r="H421" s="7">
        <v>1972</v>
      </c>
      <c r="K421" s="7">
        <v>7</v>
      </c>
      <c r="M421" s="7">
        <v>8</v>
      </c>
      <c r="N421" s="7">
        <v>32</v>
      </c>
      <c r="O421" s="7">
        <v>52</v>
      </c>
      <c r="T421" s="12"/>
      <c r="V421" cm="1">
        <f t="array" ref="V421">_xlfn.LET(
_xlpm.x,_xlfn._xlws.FILTER(O421:S421,(O421:S421&lt;&gt;"R")*(O421:S421&lt;&gt;"NA")*(O421:S421&lt;&gt;"W")*(O421:S421&lt;&gt;"")),
IF(COUNTA(_xlpm.x)=0,"NA",IF(MIN(_xlpm.x)=MAX(_xlpm.x),MIN(_xlpm.x),"review"))
)</f>
        <v>52</v>
      </c>
    </row>
    <row r="422" spans="1:22" ht="15.75" hidden="1" customHeight="1" x14ac:dyDescent="0.25">
      <c r="A422" s="7" t="s">
        <v>43</v>
      </c>
      <c r="B422" s="8">
        <v>8</v>
      </c>
      <c r="C422" s="8" t="s">
        <v>54</v>
      </c>
      <c r="D422" s="9" t="s">
        <v>53</v>
      </c>
      <c r="E422" s="7" t="s">
        <v>25</v>
      </c>
      <c r="F422" s="7" t="s">
        <v>39</v>
      </c>
      <c r="H422" s="7">
        <v>1972</v>
      </c>
      <c r="K422" s="7">
        <v>7</v>
      </c>
      <c r="M422" s="7">
        <v>8</v>
      </c>
      <c r="N422" s="7">
        <v>33</v>
      </c>
      <c r="O422" s="7">
        <v>42</v>
      </c>
      <c r="T422" s="12"/>
      <c r="V422" cm="1">
        <f t="array" ref="V422">_xlfn.LET(
_xlpm.x,_xlfn._xlws.FILTER(O422:S422,(O422:S422&lt;&gt;"R")*(O422:S422&lt;&gt;"NA")*(O422:S422&lt;&gt;"W")*(O422:S422&lt;&gt;"")),
IF(COUNTA(_xlpm.x)=0,"NA",IF(MIN(_xlpm.x)=MAX(_xlpm.x),MIN(_xlpm.x),"review"))
)</f>
        <v>42</v>
      </c>
    </row>
    <row r="423" spans="1:22" ht="15.75" hidden="1" customHeight="1" x14ac:dyDescent="0.25">
      <c r="A423" s="7" t="s">
        <v>43</v>
      </c>
      <c r="B423" s="8">
        <v>8</v>
      </c>
      <c r="C423" s="8" t="s">
        <v>54</v>
      </c>
      <c r="D423" s="9" t="s">
        <v>53</v>
      </c>
      <c r="E423" s="7" t="s">
        <v>25</v>
      </c>
      <c r="F423" s="7" t="s">
        <v>39</v>
      </c>
      <c r="H423" s="7">
        <v>1972</v>
      </c>
      <c r="K423" s="7">
        <v>7</v>
      </c>
      <c r="M423" s="7">
        <v>8</v>
      </c>
      <c r="N423" s="7">
        <v>34</v>
      </c>
      <c r="O423" s="7">
        <v>32</v>
      </c>
      <c r="T423" s="12"/>
      <c r="V423" cm="1">
        <f t="array" ref="V423">_xlfn.LET(
_xlpm.x,_xlfn._xlws.FILTER(O423:S423,(O423:S423&lt;&gt;"R")*(O423:S423&lt;&gt;"NA")*(O423:S423&lt;&gt;"W")*(O423:S423&lt;&gt;"")),
IF(COUNTA(_xlpm.x)=0,"NA",IF(MIN(_xlpm.x)=MAX(_xlpm.x),MIN(_xlpm.x),"review"))
)</f>
        <v>32</v>
      </c>
    </row>
    <row r="424" spans="1:22" ht="15.75" hidden="1" customHeight="1" x14ac:dyDescent="0.25">
      <c r="A424" s="7" t="s">
        <v>43</v>
      </c>
      <c r="B424" s="8">
        <v>8</v>
      </c>
      <c r="C424" s="8" t="s">
        <v>54</v>
      </c>
      <c r="D424" s="9" t="s">
        <v>53</v>
      </c>
      <c r="E424" s="7" t="s">
        <v>25</v>
      </c>
      <c r="F424" s="7" t="s">
        <v>39</v>
      </c>
      <c r="H424" s="7">
        <v>1972</v>
      </c>
      <c r="K424" s="7">
        <v>7</v>
      </c>
      <c r="M424" s="7">
        <v>8</v>
      </c>
      <c r="N424" s="7">
        <v>35</v>
      </c>
      <c r="O424" s="7">
        <v>42</v>
      </c>
      <c r="T424" s="12"/>
      <c r="V424" cm="1">
        <f t="array" ref="V424">_xlfn.LET(
_xlpm.x,_xlfn._xlws.FILTER(O424:S424,(O424:S424&lt;&gt;"R")*(O424:S424&lt;&gt;"NA")*(O424:S424&lt;&gt;"W")*(O424:S424&lt;&gt;"")),
IF(COUNTA(_xlpm.x)=0,"NA",IF(MIN(_xlpm.x)=MAX(_xlpm.x),MIN(_xlpm.x),"review"))
)</f>
        <v>42</v>
      </c>
    </row>
    <row r="425" spans="1:22" ht="15.75" hidden="1" customHeight="1" x14ac:dyDescent="0.25">
      <c r="A425" s="7" t="s">
        <v>43</v>
      </c>
      <c r="B425" s="8">
        <v>8</v>
      </c>
      <c r="C425" s="8" t="s">
        <v>54</v>
      </c>
      <c r="D425" s="9" t="s">
        <v>53</v>
      </c>
      <c r="E425" s="7" t="s">
        <v>25</v>
      </c>
      <c r="F425" s="7" t="s">
        <v>39</v>
      </c>
      <c r="H425" s="7">
        <v>1972</v>
      </c>
      <c r="K425" s="7">
        <v>7</v>
      </c>
      <c r="M425" s="7">
        <v>8</v>
      </c>
      <c r="N425" s="7">
        <v>36</v>
      </c>
      <c r="O425" s="7" t="s">
        <v>29</v>
      </c>
      <c r="T425" s="12"/>
      <c r="V425" t="s">
        <v>29</v>
      </c>
    </row>
    <row r="426" spans="1:22" ht="15.75" hidden="1" customHeight="1" x14ac:dyDescent="0.25">
      <c r="A426" s="7" t="s">
        <v>43</v>
      </c>
      <c r="B426" s="8">
        <v>8</v>
      </c>
      <c r="C426" s="8" t="s">
        <v>54</v>
      </c>
      <c r="D426" s="9" t="s">
        <v>53</v>
      </c>
      <c r="E426" s="7" t="s">
        <v>25</v>
      </c>
      <c r="F426" s="7" t="s">
        <v>39</v>
      </c>
      <c r="H426" s="7">
        <v>1972</v>
      </c>
      <c r="K426" s="7">
        <v>7</v>
      </c>
      <c r="M426" s="7">
        <v>8</v>
      </c>
      <c r="N426" s="7">
        <v>37</v>
      </c>
      <c r="O426" s="7">
        <v>42</v>
      </c>
      <c r="T426" s="12" t="s">
        <v>46</v>
      </c>
      <c r="V426" cm="1">
        <f t="array" ref="V426">_xlfn.LET(
_xlpm.x,_xlfn._xlws.FILTER(O426:S426,(O426:S426&lt;&gt;"R")*(O426:S426&lt;&gt;"NA")*(O426:S426&lt;&gt;"W")*(O426:S426&lt;&gt;"")),
IF(COUNTA(_xlpm.x)=0,"NA",IF(MIN(_xlpm.x)=MAX(_xlpm.x),MIN(_xlpm.x),"review"))
)</f>
        <v>42</v>
      </c>
    </row>
    <row r="427" spans="1:22" ht="15.75" hidden="1" customHeight="1" x14ac:dyDescent="0.25">
      <c r="A427" s="7" t="s">
        <v>43</v>
      </c>
      <c r="B427" s="8">
        <v>8</v>
      </c>
      <c r="C427" s="8" t="s">
        <v>54</v>
      </c>
      <c r="D427" s="9" t="s">
        <v>53</v>
      </c>
      <c r="E427" s="7" t="s">
        <v>25</v>
      </c>
      <c r="F427" s="7" t="s">
        <v>39</v>
      </c>
      <c r="H427" s="7">
        <v>1972</v>
      </c>
      <c r="K427" s="7">
        <v>7</v>
      </c>
      <c r="M427" s="7">
        <v>8</v>
      </c>
      <c r="N427" s="7">
        <v>38</v>
      </c>
      <c r="O427" s="7">
        <v>52</v>
      </c>
      <c r="T427" s="12"/>
      <c r="V427" cm="1">
        <f t="array" ref="V427">_xlfn.LET(
_xlpm.x,_xlfn._xlws.FILTER(O427:S427,(O427:S427&lt;&gt;"R")*(O427:S427&lt;&gt;"NA")*(O427:S427&lt;&gt;"W")*(O427:S427&lt;&gt;"")),
IF(COUNTA(_xlpm.x)=0,"NA",IF(MIN(_xlpm.x)=MAX(_xlpm.x),MIN(_xlpm.x),"review"))
)</f>
        <v>52</v>
      </c>
    </row>
    <row r="428" spans="1:22" ht="15.75" hidden="1" customHeight="1" x14ac:dyDescent="0.25">
      <c r="A428" s="7" t="s">
        <v>43</v>
      </c>
      <c r="B428" s="8">
        <v>8</v>
      </c>
      <c r="C428" s="8" t="s">
        <v>54</v>
      </c>
      <c r="D428" s="9" t="s">
        <v>53</v>
      </c>
      <c r="E428" s="7" t="s">
        <v>25</v>
      </c>
      <c r="F428" s="7" t="s">
        <v>39</v>
      </c>
      <c r="H428" s="7">
        <v>1972</v>
      </c>
      <c r="K428" s="7">
        <v>7</v>
      </c>
      <c r="M428" s="7">
        <v>8</v>
      </c>
      <c r="N428" s="7">
        <v>39</v>
      </c>
      <c r="O428" s="7">
        <v>42</v>
      </c>
      <c r="T428" s="12"/>
      <c r="V428" cm="1">
        <f t="array" ref="V428">_xlfn.LET(
_xlpm.x,_xlfn._xlws.FILTER(O428:S428,(O428:S428&lt;&gt;"R")*(O428:S428&lt;&gt;"NA")*(O428:S428&lt;&gt;"W")*(O428:S428&lt;&gt;"")),
IF(COUNTA(_xlpm.x)=0,"NA",IF(MIN(_xlpm.x)=MAX(_xlpm.x),MIN(_xlpm.x),"review"))
)</f>
        <v>42</v>
      </c>
    </row>
    <row r="429" spans="1:22" ht="15.75" hidden="1" customHeight="1" x14ac:dyDescent="0.25">
      <c r="A429" s="7" t="s">
        <v>43</v>
      </c>
      <c r="B429" s="8">
        <v>8</v>
      </c>
      <c r="C429" s="8" t="s">
        <v>54</v>
      </c>
      <c r="D429" s="9" t="s">
        <v>53</v>
      </c>
      <c r="E429" s="7" t="s">
        <v>25</v>
      </c>
      <c r="F429" s="7" t="s">
        <v>39</v>
      </c>
      <c r="H429" s="7">
        <v>1972</v>
      </c>
      <c r="K429" s="7">
        <v>7</v>
      </c>
      <c r="M429" s="7">
        <v>8</v>
      </c>
      <c r="N429" s="7">
        <v>40</v>
      </c>
      <c r="O429" s="7">
        <v>53</v>
      </c>
      <c r="T429" s="12"/>
      <c r="V429" cm="1">
        <f t="array" ref="V429">_xlfn.LET(
_xlpm.x,_xlfn._xlws.FILTER(O429:S429,(O429:S429&lt;&gt;"R")*(O429:S429&lt;&gt;"NA")*(O429:S429&lt;&gt;"W")*(O429:S429&lt;&gt;"")),
IF(COUNTA(_xlpm.x)=0,"NA",IF(MIN(_xlpm.x)=MAX(_xlpm.x),MIN(_xlpm.x),"review"))
)</f>
        <v>53</v>
      </c>
    </row>
    <row r="430" spans="1:22" ht="15.75" hidden="1" customHeight="1" x14ac:dyDescent="0.25">
      <c r="A430" s="7" t="s">
        <v>43</v>
      </c>
      <c r="B430" s="8">
        <v>8</v>
      </c>
      <c r="C430" s="8" t="s">
        <v>54</v>
      </c>
      <c r="D430" s="9" t="s">
        <v>53</v>
      </c>
      <c r="E430" s="7" t="s">
        <v>25</v>
      </c>
      <c r="F430" s="7" t="s">
        <v>39</v>
      </c>
      <c r="H430" s="7">
        <v>1972</v>
      </c>
      <c r="K430" s="7">
        <v>7</v>
      </c>
      <c r="M430" s="7">
        <v>8</v>
      </c>
      <c r="N430" s="7">
        <v>41</v>
      </c>
      <c r="O430" s="7">
        <v>53</v>
      </c>
      <c r="T430" s="12"/>
      <c r="V430" cm="1">
        <f t="array" ref="V430">_xlfn.LET(
_xlpm.x,_xlfn._xlws.FILTER(O430:S430,(O430:S430&lt;&gt;"R")*(O430:S430&lt;&gt;"NA")*(O430:S430&lt;&gt;"W")*(O430:S430&lt;&gt;"")),
IF(COUNTA(_xlpm.x)=0,"NA",IF(MIN(_xlpm.x)=MAX(_xlpm.x),MIN(_xlpm.x),"review"))
)</f>
        <v>53</v>
      </c>
    </row>
    <row r="431" spans="1:22" ht="15.75" hidden="1" customHeight="1" x14ac:dyDescent="0.25">
      <c r="A431" s="7" t="s">
        <v>43</v>
      </c>
      <c r="B431" s="8">
        <v>8</v>
      </c>
      <c r="C431" s="8" t="s">
        <v>54</v>
      </c>
      <c r="D431" s="9" t="s">
        <v>53</v>
      </c>
      <c r="E431" s="7" t="s">
        <v>25</v>
      </c>
      <c r="F431" s="7" t="s">
        <v>39</v>
      </c>
      <c r="H431" s="7">
        <v>1972</v>
      </c>
      <c r="K431" s="7">
        <v>7</v>
      </c>
      <c r="M431" s="7">
        <v>8</v>
      </c>
      <c r="N431" s="7">
        <v>42</v>
      </c>
      <c r="O431" s="7">
        <v>42</v>
      </c>
      <c r="T431" s="12"/>
      <c r="V431" cm="1">
        <f t="array" ref="V431">_xlfn.LET(
_xlpm.x,_xlfn._xlws.FILTER(O431:S431,(O431:S431&lt;&gt;"R")*(O431:S431&lt;&gt;"NA")*(O431:S431&lt;&gt;"W")*(O431:S431&lt;&gt;"")),
IF(COUNTA(_xlpm.x)=0,"NA",IF(MIN(_xlpm.x)=MAX(_xlpm.x),MIN(_xlpm.x),"review"))
)</f>
        <v>42</v>
      </c>
    </row>
    <row r="432" spans="1:22" ht="15.75" hidden="1" customHeight="1" x14ac:dyDescent="0.25">
      <c r="A432" s="7" t="s">
        <v>43</v>
      </c>
      <c r="B432" s="8">
        <v>8</v>
      </c>
      <c r="C432" s="8" t="s">
        <v>54</v>
      </c>
      <c r="D432" s="9" t="s">
        <v>53</v>
      </c>
      <c r="E432" s="7" t="s">
        <v>25</v>
      </c>
      <c r="F432" s="7" t="s">
        <v>39</v>
      </c>
      <c r="H432" s="7">
        <v>1972</v>
      </c>
      <c r="K432" s="7">
        <v>7</v>
      </c>
      <c r="M432" s="7">
        <v>8</v>
      </c>
      <c r="N432" s="7">
        <v>43</v>
      </c>
      <c r="O432" s="7">
        <v>52</v>
      </c>
      <c r="T432" s="12"/>
      <c r="V432" cm="1">
        <f t="array" ref="V432">_xlfn.LET(
_xlpm.x,_xlfn._xlws.FILTER(O432:S432,(O432:S432&lt;&gt;"R")*(O432:S432&lt;&gt;"NA")*(O432:S432&lt;&gt;"W")*(O432:S432&lt;&gt;"")),
IF(COUNTA(_xlpm.x)=0,"NA",IF(MIN(_xlpm.x)=MAX(_xlpm.x),MIN(_xlpm.x),"review"))
)</f>
        <v>52</v>
      </c>
    </row>
    <row r="433" spans="1:22" ht="15.75" hidden="1" customHeight="1" x14ac:dyDescent="0.25">
      <c r="A433" s="7" t="s">
        <v>43</v>
      </c>
      <c r="B433" s="8">
        <v>8</v>
      </c>
      <c r="C433" s="8" t="s">
        <v>54</v>
      </c>
      <c r="D433" s="9" t="s">
        <v>53</v>
      </c>
      <c r="E433" s="7" t="s">
        <v>25</v>
      </c>
      <c r="F433" s="7" t="s">
        <v>39</v>
      </c>
      <c r="H433" s="7">
        <v>1972</v>
      </c>
      <c r="K433" s="7">
        <v>7</v>
      </c>
      <c r="M433" s="7">
        <v>8</v>
      </c>
      <c r="N433" s="7">
        <v>44</v>
      </c>
      <c r="O433" s="7">
        <v>42</v>
      </c>
      <c r="T433" s="12"/>
      <c r="V433" cm="1">
        <f t="array" ref="V433">_xlfn.LET(
_xlpm.x,_xlfn._xlws.FILTER(O433:S433,(O433:S433&lt;&gt;"R")*(O433:S433&lt;&gt;"NA")*(O433:S433&lt;&gt;"W")*(O433:S433&lt;&gt;"")),
IF(COUNTA(_xlpm.x)=0,"NA",IF(MIN(_xlpm.x)=MAX(_xlpm.x),MIN(_xlpm.x),"review"))
)</f>
        <v>42</v>
      </c>
    </row>
    <row r="434" spans="1:22" ht="15.75" hidden="1" customHeight="1" x14ac:dyDescent="0.25">
      <c r="A434" s="7" t="s">
        <v>43</v>
      </c>
      <c r="B434" s="8">
        <v>8</v>
      </c>
      <c r="C434" s="8" t="s">
        <v>54</v>
      </c>
      <c r="D434" s="9" t="s">
        <v>53</v>
      </c>
      <c r="E434" s="7" t="s">
        <v>25</v>
      </c>
      <c r="F434" s="7" t="s">
        <v>39</v>
      </c>
      <c r="H434" s="7">
        <v>1972</v>
      </c>
      <c r="K434" s="7">
        <v>7</v>
      </c>
      <c r="M434" s="7">
        <v>8</v>
      </c>
      <c r="N434" s="7">
        <v>45</v>
      </c>
      <c r="O434" s="7">
        <v>42</v>
      </c>
      <c r="T434" s="12"/>
      <c r="V434" cm="1">
        <f t="array" ref="V434">_xlfn.LET(
_xlpm.x,_xlfn._xlws.FILTER(O434:S434,(O434:S434&lt;&gt;"R")*(O434:S434&lt;&gt;"NA")*(O434:S434&lt;&gt;"W")*(O434:S434&lt;&gt;"")),
IF(COUNTA(_xlpm.x)=0,"NA",IF(MIN(_xlpm.x)=MAX(_xlpm.x),MIN(_xlpm.x),"review"))
)</f>
        <v>42</v>
      </c>
    </row>
    <row r="435" spans="1:22" ht="15.75" hidden="1" customHeight="1" x14ac:dyDescent="0.25">
      <c r="A435" s="7" t="s">
        <v>43</v>
      </c>
      <c r="B435" s="8">
        <v>8</v>
      </c>
      <c r="C435" s="8" t="s">
        <v>54</v>
      </c>
      <c r="D435" s="9" t="s">
        <v>53</v>
      </c>
      <c r="E435" s="7" t="s">
        <v>25</v>
      </c>
      <c r="F435" s="7" t="s">
        <v>39</v>
      </c>
      <c r="H435" s="7">
        <v>1972</v>
      </c>
      <c r="K435" s="7">
        <v>7</v>
      </c>
      <c r="M435" s="7">
        <v>8</v>
      </c>
      <c r="N435" s="7">
        <v>46</v>
      </c>
      <c r="O435" s="7" t="s">
        <v>29</v>
      </c>
      <c r="T435" s="12"/>
      <c r="V435" t="s">
        <v>29</v>
      </c>
    </row>
    <row r="436" spans="1:22" ht="15.75" hidden="1" customHeight="1" x14ac:dyDescent="0.25">
      <c r="A436" s="7" t="s">
        <v>43</v>
      </c>
      <c r="B436" s="8">
        <v>8</v>
      </c>
      <c r="C436" s="8" t="s">
        <v>54</v>
      </c>
      <c r="D436" s="9" t="s">
        <v>53</v>
      </c>
      <c r="E436" s="7" t="s">
        <v>25</v>
      </c>
      <c r="F436" s="7" t="s">
        <v>39</v>
      </c>
      <c r="H436" s="7">
        <v>1972</v>
      </c>
      <c r="K436" s="7">
        <v>7</v>
      </c>
      <c r="M436" s="7">
        <v>8</v>
      </c>
      <c r="N436" s="7">
        <v>47</v>
      </c>
      <c r="O436" s="7" t="s">
        <v>29</v>
      </c>
      <c r="T436" s="12"/>
      <c r="V436" t="s">
        <v>29</v>
      </c>
    </row>
    <row r="437" spans="1:22" ht="15.75" hidden="1" customHeight="1" x14ac:dyDescent="0.25">
      <c r="A437" s="7" t="s">
        <v>43</v>
      </c>
      <c r="B437" s="8">
        <v>8</v>
      </c>
      <c r="C437" s="8" t="s">
        <v>54</v>
      </c>
      <c r="D437" s="9" t="s">
        <v>53</v>
      </c>
      <c r="E437" s="7" t="s">
        <v>25</v>
      </c>
      <c r="F437" s="7" t="s">
        <v>39</v>
      </c>
      <c r="H437" s="7">
        <v>1972</v>
      </c>
      <c r="K437" s="7">
        <v>7</v>
      </c>
      <c r="M437" s="7">
        <v>8</v>
      </c>
      <c r="N437" s="7">
        <v>48</v>
      </c>
      <c r="O437" s="7">
        <v>42</v>
      </c>
      <c r="T437" s="12"/>
      <c r="V437" cm="1">
        <f t="array" ref="V437">_xlfn.LET(
_xlpm.x,_xlfn._xlws.FILTER(O437:S437,(O437:S437&lt;&gt;"R")*(O437:S437&lt;&gt;"NA")*(O437:S437&lt;&gt;"W")*(O437:S437&lt;&gt;"")),
IF(COUNTA(_xlpm.x)=0,"NA",IF(MIN(_xlpm.x)=MAX(_xlpm.x),MIN(_xlpm.x),"review"))
)</f>
        <v>42</v>
      </c>
    </row>
    <row r="438" spans="1:22" ht="15.75" hidden="1" customHeight="1" x14ac:dyDescent="0.25">
      <c r="A438" s="7" t="s">
        <v>43</v>
      </c>
      <c r="B438" s="8">
        <v>8</v>
      </c>
      <c r="C438" s="8" t="s">
        <v>54</v>
      </c>
      <c r="D438" s="9" t="s">
        <v>53</v>
      </c>
      <c r="E438" s="7" t="s">
        <v>25</v>
      </c>
      <c r="F438" s="7" t="s">
        <v>39</v>
      </c>
      <c r="H438" s="7">
        <v>1972</v>
      </c>
      <c r="K438" s="7">
        <v>7</v>
      </c>
      <c r="M438" s="7">
        <v>8</v>
      </c>
      <c r="N438" s="7">
        <v>49</v>
      </c>
      <c r="O438" s="7" t="s">
        <v>28</v>
      </c>
      <c r="T438" s="12"/>
      <c r="V438" t="s">
        <v>29</v>
      </c>
    </row>
    <row r="439" spans="1:22" ht="15.75" hidden="1" customHeight="1" x14ac:dyDescent="0.25">
      <c r="A439" s="7" t="s">
        <v>43</v>
      </c>
      <c r="B439" s="8">
        <v>8</v>
      </c>
      <c r="C439" s="8" t="s">
        <v>54</v>
      </c>
      <c r="D439" s="9" t="s">
        <v>53</v>
      </c>
      <c r="E439" s="7" t="s">
        <v>25</v>
      </c>
      <c r="F439" s="7" t="s">
        <v>39</v>
      </c>
      <c r="H439" s="7">
        <v>1972</v>
      </c>
      <c r="K439" s="7">
        <v>7</v>
      </c>
      <c r="M439" s="7">
        <v>8</v>
      </c>
      <c r="N439" s="7">
        <v>50</v>
      </c>
      <c r="O439" s="7" t="s">
        <v>28</v>
      </c>
      <c r="T439" s="12"/>
      <c r="U439" s="7" t="s">
        <v>56</v>
      </c>
      <c r="V439" t="s">
        <v>29</v>
      </c>
    </row>
    <row r="440" spans="1:22" ht="15.75" hidden="1" customHeight="1" x14ac:dyDescent="0.25">
      <c r="A440" s="7" t="s">
        <v>43</v>
      </c>
      <c r="B440" s="8">
        <v>8</v>
      </c>
      <c r="C440" s="8" t="s">
        <v>54</v>
      </c>
      <c r="D440" s="9" t="s">
        <v>53</v>
      </c>
      <c r="E440" s="7" t="s">
        <v>25</v>
      </c>
      <c r="F440" s="7" t="s">
        <v>39</v>
      </c>
      <c r="H440" s="7">
        <v>1972</v>
      </c>
      <c r="I440" s="7">
        <v>15</v>
      </c>
      <c r="K440" s="7">
        <v>7</v>
      </c>
      <c r="M440" s="7">
        <v>9</v>
      </c>
      <c r="N440" s="7">
        <v>1</v>
      </c>
      <c r="O440" s="7" t="s">
        <v>28</v>
      </c>
      <c r="T440" s="12"/>
      <c r="V440" t="s">
        <v>29</v>
      </c>
    </row>
    <row r="441" spans="1:22" ht="15.75" hidden="1" customHeight="1" x14ac:dyDescent="0.25">
      <c r="A441" s="7" t="s">
        <v>43</v>
      </c>
      <c r="B441" s="8">
        <v>8</v>
      </c>
      <c r="C441" s="8" t="s">
        <v>52</v>
      </c>
      <c r="D441" s="9" t="s">
        <v>53</v>
      </c>
      <c r="E441" s="7" t="s">
        <v>25</v>
      </c>
      <c r="F441" s="7" t="s">
        <v>39</v>
      </c>
      <c r="H441" s="7">
        <v>1972</v>
      </c>
      <c r="I441" s="7">
        <v>15</v>
      </c>
      <c r="K441" s="7">
        <v>7</v>
      </c>
      <c r="M441" s="7">
        <v>9</v>
      </c>
      <c r="N441" s="7">
        <v>2</v>
      </c>
      <c r="O441" s="7">
        <v>32</v>
      </c>
      <c r="T441" s="12"/>
      <c r="V441" cm="1">
        <f t="array" ref="V441">_xlfn.LET(
_xlpm.x,_xlfn._xlws.FILTER(O441:S441,(O441:S441&lt;&gt;"R")*(O441:S441&lt;&gt;"NA")*(O441:S441&lt;&gt;"W")*(O441:S441&lt;&gt;"")),
IF(COUNTA(_xlpm.x)=0,"NA",IF(MIN(_xlpm.x)=MAX(_xlpm.x),MIN(_xlpm.x),"review"))
)</f>
        <v>32</v>
      </c>
    </row>
    <row r="442" spans="1:22" ht="15.75" hidden="1" customHeight="1" x14ac:dyDescent="0.25">
      <c r="A442" s="7" t="s">
        <v>43</v>
      </c>
      <c r="B442" s="8">
        <v>8</v>
      </c>
      <c r="C442" s="8" t="s">
        <v>54</v>
      </c>
      <c r="D442" s="9" t="s">
        <v>53</v>
      </c>
      <c r="E442" s="7" t="s">
        <v>25</v>
      </c>
      <c r="F442" s="7" t="s">
        <v>39</v>
      </c>
      <c r="H442" s="7">
        <v>1972</v>
      </c>
      <c r="I442" s="7">
        <v>15</v>
      </c>
      <c r="K442" s="7">
        <v>7</v>
      </c>
      <c r="M442" s="7">
        <v>9</v>
      </c>
      <c r="N442" s="7">
        <v>3</v>
      </c>
      <c r="O442" s="7" t="s">
        <v>29</v>
      </c>
      <c r="T442" s="12" t="s">
        <v>44</v>
      </c>
      <c r="V442" t="s">
        <v>29</v>
      </c>
    </row>
    <row r="443" spans="1:22" ht="15.75" hidden="1" customHeight="1" x14ac:dyDescent="0.25">
      <c r="A443" s="7" t="s">
        <v>43</v>
      </c>
      <c r="B443" s="8">
        <v>8</v>
      </c>
      <c r="C443" s="8" t="s">
        <v>52</v>
      </c>
      <c r="D443" s="9" t="s">
        <v>53</v>
      </c>
      <c r="E443" s="7" t="s">
        <v>25</v>
      </c>
      <c r="F443" s="7" t="s">
        <v>39</v>
      </c>
      <c r="H443" s="7">
        <v>1972</v>
      </c>
      <c r="I443" s="7">
        <v>15</v>
      </c>
      <c r="K443" s="7">
        <v>7</v>
      </c>
      <c r="M443" s="7">
        <v>9</v>
      </c>
      <c r="N443" s="7">
        <v>4</v>
      </c>
      <c r="O443" s="7">
        <v>42</v>
      </c>
      <c r="V443" cm="1">
        <f t="array" ref="V443">_xlfn.LET(
_xlpm.x,_xlfn._xlws.FILTER(O443:S443,(O443:S443&lt;&gt;"R")*(O443:S443&lt;&gt;"NA")*(O443:S443&lt;&gt;"W")*(O443:S443&lt;&gt;"")),
IF(COUNTA(_xlpm.x)=0,"NA",IF(MIN(_xlpm.x)=MAX(_xlpm.x),MIN(_xlpm.x),"review"))
)</f>
        <v>42</v>
      </c>
    </row>
    <row r="444" spans="1:22" ht="15.75" hidden="1" customHeight="1" x14ac:dyDescent="0.25">
      <c r="A444" s="7" t="s">
        <v>43</v>
      </c>
      <c r="B444" s="8">
        <v>8</v>
      </c>
      <c r="C444" s="8" t="s">
        <v>54</v>
      </c>
      <c r="D444" s="9" t="s">
        <v>53</v>
      </c>
      <c r="E444" s="7" t="s">
        <v>25</v>
      </c>
      <c r="F444" s="7" t="s">
        <v>39</v>
      </c>
      <c r="H444" s="7">
        <v>1972</v>
      </c>
      <c r="I444" s="7">
        <v>15</v>
      </c>
      <c r="K444" s="7">
        <v>7</v>
      </c>
      <c r="M444" s="7">
        <v>9</v>
      </c>
      <c r="N444" s="7">
        <v>5</v>
      </c>
      <c r="O444" s="7" t="s">
        <v>28</v>
      </c>
      <c r="T444" s="12"/>
      <c r="V444" t="s">
        <v>29</v>
      </c>
    </row>
    <row r="445" spans="1:22" ht="15.75" hidden="1" customHeight="1" x14ac:dyDescent="0.25">
      <c r="A445" s="7" t="s">
        <v>43</v>
      </c>
      <c r="B445" s="8">
        <v>8</v>
      </c>
      <c r="C445" s="8" t="s">
        <v>52</v>
      </c>
      <c r="D445" s="9" t="s">
        <v>53</v>
      </c>
      <c r="E445" s="7" t="s">
        <v>25</v>
      </c>
      <c r="F445" s="7" t="s">
        <v>39</v>
      </c>
      <c r="H445" s="7">
        <v>1972</v>
      </c>
      <c r="I445" s="7">
        <v>15</v>
      </c>
      <c r="K445" s="7">
        <v>7</v>
      </c>
      <c r="M445" s="7">
        <v>9</v>
      </c>
      <c r="N445" s="7">
        <v>6</v>
      </c>
      <c r="O445" s="7">
        <v>42</v>
      </c>
      <c r="T445" s="12"/>
      <c r="V445" cm="1">
        <f t="array" ref="V445">_xlfn.LET(
_xlpm.x,_xlfn._xlws.FILTER(O445:S445,(O445:S445&lt;&gt;"R")*(O445:S445&lt;&gt;"NA")*(O445:S445&lt;&gt;"W")*(O445:S445&lt;&gt;"")),
IF(COUNTA(_xlpm.x)=0,"NA",IF(MIN(_xlpm.x)=MAX(_xlpm.x),MIN(_xlpm.x),"review"))
)</f>
        <v>42</v>
      </c>
    </row>
    <row r="446" spans="1:22" ht="15.75" hidden="1" customHeight="1" x14ac:dyDescent="0.25">
      <c r="A446" s="7" t="s">
        <v>43</v>
      </c>
      <c r="B446" s="8">
        <v>8</v>
      </c>
      <c r="C446" s="8" t="s">
        <v>54</v>
      </c>
      <c r="D446" s="9" t="s">
        <v>53</v>
      </c>
      <c r="E446" s="7" t="s">
        <v>25</v>
      </c>
      <c r="F446" s="7" t="s">
        <v>39</v>
      </c>
      <c r="H446" s="7">
        <v>1972</v>
      </c>
      <c r="I446" s="7">
        <v>15</v>
      </c>
      <c r="K446" s="7">
        <v>7</v>
      </c>
      <c r="M446" s="7">
        <v>9</v>
      </c>
      <c r="N446" s="7">
        <v>7</v>
      </c>
      <c r="O446" s="7" t="s">
        <v>29</v>
      </c>
      <c r="T446" s="12" t="s">
        <v>44</v>
      </c>
      <c r="V446" t="s">
        <v>29</v>
      </c>
    </row>
    <row r="447" spans="1:22" ht="15.75" hidden="1" customHeight="1" x14ac:dyDescent="0.25">
      <c r="A447" s="7" t="s">
        <v>43</v>
      </c>
      <c r="B447" s="8">
        <v>8</v>
      </c>
      <c r="C447" s="8" t="s">
        <v>52</v>
      </c>
      <c r="D447" s="9" t="s">
        <v>53</v>
      </c>
      <c r="E447" s="7" t="s">
        <v>25</v>
      </c>
      <c r="F447" s="7" t="s">
        <v>39</v>
      </c>
      <c r="H447" s="7">
        <v>1972</v>
      </c>
      <c r="I447" s="7">
        <v>15</v>
      </c>
      <c r="K447" s="7">
        <v>7</v>
      </c>
      <c r="M447" s="7">
        <v>9</v>
      </c>
      <c r="N447" s="7">
        <v>8</v>
      </c>
      <c r="O447" s="7">
        <v>53</v>
      </c>
      <c r="T447" s="12"/>
      <c r="V447" cm="1">
        <f t="array" ref="V447">_xlfn.LET(
_xlpm.x,_xlfn._xlws.FILTER(O447:S447,(O447:S447&lt;&gt;"R")*(O447:S447&lt;&gt;"NA")*(O447:S447&lt;&gt;"W")*(O447:S447&lt;&gt;"")),
IF(COUNTA(_xlpm.x)=0,"NA",IF(MIN(_xlpm.x)=MAX(_xlpm.x),MIN(_xlpm.x),"review"))
)</f>
        <v>53</v>
      </c>
    </row>
    <row r="448" spans="1:22" ht="15.75" hidden="1" customHeight="1" x14ac:dyDescent="0.25">
      <c r="A448" s="7" t="s">
        <v>43</v>
      </c>
      <c r="B448" s="8">
        <v>8</v>
      </c>
      <c r="C448" s="8" t="s">
        <v>54</v>
      </c>
      <c r="D448" s="9" t="s">
        <v>53</v>
      </c>
      <c r="E448" s="7" t="s">
        <v>25</v>
      </c>
      <c r="F448" s="7" t="s">
        <v>39</v>
      </c>
      <c r="H448" s="7">
        <v>1972</v>
      </c>
      <c r="I448" s="7">
        <v>15</v>
      </c>
      <c r="K448" s="7">
        <v>7</v>
      </c>
      <c r="M448" s="7">
        <v>9</v>
      </c>
      <c r="N448" s="7">
        <v>9</v>
      </c>
      <c r="O448" s="7">
        <v>52</v>
      </c>
      <c r="T448" s="12"/>
      <c r="V448" cm="1">
        <f t="array" ref="V448">_xlfn.LET(
_xlpm.x,_xlfn._xlws.FILTER(O448:S448,(O448:S448&lt;&gt;"R")*(O448:S448&lt;&gt;"NA")*(O448:S448&lt;&gt;"W")*(O448:S448&lt;&gt;"")),
IF(COUNTA(_xlpm.x)=0,"NA",IF(MIN(_xlpm.x)=MAX(_xlpm.x),MIN(_xlpm.x),"review"))
)</f>
        <v>52</v>
      </c>
    </row>
    <row r="449" spans="1:22" ht="15.75" hidden="1" customHeight="1" x14ac:dyDescent="0.25">
      <c r="A449" s="7" t="s">
        <v>43</v>
      </c>
      <c r="B449" s="8">
        <v>8</v>
      </c>
      <c r="C449" s="8" t="s">
        <v>52</v>
      </c>
      <c r="D449" s="9" t="s">
        <v>53</v>
      </c>
      <c r="E449" s="7" t="s">
        <v>25</v>
      </c>
      <c r="F449" s="7" t="s">
        <v>39</v>
      </c>
      <c r="H449" s="7">
        <v>1972</v>
      </c>
      <c r="I449" s="7">
        <v>15</v>
      </c>
      <c r="K449" s="7">
        <v>7</v>
      </c>
      <c r="M449" s="7">
        <v>9</v>
      </c>
      <c r="N449" s="7">
        <v>10</v>
      </c>
      <c r="O449" s="7" t="s">
        <v>29</v>
      </c>
      <c r="T449" s="12" t="s">
        <v>44</v>
      </c>
      <c r="V449" t="s">
        <v>29</v>
      </c>
    </row>
    <row r="450" spans="1:22" ht="15.75" hidden="1" customHeight="1" x14ac:dyDescent="0.25">
      <c r="A450" s="7" t="s">
        <v>43</v>
      </c>
      <c r="B450" s="8">
        <v>8</v>
      </c>
      <c r="C450" s="8" t="s">
        <v>54</v>
      </c>
      <c r="D450" s="9" t="s">
        <v>53</v>
      </c>
      <c r="E450" s="7" t="s">
        <v>25</v>
      </c>
      <c r="F450" s="7" t="s">
        <v>39</v>
      </c>
      <c r="H450" s="7">
        <v>1972</v>
      </c>
      <c r="I450" s="7">
        <v>15</v>
      </c>
      <c r="K450" s="7">
        <v>7</v>
      </c>
      <c r="M450" s="7">
        <v>9</v>
      </c>
      <c r="N450" s="7">
        <v>11</v>
      </c>
      <c r="O450" s="7" t="s">
        <v>28</v>
      </c>
      <c r="T450" s="12"/>
      <c r="V450" t="s">
        <v>29</v>
      </c>
    </row>
    <row r="451" spans="1:22" ht="15.75" hidden="1" customHeight="1" x14ac:dyDescent="0.25">
      <c r="A451" s="7" t="s">
        <v>43</v>
      </c>
      <c r="B451" s="8">
        <v>8</v>
      </c>
      <c r="C451" s="8" t="s">
        <v>52</v>
      </c>
      <c r="D451" s="9" t="s">
        <v>53</v>
      </c>
      <c r="E451" s="7" t="s">
        <v>25</v>
      </c>
      <c r="F451" s="7" t="s">
        <v>39</v>
      </c>
      <c r="H451" s="7">
        <v>1972</v>
      </c>
      <c r="I451" s="7">
        <v>15</v>
      </c>
      <c r="K451" s="7">
        <v>7</v>
      </c>
      <c r="M451" s="7">
        <v>9</v>
      </c>
      <c r="N451" s="7">
        <v>12</v>
      </c>
      <c r="O451" s="7">
        <v>42</v>
      </c>
      <c r="T451" s="12"/>
      <c r="V451" cm="1">
        <f t="array" ref="V451">_xlfn.LET(
_xlpm.x,_xlfn._xlws.FILTER(O451:S451,(O451:S451&lt;&gt;"R")*(O451:S451&lt;&gt;"NA")*(O451:S451&lt;&gt;"W")*(O451:S451&lt;&gt;"")),
IF(COUNTA(_xlpm.x)=0,"NA",IF(MIN(_xlpm.x)=MAX(_xlpm.x),MIN(_xlpm.x),"review"))
)</f>
        <v>42</v>
      </c>
    </row>
    <row r="452" spans="1:22" ht="15.75" hidden="1" customHeight="1" x14ac:dyDescent="0.25">
      <c r="A452" s="7" t="s">
        <v>43</v>
      </c>
      <c r="B452" s="8">
        <v>8</v>
      </c>
      <c r="C452" s="8" t="s">
        <v>54</v>
      </c>
      <c r="D452" s="9" t="s">
        <v>53</v>
      </c>
      <c r="E452" s="7" t="s">
        <v>25</v>
      </c>
      <c r="F452" s="7" t="s">
        <v>39</v>
      </c>
      <c r="H452" s="7">
        <v>1972</v>
      </c>
      <c r="I452" s="7">
        <v>15</v>
      </c>
      <c r="K452" s="7">
        <v>7</v>
      </c>
      <c r="M452" s="7">
        <v>9</v>
      </c>
      <c r="N452" s="7">
        <v>13</v>
      </c>
      <c r="O452" s="7" t="s">
        <v>29</v>
      </c>
      <c r="T452" s="12" t="s">
        <v>44</v>
      </c>
      <c r="V452" t="s">
        <v>29</v>
      </c>
    </row>
    <row r="453" spans="1:22" ht="15.75" hidden="1" customHeight="1" x14ac:dyDescent="0.25">
      <c r="A453" s="7" t="s">
        <v>43</v>
      </c>
      <c r="B453" s="8">
        <v>8</v>
      </c>
      <c r="C453" s="8" t="s">
        <v>52</v>
      </c>
      <c r="D453" s="9" t="s">
        <v>53</v>
      </c>
      <c r="E453" s="7" t="s">
        <v>25</v>
      </c>
      <c r="F453" s="7" t="s">
        <v>39</v>
      </c>
      <c r="H453" s="7">
        <v>1972</v>
      </c>
      <c r="I453" s="7">
        <v>15</v>
      </c>
      <c r="K453" s="7">
        <v>7</v>
      </c>
      <c r="M453" s="7">
        <v>9</v>
      </c>
      <c r="N453" s="7">
        <v>14</v>
      </c>
      <c r="O453" s="7">
        <v>53</v>
      </c>
      <c r="T453" s="12"/>
      <c r="V453" cm="1">
        <f t="array" ref="V453">_xlfn.LET(
_xlpm.x,_xlfn._xlws.FILTER(O453:S453,(O453:S453&lt;&gt;"R")*(O453:S453&lt;&gt;"NA")*(O453:S453&lt;&gt;"W")*(O453:S453&lt;&gt;"")),
IF(COUNTA(_xlpm.x)=0,"NA",IF(MIN(_xlpm.x)=MAX(_xlpm.x),MIN(_xlpm.x),"review"))
)</f>
        <v>53</v>
      </c>
    </row>
    <row r="454" spans="1:22" ht="15.75" hidden="1" customHeight="1" x14ac:dyDescent="0.25">
      <c r="A454" s="7" t="s">
        <v>43</v>
      </c>
      <c r="B454" s="8">
        <v>8</v>
      </c>
      <c r="C454" s="8" t="s">
        <v>54</v>
      </c>
      <c r="D454" s="9" t="s">
        <v>53</v>
      </c>
      <c r="E454" s="7" t="s">
        <v>25</v>
      </c>
      <c r="F454" s="7" t="s">
        <v>39</v>
      </c>
      <c r="H454" s="7">
        <v>1972</v>
      </c>
      <c r="I454" s="7">
        <v>15</v>
      </c>
      <c r="K454" s="7">
        <v>7</v>
      </c>
      <c r="M454" s="7">
        <v>9</v>
      </c>
      <c r="N454" s="7">
        <v>15</v>
      </c>
      <c r="O454" s="7">
        <v>53</v>
      </c>
      <c r="T454" s="12"/>
      <c r="V454" cm="1">
        <f t="array" ref="V454">_xlfn.LET(
_xlpm.x,_xlfn._xlws.FILTER(O454:S454,(O454:S454&lt;&gt;"R")*(O454:S454&lt;&gt;"NA")*(O454:S454&lt;&gt;"W")*(O454:S454&lt;&gt;"")),
IF(COUNTA(_xlpm.x)=0,"NA",IF(MIN(_xlpm.x)=MAX(_xlpm.x),MIN(_xlpm.x),"review"))
)</f>
        <v>53</v>
      </c>
    </row>
    <row r="455" spans="1:22" ht="15.75" hidden="1" customHeight="1" x14ac:dyDescent="0.25">
      <c r="A455" s="7" t="s">
        <v>43</v>
      </c>
      <c r="B455" s="8">
        <v>8</v>
      </c>
      <c r="C455" s="8" t="s">
        <v>52</v>
      </c>
      <c r="D455" s="9" t="s">
        <v>53</v>
      </c>
      <c r="E455" s="7" t="s">
        <v>25</v>
      </c>
      <c r="F455" s="7" t="s">
        <v>39</v>
      </c>
      <c r="H455" s="7">
        <v>1972</v>
      </c>
      <c r="I455" s="7">
        <v>15</v>
      </c>
      <c r="K455" s="7">
        <v>7</v>
      </c>
      <c r="M455" s="7">
        <v>9</v>
      </c>
      <c r="N455" s="7">
        <v>16</v>
      </c>
      <c r="O455" s="7">
        <v>32</v>
      </c>
      <c r="T455" s="12"/>
      <c r="V455" cm="1">
        <f t="array" ref="V455">_xlfn.LET(
_xlpm.x,_xlfn._xlws.FILTER(O455:S455,(O455:S455&lt;&gt;"R")*(O455:S455&lt;&gt;"NA")*(O455:S455&lt;&gt;"W")*(O455:S455&lt;&gt;"")),
IF(COUNTA(_xlpm.x)=0,"NA",IF(MIN(_xlpm.x)=MAX(_xlpm.x),MIN(_xlpm.x),"review"))
)</f>
        <v>32</v>
      </c>
    </row>
    <row r="456" spans="1:22" ht="15.75" hidden="1" customHeight="1" x14ac:dyDescent="0.25">
      <c r="A456" s="7" t="s">
        <v>43</v>
      </c>
      <c r="B456" s="8">
        <v>8</v>
      </c>
      <c r="C456" s="8" t="s">
        <v>54</v>
      </c>
      <c r="D456" s="9" t="s">
        <v>53</v>
      </c>
      <c r="E456" s="7" t="s">
        <v>25</v>
      </c>
      <c r="F456" s="7" t="s">
        <v>39</v>
      </c>
      <c r="H456" s="7">
        <v>1972</v>
      </c>
      <c r="I456" s="7">
        <v>15</v>
      </c>
      <c r="K456" s="7">
        <v>7</v>
      </c>
      <c r="M456" s="7">
        <v>9</v>
      </c>
      <c r="N456" s="7">
        <v>17</v>
      </c>
      <c r="O456" s="7">
        <v>53</v>
      </c>
      <c r="T456" s="12"/>
      <c r="V456" cm="1">
        <f t="array" ref="V456">_xlfn.LET(
_xlpm.x,_xlfn._xlws.FILTER(O456:S456,(O456:S456&lt;&gt;"R")*(O456:S456&lt;&gt;"NA")*(O456:S456&lt;&gt;"W")*(O456:S456&lt;&gt;"")),
IF(COUNTA(_xlpm.x)=0,"NA",IF(MIN(_xlpm.x)=MAX(_xlpm.x),MIN(_xlpm.x),"review"))
)</f>
        <v>53</v>
      </c>
    </row>
    <row r="457" spans="1:22" ht="15.75" hidden="1" customHeight="1" x14ac:dyDescent="0.25">
      <c r="A457" s="7" t="s">
        <v>43</v>
      </c>
      <c r="B457" s="8">
        <v>8</v>
      </c>
      <c r="C457" s="8" t="s">
        <v>52</v>
      </c>
      <c r="D457" s="9" t="s">
        <v>53</v>
      </c>
      <c r="E457" s="7" t="s">
        <v>25</v>
      </c>
      <c r="F457" s="7" t="s">
        <v>39</v>
      </c>
      <c r="H457" s="7">
        <v>1972</v>
      </c>
      <c r="I457" s="7">
        <v>15</v>
      </c>
      <c r="K457" s="7">
        <v>7</v>
      </c>
      <c r="M457" s="7">
        <v>9</v>
      </c>
      <c r="N457" s="7">
        <v>18</v>
      </c>
      <c r="O457" s="7">
        <v>42</v>
      </c>
      <c r="T457" s="12"/>
      <c r="V457" cm="1">
        <f t="array" ref="V457">_xlfn.LET(
_xlpm.x,_xlfn._xlws.FILTER(O457:S457,(O457:S457&lt;&gt;"R")*(O457:S457&lt;&gt;"NA")*(O457:S457&lt;&gt;"W")*(O457:S457&lt;&gt;"")),
IF(COUNTA(_xlpm.x)=0,"NA",IF(MIN(_xlpm.x)=MAX(_xlpm.x),MIN(_xlpm.x),"review"))
)</f>
        <v>42</v>
      </c>
    </row>
    <row r="458" spans="1:22" ht="15.75" hidden="1" customHeight="1" x14ac:dyDescent="0.25">
      <c r="A458" s="7" t="s">
        <v>43</v>
      </c>
      <c r="B458" s="8">
        <v>8</v>
      </c>
      <c r="C458" s="8" t="s">
        <v>54</v>
      </c>
      <c r="D458" s="9" t="s">
        <v>53</v>
      </c>
      <c r="E458" s="7" t="s">
        <v>25</v>
      </c>
      <c r="F458" s="7" t="s">
        <v>39</v>
      </c>
      <c r="H458" s="7">
        <v>1972</v>
      </c>
      <c r="I458" s="7">
        <v>15</v>
      </c>
      <c r="K458" s="7">
        <v>7</v>
      </c>
      <c r="M458" s="7">
        <v>9</v>
      </c>
      <c r="N458" s="7">
        <v>19</v>
      </c>
      <c r="O458" s="7">
        <v>42</v>
      </c>
      <c r="T458" s="12"/>
      <c r="V458" cm="1">
        <f t="array" ref="V458">_xlfn.LET(
_xlpm.x,_xlfn._xlws.FILTER(O458:S458,(O458:S458&lt;&gt;"R")*(O458:S458&lt;&gt;"NA")*(O458:S458&lt;&gt;"W")*(O458:S458&lt;&gt;"")),
IF(COUNTA(_xlpm.x)=0,"NA",IF(MIN(_xlpm.x)=MAX(_xlpm.x),MIN(_xlpm.x),"review"))
)</f>
        <v>42</v>
      </c>
    </row>
    <row r="459" spans="1:22" ht="15.75" hidden="1" customHeight="1" x14ac:dyDescent="0.25">
      <c r="A459" s="7" t="s">
        <v>43</v>
      </c>
      <c r="B459" s="8">
        <v>8</v>
      </c>
      <c r="C459" s="8" t="s">
        <v>52</v>
      </c>
      <c r="D459" s="9" t="s">
        <v>53</v>
      </c>
      <c r="E459" s="7" t="s">
        <v>25</v>
      </c>
      <c r="F459" s="7" t="s">
        <v>39</v>
      </c>
      <c r="H459" s="7">
        <v>1972</v>
      </c>
      <c r="I459" s="7">
        <v>15</v>
      </c>
      <c r="K459" s="7">
        <v>7</v>
      </c>
      <c r="M459" s="7">
        <v>9</v>
      </c>
      <c r="N459" s="7">
        <v>20</v>
      </c>
      <c r="O459" s="7">
        <v>42</v>
      </c>
      <c r="T459" s="12"/>
      <c r="V459" cm="1">
        <f t="array" ref="V459">_xlfn.LET(
_xlpm.x,_xlfn._xlws.FILTER(O459:S459,(O459:S459&lt;&gt;"R")*(O459:S459&lt;&gt;"NA")*(O459:S459&lt;&gt;"W")*(O459:S459&lt;&gt;"")),
IF(COUNTA(_xlpm.x)=0,"NA",IF(MIN(_xlpm.x)=MAX(_xlpm.x),MIN(_xlpm.x),"review"))
)</f>
        <v>42</v>
      </c>
    </row>
    <row r="460" spans="1:22" ht="15.75" hidden="1" customHeight="1" x14ac:dyDescent="0.25">
      <c r="A460" s="7" t="s">
        <v>43</v>
      </c>
      <c r="B460" s="8">
        <v>8</v>
      </c>
      <c r="C460" s="8" t="s">
        <v>54</v>
      </c>
      <c r="D460" s="9" t="s">
        <v>53</v>
      </c>
      <c r="E460" s="7" t="s">
        <v>25</v>
      </c>
      <c r="F460" s="7" t="s">
        <v>39</v>
      </c>
      <c r="H460" s="7">
        <v>1972</v>
      </c>
      <c r="I460" s="7">
        <v>15</v>
      </c>
      <c r="K460" s="7">
        <v>7</v>
      </c>
      <c r="M460" s="7">
        <v>9</v>
      </c>
      <c r="N460" s="7">
        <v>21</v>
      </c>
      <c r="O460" s="7">
        <v>52</v>
      </c>
      <c r="T460" s="12"/>
      <c r="V460" cm="1">
        <f t="array" ref="V460">_xlfn.LET(
_xlpm.x,_xlfn._xlws.FILTER(O460:S460,(O460:S460&lt;&gt;"R")*(O460:S460&lt;&gt;"NA")*(O460:S460&lt;&gt;"W")*(O460:S460&lt;&gt;"")),
IF(COUNTA(_xlpm.x)=0,"NA",IF(MIN(_xlpm.x)=MAX(_xlpm.x),MIN(_xlpm.x),"review"))
)</f>
        <v>52</v>
      </c>
    </row>
    <row r="461" spans="1:22" ht="15.75" hidden="1" customHeight="1" x14ac:dyDescent="0.25">
      <c r="A461" s="7" t="s">
        <v>43</v>
      </c>
      <c r="B461" s="8">
        <v>8</v>
      </c>
      <c r="C461" s="8" t="s">
        <v>52</v>
      </c>
      <c r="D461" s="9" t="s">
        <v>53</v>
      </c>
      <c r="E461" s="7" t="s">
        <v>25</v>
      </c>
      <c r="F461" s="7" t="s">
        <v>39</v>
      </c>
      <c r="H461" s="7">
        <v>1972</v>
      </c>
      <c r="I461" s="7">
        <v>15</v>
      </c>
      <c r="K461" s="7">
        <v>7</v>
      </c>
      <c r="M461" s="7">
        <v>9</v>
      </c>
      <c r="N461" s="7">
        <v>22</v>
      </c>
      <c r="O461" s="7">
        <v>41</v>
      </c>
      <c r="T461" s="12"/>
      <c r="V461" cm="1">
        <f t="array" ref="V461">_xlfn.LET(
_xlpm.x,_xlfn._xlws.FILTER(O461:S461,(O461:S461&lt;&gt;"R")*(O461:S461&lt;&gt;"NA")*(O461:S461&lt;&gt;"W")*(O461:S461&lt;&gt;"")),
IF(COUNTA(_xlpm.x)=0,"NA",IF(MIN(_xlpm.x)=MAX(_xlpm.x),MIN(_xlpm.x),"review"))
)</f>
        <v>41</v>
      </c>
    </row>
    <row r="462" spans="1:22" ht="15.75" hidden="1" customHeight="1" x14ac:dyDescent="0.25">
      <c r="A462" s="7" t="s">
        <v>43</v>
      </c>
      <c r="B462" s="8">
        <v>8</v>
      </c>
      <c r="C462" s="8" t="s">
        <v>54</v>
      </c>
      <c r="D462" s="9" t="s">
        <v>53</v>
      </c>
      <c r="E462" s="7" t="s">
        <v>25</v>
      </c>
      <c r="F462" s="7" t="s">
        <v>39</v>
      </c>
      <c r="H462" s="7">
        <v>1972</v>
      </c>
      <c r="I462" s="7">
        <v>15</v>
      </c>
      <c r="K462" s="7">
        <v>7</v>
      </c>
      <c r="M462" s="7">
        <v>9</v>
      </c>
      <c r="N462" s="7">
        <v>23</v>
      </c>
      <c r="T462" s="12" t="s">
        <v>44</v>
      </c>
      <c r="V462" t="s">
        <v>29</v>
      </c>
    </row>
    <row r="463" spans="1:22" ht="15.75" hidden="1" customHeight="1" x14ac:dyDescent="0.25">
      <c r="A463" s="7" t="s">
        <v>43</v>
      </c>
      <c r="B463" s="8">
        <v>8</v>
      </c>
      <c r="C463" s="8" t="s">
        <v>52</v>
      </c>
      <c r="D463" s="9" t="s">
        <v>53</v>
      </c>
      <c r="E463" s="7" t="s">
        <v>25</v>
      </c>
      <c r="F463" s="7" t="s">
        <v>39</v>
      </c>
      <c r="H463" s="7">
        <v>1972</v>
      </c>
      <c r="I463" s="7">
        <v>15</v>
      </c>
      <c r="K463" s="7">
        <v>7</v>
      </c>
      <c r="M463" s="7">
        <v>9</v>
      </c>
      <c r="N463" s="7">
        <v>24</v>
      </c>
      <c r="O463" s="7" t="s">
        <v>28</v>
      </c>
      <c r="T463" s="12"/>
      <c r="V463" t="s">
        <v>29</v>
      </c>
    </row>
    <row r="464" spans="1:22" ht="15.75" hidden="1" customHeight="1" x14ac:dyDescent="0.25">
      <c r="A464" s="7" t="s">
        <v>43</v>
      </c>
      <c r="B464" s="8">
        <v>8</v>
      </c>
      <c r="C464" s="8" t="s">
        <v>54</v>
      </c>
      <c r="D464" s="9" t="s">
        <v>53</v>
      </c>
      <c r="E464" s="7" t="s">
        <v>25</v>
      </c>
      <c r="F464" s="7" t="s">
        <v>39</v>
      </c>
      <c r="H464" s="7">
        <v>1972</v>
      </c>
      <c r="I464" s="7">
        <v>15</v>
      </c>
      <c r="K464" s="7">
        <v>7</v>
      </c>
      <c r="M464" s="7">
        <v>9</v>
      </c>
      <c r="N464" s="7">
        <v>25</v>
      </c>
      <c r="O464" s="7">
        <v>42</v>
      </c>
      <c r="T464" s="12"/>
      <c r="V464" cm="1">
        <f t="array" ref="V464">_xlfn.LET(
_xlpm.x,_xlfn._xlws.FILTER(O464:S464,(O464:S464&lt;&gt;"R")*(O464:S464&lt;&gt;"NA")*(O464:S464&lt;&gt;"W")*(O464:S464&lt;&gt;"")),
IF(COUNTA(_xlpm.x)=0,"NA",IF(MIN(_xlpm.x)=MAX(_xlpm.x),MIN(_xlpm.x),"review"))
)</f>
        <v>42</v>
      </c>
    </row>
    <row r="465" spans="1:22" ht="15.75" hidden="1" customHeight="1" x14ac:dyDescent="0.25">
      <c r="A465" s="7" t="s">
        <v>43</v>
      </c>
      <c r="B465" s="8">
        <v>8</v>
      </c>
      <c r="C465" s="8" t="s">
        <v>52</v>
      </c>
      <c r="D465" s="9" t="s">
        <v>53</v>
      </c>
      <c r="E465" s="7" t="s">
        <v>25</v>
      </c>
      <c r="F465" s="7" t="s">
        <v>39</v>
      </c>
      <c r="H465" s="7">
        <v>1972</v>
      </c>
      <c r="I465" s="7">
        <v>15</v>
      </c>
      <c r="K465" s="7">
        <v>7</v>
      </c>
      <c r="M465" s="7">
        <v>9</v>
      </c>
      <c r="N465" s="7">
        <v>26</v>
      </c>
      <c r="O465" s="7">
        <v>42</v>
      </c>
      <c r="T465" s="12"/>
      <c r="V465" cm="1">
        <f t="array" ref="V465">_xlfn.LET(
_xlpm.x,_xlfn._xlws.FILTER(O465:S465,(O465:S465&lt;&gt;"R")*(O465:S465&lt;&gt;"NA")*(O465:S465&lt;&gt;"W")*(O465:S465&lt;&gt;"")),
IF(COUNTA(_xlpm.x)=0,"NA",IF(MIN(_xlpm.x)=MAX(_xlpm.x),MIN(_xlpm.x),"review"))
)</f>
        <v>42</v>
      </c>
    </row>
    <row r="466" spans="1:22" ht="15.75" hidden="1" customHeight="1" x14ac:dyDescent="0.25">
      <c r="A466" s="7" t="s">
        <v>43</v>
      </c>
      <c r="B466" s="8">
        <v>8</v>
      </c>
      <c r="C466" s="8" t="s">
        <v>54</v>
      </c>
      <c r="D466" s="9" t="s">
        <v>53</v>
      </c>
      <c r="E466" s="7" t="s">
        <v>25</v>
      </c>
      <c r="F466" s="7" t="s">
        <v>39</v>
      </c>
      <c r="H466" s="7">
        <v>1972</v>
      </c>
      <c r="I466" s="7">
        <v>15</v>
      </c>
      <c r="K466" s="7">
        <v>7</v>
      </c>
      <c r="M466" s="7">
        <v>9</v>
      </c>
      <c r="N466" s="7">
        <v>27</v>
      </c>
      <c r="O466" s="7">
        <v>53</v>
      </c>
      <c r="T466" s="12"/>
      <c r="V466" cm="1">
        <f t="array" ref="V466">_xlfn.LET(
_xlpm.x,_xlfn._xlws.FILTER(O466:S466,(O466:S466&lt;&gt;"R")*(O466:S466&lt;&gt;"NA")*(O466:S466&lt;&gt;"W")*(O466:S466&lt;&gt;"")),
IF(COUNTA(_xlpm.x)=0,"NA",IF(MIN(_xlpm.x)=MAX(_xlpm.x),MIN(_xlpm.x),"review"))
)</f>
        <v>53</v>
      </c>
    </row>
    <row r="467" spans="1:22" ht="15.75" hidden="1" customHeight="1" x14ac:dyDescent="0.25">
      <c r="A467" s="7" t="s">
        <v>43</v>
      </c>
      <c r="B467" s="8">
        <v>8</v>
      </c>
      <c r="C467" s="8" t="s">
        <v>52</v>
      </c>
      <c r="D467" s="9" t="s">
        <v>53</v>
      </c>
      <c r="E467" s="7" t="s">
        <v>25</v>
      </c>
      <c r="F467" s="7" t="s">
        <v>39</v>
      </c>
      <c r="H467" s="7">
        <v>1972</v>
      </c>
      <c r="I467" s="7">
        <v>15</v>
      </c>
      <c r="K467" s="7">
        <v>7</v>
      </c>
      <c r="M467" s="7">
        <v>9</v>
      </c>
      <c r="N467" s="7">
        <v>28</v>
      </c>
      <c r="O467" s="7">
        <v>32</v>
      </c>
      <c r="T467" s="12"/>
      <c r="V467" cm="1">
        <f t="array" ref="V467">_xlfn.LET(
_xlpm.x,_xlfn._xlws.FILTER(O467:S467,(O467:S467&lt;&gt;"R")*(O467:S467&lt;&gt;"NA")*(O467:S467&lt;&gt;"W")*(O467:S467&lt;&gt;"")),
IF(COUNTA(_xlpm.x)=0,"NA",IF(MIN(_xlpm.x)=MAX(_xlpm.x),MIN(_xlpm.x),"review"))
)</f>
        <v>32</v>
      </c>
    </row>
    <row r="468" spans="1:22" ht="15.75" hidden="1" customHeight="1" x14ac:dyDescent="0.25">
      <c r="A468" s="7" t="s">
        <v>43</v>
      </c>
      <c r="B468" s="8">
        <v>8</v>
      </c>
      <c r="C468" s="8" t="s">
        <v>54</v>
      </c>
      <c r="D468" s="9" t="s">
        <v>53</v>
      </c>
      <c r="E468" s="7" t="s">
        <v>25</v>
      </c>
      <c r="F468" s="7" t="s">
        <v>39</v>
      </c>
      <c r="H468" s="7">
        <v>1972</v>
      </c>
      <c r="I468" s="7">
        <v>15</v>
      </c>
      <c r="K468" s="7">
        <v>7</v>
      </c>
      <c r="M468" s="7">
        <v>9</v>
      </c>
      <c r="N468" s="7">
        <v>29</v>
      </c>
      <c r="O468" s="7">
        <v>53</v>
      </c>
      <c r="T468" s="12"/>
      <c r="V468" cm="1">
        <f t="array" ref="V468">_xlfn.LET(
_xlpm.x,_xlfn._xlws.FILTER(O468:S468,(O468:S468&lt;&gt;"R")*(O468:S468&lt;&gt;"NA")*(O468:S468&lt;&gt;"W")*(O468:S468&lt;&gt;"")),
IF(COUNTA(_xlpm.x)=0,"NA",IF(MIN(_xlpm.x)=MAX(_xlpm.x),MIN(_xlpm.x),"review"))
)</f>
        <v>53</v>
      </c>
    </row>
    <row r="469" spans="1:22" ht="15.75" hidden="1" customHeight="1" x14ac:dyDescent="0.25">
      <c r="A469" s="7" t="s">
        <v>43</v>
      </c>
      <c r="B469" s="8">
        <v>8</v>
      </c>
      <c r="C469" s="8" t="s">
        <v>52</v>
      </c>
      <c r="D469" s="9" t="s">
        <v>53</v>
      </c>
      <c r="E469" s="7" t="s">
        <v>25</v>
      </c>
      <c r="F469" s="7" t="s">
        <v>39</v>
      </c>
      <c r="H469" s="7">
        <v>1972</v>
      </c>
      <c r="I469" s="7">
        <v>15</v>
      </c>
      <c r="K469" s="7">
        <v>7</v>
      </c>
      <c r="M469" s="7">
        <v>9</v>
      </c>
      <c r="N469" s="7">
        <v>30</v>
      </c>
      <c r="O469" s="7">
        <v>42</v>
      </c>
      <c r="T469" s="12"/>
      <c r="V469" cm="1">
        <f t="array" ref="V469">_xlfn.LET(
_xlpm.x,_xlfn._xlws.FILTER(O469:S469,(O469:S469&lt;&gt;"R")*(O469:S469&lt;&gt;"NA")*(O469:S469&lt;&gt;"W")*(O469:S469&lt;&gt;"")),
IF(COUNTA(_xlpm.x)=0,"NA",IF(MIN(_xlpm.x)=MAX(_xlpm.x),MIN(_xlpm.x),"review"))
)</f>
        <v>42</v>
      </c>
    </row>
    <row r="470" spans="1:22" ht="15.75" hidden="1" customHeight="1" x14ac:dyDescent="0.25">
      <c r="A470" s="7" t="s">
        <v>43</v>
      </c>
      <c r="B470" s="8">
        <v>8</v>
      </c>
      <c r="C470" s="8" t="s">
        <v>54</v>
      </c>
      <c r="D470" s="9" t="s">
        <v>53</v>
      </c>
      <c r="E470" s="7" t="s">
        <v>25</v>
      </c>
      <c r="F470" s="7" t="s">
        <v>39</v>
      </c>
      <c r="H470" s="7">
        <v>1972</v>
      </c>
      <c r="I470" s="7">
        <v>15</v>
      </c>
      <c r="K470" s="7">
        <v>7</v>
      </c>
      <c r="M470" s="7">
        <v>9</v>
      </c>
      <c r="N470" s="7">
        <v>31</v>
      </c>
      <c r="O470" s="7">
        <v>42</v>
      </c>
      <c r="T470" s="12"/>
      <c r="V470" cm="1">
        <f t="array" ref="V470">_xlfn.LET(
_xlpm.x,_xlfn._xlws.FILTER(O470:S470,(O470:S470&lt;&gt;"R")*(O470:S470&lt;&gt;"NA")*(O470:S470&lt;&gt;"W")*(O470:S470&lt;&gt;"")),
IF(COUNTA(_xlpm.x)=0,"NA",IF(MIN(_xlpm.x)=MAX(_xlpm.x),MIN(_xlpm.x),"review"))
)</f>
        <v>42</v>
      </c>
    </row>
    <row r="471" spans="1:22" ht="15.75" hidden="1" customHeight="1" x14ac:dyDescent="0.25">
      <c r="A471" s="7" t="s">
        <v>43</v>
      </c>
      <c r="B471" s="8">
        <v>8</v>
      </c>
      <c r="C471" s="8" t="s">
        <v>52</v>
      </c>
      <c r="D471" s="9" t="s">
        <v>53</v>
      </c>
      <c r="E471" s="7" t="s">
        <v>25</v>
      </c>
      <c r="F471" s="7" t="s">
        <v>39</v>
      </c>
      <c r="H471" s="7">
        <v>1972</v>
      </c>
      <c r="I471" s="7">
        <v>15</v>
      </c>
      <c r="K471" s="7">
        <v>7</v>
      </c>
      <c r="M471" s="7">
        <v>9</v>
      </c>
      <c r="N471" s="7">
        <v>32</v>
      </c>
      <c r="O471" s="7" t="s">
        <v>29</v>
      </c>
      <c r="T471" s="12" t="s">
        <v>44</v>
      </c>
      <c r="V471" t="s">
        <v>29</v>
      </c>
    </row>
    <row r="472" spans="1:22" ht="15.75" hidden="1" customHeight="1" x14ac:dyDescent="0.25">
      <c r="A472" s="7" t="s">
        <v>43</v>
      </c>
      <c r="B472" s="8">
        <v>8</v>
      </c>
      <c r="C472" s="8" t="s">
        <v>54</v>
      </c>
      <c r="D472" s="9" t="s">
        <v>53</v>
      </c>
      <c r="E472" s="7" t="s">
        <v>25</v>
      </c>
      <c r="F472" s="7" t="s">
        <v>39</v>
      </c>
      <c r="H472" s="7">
        <v>1972</v>
      </c>
      <c r="I472" s="7">
        <v>15</v>
      </c>
      <c r="K472" s="7">
        <v>7</v>
      </c>
      <c r="M472" s="7">
        <v>9</v>
      </c>
      <c r="N472" s="7">
        <v>33</v>
      </c>
      <c r="O472" s="7">
        <v>32</v>
      </c>
      <c r="T472" s="12"/>
      <c r="V472" cm="1">
        <f t="array" ref="V472">_xlfn.LET(
_xlpm.x,_xlfn._xlws.FILTER(O472:S472,(O472:S472&lt;&gt;"R")*(O472:S472&lt;&gt;"NA")*(O472:S472&lt;&gt;"W")*(O472:S472&lt;&gt;"")),
IF(COUNTA(_xlpm.x)=0,"NA",IF(MIN(_xlpm.x)=MAX(_xlpm.x),MIN(_xlpm.x),"review"))
)</f>
        <v>32</v>
      </c>
    </row>
    <row r="473" spans="1:22" ht="15.75" hidden="1" customHeight="1" x14ac:dyDescent="0.25">
      <c r="A473" s="7" t="s">
        <v>43</v>
      </c>
      <c r="B473" s="8">
        <v>8</v>
      </c>
      <c r="C473" s="8" t="s">
        <v>52</v>
      </c>
      <c r="D473" s="9" t="s">
        <v>53</v>
      </c>
      <c r="E473" s="7" t="s">
        <v>25</v>
      </c>
      <c r="F473" s="7" t="s">
        <v>39</v>
      </c>
      <c r="H473" s="7">
        <v>1972</v>
      </c>
      <c r="I473" s="7">
        <v>15</v>
      </c>
      <c r="K473" s="7">
        <v>7</v>
      </c>
      <c r="M473" s="7">
        <v>9</v>
      </c>
      <c r="N473" s="7">
        <v>34</v>
      </c>
      <c r="O473" s="7">
        <v>53</v>
      </c>
      <c r="T473" s="12"/>
      <c r="V473" cm="1">
        <f t="array" ref="V473">_xlfn.LET(
_xlpm.x,_xlfn._xlws.FILTER(O473:S473,(O473:S473&lt;&gt;"R")*(O473:S473&lt;&gt;"NA")*(O473:S473&lt;&gt;"W")*(O473:S473&lt;&gt;"")),
IF(COUNTA(_xlpm.x)=0,"NA",IF(MIN(_xlpm.x)=MAX(_xlpm.x),MIN(_xlpm.x),"review"))
)</f>
        <v>53</v>
      </c>
    </row>
    <row r="474" spans="1:22" ht="15.75" hidden="1" customHeight="1" x14ac:dyDescent="0.25">
      <c r="A474" s="7" t="s">
        <v>43</v>
      </c>
      <c r="B474" s="8">
        <v>8</v>
      </c>
      <c r="C474" s="8" t="s">
        <v>54</v>
      </c>
      <c r="D474" s="9" t="s">
        <v>53</v>
      </c>
      <c r="E474" s="7" t="s">
        <v>25</v>
      </c>
      <c r="F474" s="7" t="s">
        <v>39</v>
      </c>
      <c r="H474" s="7">
        <v>1972</v>
      </c>
      <c r="I474" s="7">
        <v>15</v>
      </c>
      <c r="K474" s="7">
        <v>7</v>
      </c>
      <c r="M474" s="7">
        <v>9</v>
      </c>
      <c r="N474" s="7">
        <v>35</v>
      </c>
      <c r="O474" s="7">
        <v>32</v>
      </c>
      <c r="T474" s="12"/>
      <c r="V474" cm="1">
        <f t="array" ref="V474">_xlfn.LET(
_xlpm.x,_xlfn._xlws.FILTER(O474:S474,(O474:S474&lt;&gt;"R")*(O474:S474&lt;&gt;"NA")*(O474:S474&lt;&gt;"W")*(O474:S474&lt;&gt;"")),
IF(COUNTA(_xlpm.x)=0,"NA",IF(MIN(_xlpm.x)=MAX(_xlpm.x),MIN(_xlpm.x),"review"))
)</f>
        <v>32</v>
      </c>
    </row>
    <row r="475" spans="1:22" ht="15.75" hidden="1" customHeight="1" x14ac:dyDescent="0.25">
      <c r="A475" s="7" t="s">
        <v>43</v>
      </c>
      <c r="B475" s="8">
        <v>8</v>
      </c>
      <c r="C475" s="8" t="s">
        <v>52</v>
      </c>
      <c r="D475" s="9" t="s">
        <v>53</v>
      </c>
      <c r="E475" s="7" t="s">
        <v>25</v>
      </c>
      <c r="F475" s="7" t="s">
        <v>39</v>
      </c>
      <c r="H475" s="7">
        <v>1972</v>
      </c>
      <c r="I475" s="7">
        <v>15</v>
      </c>
      <c r="K475" s="7">
        <v>7</v>
      </c>
      <c r="M475" s="7">
        <v>9</v>
      </c>
      <c r="N475" s="7">
        <v>36</v>
      </c>
      <c r="O475" s="7">
        <v>42</v>
      </c>
      <c r="T475" s="12"/>
      <c r="V475" cm="1">
        <f t="array" ref="V475">_xlfn.LET(
_xlpm.x,_xlfn._xlws.FILTER(O475:S475,(O475:S475&lt;&gt;"R")*(O475:S475&lt;&gt;"NA")*(O475:S475&lt;&gt;"W")*(O475:S475&lt;&gt;"")),
IF(COUNTA(_xlpm.x)=0,"NA",IF(MIN(_xlpm.x)=MAX(_xlpm.x),MIN(_xlpm.x),"review"))
)</f>
        <v>42</v>
      </c>
    </row>
    <row r="476" spans="1:22" ht="15.75" hidden="1" customHeight="1" x14ac:dyDescent="0.25">
      <c r="A476" s="7" t="s">
        <v>43</v>
      </c>
      <c r="B476" s="8">
        <v>8</v>
      </c>
      <c r="C476" s="8" t="s">
        <v>54</v>
      </c>
      <c r="D476" s="9" t="s">
        <v>53</v>
      </c>
      <c r="E476" s="7" t="s">
        <v>25</v>
      </c>
      <c r="F476" s="7" t="s">
        <v>39</v>
      </c>
      <c r="H476" s="7">
        <v>1972</v>
      </c>
      <c r="I476" s="7">
        <v>15</v>
      </c>
      <c r="K476" s="7">
        <v>7</v>
      </c>
      <c r="M476" s="7">
        <v>9</v>
      </c>
      <c r="N476" s="7">
        <v>37</v>
      </c>
      <c r="O476" s="7">
        <v>32</v>
      </c>
      <c r="T476" s="12"/>
      <c r="V476" cm="1">
        <f t="array" ref="V476">_xlfn.LET(
_xlpm.x,_xlfn._xlws.FILTER(O476:S476,(O476:S476&lt;&gt;"R")*(O476:S476&lt;&gt;"NA")*(O476:S476&lt;&gt;"W")*(O476:S476&lt;&gt;"")),
IF(COUNTA(_xlpm.x)=0,"NA",IF(MIN(_xlpm.x)=MAX(_xlpm.x),MIN(_xlpm.x),"review"))
)</f>
        <v>32</v>
      </c>
    </row>
    <row r="477" spans="1:22" ht="15.75" hidden="1" customHeight="1" x14ac:dyDescent="0.25">
      <c r="A477" s="7" t="s">
        <v>43</v>
      </c>
      <c r="B477" s="8">
        <v>8</v>
      </c>
      <c r="C477" s="8" t="s">
        <v>52</v>
      </c>
      <c r="D477" s="9" t="s">
        <v>53</v>
      </c>
      <c r="E477" s="7" t="s">
        <v>25</v>
      </c>
      <c r="F477" s="7" t="s">
        <v>39</v>
      </c>
      <c r="H477" s="7">
        <v>1972</v>
      </c>
      <c r="I477" s="7">
        <v>15</v>
      </c>
      <c r="K477" s="7">
        <v>7</v>
      </c>
      <c r="M477" s="7">
        <v>9</v>
      </c>
      <c r="N477" s="7">
        <v>38</v>
      </c>
      <c r="O477" s="7" t="s">
        <v>29</v>
      </c>
      <c r="T477" s="12" t="s">
        <v>44</v>
      </c>
      <c r="V477" t="s">
        <v>29</v>
      </c>
    </row>
    <row r="478" spans="1:22" ht="15.75" hidden="1" customHeight="1" x14ac:dyDescent="0.25">
      <c r="A478" s="7" t="s">
        <v>43</v>
      </c>
      <c r="B478" s="8">
        <v>8</v>
      </c>
      <c r="C478" s="8" t="s">
        <v>54</v>
      </c>
      <c r="D478" s="9" t="s">
        <v>53</v>
      </c>
      <c r="E478" s="7" t="s">
        <v>25</v>
      </c>
      <c r="F478" s="7" t="s">
        <v>39</v>
      </c>
      <c r="H478" s="7">
        <v>1972</v>
      </c>
      <c r="I478" s="7">
        <v>15</v>
      </c>
      <c r="K478" s="7">
        <v>7</v>
      </c>
      <c r="M478" s="7">
        <v>9</v>
      </c>
      <c r="N478" s="7">
        <v>39</v>
      </c>
      <c r="O478" s="7" t="s">
        <v>29</v>
      </c>
      <c r="T478" s="12" t="s">
        <v>44</v>
      </c>
      <c r="V478" t="s">
        <v>29</v>
      </c>
    </row>
    <row r="479" spans="1:22" ht="15.75" hidden="1" customHeight="1" x14ac:dyDescent="0.25">
      <c r="A479" s="7" t="s">
        <v>43</v>
      </c>
      <c r="B479" s="8">
        <v>8</v>
      </c>
      <c r="C479" s="8" t="s">
        <v>52</v>
      </c>
      <c r="D479" s="9" t="s">
        <v>53</v>
      </c>
      <c r="E479" s="7" t="s">
        <v>25</v>
      </c>
      <c r="F479" s="7" t="s">
        <v>39</v>
      </c>
      <c r="H479" s="7">
        <v>1972</v>
      </c>
      <c r="I479" s="7">
        <v>15</v>
      </c>
      <c r="K479" s="7">
        <v>7</v>
      </c>
      <c r="M479" s="7">
        <v>9</v>
      </c>
      <c r="N479" s="7">
        <v>40</v>
      </c>
      <c r="O479" s="7">
        <v>43</v>
      </c>
      <c r="T479" s="12"/>
      <c r="V479" cm="1">
        <f t="array" ref="V479">_xlfn.LET(
_xlpm.x,_xlfn._xlws.FILTER(O479:S479,(O479:S479&lt;&gt;"R")*(O479:S479&lt;&gt;"NA")*(O479:S479&lt;&gt;"W")*(O479:S479&lt;&gt;"")),
IF(COUNTA(_xlpm.x)=0,"NA",IF(MIN(_xlpm.x)=MAX(_xlpm.x),MIN(_xlpm.x),"review"))
)</f>
        <v>43</v>
      </c>
    </row>
    <row r="480" spans="1:22" ht="15.75" hidden="1" customHeight="1" x14ac:dyDescent="0.25">
      <c r="A480" s="7" t="s">
        <v>43</v>
      </c>
      <c r="B480" s="8">
        <v>8</v>
      </c>
      <c r="C480" s="8" t="s">
        <v>54</v>
      </c>
      <c r="D480" s="9" t="s">
        <v>53</v>
      </c>
      <c r="E480" s="7" t="s">
        <v>25</v>
      </c>
      <c r="F480" s="7" t="s">
        <v>39</v>
      </c>
      <c r="H480" s="7">
        <v>1972</v>
      </c>
      <c r="I480" s="7">
        <v>15</v>
      </c>
      <c r="K480" s="7">
        <v>7</v>
      </c>
      <c r="M480" s="7">
        <v>9</v>
      </c>
      <c r="N480" s="7">
        <v>41</v>
      </c>
      <c r="O480" s="7" t="s">
        <v>29</v>
      </c>
      <c r="T480" s="12" t="s">
        <v>44</v>
      </c>
      <c r="V480" t="s">
        <v>29</v>
      </c>
    </row>
    <row r="481" spans="1:22" ht="15.75" hidden="1" customHeight="1" x14ac:dyDescent="0.25">
      <c r="A481" s="7" t="s">
        <v>43</v>
      </c>
      <c r="B481" s="8">
        <v>8</v>
      </c>
      <c r="C481" s="8" t="s">
        <v>52</v>
      </c>
      <c r="D481" s="9" t="s">
        <v>53</v>
      </c>
      <c r="E481" s="7" t="s">
        <v>25</v>
      </c>
      <c r="F481" s="7" t="s">
        <v>39</v>
      </c>
      <c r="H481" s="7">
        <v>1972</v>
      </c>
      <c r="I481" s="7">
        <v>15</v>
      </c>
      <c r="K481" s="7">
        <v>7</v>
      </c>
      <c r="M481" s="7">
        <v>9</v>
      </c>
      <c r="N481" s="7">
        <v>42</v>
      </c>
      <c r="O481" s="7" t="s">
        <v>28</v>
      </c>
      <c r="T481" s="12"/>
      <c r="V481" t="s">
        <v>29</v>
      </c>
    </row>
    <row r="482" spans="1:22" ht="15.75" hidden="1" customHeight="1" x14ac:dyDescent="0.25">
      <c r="A482" s="7" t="s">
        <v>43</v>
      </c>
      <c r="B482" s="8">
        <v>8</v>
      </c>
      <c r="C482" s="8" t="s">
        <v>54</v>
      </c>
      <c r="D482" s="9" t="s">
        <v>53</v>
      </c>
      <c r="E482" s="7" t="s">
        <v>25</v>
      </c>
      <c r="F482" s="7" t="s">
        <v>39</v>
      </c>
      <c r="H482" s="7">
        <v>1972</v>
      </c>
      <c r="I482" s="7">
        <v>15</v>
      </c>
      <c r="K482" s="7">
        <v>7</v>
      </c>
      <c r="M482" s="7">
        <v>9</v>
      </c>
      <c r="N482" s="7">
        <v>43</v>
      </c>
      <c r="O482" s="7">
        <v>53</v>
      </c>
      <c r="T482" s="12"/>
      <c r="V482" cm="1">
        <f t="array" ref="V482">_xlfn.LET(
_xlpm.x,_xlfn._xlws.FILTER(O482:S482,(O482:S482&lt;&gt;"R")*(O482:S482&lt;&gt;"NA")*(O482:S482&lt;&gt;"W")*(O482:S482&lt;&gt;"")),
IF(COUNTA(_xlpm.x)=0,"NA",IF(MIN(_xlpm.x)=MAX(_xlpm.x),MIN(_xlpm.x),"review"))
)</f>
        <v>53</v>
      </c>
    </row>
    <row r="483" spans="1:22" ht="15.75" hidden="1" customHeight="1" x14ac:dyDescent="0.25">
      <c r="A483" s="7" t="s">
        <v>43</v>
      </c>
      <c r="B483" s="8">
        <v>8</v>
      </c>
      <c r="C483" s="8" t="s">
        <v>52</v>
      </c>
      <c r="D483" s="9" t="s">
        <v>53</v>
      </c>
      <c r="E483" s="7" t="s">
        <v>25</v>
      </c>
      <c r="F483" s="7" t="s">
        <v>39</v>
      </c>
      <c r="H483" s="7">
        <v>1972</v>
      </c>
      <c r="I483" s="7">
        <v>15</v>
      </c>
      <c r="K483" s="7">
        <v>7</v>
      </c>
      <c r="M483" s="7">
        <v>9</v>
      </c>
      <c r="N483" s="7">
        <v>44</v>
      </c>
      <c r="O483" s="7">
        <v>42</v>
      </c>
      <c r="T483" s="12"/>
      <c r="V483" cm="1">
        <f t="array" ref="V483">_xlfn.LET(
_xlpm.x,_xlfn._xlws.FILTER(O483:S483,(O483:S483&lt;&gt;"R")*(O483:S483&lt;&gt;"NA")*(O483:S483&lt;&gt;"W")*(O483:S483&lt;&gt;"")),
IF(COUNTA(_xlpm.x)=0,"NA",IF(MIN(_xlpm.x)=MAX(_xlpm.x),MIN(_xlpm.x),"review"))
)</f>
        <v>42</v>
      </c>
    </row>
    <row r="484" spans="1:22" ht="15.75" hidden="1" customHeight="1" x14ac:dyDescent="0.25">
      <c r="A484" s="7" t="s">
        <v>43</v>
      </c>
      <c r="B484" s="8">
        <v>8</v>
      </c>
      <c r="C484" s="8" t="s">
        <v>54</v>
      </c>
      <c r="D484" s="9" t="s">
        <v>53</v>
      </c>
      <c r="E484" s="7" t="s">
        <v>25</v>
      </c>
      <c r="F484" s="7" t="s">
        <v>39</v>
      </c>
      <c r="H484" s="7">
        <v>1972</v>
      </c>
      <c r="I484" s="7">
        <v>15</v>
      </c>
      <c r="K484" s="7">
        <v>7</v>
      </c>
      <c r="M484" s="7">
        <v>9</v>
      </c>
      <c r="N484" s="7">
        <v>45</v>
      </c>
      <c r="O484" s="7">
        <v>53</v>
      </c>
      <c r="T484" s="12"/>
      <c r="V484" cm="1">
        <f t="array" ref="V484">_xlfn.LET(
_xlpm.x,_xlfn._xlws.FILTER(O484:S484,(O484:S484&lt;&gt;"R")*(O484:S484&lt;&gt;"NA")*(O484:S484&lt;&gt;"W")*(O484:S484&lt;&gt;"")),
IF(COUNTA(_xlpm.x)=0,"NA",IF(MIN(_xlpm.x)=MAX(_xlpm.x),MIN(_xlpm.x),"review"))
)</f>
        <v>53</v>
      </c>
    </row>
    <row r="485" spans="1:22" ht="15.75" hidden="1" customHeight="1" x14ac:dyDescent="0.25">
      <c r="A485" s="7" t="s">
        <v>43</v>
      </c>
      <c r="B485" s="8">
        <v>8</v>
      </c>
      <c r="C485" s="8" t="s">
        <v>52</v>
      </c>
      <c r="D485" s="9" t="s">
        <v>53</v>
      </c>
      <c r="E485" s="7" t="s">
        <v>25</v>
      </c>
      <c r="F485" s="7" t="s">
        <v>39</v>
      </c>
      <c r="H485" s="7">
        <v>1972</v>
      </c>
      <c r="I485" s="7">
        <v>15</v>
      </c>
      <c r="K485" s="7">
        <v>7</v>
      </c>
      <c r="M485" s="7">
        <v>9</v>
      </c>
      <c r="N485" s="7">
        <v>46</v>
      </c>
      <c r="O485" s="7" t="s">
        <v>29</v>
      </c>
      <c r="T485" s="12" t="s">
        <v>44</v>
      </c>
      <c r="V485" t="s">
        <v>29</v>
      </c>
    </row>
    <row r="486" spans="1:22" ht="15.75" hidden="1" customHeight="1" x14ac:dyDescent="0.25">
      <c r="A486" s="7" t="s">
        <v>43</v>
      </c>
      <c r="B486" s="8">
        <v>8</v>
      </c>
      <c r="C486" s="8" t="s">
        <v>54</v>
      </c>
      <c r="D486" s="9" t="s">
        <v>53</v>
      </c>
      <c r="E486" s="7" t="s">
        <v>25</v>
      </c>
      <c r="F486" s="7" t="s">
        <v>39</v>
      </c>
      <c r="H486" s="7">
        <v>1972</v>
      </c>
      <c r="I486" s="7">
        <v>15</v>
      </c>
      <c r="K486" s="7">
        <v>7</v>
      </c>
      <c r="M486" s="7">
        <v>9</v>
      </c>
      <c r="N486" s="7">
        <v>47</v>
      </c>
      <c r="O486" s="7">
        <v>42</v>
      </c>
      <c r="T486" s="12" t="s">
        <v>46</v>
      </c>
      <c r="V486" cm="1">
        <f t="array" ref="V486">_xlfn.LET(
_xlpm.x,_xlfn._xlws.FILTER(O486:S486,(O486:S486&lt;&gt;"R")*(O486:S486&lt;&gt;"NA")*(O486:S486&lt;&gt;"W")*(O486:S486&lt;&gt;"")),
IF(COUNTA(_xlpm.x)=0,"NA",IF(MIN(_xlpm.x)=MAX(_xlpm.x),MIN(_xlpm.x),"review"))
)</f>
        <v>42</v>
      </c>
    </row>
    <row r="487" spans="1:22" ht="15.75" hidden="1" customHeight="1" x14ac:dyDescent="0.25">
      <c r="A487" s="7" t="s">
        <v>43</v>
      </c>
      <c r="B487" s="8">
        <v>8</v>
      </c>
      <c r="C487" s="8" t="s">
        <v>52</v>
      </c>
      <c r="D487" s="9" t="s">
        <v>53</v>
      </c>
      <c r="E487" s="7" t="s">
        <v>25</v>
      </c>
      <c r="F487" s="7" t="s">
        <v>39</v>
      </c>
      <c r="H487" s="7">
        <v>1972</v>
      </c>
      <c r="I487" s="7">
        <v>15</v>
      </c>
      <c r="K487" s="7">
        <v>7</v>
      </c>
      <c r="M487" s="7">
        <v>9</v>
      </c>
      <c r="N487" s="7">
        <v>48</v>
      </c>
      <c r="O487" s="7">
        <v>42</v>
      </c>
      <c r="T487" s="12"/>
      <c r="V487" cm="1">
        <f t="array" ref="V487">_xlfn.LET(
_xlpm.x,_xlfn._xlws.FILTER(O487:S487,(O487:S487&lt;&gt;"R")*(O487:S487&lt;&gt;"NA")*(O487:S487&lt;&gt;"W")*(O487:S487&lt;&gt;"")),
IF(COUNTA(_xlpm.x)=0,"NA",IF(MIN(_xlpm.x)=MAX(_xlpm.x),MIN(_xlpm.x),"review"))
)</f>
        <v>42</v>
      </c>
    </row>
    <row r="488" spans="1:22" ht="15.75" hidden="1" customHeight="1" x14ac:dyDescent="0.25">
      <c r="A488" s="7" t="s">
        <v>43</v>
      </c>
      <c r="B488" s="8">
        <v>8</v>
      </c>
      <c r="C488" s="8" t="s">
        <v>54</v>
      </c>
      <c r="D488" s="9" t="s">
        <v>53</v>
      </c>
      <c r="E488" s="7" t="s">
        <v>25</v>
      </c>
      <c r="F488" s="7" t="s">
        <v>39</v>
      </c>
      <c r="H488" s="7">
        <v>1972</v>
      </c>
      <c r="I488" s="7">
        <v>15</v>
      </c>
      <c r="K488" s="7">
        <v>7</v>
      </c>
      <c r="M488" s="7">
        <v>9</v>
      </c>
      <c r="N488" s="7">
        <v>49</v>
      </c>
      <c r="O488" s="7">
        <v>53</v>
      </c>
      <c r="T488" s="12"/>
      <c r="V488" cm="1">
        <f t="array" ref="V488">_xlfn.LET(
_xlpm.x,_xlfn._xlws.FILTER(O488:S488,(O488:S488&lt;&gt;"R")*(O488:S488&lt;&gt;"NA")*(O488:S488&lt;&gt;"W")*(O488:S488&lt;&gt;"")),
IF(COUNTA(_xlpm.x)=0,"NA",IF(MIN(_xlpm.x)=MAX(_xlpm.x),MIN(_xlpm.x),"review"))
)</f>
        <v>53</v>
      </c>
    </row>
    <row r="489" spans="1:22" ht="15.75" hidden="1" customHeight="1" x14ac:dyDescent="0.25">
      <c r="A489" s="7" t="s">
        <v>43</v>
      </c>
      <c r="B489" s="8">
        <v>8</v>
      </c>
      <c r="C489" s="8" t="s">
        <v>52</v>
      </c>
      <c r="D489" s="9" t="s">
        <v>53</v>
      </c>
      <c r="E489" s="7" t="s">
        <v>25</v>
      </c>
      <c r="F489" s="7" t="s">
        <v>39</v>
      </c>
      <c r="H489" s="7">
        <v>1972</v>
      </c>
      <c r="I489" s="7">
        <v>15</v>
      </c>
      <c r="K489" s="7">
        <v>7</v>
      </c>
      <c r="M489" s="7">
        <v>9</v>
      </c>
      <c r="N489" s="7">
        <v>50</v>
      </c>
      <c r="O489" s="7" t="s">
        <v>29</v>
      </c>
      <c r="T489" s="12" t="s">
        <v>44</v>
      </c>
      <c r="U489" s="7" t="s">
        <v>56</v>
      </c>
      <c r="V489" t="s">
        <v>29</v>
      </c>
    </row>
    <row r="490" spans="1:22" ht="15.75" hidden="1" customHeight="1" x14ac:dyDescent="0.25">
      <c r="A490" s="7" t="s">
        <v>61</v>
      </c>
      <c r="B490" s="8">
        <v>8</v>
      </c>
      <c r="C490" s="8" t="s">
        <v>23</v>
      </c>
      <c r="D490" s="9" t="s">
        <v>62</v>
      </c>
      <c r="E490" s="7" t="s">
        <v>25</v>
      </c>
      <c r="F490" s="7" t="s">
        <v>63</v>
      </c>
      <c r="H490" s="7">
        <v>1973</v>
      </c>
      <c r="I490" s="7">
        <v>19</v>
      </c>
      <c r="K490" s="7">
        <v>7</v>
      </c>
      <c r="M490" s="7">
        <v>1</v>
      </c>
      <c r="N490" s="7">
        <v>1</v>
      </c>
      <c r="O490" s="7">
        <v>52</v>
      </c>
      <c r="P490" s="7">
        <v>52</v>
      </c>
      <c r="T490" s="12"/>
      <c r="V490" cm="1">
        <f t="array" ref="V490">_xlfn.LET(
_xlpm.x,_xlfn._xlws.FILTER(O490:S490,(O490:S490&lt;&gt;"R")*(O490:S490&lt;&gt;"NA")*(O490:S490&lt;&gt;"W")*(O490:S490&lt;&gt;"")),
IF(COUNTA(_xlpm.x)=0,"NA",IF(MIN(_xlpm.x)=MAX(_xlpm.x),MIN(_xlpm.x),"review"))
)</f>
        <v>52</v>
      </c>
    </row>
    <row r="491" spans="1:22" ht="15.75" hidden="1" customHeight="1" x14ac:dyDescent="0.25">
      <c r="A491" s="7" t="s">
        <v>61</v>
      </c>
      <c r="B491" s="8">
        <v>8</v>
      </c>
      <c r="C491" s="8" t="s">
        <v>23</v>
      </c>
      <c r="D491" s="9" t="s">
        <v>62</v>
      </c>
      <c r="E491" s="7" t="s">
        <v>25</v>
      </c>
      <c r="F491" s="7" t="s">
        <v>63</v>
      </c>
      <c r="H491" s="7">
        <v>1973</v>
      </c>
      <c r="I491" s="7">
        <v>19</v>
      </c>
      <c r="K491" s="7">
        <v>7</v>
      </c>
      <c r="M491" s="7">
        <v>1</v>
      </c>
      <c r="N491" s="7">
        <v>2</v>
      </c>
      <c r="O491" s="7">
        <v>42</v>
      </c>
      <c r="P491" s="7">
        <v>42</v>
      </c>
      <c r="T491" s="12"/>
      <c r="V491" cm="1">
        <f t="array" ref="V491">_xlfn.LET(
_xlpm.x,_xlfn._xlws.FILTER(O491:S491,(O491:S491&lt;&gt;"R")*(O491:S491&lt;&gt;"NA")*(O491:S491&lt;&gt;"W")*(O491:S491&lt;&gt;"")),
IF(COUNTA(_xlpm.x)=0,"NA",IF(MIN(_xlpm.x)=MAX(_xlpm.x),MIN(_xlpm.x),"review"))
)</f>
        <v>42</v>
      </c>
    </row>
    <row r="492" spans="1:22" ht="15.75" hidden="1" customHeight="1" x14ac:dyDescent="0.25">
      <c r="A492" s="7" t="s">
        <v>61</v>
      </c>
      <c r="B492" s="8">
        <v>8</v>
      </c>
      <c r="C492" s="8" t="s">
        <v>23</v>
      </c>
      <c r="D492" s="9" t="s">
        <v>62</v>
      </c>
      <c r="E492" s="7" t="s">
        <v>25</v>
      </c>
      <c r="F492" s="7" t="s">
        <v>63</v>
      </c>
      <c r="H492" s="7">
        <v>1973</v>
      </c>
      <c r="I492" s="7">
        <v>19</v>
      </c>
      <c r="K492" s="7">
        <v>7</v>
      </c>
      <c r="M492" s="7">
        <v>1</v>
      </c>
      <c r="N492" s="7">
        <v>3</v>
      </c>
      <c r="O492" s="7">
        <v>42</v>
      </c>
      <c r="P492" s="7">
        <v>42</v>
      </c>
      <c r="T492" s="12"/>
      <c r="V492" cm="1">
        <f t="array" ref="V492">_xlfn.LET(
_xlpm.x,_xlfn._xlws.FILTER(O492:S492,(O492:S492&lt;&gt;"R")*(O492:S492&lt;&gt;"NA")*(O492:S492&lt;&gt;"W")*(O492:S492&lt;&gt;"")),
IF(COUNTA(_xlpm.x)=0,"NA",IF(MIN(_xlpm.x)=MAX(_xlpm.x),MIN(_xlpm.x),"review"))
)</f>
        <v>42</v>
      </c>
    </row>
    <row r="493" spans="1:22" ht="15.75" hidden="1" customHeight="1" x14ac:dyDescent="0.25">
      <c r="A493" s="7" t="s">
        <v>61</v>
      </c>
      <c r="B493" s="8">
        <v>8</v>
      </c>
      <c r="C493" s="8" t="s">
        <v>23</v>
      </c>
      <c r="D493" s="9" t="s">
        <v>62</v>
      </c>
      <c r="E493" s="7" t="s">
        <v>25</v>
      </c>
      <c r="F493" s="7" t="s">
        <v>63</v>
      </c>
      <c r="H493" s="7">
        <v>1973</v>
      </c>
      <c r="I493" s="7">
        <v>19</v>
      </c>
      <c r="K493" s="7">
        <v>7</v>
      </c>
      <c r="M493" s="7">
        <v>1</v>
      </c>
      <c r="N493" s="7">
        <v>4</v>
      </c>
      <c r="O493" s="7">
        <v>52</v>
      </c>
      <c r="P493" s="7">
        <v>52</v>
      </c>
      <c r="T493" s="12"/>
      <c r="V493" cm="1">
        <f t="array" ref="V493">_xlfn.LET(
_xlpm.x,_xlfn._xlws.FILTER(O493:S493,(O493:S493&lt;&gt;"R")*(O493:S493&lt;&gt;"NA")*(O493:S493&lt;&gt;"W")*(O493:S493&lt;&gt;"")),
IF(COUNTA(_xlpm.x)=0,"NA",IF(MIN(_xlpm.x)=MAX(_xlpm.x),MIN(_xlpm.x),"review"))
)</f>
        <v>52</v>
      </c>
    </row>
    <row r="494" spans="1:22" ht="15.75" hidden="1" customHeight="1" x14ac:dyDescent="0.25">
      <c r="A494" s="7" t="s">
        <v>61</v>
      </c>
      <c r="B494" s="8">
        <v>8</v>
      </c>
      <c r="C494" s="8" t="s">
        <v>23</v>
      </c>
      <c r="D494" s="9" t="s">
        <v>62</v>
      </c>
      <c r="E494" s="7" t="s">
        <v>25</v>
      </c>
      <c r="F494" s="7" t="s">
        <v>63</v>
      </c>
      <c r="H494" s="7">
        <v>1973</v>
      </c>
      <c r="I494" s="7">
        <v>19</v>
      </c>
      <c r="K494" s="7">
        <v>7</v>
      </c>
      <c r="M494" s="7">
        <v>1</v>
      </c>
      <c r="N494" s="7">
        <v>5</v>
      </c>
      <c r="O494" s="7">
        <v>52</v>
      </c>
      <c r="P494" s="7">
        <v>52</v>
      </c>
      <c r="T494" s="12"/>
      <c r="V494" cm="1">
        <f t="array" ref="V494">_xlfn.LET(
_xlpm.x,_xlfn._xlws.FILTER(O494:S494,(O494:S494&lt;&gt;"R")*(O494:S494&lt;&gt;"NA")*(O494:S494&lt;&gt;"W")*(O494:S494&lt;&gt;"")),
IF(COUNTA(_xlpm.x)=0,"NA",IF(MIN(_xlpm.x)=MAX(_xlpm.x),MIN(_xlpm.x),"review"))
)</f>
        <v>52</v>
      </c>
    </row>
    <row r="495" spans="1:22" ht="15.75" hidden="1" customHeight="1" x14ac:dyDescent="0.25">
      <c r="A495" s="7" t="s">
        <v>61</v>
      </c>
      <c r="B495" s="8">
        <v>8</v>
      </c>
      <c r="C495" s="8" t="s">
        <v>23</v>
      </c>
      <c r="D495" s="9" t="s">
        <v>62</v>
      </c>
      <c r="E495" s="7" t="s">
        <v>25</v>
      </c>
      <c r="F495" s="7" t="s">
        <v>63</v>
      </c>
      <c r="H495" s="7">
        <v>1973</v>
      </c>
      <c r="I495" s="7">
        <v>19</v>
      </c>
      <c r="K495" s="7">
        <v>7</v>
      </c>
      <c r="M495" s="7">
        <v>1</v>
      </c>
      <c r="N495" s="7">
        <v>6</v>
      </c>
      <c r="O495" s="7">
        <v>42</v>
      </c>
      <c r="P495" s="7" t="s">
        <v>28</v>
      </c>
      <c r="T495" s="12"/>
      <c r="V495" cm="1">
        <f t="array" ref="V495">_xlfn.LET(
_xlpm.x,_xlfn._xlws.FILTER(O495:S495,(O495:S495&lt;&gt;"R")*(O495:S495&lt;&gt;"NA")*(O495:S495&lt;&gt;"W")*(O495:S495&lt;&gt;"")),
IF(COUNTA(_xlpm.x)=0,"NA",IF(MIN(_xlpm.x)=MAX(_xlpm.x),MIN(_xlpm.x),"review"))
)</f>
        <v>42</v>
      </c>
    </row>
    <row r="496" spans="1:22" ht="15.75" hidden="1" customHeight="1" x14ac:dyDescent="0.25">
      <c r="A496" s="7" t="s">
        <v>61</v>
      </c>
      <c r="B496" s="8">
        <v>8</v>
      </c>
      <c r="C496" s="8" t="s">
        <v>23</v>
      </c>
      <c r="D496" s="9" t="s">
        <v>62</v>
      </c>
      <c r="E496" s="7" t="s">
        <v>25</v>
      </c>
      <c r="F496" s="7" t="s">
        <v>63</v>
      </c>
      <c r="H496" s="7">
        <v>1973</v>
      </c>
      <c r="I496" s="7">
        <v>19</v>
      </c>
      <c r="K496" s="7">
        <v>7</v>
      </c>
      <c r="M496" s="7">
        <v>1</v>
      </c>
      <c r="N496" s="7">
        <v>7</v>
      </c>
      <c r="O496" s="7">
        <v>42</v>
      </c>
      <c r="P496" s="7">
        <v>42</v>
      </c>
      <c r="T496" s="12"/>
      <c r="V496" cm="1">
        <f t="array" ref="V496">_xlfn.LET(
_xlpm.x,_xlfn._xlws.FILTER(O496:S496,(O496:S496&lt;&gt;"R")*(O496:S496&lt;&gt;"NA")*(O496:S496&lt;&gt;"W")*(O496:S496&lt;&gt;"")),
IF(COUNTA(_xlpm.x)=0,"NA",IF(MIN(_xlpm.x)=MAX(_xlpm.x),MIN(_xlpm.x),"review"))
)</f>
        <v>42</v>
      </c>
    </row>
    <row r="497" spans="1:22" ht="15.75" hidden="1" customHeight="1" x14ac:dyDescent="0.25">
      <c r="A497" s="7" t="s">
        <v>61</v>
      </c>
      <c r="B497" s="8">
        <v>8</v>
      </c>
      <c r="C497" s="8" t="s">
        <v>23</v>
      </c>
      <c r="D497" s="9" t="s">
        <v>62</v>
      </c>
      <c r="E497" s="7" t="s">
        <v>25</v>
      </c>
      <c r="F497" s="7" t="s">
        <v>63</v>
      </c>
      <c r="H497" s="7">
        <v>1973</v>
      </c>
      <c r="I497" s="7">
        <v>19</v>
      </c>
      <c r="K497" s="7">
        <v>7</v>
      </c>
      <c r="M497" s="7">
        <v>1</v>
      </c>
      <c r="N497" s="7">
        <v>8</v>
      </c>
      <c r="O497" s="7">
        <v>42</v>
      </c>
      <c r="P497" s="7">
        <v>42</v>
      </c>
      <c r="T497" s="12"/>
      <c r="V497" cm="1">
        <f t="array" ref="V497">_xlfn.LET(
_xlpm.x,_xlfn._xlws.FILTER(O497:S497,(O497:S497&lt;&gt;"R")*(O497:S497&lt;&gt;"NA")*(O497:S497&lt;&gt;"W")*(O497:S497&lt;&gt;"")),
IF(COUNTA(_xlpm.x)=0,"NA",IF(MIN(_xlpm.x)=MAX(_xlpm.x),MIN(_xlpm.x),"review"))
)</f>
        <v>42</v>
      </c>
    </row>
    <row r="498" spans="1:22" ht="15.75" hidden="1" customHeight="1" x14ac:dyDescent="0.25">
      <c r="A498" s="7" t="s">
        <v>61</v>
      </c>
      <c r="B498" s="8">
        <v>8</v>
      </c>
      <c r="C498" s="8" t="s">
        <v>23</v>
      </c>
      <c r="D498" s="9" t="s">
        <v>62</v>
      </c>
      <c r="E498" s="7" t="s">
        <v>25</v>
      </c>
      <c r="F498" s="7" t="s">
        <v>63</v>
      </c>
      <c r="H498" s="7">
        <v>1973</v>
      </c>
      <c r="I498" s="7">
        <v>19</v>
      </c>
      <c r="K498" s="7">
        <v>7</v>
      </c>
      <c r="M498" s="7">
        <v>1</v>
      </c>
      <c r="N498" s="7">
        <v>9</v>
      </c>
      <c r="O498" s="7">
        <v>42</v>
      </c>
      <c r="P498" s="7">
        <v>42</v>
      </c>
      <c r="T498" s="12"/>
      <c r="V498" cm="1">
        <f t="array" ref="V498">_xlfn.LET(
_xlpm.x,_xlfn._xlws.FILTER(O498:S498,(O498:S498&lt;&gt;"R")*(O498:S498&lt;&gt;"NA")*(O498:S498&lt;&gt;"W")*(O498:S498&lt;&gt;"")),
IF(COUNTA(_xlpm.x)=0,"NA",IF(MIN(_xlpm.x)=MAX(_xlpm.x),MIN(_xlpm.x),"review"))
)</f>
        <v>42</v>
      </c>
    </row>
    <row r="499" spans="1:22" ht="15.75" hidden="1" customHeight="1" x14ac:dyDescent="0.25">
      <c r="A499" s="7" t="s">
        <v>61</v>
      </c>
      <c r="B499" s="8">
        <v>8</v>
      </c>
      <c r="C499" s="8" t="s">
        <v>23</v>
      </c>
      <c r="D499" s="9" t="s">
        <v>62</v>
      </c>
      <c r="E499" s="7" t="s">
        <v>25</v>
      </c>
      <c r="F499" s="7" t="s">
        <v>63</v>
      </c>
      <c r="H499" s="7">
        <v>1973</v>
      </c>
      <c r="I499" s="7">
        <v>19</v>
      </c>
      <c r="K499" s="7">
        <v>7</v>
      </c>
      <c r="M499" s="7">
        <v>1</v>
      </c>
      <c r="N499" s="7">
        <v>10</v>
      </c>
      <c r="O499" s="7">
        <v>42</v>
      </c>
      <c r="P499" s="7">
        <v>42</v>
      </c>
      <c r="T499" s="12"/>
      <c r="V499" cm="1">
        <f t="array" ref="V499">_xlfn.LET(
_xlpm.x,_xlfn._xlws.FILTER(O499:S499,(O499:S499&lt;&gt;"R")*(O499:S499&lt;&gt;"NA")*(O499:S499&lt;&gt;"W")*(O499:S499&lt;&gt;"")),
IF(COUNTA(_xlpm.x)=0,"NA",IF(MIN(_xlpm.x)=MAX(_xlpm.x),MIN(_xlpm.x),"review"))
)</f>
        <v>42</v>
      </c>
    </row>
    <row r="500" spans="1:22" ht="15.75" hidden="1" customHeight="1" x14ac:dyDescent="0.25">
      <c r="A500" s="7" t="s">
        <v>61</v>
      </c>
      <c r="B500" s="8">
        <v>8</v>
      </c>
      <c r="C500" s="8" t="s">
        <v>23</v>
      </c>
      <c r="D500" s="9" t="s">
        <v>62</v>
      </c>
      <c r="E500" s="7" t="s">
        <v>25</v>
      </c>
      <c r="F500" s="7" t="s">
        <v>63</v>
      </c>
      <c r="H500" s="7">
        <v>1973</v>
      </c>
      <c r="I500" s="7">
        <v>19</v>
      </c>
      <c r="K500" s="7">
        <v>7</v>
      </c>
      <c r="M500" s="7">
        <v>1</v>
      </c>
      <c r="N500" s="7">
        <v>11</v>
      </c>
      <c r="O500" s="7">
        <v>52</v>
      </c>
      <c r="P500" s="7">
        <v>52</v>
      </c>
      <c r="T500" s="12"/>
      <c r="V500" cm="1">
        <f t="array" ref="V500">_xlfn.LET(
_xlpm.x,_xlfn._xlws.FILTER(O500:S500,(O500:S500&lt;&gt;"R")*(O500:S500&lt;&gt;"NA")*(O500:S500&lt;&gt;"W")*(O500:S500&lt;&gt;"")),
IF(COUNTA(_xlpm.x)=0,"NA",IF(MIN(_xlpm.x)=MAX(_xlpm.x),MIN(_xlpm.x),"review"))
)</f>
        <v>52</v>
      </c>
    </row>
    <row r="501" spans="1:22" ht="15.75" hidden="1" customHeight="1" x14ac:dyDescent="0.25">
      <c r="A501" s="7" t="s">
        <v>61</v>
      </c>
      <c r="B501" s="8">
        <v>8</v>
      </c>
      <c r="C501" s="8" t="s">
        <v>23</v>
      </c>
      <c r="D501" s="9" t="s">
        <v>62</v>
      </c>
      <c r="E501" s="7" t="s">
        <v>25</v>
      </c>
      <c r="F501" s="7" t="s">
        <v>63</v>
      </c>
      <c r="H501" s="7">
        <v>1973</v>
      </c>
      <c r="I501" s="7">
        <v>19</v>
      </c>
      <c r="K501" s="7">
        <v>7</v>
      </c>
      <c r="M501" s="7">
        <v>1</v>
      </c>
      <c r="N501" s="7">
        <v>12</v>
      </c>
      <c r="O501" s="7">
        <v>52</v>
      </c>
      <c r="P501" s="7">
        <v>52</v>
      </c>
      <c r="T501" s="12"/>
      <c r="V501" cm="1">
        <f t="array" ref="V501">_xlfn.LET(
_xlpm.x,_xlfn._xlws.FILTER(O501:S501,(O501:S501&lt;&gt;"R")*(O501:S501&lt;&gt;"NA")*(O501:S501&lt;&gt;"W")*(O501:S501&lt;&gt;"")),
IF(COUNTA(_xlpm.x)=0,"NA",IF(MIN(_xlpm.x)=MAX(_xlpm.x),MIN(_xlpm.x),"review"))
)</f>
        <v>52</v>
      </c>
    </row>
    <row r="502" spans="1:22" ht="15.75" hidden="1" customHeight="1" x14ac:dyDescent="0.25">
      <c r="A502" s="7" t="s">
        <v>61</v>
      </c>
      <c r="B502" s="8">
        <v>8</v>
      </c>
      <c r="C502" s="8" t="s">
        <v>23</v>
      </c>
      <c r="D502" s="9" t="s">
        <v>62</v>
      </c>
      <c r="E502" s="7" t="s">
        <v>25</v>
      </c>
      <c r="F502" s="7" t="s">
        <v>63</v>
      </c>
      <c r="H502" s="7">
        <v>1973</v>
      </c>
      <c r="I502" s="7">
        <v>19</v>
      </c>
      <c r="K502" s="7">
        <v>7</v>
      </c>
      <c r="M502" s="7">
        <v>1</v>
      </c>
      <c r="N502" s="7">
        <v>13</v>
      </c>
      <c r="O502" s="7">
        <v>52</v>
      </c>
      <c r="P502" s="7">
        <v>52</v>
      </c>
      <c r="T502" s="12"/>
      <c r="V502" cm="1">
        <f t="array" ref="V502">_xlfn.LET(
_xlpm.x,_xlfn._xlws.FILTER(O502:S502,(O502:S502&lt;&gt;"R")*(O502:S502&lt;&gt;"NA")*(O502:S502&lt;&gt;"W")*(O502:S502&lt;&gt;"")),
IF(COUNTA(_xlpm.x)=0,"NA",IF(MIN(_xlpm.x)=MAX(_xlpm.x),MIN(_xlpm.x),"review"))
)</f>
        <v>52</v>
      </c>
    </row>
    <row r="503" spans="1:22" ht="15.75" hidden="1" customHeight="1" x14ac:dyDescent="0.25">
      <c r="A503" s="7" t="s">
        <v>61</v>
      </c>
      <c r="B503" s="8">
        <v>8</v>
      </c>
      <c r="C503" s="8" t="s">
        <v>23</v>
      </c>
      <c r="D503" s="9" t="s">
        <v>62</v>
      </c>
      <c r="E503" s="7" t="s">
        <v>25</v>
      </c>
      <c r="F503" s="7" t="s">
        <v>63</v>
      </c>
      <c r="H503" s="7">
        <v>1973</v>
      </c>
      <c r="I503" s="7">
        <v>19</v>
      </c>
      <c r="K503" s="7">
        <v>7</v>
      </c>
      <c r="M503" s="7">
        <v>1</v>
      </c>
      <c r="N503" s="7">
        <v>14</v>
      </c>
      <c r="O503" s="7">
        <v>52</v>
      </c>
      <c r="P503" s="7">
        <v>52</v>
      </c>
      <c r="T503" s="12"/>
      <c r="V503" cm="1">
        <f t="array" ref="V503">_xlfn.LET(
_xlpm.x,_xlfn._xlws.FILTER(O503:S503,(O503:S503&lt;&gt;"R")*(O503:S503&lt;&gt;"NA")*(O503:S503&lt;&gt;"W")*(O503:S503&lt;&gt;"")),
IF(COUNTA(_xlpm.x)=0,"NA",IF(MIN(_xlpm.x)=MAX(_xlpm.x),MIN(_xlpm.x),"review"))
)</f>
        <v>52</v>
      </c>
    </row>
    <row r="504" spans="1:22" ht="15.75" hidden="1" customHeight="1" x14ac:dyDescent="0.25">
      <c r="A504" s="7" t="s">
        <v>61</v>
      </c>
      <c r="B504" s="8">
        <v>8</v>
      </c>
      <c r="C504" s="8" t="s">
        <v>23</v>
      </c>
      <c r="D504" s="9" t="s">
        <v>62</v>
      </c>
      <c r="E504" s="7" t="s">
        <v>25</v>
      </c>
      <c r="F504" s="7" t="s">
        <v>63</v>
      </c>
      <c r="H504" s="7">
        <v>1973</v>
      </c>
      <c r="I504" s="7">
        <v>19</v>
      </c>
      <c r="K504" s="7">
        <v>7</v>
      </c>
      <c r="M504" s="7">
        <v>1</v>
      </c>
      <c r="N504" s="7">
        <v>15</v>
      </c>
      <c r="O504" s="7" t="s">
        <v>28</v>
      </c>
      <c r="P504" s="7">
        <v>42</v>
      </c>
      <c r="T504" s="12"/>
      <c r="V504" cm="1">
        <f t="array" ref="V504">_xlfn.LET(
_xlpm.x,_xlfn._xlws.FILTER(O504:S504,(O504:S504&lt;&gt;"R")*(O504:S504&lt;&gt;"NA")*(O504:S504&lt;&gt;"W")*(O504:S504&lt;&gt;"")),
IF(COUNTA(_xlpm.x)=0,"NA",IF(MIN(_xlpm.x)=MAX(_xlpm.x),MIN(_xlpm.x),"review"))
)</f>
        <v>42</v>
      </c>
    </row>
    <row r="505" spans="1:22" ht="15.75" hidden="1" customHeight="1" x14ac:dyDescent="0.25">
      <c r="A505" s="7" t="s">
        <v>61</v>
      </c>
      <c r="B505" s="8">
        <v>8</v>
      </c>
      <c r="C505" s="8" t="s">
        <v>23</v>
      </c>
      <c r="D505" s="9" t="s">
        <v>62</v>
      </c>
      <c r="E505" s="7" t="s">
        <v>25</v>
      </c>
      <c r="F505" s="7" t="s">
        <v>63</v>
      </c>
      <c r="H505" s="7">
        <v>1973</v>
      </c>
      <c r="I505" s="7">
        <v>19</v>
      </c>
      <c r="K505" s="7">
        <v>7</v>
      </c>
      <c r="M505" s="7">
        <v>1</v>
      </c>
      <c r="N505" s="7">
        <v>16</v>
      </c>
      <c r="O505" s="7">
        <v>53</v>
      </c>
      <c r="P505" s="7">
        <v>53</v>
      </c>
      <c r="T505" s="12"/>
      <c r="V505" cm="1">
        <f t="array" ref="V505">_xlfn.LET(
_xlpm.x,_xlfn._xlws.FILTER(O505:S505,(O505:S505&lt;&gt;"R")*(O505:S505&lt;&gt;"NA")*(O505:S505&lt;&gt;"W")*(O505:S505&lt;&gt;"")),
IF(COUNTA(_xlpm.x)=0,"NA",IF(MIN(_xlpm.x)=MAX(_xlpm.x),MIN(_xlpm.x),"review"))
)</f>
        <v>53</v>
      </c>
    </row>
    <row r="506" spans="1:22" ht="15.75" hidden="1" customHeight="1" x14ac:dyDescent="0.25">
      <c r="A506" s="7" t="s">
        <v>61</v>
      </c>
      <c r="B506" s="8">
        <v>8</v>
      </c>
      <c r="C506" s="8" t="s">
        <v>23</v>
      </c>
      <c r="D506" s="9" t="s">
        <v>62</v>
      </c>
      <c r="E506" s="7" t="s">
        <v>25</v>
      </c>
      <c r="F506" s="7" t="s">
        <v>63</v>
      </c>
      <c r="H506" s="7">
        <v>1973</v>
      </c>
      <c r="I506" s="7">
        <v>19</v>
      </c>
      <c r="K506" s="7">
        <v>7</v>
      </c>
      <c r="M506" s="7">
        <v>1</v>
      </c>
      <c r="N506" s="7">
        <v>17</v>
      </c>
      <c r="O506" s="7">
        <v>52</v>
      </c>
      <c r="P506" s="7">
        <v>52</v>
      </c>
      <c r="T506" s="12"/>
      <c r="V506" cm="1">
        <f t="array" ref="V506">_xlfn.LET(
_xlpm.x,_xlfn._xlws.FILTER(O506:S506,(O506:S506&lt;&gt;"R")*(O506:S506&lt;&gt;"NA")*(O506:S506&lt;&gt;"W")*(O506:S506&lt;&gt;"")),
IF(COUNTA(_xlpm.x)=0,"NA",IF(MIN(_xlpm.x)=MAX(_xlpm.x),MIN(_xlpm.x),"review"))
)</f>
        <v>52</v>
      </c>
    </row>
    <row r="507" spans="1:22" ht="15.75" hidden="1" customHeight="1" x14ac:dyDescent="0.25">
      <c r="A507" s="7" t="s">
        <v>61</v>
      </c>
      <c r="B507" s="8">
        <v>8</v>
      </c>
      <c r="C507" s="8" t="s">
        <v>23</v>
      </c>
      <c r="D507" s="9" t="s">
        <v>62</v>
      </c>
      <c r="E507" s="7" t="s">
        <v>25</v>
      </c>
      <c r="F507" s="7" t="s">
        <v>63</v>
      </c>
      <c r="H507" s="7">
        <v>1973</v>
      </c>
      <c r="I507" s="7">
        <v>19</v>
      </c>
      <c r="K507" s="7">
        <v>7</v>
      </c>
      <c r="M507" s="7">
        <v>1</v>
      </c>
      <c r="N507" s="7">
        <v>18</v>
      </c>
      <c r="O507" s="7">
        <v>52</v>
      </c>
      <c r="P507" s="7">
        <v>52</v>
      </c>
      <c r="T507" s="12"/>
      <c r="V507" cm="1">
        <f t="array" ref="V507">_xlfn.LET(
_xlpm.x,_xlfn._xlws.FILTER(O507:S507,(O507:S507&lt;&gt;"R")*(O507:S507&lt;&gt;"NA")*(O507:S507&lt;&gt;"W")*(O507:S507&lt;&gt;"")),
IF(COUNTA(_xlpm.x)=0,"NA",IF(MIN(_xlpm.x)=MAX(_xlpm.x),MIN(_xlpm.x),"review"))
)</f>
        <v>52</v>
      </c>
    </row>
    <row r="508" spans="1:22" ht="15.75" hidden="1" customHeight="1" x14ac:dyDescent="0.25">
      <c r="A508" s="7" t="s">
        <v>61</v>
      </c>
      <c r="B508" s="8">
        <v>8</v>
      </c>
      <c r="C508" s="8" t="s">
        <v>23</v>
      </c>
      <c r="D508" s="9" t="s">
        <v>62</v>
      </c>
      <c r="E508" s="7" t="s">
        <v>25</v>
      </c>
      <c r="F508" s="7" t="s">
        <v>63</v>
      </c>
      <c r="H508" s="7">
        <v>1973</v>
      </c>
      <c r="I508" s="7">
        <v>19</v>
      </c>
      <c r="K508" s="7">
        <v>7</v>
      </c>
      <c r="M508" s="7">
        <v>1</v>
      </c>
      <c r="N508" s="7">
        <v>19</v>
      </c>
      <c r="O508" s="7">
        <v>52</v>
      </c>
      <c r="P508" s="7" t="s">
        <v>28</v>
      </c>
      <c r="T508" s="12"/>
      <c r="V508" cm="1">
        <f t="array" ref="V508">_xlfn.LET(
_xlpm.x,_xlfn._xlws.FILTER(O508:S508,(O508:S508&lt;&gt;"R")*(O508:S508&lt;&gt;"NA")*(O508:S508&lt;&gt;"W")*(O508:S508&lt;&gt;"")),
IF(COUNTA(_xlpm.x)=0,"NA",IF(MIN(_xlpm.x)=MAX(_xlpm.x),MIN(_xlpm.x),"review"))
)</f>
        <v>52</v>
      </c>
    </row>
    <row r="509" spans="1:22" ht="15.75" hidden="1" customHeight="1" x14ac:dyDescent="0.25">
      <c r="A509" s="7" t="s">
        <v>61</v>
      </c>
      <c r="B509" s="8">
        <v>8</v>
      </c>
      <c r="C509" s="8" t="s">
        <v>23</v>
      </c>
      <c r="D509" s="9" t="s">
        <v>62</v>
      </c>
      <c r="E509" s="7" t="s">
        <v>25</v>
      </c>
      <c r="F509" s="7" t="s">
        <v>63</v>
      </c>
      <c r="H509" s="7">
        <v>1973</v>
      </c>
      <c r="I509" s="7">
        <v>19</v>
      </c>
      <c r="K509" s="7">
        <v>7</v>
      </c>
      <c r="M509" s="7">
        <v>1</v>
      </c>
      <c r="N509" s="7">
        <v>20</v>
      </c>
      <c r="O509" s="7">
        <v>42</v>
      </c>
      <c r="P509" s="7" t="s">
        <v>29</v>
      </c>
      <c r="T509" s="12"/>
      <c r="V509" cm="1">
        <f t="array" ref="V509">_xlfn.LET(
_xlpm.x,_xlfn._xlws.FILTER(O509:S509,(O509:S509&lt;&gt;"R")*(O509:S509&lt;&gt;"NA")*(O509:S509&lt;&gt;"W")*(O509:S509&lt;&gt;"")),
IF(COUNTA(_xlpm.x)=0,"NA",IF(MIN(_xlpm.x)=MAX(_xlpm.x),MIN(_xlpm.x),"review"))
)</f>
        <v>42</v>
      </c>
    </row>
    <row r="510" spans="1:22" ht="15.75" hidden="1" customHeight="1" x14ac:dyDescent="0.25">
      <c r="A510" s="7" t="s">
        <v>61</v>
      </c>
      <c r="B510" s="8">
        <v>8</v>
      </c>
      <c r="C510" s="8" t="s">
        <v>23</v>
      </c>
      <c r="D510" s="9" t="s">
        <v>62</v>
      </c>
      <c r="E510" s="7" t="s">
        <v>25</v>
      </c>
      <c r="F510" s="7" t="s">
        <v>63</v>
      </c>
      <c r="H510" s="7">
        <v>1973</v>
      </c>
      <c r="I510" s="7">
        <v>19</v>
      </c>
      <c r="K510" s="7">
        <v>7</v>
      </c>
      <c r="M510" s="7">
        <v>1</v>
      </c>
      <c r="N510" s="7">
        <v>21</v>
      </c>
      <c r="O510" s="7">
        <v>52</v>
      </c>
      <c r="P510" s="7">
        <v>52</v>
      </c>
      <c r="T510" s="12"/>
      <c r="V510" cm="1">
        <f t="array" ref="V510">_xlfn.LET(
_xlpm.x,_xlfn._xlws.FILTER(O510:S510,(O510:S510&lt;&gt;"R")*(O510:S510&lt;&gt;"NA")*(O510:S510&lt;&gt;"W")*(O510:S510&lt;&gt;"")),
IF(COUNTA(_xlpm.x)=0,"NA",IF(MIN(_xlpm.x)=MAX(_xlpm.x),MIN(_xlpm.x),"review"))
)</f>
        <v>52</v>
      </c>
    </row>
    <row r="511" spans="1:22" ht="15.75" hidden="1" customHeight="1" x14ac:dyDescent="0.25">
      <c r="A511" s="7" t="s">
        <v>61</v>
      </c>
      <c r="B511" s="8">
        <v>8</v>
      </c>
      <c r="C511" s="8" t="s">
        <v>23</v>
      </c>
      <c r="D511" s="9" t="s">
        <v>62</v>
      </c>
      <c r="E511" s="7" t="s">
        <v>25</v>
      </c>
      <c r="F511" s="7" t="s">
        <v>63</v>
      </c>
      <c r="H511" s="7">
        <v>1973</v>
      </c>
      <c r="I511" s="7">
        <v>19</v>
      </c>
      <c r="K511" s="7">
        <v>7</v>
      </c>
      <c r="M511" s="7">
        <v>1</v>
      </c>
      <c r="N511" s="7">
        <v>22</v>
      </c>
      <c r="O511" s="7">
        <v>42</v>
      </c>
      <c r="P511" s="7">
        <v>42</v>
      </c>
      <c r="T511" s="12"/>
      <c r="V511" cm="1">
        <f t="array" ref="V511">_xlfn.LET(
_xlpm.x,_xlfn._xlws.FILTER(O511:S511,(O511:S511&lt;&gt;"R")*(O511:S511&lt;&gt;"NA")*(O511:S511&lt;&gt;"W")*(O511:S511&lt;&gt;"")),
IF(COUNTA(_xlpm.x)=0,"NA",IF(MIN(_xlpm.x)=MAX(_xlpm.x),MIN(_xlpm.x),"review"))
)</f>
        <v>42</v>
      </c>
    </row>
    <row r="512" spans="1:22" ht="15.75" hidden="1" customHeight="1" x14ac:dyDescent="0.25">
      <c r="A512" s="7" t="s">
        <v>61</v>
      </c>
      <c r="B512" s="8">
        <v>8</v>
      </c>
      <c r="C512" s="8" t="s">
        <v>23</v>
      </c>
      <c r="D512" s="9" t="s">
        <v>62</v>
      </c>
      <c r="E512" s="7" t="s">
        <v>25</v>
      </c>
      <c r="F512" s="7" t="s">
        <v>63</v>
      </c>
      <c r="H512" s="7">
        <v>1973</v>
      </c>
      <c r="I512" s="7">
        <v>19</v>
      </c>
      <c r="K512" s="7">
        <v>7</v>
      </c>
      <c r="M512" s="7">
        <v>1</v>
      </c>
      <c r="N512" s="7">
        <v>23</v>
      </c>
      <c r="O512" s="7">
        <v>42</v>
      </c>
      <c r="P512" s="7">
        <v>42</v>
      </c>
      <c r="T512" s="12"/>
      <c r="V512" cm="1">
        <f t="array" ref="V512">_xlfn.LET(
_xlpm.x,_xlfn._xlws.FILTER(O512:S512,(O512:S512&lt;&gt;"R")*(O512:S512&lt;&gt;"NA")*(O512:S512&lt;&gt;"W")*(O512:S512&lt;&gt;"")),
IF(COUNTA(_xlpm.x)=0,"NA",IF(MIN(_xlpm.x)=MAX(_xlpm.x),MIN(_xlpm.x),"review"))
)</f>
        <v>42</v>
      </c>
    </row>
    <row r="513" spans="1:22" ht="15.75" hidden="1" customHeight="1" x14ac:dyDescent="0.25">
      <c r="A513" s="7" t="s">
        <v>61</v>
      </c>
      <c r="B513" s="8">
        <v>8</v>
      </c>
      <c r="C513" s="8" t="s">
        <v>23</v>
      </c>
      <c r="D513" s="9" t="s">
        <v>62</v>
      </c>
      <c r="E513" s="7" t="s">
        <v>25</v>
      </c>
      <c r="F513" s="7" t="s">
        <v>63</v>
      </c>
      <c r="H513" s="7">
        <v>1973</v>
      </c>
      <c r="I513" s="7">
        <v>19</v>
      </c>
      <c r="K513" s="7">
        <v>7</v>
      </c>
      <c r="M513" s="7">
        <v>1</v>
      </c>
      <c r="N513" s="7">
        <v>24</v>
      </c>
      <c r="O513" s="7">
        <v>42</v>
      </c>
      <c r="P513" s="7">
        <v>42</v>
      </c>
      <c r="T513" s="12"/>
      <c r="V513" cm="1">
        <f t="array" ref="V513">_xlfn.LET(
_xlpm.x,_xlfn._xlws.FILTER(O513:S513,(O513:S513&lt;&gt;"R")*(O513:S513&lt;&gt;"NA")*(O513:S513&lt;&gt;"W")*(O513:S513&lt;&gt;"")),
IF(COUNTA(_xlpm.x)=0,"NA",IF(MIN(_xlpm.x)=MAX(_xlpm.x),MIN(_xlpm.x),"review"))
)</f>
        <v>42</v>
      </c>
    </row>
    <row r="514" spans="1:22" ht="15.75" hidden="1" customHeight="1" x14ac:dyDescent="0.25">
      <c r="A514" s="7" t="s">
        <v>61</v>
      </c>
      <c r="B514" s="8">
        <v>8</v>
      </c>
      <c r="C514" s="8" t="s">
        <v>23</v>
      </c>
      <c r="D514" s="9" t="s">
        <v>62</v>
      </c>
      <c r="E514" s="7" t="s">
        <v>25</v>
      </c>
      <c r="F514" s="7" t="s">
        <v>63</v>
      </c>
      <c r="H514" s="7">
        <v>1973</v>
      </c>
      <c r="I514" s="7">
        <v>19</v>
      </c>
      <c r="K514" s="7">
        <v>7</v>
      </c>
      <c r="M514" s="7">
        <v>1</v>
      </c>
      <c r="N514" s="7">
        <v>25</v>
      </c>
      <c r="O514" s="7">
        <v>52</v>
      </c>
      <c r="P514" s="7">
        <v>52</v>
      </c>
      <c r="T514" s="12"/>
      <c r="V514" cm="1">
        <f t="array" ref="V514">_xlfn.LET(
_xlpm.x,_xlfn._xlws.FILTER(O514:S514,(O514:S514&lt;&gt;"R")*(O514:S514&lt;&gt;"NA")*(O514:S514&lt;&gt;"W")*(O514:S514&lt;&gt;"")),
IF(COUNTA(_xlpm.x)=0,"NA",IF(MIN(_xlpm.x)=MAX(_xlpm.x),MIN(_xlpm.x),"review"))
)</f>
        <v>52</v>
      </c>
    </row>
    <row r="515" spans="1:22" ht="15.75" hidden="1" customHeight="1" x14ac:dyDescent="0.25">
      <c r="A515" s="7" t="s">
        <v>64</v>
      </c>
      <c r="B515" s="8">
        <v>8</v>
      </c>
      <c r="C515" s="8" t="s">
        <v>65</v>
      </c>
      <c r="D515" s="9" t="s">
        <v>66</v>
      </c>
      <c r="E515" s="7" t="s">
        <v>25</v>
      </c>
      <c r="F515" s="7" t="s">
        <v>67</v>
      </c>
      <c r="G515" s="7" t="s">
        <v>27</v>
      </c>
      <c r="H515" s="7">
        <v>1974</v>
      </c>
      <c r="I515" s="7">
        <v>9</v>
      </c>
      <c r="K515" s="7">
        <v>7</v>
      </c>
      <c r="M515" s="7">
        <v>1</v>
      </c>
      <c r="N515" s="7">
        <v>1</v>
      </c>
      <c r="T515" s="12"/>
      <c r="V515" t="s">
        <v>29</v>
      </c>
    </row>
    <row r="516" spans="1:22" ht="15.75" hidden="1" customHeight="1" x14ac:dyDescent="0.25">
      <c r="A516" s="7" t="s">
        <v>64</v>
      </c>
      <c r="B516" s="8">
        <v>8</v>
      </c>
      <c r="C516" s="8" t="s">
        <v>65</v>
      </c>
      <c r="D516" s="9" t="s">
        <v>66</v>
      </c>
      <c r="E516" s="7" t="s">
        <v>25</v>
      </c>
      <c r="F516" s="7" t="s">
        <v>67</v>
      </c>
      <c r="G516" s="7" t="s">
        <v>27</v>
      </c>
      <c r="H516" s="7">
        <v>1974</v>
      </c>
      <c r="I516" s="7">
        <v>9</v>
      </c>
      <c r="K516" s="7">
        <v>7</v>
      </c>
      <c r="M516" s="7">
        <v>1</v>
      </c>
      <c r="N516" s="7">
        <v>2</v>
      </c>
      <c r="T516" s="12"/>
      <c r="V516" t="s">
        <v>29</v>
      </c>
    </row>
    <row r="517" spans="1:22" ht="15.75" hidden="1" customHeight="1" x14ac:dyDescent="0.25">
      <c r="A517" s="7" t="s">
        <v>64</v>
      </c>
      <c r="B517" s="8">
        <v>8</v>
      </c>
      <c r="C517" s="8" t="s">
        <v>65</v>
      </c>
      <c r="D517" s="9" t="s">
        <v>66</v>
      </c>
      <c r="E517" s="7" t="s">
        <v>25</v>
      </c>
      <c r="F517" s="7" t="s">
        <v>67</v>
      </c>
      <c r="G517" s="7" t="s">
        <v>27</v>
      </c>
      <c r="H517" s="7">
        <v>1974</v>
      </c>
      <c r="I517" s="7">
        <v>9</v>
      </c>
      <c r="K517" s="7">
        <v>7</v>
      </c>
      <c r="M517" s="7">
        <v>1</v>
      </c>
      <c r="N517" s="7">
        <v>3</v>
      </c>
      <c r="T517" s="12"/>
      <c r="V517" t="s">
        <v>29</v>
      </c>
    </row>
    <row r="518" spans="1:22" ht="15.75" hidden="1" customHeight="1" x14ac:dyDescent="0.25">
      <c r="A518" s="7" t="s">
        <v>64</v>
      </c>
      <c r="B518" s="8">
        <v>8</v>
      </c>
      <c r="C518" s="8" t="s">
        <v>65</v>
      </c>
      <c r="D518" s="9" t="s">
        <v>66</v>
      </c>
      <c r="E518" s="7" t="s">
        <v>25</v>
      </c>
      <c r="F518" s="7" t="s">
        <v>67</v>
      </c>
      <c r="G518" s="7" t="s">
        <v>27</v>
      </c>
      <c r="H518" s="7">
        <v>1974</v>
      </c>
      <c r="I518" s="7">
        <v>9</v>
      </c>
      <c r="K518" s="7">
        <v>7</v>
      </c>
      <c r="M518" s="7">
        <v>1</v>
      </c>
      <c r="N518" s="7">
        <v>4</v>
      </c>
      <c r="T518" s="12"/>
      <c r="V518" t="s">
        <v>29</v>
      </c>
    </row>
    <row r="519" spans="1:22" ht="15.75" hidden="1" customHeight="1" x14ac:dyDescent="0.25">
      <c r="A519" s="7" t="s">
        <v>64</v>
      </c>
      <c r="B519" s="8">
        <v>8</v>
      </c>
      <c r="C519" s="8" t="s">
        <v>65</v>
      </c>
      <c r="D519" s="9" t="s">
        <v>66</v>
      </c>
      <c r="E519" s="7" t="s">
        <v>25</v>
      </c>
      <c r="F519" s="7" t="s">
        <v>67</v>
      </c>
      <c r="G519" s="7" t="s">
        <v>27</v>
      </c>
      <c r="H519" s="7">
        <v>1974</v>
      </c>
      <c r="I519" s="7">
        <v>9</v>
      </c>
      <c r="K519" s="7">
        <v>7</v>
      </c>
      <c r="M519" s="7">
        <v>1</v>
      </c>
      <c r="N519" s="7">
        <v>5</v>
      </c>
      <c r="T519" s="12"/>
      <c r="V519" t="s">
        <v>29</v>
      </c>
    </row>
    <row r="520" spans="1:22" ht="15.75" hidden="1" customHeight="1" x14ac:dyDescent="0.25">
      <c r="A520" s="7" t="s">
        <v>64</v>
      </c>
      <c r="B520" s="8">
        <v>8</v>
      </c>
      <c r="C520" s="8" t="s">
        <v>65</v>
      </c>
      <c r="D520" s="9" t="s">
        <v>66</v>
      </c>
      <c r="E520" s="7" t="s">
        <v>25</v>
      </c>
      <c r="F520" s="7" t="s">
        <v>67</v>
      </c>
      <c r="G520" s="7" t="s">
        <v>27</v>
      </c>
      <c r="H520" s="7">
        <v>1974</v>
      </c>
      <c r="I520" s="7">
        <v>9</v>
      </c>
      <c r="K520" s="7">
        <v>7</v>
      </c>
      <c r="M520" s="7">
        <v>1</v>
      </c>
      <c r="N520" s="7">
        <v>6</v>
      </c>
      <c r="T520" s="12"/>
      <c r="V520" t="s">
        <v>29</v>
      </c>
    </row>
    <row r="521" spans="1:22" ht="15.75" hidden="1" customHeight="1" x14ac:dyDescent="0.25">
      <c r="A521" s="7" t="s">
        <v>64</v>
      </c>
      <c r="B521" s="8">
        <v>8</v>
      </c>
      <c r="C521" s="8" t="s">
        <v>65</v>
      </c>
      <c r="D521" s="9" t="s">
        <v>66</v>
      </c>
      <c r="E521" s="7" t="s">
        <v>25</v>
      </c>
      <c r="F521" s="7" t="s">
        <v>67</v>
      </c>
      <c r="G521" s="7" t="s">
        <v>27</v>
      </c>
      <c r="H521" s="7">
        <v>1974</v>
      </c>
      <c r="I521" s="7">
        <v>9</v>
      </c>
      <c r="K521" s="7">
        <v>7</v>
      </c>
      <c r="M521" s="7">
        <v>1</v>
      </c>
      <c r="N521" s="7">
        <v>7</v>
      </c>
      <c r="T521" s="12"/>
      <c r="V521" t="s">
        <v>29</v>
      </c>
    </row>
    <row r="522" spans="1:22" ht="15.75" hidden="1" customHeight="1" x14ac:dyDescent="0.25">
      <c r="A522" s="7" t="s">
        <v>64</v>
      </c>
      <c r="B522" s="8">
        <v>8</v>
      </c>
      <c r="C522" s="8" t="s">
        <v>65</v>
      </c>
      <c r="D522" s="9" t="s">
        <v>66</v>
      </c>
      <c r="E522" s="7" t="s">
        <v>25</v>
      </c>
      <c r="F522" s="7" t="s">
        <v>67</v>
      </c>
      <c r="G522" s="7" t="s">
        <v>27</v>
      </c>
      <c r="H522" s="7">
        <v>1974</v>
      </c>
      <c r="I522" s="7">
        <v>9</v>
      </c>
      <c r="K522" s="7">
        <v>7</v>
      </c>
      <c r="M522" s="7">
        <v>1</v>
      </c>
      <c r="N522" s="7">
        <v>8</v>
      </c>
      <c r="T522" s="12"/>
      <c r="V522" t="s">
        <v>29</v>
      </c>
    </row>
    <row r="523" spans="1:22" ht="15.75" hidden="1" customHeight="1" x14ac:dyDescent="0.25">
      <c r="A523" s="7" t="s">
        <v>64</v>
      </c>
      <c r="B523" s="8">
        <v>8</v>
      </c>
      <c r="C523" s="8" t="s">
        <v>65</v>
      </c>
      <c r="D523" s="9" t="s">
        <v>66</v>
      </c>
      <c r="E523" s="7" t="s">
        <v>25</v>
      </c>
      <c r="F523" s="7" t="s">
        <v>67</v>
      </c>
      <c r="G523" s="7" t="s">
        <v>27</v>
      </c>
      <c r="H523" s="7">
        <v>1974</v>
      </c>
      <c r="I523" s="7">
        <v>9</v>
      </c>
      <c r="K523" s="7">
        <v>7</v>
      </c>
      <c r="M523" s="7">
        <v>1</v>
      </c>
      <c r="N523" s="7">
        <v>9</v>
      </c>
      <c r="T523" s="12"/>
      <c r="V523" t="s">
        <v>29</v>
      </c>
    </row>
    <row r="524" spans="1:22" ht="15.75" hidden="1" customHeight="1" x14ac:dyDescent="0.25">
      <c r="A524" s="7" t="s">
        <v>64</v>
      </c>
      <c r="B524" s="8">
        <v>8</v>
      </c>
      <c r="C524" s="8" t="s">
        <v>65</v>
      </c>
      <c r="D524" s="9" t="s">
        <v>66</v>
      </c>
      <c r="E524" s="7" t="s">
        <v>25</v>
      </c>
      <c r="F524" s="7" t="s">
        <v>67</v>
      </c>
      <c r="G524" s="7" t="s">
        <v>27</v>
      </c>
      <c r="H524" s="7">
        <v>1974</v>
      </c>
      <c r="I524" s="7">
        <v>9</v>
      </c>
      <c r="K524" s="7">
        <v>7</v>
      </c>
      <c r="M524" s="7">
        <v>1</v>
      </c>
      <c r="N524" s="7">
        <v>10</v>
      </c>
      <c r="T524" s="12"/>
      <c r="V524" t="s">
        <v>29</v>
      </c>
    </row>
    <row r="525" spans="1:22" ht="15.75" hidden="1" customHeight="1" x14ac:dyDescent="0.25">
      <c r="A525" s="7" t="s">
        <v>64</v>
      </c>
      <c r="B525" s="8">
        <v>8</v>
      </c>
      <c r="C525" s="8" t="s">
        <v>65</v>
      </c>
      <c r="D525" s="9" t="s">
        <v>66</v>
      </c>
      <c r="E525" s="7" t="s">
        <v>25</v>
      </c>
      <c r="F525" s="7" t="s">
        <v>67</v>
      </c>
      <c r="G525" s="7" t="s">
        <v>27</v>
      </c>
      <c r="H525" s="7">
        <v>1974</v>
      </c>
      <c r="I525" s="7">
        <v>9</v>
      </c>
      <c r="K525" s="7">
        <v>7</v>
      </c>
      <c r="M525" s="7">
        <v>1</v>
      </c>
      <c r="N525" s="7">
        <v>11</v>
      </c>
      <c r="T525" s="12"/>
      <c r="V525" t="s">
        <v>29</v>
      </c>
    </row>
    <row r="526" spans="1:22" ht="15.75" hidden="1" customHeight="1" x14ac:dyDescent="0.25">
      <c r="A526" s="7" t="s">
        <v>64</v>
      </c>
      <c r="B526" s="8">
        <v>8</v>
      </c>
      <c r="C526" s="8" t="s">
        <v>65</v>
      </c>
      <c r="D526" s="9" t="s">
        <v>66</v>
      </c>
      <c r="E526" s="7" t="s">
        <v>25</v>
      </c>
      <c r="F526" s="7" t="s">
        <v>67</v>
      </c>
      <c r="G526" s="7" t="s">
        <v>27</v>
      </c>
      <c r="H526" s="7">
        <v>1974</v>
      </c>
      <c r="I526" s="7">
        <v>9</v>
      </c>
      <c r="K526" s="7">
        <v>7</v>
      </c>
      <c r="M526" s="7">
        <v>1</v>
      </c>
      <c r="N526" s="7">
        <v>12</v>
      </c>
      <c r="T526" s="12"/>
      <c r="V526" t="s">
        <v>29</v>
      </c>
    </row>
    <row r="527" spans="1:22" ht="15.75" hidden="1" customHeight="1" x14ac:dyDescent="0.25">
      <c r="A527" s="7" t="s">
        <v>64</v>
      </c>
      <c r="B527" s="8">
        <v>8</v>
      </c>
      <c r="C527" s="8" t="s">
        <v>65</v>
      </c>
      <c r="D527" s="9" t="s">
        <v>66</v>
      </c>
      <c r="E527" s="7" t="s">
        <v>25</v>
      </c>
      <c r="F527" s="7" t="s">
        <v>67</v>
      </c>
      <c r="G527" s="7" t="s">
        <v>27</v>
      </c>
      <c r="H527" s="7">
        <v>1974</v>
      </c>
      <c r="I527" s="7">
        <v>9</v>
      </c>
      <c r="K527" s="7">
        <v>7</v>
      </c>
      <c r="M527" s="7">
        <v>1</v>
      </c>
      <c r="N527" s="7">
        <v>13</v>
      </c>
      <c r="T527" s="12"/>
      <c r="V527" t="s">
        <v>29</v>
      </c>
    </row>
    <row r="528" spans="1:22" ht="15.75" hidden="1" customHeight="1" x14ac:dyDescent="0.25">
      <c r="A528" s="7" t="s">
        <v>64</v>
      </c>
      <c r="B528" s="8">
        <v>8</v>
      </c>
      <c r="C528" s="8" t="s">
        <v>65</v>
      </c>
      <c r="D528" s="9" t="s">
        <v>66</v>
      </c>
      <c r="E528" s="7" t="s">
        <v>25</v>
      </c>
      <c r="F528" s="7" t="s">
        <v>67</v>
      </c>
      <c r="G528" s="7" t="s">
        <v>27</v>
      </c>
      <c r="H528" s="7">
        <v>1974</v>
      </c>
      <c r="I528" s="7">
        <v>9</v>
      </c>
      <c r="K528" s="7">
        <v>7</v>
      </c>
      <c r="M528" s="7">
        <v>1</v>
      </c>
      <c r="N528" s="7">
        <v>14</v>
      </c>
      <c r="T528" s="12"/>
      <c r="V528" t="s">
        <v>29</v>
      </c>
    </row>
    <row r="529" spans="1:22" ht="15.75" hidden="1" customHeight="1" x14ac:dyDescent="0.25">
      <c r="A529" s="7" t="s">
        <v>64</v>
      </c>
      <c r="B529" s="8">
        <v>8</v>
      </c>
      <c r="C529" s="8" t="s">
        <v>65</v>
      </c>
      <c r="D529" s="9" t="s">
        <v>66</v>
      </c>
      <c r="E529" s="7" t="s">
        <v>25</v>
      </c>
      <c r="F529" s="7" t="s">
        <v>67</v>
      </c>
      <c r="G529" s="7" t="s">
        <v>27</v>
      </c>
      <c r="H529" s="7">
        <v>1974</v>
      </c>
      <c r="I529" s="7">
        <v>9</v>
      </c>
      <c r="K529" s="7">
        <v>7</v>
      </c>
      <c r="M529" s="7">
        <v>1</v>
      </c>
      <c r="N529" s="7">
        <v>15</v>
      </c>
      <c r="T529" s="12"/>
      <c r="V529" t="s">
        <v>29</v>
      </c>
    </row>
    <row r="530" spans="1:22" ht="15.75" hidden="1" customHeight="1" x14ac:dyDescent="0.25">
      <c r="A530" s="7" t="s">
        <v>64</v>
      </c>
      <c r="B530" s="8">
        <v>8</v>
      </c>
      <c r="C530" s="8" t="s">
        <v>65</v>
      </c>
      <c r="D530" s="9" t="s">
        <v>66</v>
      </c>
      <c r="E530" s="7" t="s">
        <v>25</v>
      </c>
      <c r="F530" s="7" t="s">
        <v>67</v>
      </c>
      <c r="G530" s="7" t="s">
        <v>27</v>
      </c>
      <c r="H530" s="7">
        <v>1974</v>
      </c>
      <c r="I530" s="7">
        <v>9</v>
      </c>
      <c r="K530" s="7">
        <v>7</v>
      </c>
      <c r="M530" s="7">
        <v>1</v>
      </c>
      <c r="N530" s="7">
        <v>16</v>
      </c>
      <c r="T530" s="12"/>
      <c r="V530" t="s">
        <v>29</v>
      </c>
    </row>
    <row r="531" spans="1:22" ht="15.75" hidden="1" customHeight="1" x14ac:dyDescent="0.25">
      <c r="A531" s="7" t="s">
        <v>64</v>
      </c>
      <c r="B531" s="8">
        <v>8</v>
      </c>
      <c r="C531" s="8" t="s">
        <v>65</v>
      </c>
      <c r="D531" s="9" t="s">
        <v>66</v>
      </c>
      <c r="E531" s="7" t="s">
        <v>25</v>
      </c>
      <c r="F531" s="7" t="s">
        <v>67</v>
      </c>
      <c r="G531" s="7" t="s">
        <v>27</v>
      </c>
      <c r="H531" s="7">
        <v>1974</v>
      </c>
      <c r="I531" s="7">
        <v>9</v>
      </c>
      <c r="K531" s="7">
        <v>7</v>
      </c>
      <c r="M531" s="7">
        <v>1</v>
      </c>
      <c r="N531" s="7">
        <v>17</v>
      </c>
      <c r="T531" s="12"/>
      <c r="V531" t="s">
        <v>29</v>
      </c>
    </row>
    <row r="532" spans="1:22" ht="15.75" hidden="1" customHeight="1" x14ac:dyDescent="0.25">
      <c r="A532" s="7" t="s">
        <v>64</v>
      </c>
      <c r="B532" s="8">
        <v>8</v>
      </c>
      <c r="C532" s="8" t="s">
        <v>65</v>
      </c>
      <c r="D532" s="9" t="s">
        <v>66</v>
      </c>
      <c r="E532" s="7" t="s">
        <v>25</v>
      </c>
      <c r="F532" s="7" t="s">
        <v>67</v>
      </c>
      <c r="G532" s="7" t="s">
        <v>27</v>
      </c>
      <c r="H532" s="7">
        <v>1974</v>
      </c>
      <c r="I532" s="7">
        <v>9</v>
      </c>
      <c r="K532" s="7">
        <v>7</v>
      </c>
      <c r="M532" s="7">
        <v>1</v>
      </c>
      <c r="N532" s="7">
        <v>18</v>
      </c>
      <c r="T532" s="12"/>
      <c r="V532" t="s">
        <v>29</v>
      </c>
    </row>
    <row r="533" spans="1:22" ht="15.75" hidden="1" customHeight="1" x14ac:dyDescent="0.25">
      <c r="A533" s="7" t="s">
        <v>64</v>
      </c>
      <c r="B533" s="8">
        <v>8</v>
      </c>
      <c r="C533" s="8" t="s">
        <v>65</v>
      </c>
      <c r="D533" s="9" t="s">
        <v>66</v>
      </c>
      <c r="E533" s="7" t="s">
        <v>25</v>
      </c>
      <c r="F533" s="7" t="s">
        <v>67</v>
      </c>
      <c r="G533" s="7" t="s">
        <v>27</v>
      </c>
      <c r="H533" s="7">
        <v>1974</v>
      </c>
      <c r="I533" s="7">
        <v>9</v>
      </c>
      <c r="K533" s="7">
        <v>7</v>
      </c>
      <c r="M533" s="7">
        <v>1</v>
      </c>
      <c r="N533" s="7">
        <v>19</v>
      </c>
      <c r="T533" s="12"/>
      <c r="V533" t="s">
        <v>29</v>
      </c>
    </row>
    <row r="534" spans="1:22" ht="15.75" hidden="1" customHeight="1" x14ac:dyDescent="0.25">
      <c r="A534" s="7" t="s">
        <v>64</v>
      </c>
      <c r="B534" s="8">
        <v>8</v>
      </c>
      <c r="C534" s="8" t="s">
        <v>65</v>
      </c>
      <c r="D534" s="9" t="s">
        <v>66</v>
      </c>
      <c r="E534" s="7" t="s">
        <v>25</v>
      </c>
      <c r="F534" s="7" t="s">
        <v>67</v>
      </c>
      <c r="G534" s="7" t="s">
        <v>27</v>
      </c>
      <c r="H534" s="7">
        <v>1974</v>
      </c>
      <c r="I534" s="7">
        <v>9</v>
      </c>
      <c r="K534" s="7">
        <v>7</v>
      </c>
      <c r="M534" s="7">
        <v>1</v>
      </c>
      <c r="N534" s="7">
        <v>20</v>
      </c>
      <c r="T534" s="12"/>
      <c r="V534" t="s">
        <v>29</v>
      </c>
    </row>
    <row r="535" spans="1:22" ht="15.75" hidden="1" customHeight="1" x14ac:dyDescent="0.25">
      <c r="A535" s="7" t="s">
        <v>64</v>
      </c>
      <c r="B535" s="8">
        <v>8</v>
      </c>
      <c r="C535" s="8" t="s">
        <v>65</v>
      </c>
      <c r="D535" s="9" t="s">
        <v>66</v>
      </c>
      <c r="E535" s="7" t="s">
        <v>25</v>
      </c>
      <c r="F535" s="7" t="s">
        <v>67</v>
      </c>
      <c r="G535" s="7" t="s">
        <v>27</v>
      </c>
      <c r="H535" s="7">
        <v>1974</v>
      </c>
      <c r="I535" s="7">
        <v>9</v>
      </c>
      <c r="K535" s="7">
        <v>7</v>
      </c>
      <c r="M535" s="7">
        <v>1</v>
      </c>
      <c r="N535" s="7">
        <v>21</v>
      </c>
      <c r="T535" s="12"/>
      <c r="V535" t="s">
        <v>29</v>
      </c>
    </row>
    <row r="536" spans="1:22" ht="15.75" hidden="1" customHeight="1" x14ac:dyDescent="0.25">
      <c r="A536" s="7" t="s">
        <v>64</v>
      </c>
      <c r="B536" s="8">
        <v>8</v>
      </c>
      <c r="C536" s="8" t="s">
        <v>65</v>
      </c>
      <c r="D536" s="9" t="s">
        <v>66</v>
      </c>
      <c r="E536" s="7" t="s">
        <v>25</v>
      </c>
      <c r="F536" s="7" t="s">
        <v>67</v>
      </c>
      <c r="G536" s="7" t="s">
        <v>27</v>
      </c>
      <c r="H536" s="7">
        <v>1974</v>
      </c>
      <c r="I536" s="7">
        <v>9</v>
      </c>
      <c r="K536" s="7">
        <v>7</v>
      </c>
      <c r="M536" s="7">
        <v>1</v>
      </c>
      <c r="N536" s="7">
        <v>22</v>
      </c>
      <c r="T536" s="12"/>
      <c r="V536" t="s">
        <v>29</v>
      </c>
    </row>
    <row r="537" spans="1:22" ht="15.75" hidden="1" customHeight="1" x14ac:dyDescent="0.25">
      <c r="A537" s="7" t="s">
        <v>64</v>
      </c>
      <c r="B537" s="8">
        <v>8</v>
      </c>
      <c r="C537" s="8" t="s">
        <v>65</v>
      </c>
      <c r="D537" s="9" t="s">
        <v>66</v>
      </c>
      <c r="E537" s="7" t="s">
        <v>25</v>
      </c>
      <c r="F537" s="7" t="s">
        <v>67</v>
      </c>
      <c r="G537" s="7" t="s">
        <v>27</v>
      </c>
      <c r="H537" s="7">
        <v>1974</v>
      </c>
      <c r="I537" s="7">
        <v>9</v>
      </c>
      <c r="K537" s="7">
        <v>7</v>
      </c>
      <c r="M537" s="7">
        <v>1</v>
      </c>
      <c r="N537" s="7">
        <v>23</v>
      </c>
      <c r="T537" s="12"/>
      <c r="V537" t="s">
        <v>29</v>
      </c>
    </row>
    <row r="538" spans="1:22" ht="15.75" hidden="1" customHeight="1" x14ac:dyDescent="0.25">
      <c r="A538" s="7" t="s">
        <v>64</v>
      </c>
      <c r="B538" s="8">
        <v>8</v>
      </c>
      <c r="C538" s="8" t="s">
        <v>65</v>
      </c>
      <c r="D538" s="9" t="s">
        <v>66</v>
      </c>
      <c r="E538" s="7" t="s">
        <v>25</v>
      </c>
      <c r="F538" s="7" t="s">
        <v>67</v>
      </c>
      <c r="G538" s="7" t="s">
        <v>27</v>
      </c>
      <c r="H538" s="7">
        <v>1974</v>
      </c>
      <c r="I538" s="7">
        <v>9</v>
      </c>
      <c r="K538" s="7">
        <v>7</v>
      </c>
      <c r="M538" s="7">
        <v>1</v>
      </c>
      <c r="N538" s="7">
        <v>24</v>
      </c>
      <c r="T538" s="12"/>
      <c r="V538" t="s">
        <v>29</v>
      </c>
    </row>
    <row r="539" spans="1:22" ht="15.75" hidden="1" customHeight="1" x14ac:dyDescent="0.25">
      <c r="A539" s="7" t="s">
        <v>64</v>
      </c>
      <c r="B539" s="8">
        <v>8</v>
      </c>
      <c r="C539" s="8" t="s">
        <v>65</v>
      </c>
      <c r="D539" s="9" t="s">
        <v>66</v>
      </c>
      <c r="E539" s="7" t="s">
        <v>25</v>
      </c>
      <c r="F539" s="7" t="s">
        <v>67</v>
      </c>
      <c r="G539" s="7" t="s">
        <v>27</v>
      </c>
      <c r="H539" s="7">
        <v>1974</v>
      </c>
      <c r="I539" s="7">
        <v>9</v>
      </c>
      <c r="K539" s="7">
        <v>7</v>
      </c>
      <c r="M539" s="7">
        <v>1</v>
      </c>
      <c r="N539" s="7">
        <v>25</v>
      </c>
      <c r="T539" s="12"/>
      <c r="V539" t="s">
        <v>29</v>
      </c>
    </row>
    <row r="540" spans="1:22" ht="15.75" hidden="1" customHeight="1" x14ac:dyDescent="0.25">
      <c r="A540" s="7" t="s">
        <v>64</v>
      </c>
      <c r="B540" s="8">
        <v>8</v>
      </c>
      <c r="C540" s="8" t="s">
        <v>65</v>
      </c>
      <c r="D540" s="9" t="s">
        <v>66</v>
      </c>
      <c r="E540" s="7" t="s">
        <v>25</v>
      </c>
      <c r="F540" s="7" t="s">
        <v>67</v>
      </c>
      <c r="G540" s="7" t="s">
        <v>27</v>
      </c>
      <c r="H540" s="7">
        <v>1974</v>
      </c>
      <c r="I540" s="7">
        <v>9</v>
      </c>
      <c r="K540" s="7">
        <v>7</v>
      </c>
      <c r="M540" s="7">
        <v>2</v>
      </c>
      <c r="N540" s="7">
        <v>1</v>
      </c>
      <c r="T540" s="12"/>
      <c r="V540" t="s">
        <v>29</v>
      </c>
    </row>
    <row r="541" spans="1:22" ht="15.75" hidden="1" customHeight="1" x14ac:dyDescent="0.25">
      <c r="A541" s="7" t="s">
        <v>64</v>
      </c>
      <c r="B541" s="8">
        <v>8</v>
      </c>
      <c r="C541" s="8" t="s">
        <v>65</v>
      </c>
      <c r="D541" s="9" t="s">
        <v>66</v>
      </c>
      <c r="E541" s="7" t="s">
        <v>25</v>
      </c>
      <c r="F541" s="7" t="s">
        <v>67</v>
      </c>
      <c r="G541" s="7" t="s">
        <v>27</v>
      </c>
      <c r="H541" s="7">
        <v>1974</v>
      </c>
      <c r="I541" s="7">
        <v>9</v>
      </c>
      <c r="K541" s="7">
        <v>7</v>
      </c>
      <c r="M541" s="7">
        <v>2</v>
      </c>
      <c r="N541" s="7">
        <v>2</v>
      </c>
      <c r="T541" s="12"/>
      <c r="V541" t="s">
        <v>29</v>
      </c>
    </row>
    <row r="542" spans="1:22" ht="15.75" hidden="1" customHeight="1" x14ac:dyDescent="0.25">
      <c r="A542" s="7" t="s">
        <v>64</v>
      </c>
      <c r="B542" s="8">
        <v>8</v>
      </c>
      <c r="C542" s="8" t="s">
        <v>65</v>
      </c>
      <c r="D542" s="9" t="s">
        <v>66</v>
      </c>
      <c r="E542" s="7" t="s">
        <v>25</v>
      </c>
      <c r="F542" s="7" t="s">
        <v>67</v>
      </c>
      <c r="G542" s="7" t="s">
        <v>27</v>
      </c>
      <c r="H542" s="7">
        <v>1974</v>
      </c>
      <c r="I542" s="7">
        <v>9</v>
      </c>
      <c r="K542" s="7">
        <v>7</v>
      </c>
      <c r="M542" s="7">
        <v>2</v>
      </c>
      <c r="N542" s="7">
        <v>3</v>
      </c>
      <c r="T542" s="12"/>
      <c r="V542" t="s">
        <v>29</v>
      </c>
    </row>
    <row r="543" spans="1:22" ht="15.75" hidden="1" customHeight="1" x14ac:dyDescent="0.25">
      <c r="A543" s="7" t="s">
        <v>64</v>
      </c>
      <c r="B543" s="8">
        <v>8</v>
      </c>
      <c r="C543" s="8" t="s">
        <v>65</v>
      </c>
      <c r="D543" s="9" t="s">
        <v>66</v>
      </c>
      <c r="E543" s="7" t="s">
        <v>25</v>
      </c>
      <c r="F543" s="7" t="s">
        <v>67</v>
      </c>
      <c r="G543" s="7" t="s">
        <v>27</v>
      </c>
      <c r="H543" s="7">
        <v>1974</v>
      </c>
      <c r="I543" s="7">
        <v>9</v>
      </c>
      <c r="K543" s="7">
        <v>7</v>
      </c>
      <c r="M543" s="7">
        <v>2</v>
      </c>
      <c r="N543" s="7">
        <v>4</v>
      </c>
      <c r="T543" s="12"/>
      <c r="V543" t="s">
        <v>29</v>
      </c>
    </row>
    <row r="544" spans="1:22" ht="15.75" hidden="1" customHeight="1" x14ac:dyDescent="0.25">
      <c r="A544" s="7" t="s">
        <v>64</v>
      </c>
      <c r="B544" s="8">
        <v>8</v>
      </c>
      <c r="C544" s="8" t="s">
        <v>65</v>
      </c>
      <c r="D544" s="9" t="s">
        <v>66</v>
      </c>
      <c r="E544" s="7" t="s">
        <v>25</v>
      </c>
      <c r="F544" s="7" t="s">
        <v>67</v>
      </c>
      <c r="G544" s="7" t="s">
        <v>27</v>
      </c>
      <c r="H544" s="7">
        <v>1974</v>
      </c>
      <c r="I544" s="7">
        <v>9</v>
      </c>
      <c r="K544" s="7">
        <v>7</v>
      </c>
      <c r="M544" s="7">
        <v>2</v>
      </c>
      <c r="N544" s="7">
        <v>5</v>
      </c>
      <c r="T544" s="12"/>
      <c r="V544" t="s">
        <v>29</v>
      </c>
    </row>
    <row r="545" spans="1:22" ht="15.75" hidden="1" customHeight="1" x14ac:dyDescent="0.25">
      <c r="A545" s="7" t="s">
        <v>64</v>
      </c>
      <c r="B545" s="8">
        <v>8</v>
      </c>
      <c r="C545" s="8" t="s">
        <v>65</v>
      </c>
      <c r="D545" s="9" t="s">
        <v>66</v>
      </c>
      <c r="E545" s="7" t="s">
        <v>25</v>
      </c>
      <c r="F545" s="7" t="s">
        <v>67</v>
      </c>
      <c r="G545" s="7" t="s">
        <v>27</v>
      </c>
      <c r="H545" s="7">
        <v>1974</v>
      </c>
      <c r="I545" s="7">
        <v>9</v>
      </c>
      <c r="K545" s="7">
        <v>7</v>
      </c>
      <c r="M545" s="7">
        <v>2</v>
      </c>
      <c r="N545" s="7">
        <v>6</v>
      </c>
      <c r="T545" s="12"/>
      <c r="V545" t="s">
        <v>29</v>
      </c>
    </row>
    <row r="546" spans="1:22" ht="15.75" hidden="1" customHeight="1" x14ac:dyDescent="0.25">
      <c r="A546" s="7" t="s">
        <v>64</v>
      </c>
      <c r="B546" s="8">
        <v>8</v>
      </c>
      <c r="C546" s="8" t="s">
        <v>65</v>
      </c>
      <c r="D546" s="9" t="s">
        <v>66</v>
      </c>
      <c r="E546" s="7" t="s">
        <v>25</v>
      </c>
      <c r="F546" s="7" t="s">
        <v>67</v>
      </c>
      <c r="G546" s="7" t="s">
        <v>27</v>
      </c>
      <c r="H546" s="7">
        <v>1974</v>
      </c>
      <c r="I546" s="7">
        <v>9</v>
      </c>
      <c r="K546" s="7">
        <v>7</v>
      </c>
      <c r="M546" s="7">
        <v>2</v>
      </c>
      <c r="N546" s="7">
        <v>7</v>
      </c>
      <c r="T546" s="12"/>
      <c r="V546" t="s">
        <v>29</v>
      </c>
    </row>
    <row r="547" spans="1:22" ht="15.75" hidden="1" customHeight="1" x14ac:dyDescent="0.25">
      <c r="A547" s="7" t="s">
        <v>64</v>
      </c>
      <c r="B547" s="8">
        <v>8</v>
      </c>
      <c r="C547" s="8" t="s">
        <v>65</v>
      </c>
      <c r="D547" s="9" t="s">
        <v>66</v>
      </c>
      <c r="E547" s="7" t="s">
        <v>25</v>
      </c>
      <c r="F547" s="7" t="s">
        <v>67</v>
      </c>
      <c r="G547" s="7" t="s">
        <v>27</v>
      </c>
      <c r="H547" s="7">
        <v>1974</v>
      </c>
      <c r="I547" s="7">
        <v>9</v>
      </c>
      <c r="K547" s="7">
        <v>7</v>
      </c>
      <c r="M547" s="7">
        <v>2</v>
      </c>
      <c r="N547" s="7">
        <v>8</v>
      </c>
      <c r="T547" s="12"/>
      <c r="V547" t="s">
        <v>29</v>
      </c>
    </row>
    <row r="548" spans="1:22" ht="15.75" hidden="1" customHeight="1" x14ac:dyDescent="0.25">
      <c r="A548" s="7" t="s">
        <v>64</v>
      </c>
      <c r="B548" s="8">
        <v>8</v>
      </c>
      <c r="C548" s="8" t="s">
        <v>65</v>
      </c>
      <c r="D548" s="9" t="s">
        <v>66</v>
      </c>
      <c r="E548" s="7" t="s">
        <v>25</v>
      </c>
      <c r="F548" s="7" t="s">
        <v>67</v>
      </c>
      <c r="G548" s="7" t="s">
        <v>27</v>
      </c>
      <c r="H548" s="7">
        <v>1974</v>
      </c>
      <c r="I548" s="7">
        <v>9</v>
      </c>
      <c r="K548" s="7">
        <v>7</v>
      </c>
      <c r="M548" s="7">
        <v>2</v>
      </c>
      <c r="N548" s="7">
        <v>9</v>
      </c>
      <c r="T548" s="12"/>
      <c r="V548" t="s">
        <v>29</v>
      </c>
    </row>
    <row r="549" spans="1:22" ht="15.75" hidden="1" customHeight="1" x14ac:dyDescent="0.25">
      <c r="A549" s="7" t="s">
        <v>64</v>
      </c>
      <c r="B549" s="8">
        <v>8</v>
      </c>
      <c r="C549" s="8" t="s">
        <v>65</v>
      </c>
      <c r="D549" s="9" t="s">
        <v>66</v>
      </c>
      <c r="E549" s="7" t="s">
        <v>25</v>
      </c>
      <c r="F549" s="7" t="s">
        <v>67</v>
      </c>
      <c r="G549" s="7" t="s">
        <v>27</v>
      </c>
      <c r="H549" s="7">
        <v>1974</v>
      </c>
      <c r="I549" s="7">
        <v>9</v>
      </c>
      <c r="K549" s="7">
        <v>7</v>
      </c>
      <c r="M549" s="7">
        <v>2</v>
      </c>
      <c r="N549" s="7">
        <v>10</v>
      </c>
      <c r="T549" s="12"/>
      <c r="V549" t="s">
        <v>29</v>
      </c>
    </row>
    <row r="550" spans="1:22" ht="15.75" hidden="1" customHeight="1" x14ac:dyDescent="0.25">
      <c r="A550" s="7" t="s">
        <v>64</v>
      </c>
      <c r="B550" s="8">
        <v>8</v>
      </c>
      <c r="C550" s="8" t="s">
        <v>65</v>
      </c>
      <c r="D550" s="9" t="s">
        <v>66</v>
      </c>
      <c r="E550" s="7" t="s">
        <v>25</v>
      </c>
      <c r="F550" s="7" t="s">
        <v>67</v>
      </c>
      <c r="G550" s="7" t="s">
        <v>27</v>
      </c>
      <c r="H550" s="7">
        <v>1974</v>
      </c>
      <c r="I550" s="7">
        <v>9</v>
      </c>
      <c r="K550" s="7">
        <v>7</v>
      </c>
      <c r="M550" s="7">
        <v>2</v>
      </c>
      <c r="N550" s="7">
        <v>11</v>
      </c>
      <c r="T550" s="12"/>
      <c r="V550" t="s">
        <v>29</v>
      </c>
    </row>
    <row r="551" spans="1:22" ht="15.75" hidden="1" customHeight="1" x14ac:dyDescent="0.25">
      <c r="A551" s="7" t="s">
        <v>64</v>
      </c>
      <c r="B551" s="8">
        <v>8</v>
      </c>
      <c r="C551" s="8" t="s">
        <v>65</v>
      </c>
      <c r="D551" s="9" t="s">
        <v>66</v>
      </c>
      <c r="E551" s="7" t="s">
        <v>25</v>
      </c>
      <c r="F551" s="7" t="s">
        <v>67</v>
      </c>
      <c r="G551" s="7" t="s">
        <v>27</v>
      </c>
      <c r="H551" s="7">
        <v>1974</v>
      </c>
      <c r="I551" s="7">
        <v>9</v>
      </c>
      <c r="K551" s="7">
        <v>7</v>
      </c>
      <c r="M551" s="7">
        <v>2</v>
      </c>
      <c r="N551" s="7">
        <v>12</v>
      </c>
      <c r="T551" s="12"/>
      <c r="V551" t="s">
        <v>29</v>
      </c>
    </row>
    <row r="552" spans="1:22" ht="15.75" hidden="1" customHeight="1" x14ac:dyDescent="0.25">
      <c r="A552" s="7" t="s">
        <v>64</v>
      </c>
      <c r="B552" s="8">
        <v>8</v>
      </c>
      <c r="C552" s="8" t="s">
        <v>65</v>
      </c>
      <c r="D552" s="9" t="s">
        <v>66</v>
      </c>
      <c r="E552" s="7" t="s">
        <v>25</v>
      </c>
      <c r="F552" s="7" t="s">
        <v>67</v>
      </c>
      <c r="G552" s="7" t="s">
        <v>27</v>
      </c>
      <c r="H552" s="7">
        <v>1974</v>
      </c>
      <c r="I552" s="7">
        <v>9</v>
      </c>
      <c r="K552" s="7">
        <v>7</v>
      </c>
      <c r="M552" s="7">
        <v>2</v>
      </c>
      <c r="N552" s="7">
        <v>13</v>
      </c>
      <c r="T552" s="12"/>
      <c r="V552" t="s">
        <v>29</v>
      </c>
    </row>
    <row r="553" spans="1:22" ht="15.75" hidden="1" customHeight="1" x14ac:dyDescent="0.25">
      <c r="A553" s="7" t="s">
        <v>64</v>
      </c>
      <c r="B553" s="8">
        <v>8</v>
      </c>
      <c r="C553" s="8" t="s">
        <v>65</v>
      </c>
      <c r="D553" s="9" t="s">
        <v>66</v>
      </c>
      <c r="E553" s="7" t="s">
        <v>25</v>
      </c>
      <c r="F553" s="7" t="s">
        <v>67</v>
      </c>
      <c r="G553" s="7" t="s">
        <v>27</v>
      </c>
      <c r="H553" s="7">
        <v>1974</v>
      </c>
      <c r="I553" s="7">
        <v>9</v>
      </c>
      <c r="K553" s="7">
        <v>7</v>
      </c>
      <c r="M553" s="7">
        <v>2</v>
      </c>
      <c r="N553" s="7">
        <v>14</v>
      </c>
      <c r="T553" s="12"/>
      <c r="V553" t="s">
        <v>29</v>
      </c>
    </row>
    <row r="554" spans="1:22" ht="15.75" hidden="1" customHeight="1" x14ac:dyDescent="0.25">
      <c r="A554" s="7" t="s">
        <v>64</v>
      </c>
      <c r="B554" s="8">
        <v>8</v>
      </c>
      <c r="C554" s="8" t="s">
        <v>65</v>
      </c>
      <c r="D554" s="9" t="s">
        <v>66</v>
      </c>
      <c r="E554" s="7" t="s">
        <v>25</v>
      </c>
      <c r="F554" s="7" t="s">
        <v>67</v>
      </c>
      <c r="G554" s="7" t="s">
        <v>27</v>
      </c>
      <c r="H554" s="7">
        <v>1974</v>
      </c>
      <c r="I554" s="7">
        <v>9</v>
      </c>
      <c r="K554" s="7">
        <v>7</v>
      </c>
      <c r="M554" s="7">
        <v>2</v>
      </c>
      <c r="N554" s="7">
        <v>15</v>
      </c>
      <c r="T554" s="12"/>
      <c r="V554" t="s">
        <v>29</v>
      </c>
    </row>
    <row r="555" spans="1:22" ht="15.75" hidden="1" customHeight="1" x14ac:dyDescent="0.25">
      <c r="A555" s="7" t="s">
        <v>64</v>
      </c>
      <c r="B555" s="8">
        <v>8</v>
      </c>
      <c r="C555" s="8" t="s">
        <v>65</v>
      </c>
      <c r="D555" s="9" t="s">
        <v>66</v>
      </c>
      <c r="E555" s="7" t="s">
        <v>25</v>
      </c>
      <c r="F555" s="7" t="s">
        <v>67</v>
      </c>
      <c r="G555" s="7" t="s">
        <v>27</v>
      </c>
      <c r="H555" s="7">
        <v>1974</v>
      </c>
      <c r="I555" s="7">
        <v>9</v>
      </c>
      <c r="K555" s="7">
        <v>7</v>
      </c>
      <c r="M555" s="7">
        <v>2</v>
      </c>
      <c r="N555" s="7">
        <v>16</v>
      </c>
      <c r="T555" s="12"/>
      <c r="V555" t="s">
        <v>29</v>
      </c>
    </row>
    <row r="556" spans="1:22" ht="15.75" hidden="1" customHeight="1" x14ac:dyDescent="0.25">
      <c r="A556" s="7" t="s">
        <v>64</v>
      </c>
      <c r="B556" s="8">
        <v>8</v>
      </c>
      <c r="C556" s="8" t="s">
        <v>65</v>
      </c>
      <c r="D556" s="9" t="s">
        <v>66</v>
      </c>
      <c r="E556" s="7" t="s">
        <v>25</v>
      </c>
      <c r="F556" s="7" t="s">
        <v>67</v>
      </c>
      <c r="G556" s="7" t="s">
        <v>27</v>
      </c>
      <c r="H556" s="7">
        <v>1974</v>
      </c>
      <c r="I556" s="7">
        <v>9</v>
      </c>
      <c r="K556" s="7">
        <v>7</v>
      </c>
      <c r="M556" s="7">
        <v>2</v>
      </c>
      <c r="N556" s="7">
        <v>17</v>
      </c>
      <c r="T556" s="12"/>
      <c r="V556" t="s">
        <v>29</v>
      </c>
    </row>
    <row r="557" spans="1:22" ht="15.75" hidden="1" customHeight="1" x14ac:dyDescent="0.25">
      <c r="A557" s="7" t="s">
        <v>64</v>
      </c>
      <c r="B557" s="8">
        <v>8</v>
      </c>
      <c r="C557" s="8" t="s">
        <v>65</v>
      </c>
      <c r="D557" s="9" t="s">
        <v>66</v>
      </c>
      <c r="E557" s="7" t="s">
        <v>25</v>
      </c>
      <c r="F557" s="7" t="s">
        <v>67</v>
      </c>
      <c r="G557" s="7" t="s">
        <v>27</v>
      </c>
      <c r="H557" s="7">
        <v>1974</v>
      </c>
      <c r="I557" s="7">
        <v>9</v>
      </c>
      <c r="K557" s="7">
        <v>7</v>
      </c>
      <c r="M557" s="7">
        <v>2</v>
      </c>
      <c r="N557" s="7">
        <v>18</v>
      </c>
      <c r="T557" s="12"/>
      <c r="V557" t="s">
        <v>29</v>
      </c>
    </row>
    <row r="558" spans="1:22" ht="15.75" hidden="1" customHeight="1" x14ac:dyDescent="0.25">
      <c r="A558" s="7" t="s">
        <v>64</v>
      </c>
      <c r="B558" s="8">
        <v>8</v>
      </c>
      <c r="C558" s="8" t="s">
        <v>65</v>
      </c>
      <c r="D558" s="9" t="s">
        <v>66</v>
      </c>
      <c r="E558" s="7" t="s">
        <v>25</v>
      </c>
      <c r="F558" s="7" t="s">
        <v>67</v>
      </c>
      <c r="G558" s="7" t="s">
        <v>27</v>
      </c>
      <c r="H558" s="7">
        <v>1974</v>
      </c>
      <c r="I558" s="7">
        <v>9</v>
      </c>
      <c r="K558" s="7">
        <v>7</v>
      </c>
      <c r="M558" s="7">
        <v>2</v>
      </c>
      <c r="N558" s="7">
        <v>19</v>
      </c>
      <c r="T558" s="12"/>
      <c r="V558" t="s">
        <v>29</v>
      </c>
    </row>
    <row r="559" spans="1:22" ht="15.75" hidden="1" customHeight="1" x14ac:dyDescent="0.25">
      <c r="A559" s="7" t="s">
        <v>64</v>
      </c>
      <c r="B559" s="8">
        <v>8</v>
      </c>
      <c r="C559" s="8" t="s">
        <v>65</v>
      </c>
      <c r="D559" s="9" t="s">
        <v>66</v>
      </c>
      <c r="E559" s="7" t="s">
        <v>25</v>
      </c>
      <c r="F559" s="7" t="s">
        <v>67</v>
      </c>
      <c r="G559" s="7" t="s">
        <v>27</v>
      </c>
      <c r="H559" s="7">
        <v>1974</v>
      </c>
      <c r="I559" s="7">
        <v>9</v>
      </c>
      <c r="K559" s="7">
        <v>7</v>
      </c>
      <c r="M559" s="7">
        <v>2</v>
      </c>
      <c r="N559" s="7">
        <v>20</v>
      </c>
      <c r="T559" s="12"/>
      <c r="V559" t="s">
        <v>29</v>
      </c>
    </row>
    <row r="560" spans="1:22" ht="15.75" hidden="1" customHeight="1" x14ac:dyDescent="0.25">
      <c r="A560" s="7" t="s">
        <v>64</v>
      </c>
      <c r="B560" s="8">
        <v>8</v>
      </c>
      <c r="C560" s="8" t="s">
        <v>65</v>
      </c>
      <c r="D560" s="9" t="s">
        <v>66</v>
      </c>
      <c r="E560" s="7" t="s">
        <v>25</v>
      </c>
      <c r="F560" s="7" t="s">
        <v>67</v>
      </c>
      <c r="G560" s="7" t="s">
        <v>27</v>
      </c>
      <c r="H560" s="7">
        <v>1974</v>
      </c>
      <c r="I560" s="7">
        <v>9</v>
      </c>
      <c r="K560" s="7">
        <v>7</v>
      </c>
      <c r="M560" s="7">
        <v>2</v>
      </c>
      <c r="N560" s="7">
        <v>21</v>
      </c>
      <c r="T560" s="12"/>
      <c r="V560" t="s">
        <v>29</v>
      </c>
    </row>
    <row r="561" spans="1:22" ht="15.75" hidden="1" customHeight="1" x14ac:dyDescent="0.25">
      <c r="A561" s="7" t="s">
        <v>64</v>
      </c>
      <c r="B561" s="8">
        <v>8</v>
      </c>
      <c r="C561" s="8" t="s">
        <v>65</v>
      </c>
      <c r="D561" s="9" t="s">
        <v>66</v>
      </c>
      <c r="E561" s="7" t="s">
        <v>25</v>
      </c>
      <c r="F561" s="7" t="s">
        <v>67</v>
      </c>
      <c r="G561" s="7" t="s">
        <v>27</v>
      </c>
      <c r="H561" s="7">
        <v>1974</v>
      </c>
      <c r="I561" s="7">
        <v>9</v>
      </c>
      <c r="K561" s="7">
        <v>7</v>
      </c>
      <c r="M561" s="7">
        <v>2</v>
      </c>
      <c r="N561" s="7">
        <v>22</v>
      </c>
      <c r="T561" s="12"/>
      <c r="V561" t="s">
        <v>29</v>
      </c>
    </row>
    <row r="562" spans="1:22" ht="15.75" hidden="1" customHeight="1" x14ac:dyDescent="0.25">
      <c r="A562" s="7" t="s">
        <v>64</v>
      </c>
      <c r="B562" s="8">
        <v>8</v>
      </c>
      <c r="C562" s="8" t="s">
        <v>65</v>
      </c>
      <c r="D562" s="9" t="s">
        <v>66</v>
      </c>
      <c r="E562" s="7" t="s">
        <v>25</v>
      </c>
      <c r="F562" s="7" t="s">
        <v>67</v>
      </c>
      <c r="G562" s="7" t="s">
        <v>27</v>
      </c>
      <c r="H562" s="7">
        <v>1974</v>
      </c>
      <c r="I562" s="7">
        <v>9</v>
      </c>
      <c r="K562" s="7">
        <v>7</v>
      </c>
      <c r="M562" s="7">
        <v>2</v>
      </c>
      <c r="N562" s="7">
        <v>23</v>
      </c>
      <c r="T562" s="12"/>
      <c r="V562" t="s">
        <v>29</v>
      </c>
    </row>
    <row r="563" spans="1:22" ht="15.75" hidden="1" customHeight="1" x14ac:dyDescent="0.25">
      <c r="A563" s="7" t="s">
        <v>64</v>
      </c>
      <c r="B563" s="8">
        <v>8</v>
      </c>
      <c r="C563" s="8" t="s">
        <v>65</v>
      </c>
      <c r="D563" s="9" t="s">
        <v>66</v>
      </c>
      <c r="E563" s="7" t="s">
        <v>25</v>
      </c>
      <c r="F563" s="7" t="s">
        <v>67</v>
      </c>
      <c r="G563" s="7" t="s">
        <v>27</v>
      </c>
      <c r="H563" s="7">
        <v>1974</v>
      </c>
      <c r="I563" s="7">
        <v>9</v>
      </c>
      <c r="K563" s="7">
        <v>7</v>
      </c>
      <c r="M563" s="7">
        <v>2</v>
      </c>
      <c r="N563" s="7">
        <v>24</v>
      </c>
      <c r="T563" s="12"/>
      <c r="V563" t="s">
        <v>29</v>
      </c>
    </row>
    <row r="564" spans="1:22" ht="15.75" hidden="1" customHeight="1" x14ac:dyDescent="0.25">
      <c r="A564" s="7" t="s">
        <v>64</v>
      </c>
      <c r="B564" s="8">
        <v>8</v>
      </c>
      <c r="C564" s="8" t="s">
        <v>65</v>
      </c>
      <c r="D564" s="9" t="s">
        <v>66</v>
      </c>
      <c r="E564" s="7" t="s">
        <v>25</v>
      </c>
      <c r="F564" s="7" t="s">
        <v>67</v>
      </c>
      <c r="G564" s="7" t="s">
        <v>27</v>
      </c>
      <c r="H564" s="7">
        <v>1974</v>
      </c>
      <c r="I564" s="7">
        <v>9</v>
      </c>
      <c r="K564" s="7">
        <v>7</v>
      </c>
      <c r="M564" s="7">
        <v>2</v>
      </c>
      <c r="N564" s="7">
        <v>25</v>
      </c>
      <c r="T564" s="12"/>
      <c r="U564" s="7" t="s">
        <v>68</v>
      </c>
      <c r="V564" t="s">
        <v>29</v>
      </c>
    </row>
    <row r="565" spans="1:22" ht="15.75" hidden="1" customHeight="1" x14ac:dyDescent="0.25">
      <c r="A565" s="7" t="s">
        <v>69</v>
      </c>
      <c r="B565" s="8">
        <v>8</v>
      </c>
      <c r="C565" s="8" t="s">
        <v>70</v>
      </c>
      <c r="D565" s="9" t="s">
        <v>71</v>
      </c>
      <c r="E565" s="7" t="s">
        <v>25</v>
      </c>
      <c r="F565" s="7" t="s">
        <v>39</v>
      </c>
      <c r="G565" s="7" t="s">
        <v>27</v>
      </c>
      <c r="H565" s="7">
        <v>1976</v>
      </c>
      <c r="I565" s="7">
        <v>6</v>
      </c>
      <c r="K565" s="7">
        <v>7</v>
      </c>
      <c r="M565" s="7">
        <v>1</v>
      </c>
      <c r="N565" s="7">
        <v>1</v>
      </c>
      <c r="O565" s="7">
        <v>52</v>
      </c>
      <c r="P565" s="7" t="s">
        <v>28</v>
      </c>
      <c r="T565" s="12" t="s">
        <v>72</v>
      </c>
      <c r="V565" cm="1">
        <f t="array" ref="V565">_xlfn.LET(
_xlpm.x,_xlfn._xlws.FILTER(O565:S565,(O565:S565&lt;&gt;"R")*(O565:S565&lt;&gt;"NA")*(O565:S565&lt;&gt;"W")*(O565:S565&lt;&gt;"")),
IF(COUNTA(_xlpm.x)=0,"NA",IF(MIN(_xlpm.x)=MAX(_xlpm.x),MIN(_xlpm.x),"review"))
)</f>
        <v>52</v>
      </c>
    </row>
    <row r="566" spans="1:22" ht="15.75" hidden="1" customHeight="1" x14ac:dyDescent="0.25">
      <c r="A566" s="7" t="s">
        <v>69</v>
      </c>
      <c r="B566" s="8">
        <v>8</v>
      </c>
      <c r="C566" s="8" t="s">
        <v>70</v>
      </c>
      <c r="D566" s="9" t="s">
        <v>71</v>
      </c>
      <c r="E566" s="7" t="s">
        <v>25</v>
      </c>
      <c r="F566" s="7" t="s">
        <v>39</v>
      </c>
      <c r="G566" s="7" t="s">
        <v>27</v>
      </c>
      <c r="H566" s="7">
        <v>1976</v>
      </c>
      <c r="I566" s="7">
        <v>6</v>
      </c>
      <c r="K566" s="7">
        <v>7</v>
      </c>
      <c r="M566" s="7">
        <v>1</v>
      </c>
      <c r="N566" s="7">
        <v>2</v>
      </c>
      <c r="O566" s="7">
        <v>42</v>
      </c>
      <c r="P566" s="7" t="s">
        <v>28</v>
      </c>
      <c r="T566" s="12" t="s">
        <v>73</v>
      </c>
      <c r="V566" cm="1">
        <f t="array" ref="V566">_xlfn.LET(
_xlpm.x,_xlfn._xlws.FILTER(O566:S566,(O566:S566&lt;&gt;"R")*(O566:S566&lt;&gt;"NA")*(O566:S566&lt;&gt;"W")*(O566:S566&lt;&gt;"")),
IF(COUNTA(_xlpm.x)=0,"NA",IF(MIN(_xlpm.x)=MAX(_xlpm.x),MIN(_xlpm.x),"review"))
)</f>
        <v>42</v>
      </c>
    </row>
    <row r="567" spans="1:22" ht="15.75" hidden="1" customHeight="1" x14ac:dyDescent="0.25">
      <c r="A567" s="7" t="s">
        <v>69</v>
      </c>
      <c r="B567" s="8">
        <v>8</v>
      </c>
      <c r="C567" s="8" t="s">
        <v>70</v>
      </c>
      <c r="D567" s="9" t="s">
        <v>71</v>
      </c>
      <c r="E567" s="7" t="s">
        <v>25</v>
      </c>
      <c r="F567" s="7" t="s">
        <v>39</v>
      </c>
      <c r="G567" s="7" t="s">
        <v>27</v>
      </c>
      <c r="H567" s="7">
        <v>1976</v>
      </c>
      <c r="I567" s="7">
        <v>6</v>
      </c>
      <c r="K567" s="7">
        <v>7</v>
      </c>
      <c r="M567" s="7">
        <v>1</v>
      </c>
      <c r="N567" s="7">
        <v>3</v>
      </c>
      <c r="O567" s="7">
        <v>42</v>
      </c>
      <c r="P567" s="7">
        <v>42</v>
      </c>
      <c r="T567" s="12" t="s">
        <v>74</v>
      </c>
      <c r="V567" cm="1">
        <f t="array" ref="V567">_xlfn.LET(
_xlpm.x,_xlfn._xlws.FILTER(O567:S567,(O567:S567&lt;&gt;"R")*(O567:S567&lt;&gt;"NA")*(O567:S567&lt;&gt;"W")*(O567:S567&lt;&gt;"")),
IF(COUNTA(_xlpm.x)=0,"NA",IF(MIN(_xlpm.x)=MAX(_xlpm.x),MIN(_xlpm.x),"review"))
)</f>
        <v>42</v>
      </c>
    </row>
    <row r="568" spans="1:22" ht="15.75" hidden="1" customHeight="1" x14ac:dyDescent="0.25">
      <c r="A568" s="7" t="s">
        <v>69</v>
      </c>
      <c r="B568" s="8">
        <v>8</v>
      </c>
      <c r="C568" s="8" t="s">
        <v>70</v>
      </c>
      <c r="D568" s="9" t="s">
        <v>71</v>
      </c>
      <c r="E568" s="7" t="s">
        <v>25</v>
      </c>
      <c r="F568" s="7" t="s">
        <v>39</v>
      </c>
      <c r="G568" s="7" t="s">
        <v>27</v>
      </c>
      <c r="H568" s="7">
        <v>1976</v>
      </c>
      <c r="I568" s="7">
        <v>6</v>
      </c>
      <c r="K568" s="7">
        <v>7</v>
      </c>
      <c r="M568" s="7">
        <v>1</v>
      </c>
      <c r="N568" s="7">
        <v>4</v>
      </c>
      <c r="O568" s="7">
        <v>53</v>
      </c>
      <c r="P568" s="7">
        <v>53</v>
      </c>
      <c r="T568" s="12" t="s">
        <v>75</v>
      </c>
      <c r="V568" cm="1">
        <f t="array" ref="V568">_xlfn.LET(
_xlpm.x,_xlfn._xlws.FILTER(O568:S568,(O568:S568&lt;&gt;"R")*(O568:S568&lt;&gt;"NA")*(O568:S568&lt;&gt;"W")*(O568:S568&lt;&gt;"")),
IF(COUNTA(_xlpm.x)=0,"NA",IF(MIN(_xlpm.x)=MAX(_xlpm.x),MIN(_xlpm.x),"review"))
)</f>
        <v>53</v>
      </c>
    </row>
    <row r="569" spans="1:22" ht="15.75" hidden="1" customHeight="1" x14ac:dyDescent="0.25">
      <c r="A569" s="7" t="s">
        <v>69</v>
      </c>
      <c r="B569" s="8">
        <v>8</v>
      </c>
      <c r="C569" s="8" t="s">
        <v>70</v>
      </c>
      <c r="D569" s="9" t="s">
        <v>71</v>
      </c>
      <c r="E569" s="7" t="s">
        <v>25</v>
      </c>
      <c r="F569" s="7" t="s">
        <v>39</v>
      </c>
      <c r="G569" s="7" t="s">
        <v>27</v>
      </c>
      <c r="H569" s="7">
        <v>1976</v>
      </c>
      <c r="I569" s="7">
        <v>6</v>
      </c>
      <c r="K569" s="7">
        <v>7</v>
      </c>
      <c r="M569" s="7">
        <v>1</v>
      </c>
      <c r="N569" s="7">
        <v>5</v>
      </c>
      <c r="O569" s="7" t="s">
        <v>28</v>
      </c>
      <c r="P569" s="7">
        <v>52</v>
      </c>
      <c r="T569" s="12" t="s">
        <v>76</v>
      </c>
      <c r="V569" cm="1">
        <f t="array" ref="V569">_xlfn.LET(
_xlpm.x,_xlfn._xlws.FILTER(O569:S569,(O569:S569&lt;&gt;"R")*(O569:S569&lt;&gt;"NA")*(O569:S569&lt;&gt;"W")*(O569:S569&lt;&gt;"")),
IF(COUNTA(_xlpm.x)=0,"NA",IF(MIN(_xlpm.x)=MAX(_xlpm.x),MIN(_xlpm.x),"review"))
)</f>
        <v>52</v>
      </c>
    </row>
    <row r="570" spans="1:22" ht="15.75" hidden="1" customHeight="1" x14ac:dyDescent="0.25">
      <c r="A570" s="7" t="s">
        <v>69</v>
      </c>
      <c r="B570" s="8">
        <v>8</v>
      </c>
      <c r="C570" s="8" t="s">
        <v>70</v>
      </c>
      <c r="D570" s="9" t="s">
        <v>71</v>
      </c>
      <c r="E570" s="7" t="s">
        <v>25</v>
      </c>
      <c r="F570" s="7" t="s">
        <v>39</v>
      </c>
      <c r="G570" s="7" t="s">
        <v>27</v>
      </c>
      <c r="H570" s="7">
        <v>1976</v>
      </c>
      <c r="I570" s="7">
        <v>6</v>
      </c>
      <c r="K570" s="7">
        <v>7</v>
      </c>
      <c r="M570" s="7">
        <v>1</v>
      </c>
      <c r="N570" s="7">
        <v>6</v>
      </c>
      <c r="O570" s="7">
        <v>52</v>
      </c>
      <c r="P570" s="7" t="s">
        <v>28</v>
      </c>
      <c r="T570" s="12" t="s">
        <v>73</v>
      </c>
      <c r="V570" cm="1">
        <f t="array" ref="V570">_xlfn.LET(
_xlpm.x,_xlfn._xlws.FILTER(O570:S570,(O570:S570&lt;&gt;"R")*(O570:S570&lt;&gt;"NA")*(O570:S570&lt;&gt;"W")*(O570:S570&lt;&gt;"")),
IF(COUNTA(_xlpm.x)=0,"NA",IF(MIN(_xlpm.x)=MAX(_xlpm.x),MIN(_xlpm.x),"review"))
)</f>
        <v>52</v>
      </c>
    </row>
    <row r="571" spans="1:22" ht="15.75" hidden="1" customHeight="1" x14ac:dyDescent="0.25">
      <c r="A571" s="7" t="s">
        <v>69</v>
      </c>
      <c r="B571" s="8">
        <v>8</v>
      </c>
      <c r="C571" s="8" t="s">
        <v>70</v>
      </c>
      <c r="D571" s="9" t="s">
        <v>71</v>
      </c>
      <c r="E571" s="7" t="s">
        <v>25</v>
      </c>
      <c r="F571" s="7" t="s">
        <v>39</v>
      </c>
      <c r="G571" s="7" t="s">
        <v>27</v>
      </c>
      <c r="H571" s="7">
        <v>1976</v>
      </c>
      <c r="I571" s="7">
        <v>6</v>
      </c>
      <c r="K571" s="7">
        <v>7</v>
      </c>
      <c r="M571" s="7">
        <v>1</v>
      </c>
      <c r="N571" s="7">
        <v>7</v>
      </c>
      <c r="O571" s="7">
        <v>52</v>
      </c>
      <c r="P571" s="7">
        <v>52</v>
      </c>
      <c r="T571" s="12" t="s">
        <v>77</v>
      </c>
      <c r="V571" cm="1">
        <f t="array" ref="V571">_xlfn.LET(
_xlpm.x,_xlfn._xlws.FILTER(O571:S571,(O571:S571&lt;&gt;"R")*(O571:S571&lt;&gt;"NA")*(O571:S571&lt;&gt;"W")*(O571:S571&lt;&gt;"")),
IF(COUNTA(_xlpm.x)=0,"NA",IF(MIN(_xlpm.x)=MAX(_xlpm.x),MIN(_xlpm.x),"review"))
)</f>
        <v>52</v>
      </c>
    </row>
    <row r="572" spans="1:22" ht="15.75" hidden="1" customHeight="1" x14ac:dyDescent="0.25">
      <c r="A572" s="7" t="s">
        <v>69</v>
      </c>
      <c r="B572" s="8">
        <v>8</v>
      </c>
      <c r="C572" s="8" t="s">
        <v>70</v>
      </c>
      <c r="D572" s="9" t="s">
        <v>71</v>
      </c>
      <c r="E572" s="7" t="s">
        <v>25</v>
      </c>
      <c r="F572" s="7" t="s">
        <v>39</v>
      </c>
      <c r="G572" s="7" t="s">
        <v>27</v>
      </c>
      <c r="H572" s="7">
        <v>1976</v>
      </c>
      <c r="I572" s="7">
        <v>6</v>
      </c>
      <c r="K572" s="7">
        <v>7</v>
      </c>
      <c r="M572" s="7">
        <v>1</v>
      </c>
      <c r="N572" s="7">
        <v>8</v>
      </c>
      <c r="O572" s="7">
        <v>52</v>
      </c>
      <c r="P572" s="7">
        <v>52</v>
      </c>
      <c r="T572" s="12" t="s">
        <v>73</v>
      </c>
      <c r="V572" cm="1">
        <f t="array" ref="V572">_xlfn.LET(
_xlpm.x,_xlfn._xlws.FILTER(O572:S572,(O572:S572&lt;&gt;"R")*(O572:S572&lt;&gt;"NA")*(O572:S572&lt;&gt;"W")*(O572:S572&lt;&gt;"")),
IF(COUNTA(_xlpm.x)=0,"NA",IF(MIN(_xlpm.x)=MAX(_xlpm.x),MIN(_xlpm.x),"review"))
)</f>
        <v>52</v>
      </c>
    </row>
    <row r="573" spans="1:22" ht="15.75" hidden="1" customHeight="1" x14ac:dyDescent="0.25">
      <c r="A573" s="7" t="s">
        <v>69</v>
      </c>
      <c r="B573" s="8">
        <v>8</v>
      </c>
      <c r="C573" s="8" t="s">
        <v>70</v>
      </c>
      <c r="D573" s="9" t="s">
        <v>71</v>
      </c>
      <c r="E573" s="7" t="s">
        <v>25</v>
      </c>
      <c r="F573" s="7" t="s">
        <v>39</v>
      </c>
      <c r="G573" s="7" t="s">
        <v>27</v>
      </c>
      <c r="H573" s="7">
        <v>1976</v>
      </c>
      <c r="I573" s="7">
        <v>6</v>
      </c>
      <c r="K573" s="7">
        <v>7</v>
      </c>
      <c r="M573" s="7">
        <v>1</v>
      </c>
      <c r="N573" s="7">
        <v>9</v>
      </c>
      <c r="O573" s="7" t="s">
        <v>28</v>
      </c>
      <c r="P573" s="7">
        <v>42</v>
      </c>
      <c r="T573" s="12"/>
      <c r="V573" cm="1">
        <f t="array" ref="V573">_xlfn.LET(
_xlpm.x,_xlfn._xlws.FILTER(O573:S573,(O573:S573&lt;&gt;"R")*(O573:S573&lt;&gt;"NA")*(O573:S573&lt;&gt;"W")*(O573:S573&lt;&gt;"")),
IF(COUNTA(_xlpm.x)=0,"NA",IF(MIN(_xlpm.x)=MAX(_xlpm.x),MIN(_xlpm.x),"review"))
)</f>
        <v>42</v>
      </c>
    </row>
    <row r="574" spans="1:22" ht="15.75" hidden="1" customHeight="1" x14ac:dyDescent="0.25">
      <c r="A574" s="7" t="s">
        <v>69</v>
      </c>
      <c r="B574" s="8">
        <v>8</v>
      </c>
      <c r="C574" s="8" t="s">
        <v>70</v>
      </c>
      <c r="D574" s="9" t="s">
        <v>71</v>
      </c>
      <c r="E574" s="7" t="s">
        <v>25</v>
      </c>
      <c r="F574" s="7" t="s">
        <v>39</v>
      </c>
      <c r="G574" s="7" t="s">
        <v>27</v>
      </c>
      <c r="H574" s="7">
        <v>1976</v>
      </c>
      <c r="I574" s="7">
        <v>6</v>
      </c>
      <c r="K574" s="7">
        <v>7</v>
      </c>
      <c r="M574" s="7">
        <v>1</v>
      </c>
      <c r="N574" s="7">
        <v>10</v>
      </c>
      <c r="O574" s="7" t="s">
        <v>29</v>
      </c>
      <c r="P574" s="7" t="s">
        <v>28</v>
      </c>
      <c r="T574" s="12"/>
      <c r="V574" t="s">
        <v>29</v>
      </c>
    </row>
    <row r="575" spans="1:22" ht="15.75" hidden="1" customHeight="1" x14ac:dyDescent="0.25">
      <c r="A575" s="7" t="s">
        <v>69</v>
      </c>
      <c r="B575" s="8">
        <v>8</v>
      </c>
      <c r="C575" s="8" t="s">
        <v>70</v>
      </c>
      <c r="D575" s="9" t="s">
        <v>71</v>
      </c>
      <c r="E575" s="7" t="s">
        <v>25</v>
      </c>
      <c r="F575" s="7" t="s">
        <v>39</v>
      </c>
      <c r="G575" s="7" t="s">
        <v>27</v>
      </c>
      <c r="H575" s="7">
        <v>1976</v>
      </c>
      <c r="I575" s="7">
        <v>6</v>
      </c>
      <c r="K575" s="7">
        <v>7</v>
      </c>
      <c r="M575" s="7">
        <v>1</v>
      </c>
      <c r="N575" s="7">
        <v>11</v>
      </c>
      <c r="O575" s="7">
        <v>63</v>
      </c>
      <c r="P575" s="7" t="s">
        <v>28</v>
      </c>
      <c r="T575" s="12" t="s">
        <v>78</v>
      </c>
      <c r="V575" cm="1">
        <f t="array" ref="V575">_xlfn.LET(
_xlpm.x,_xlfn._xlws.FILTER(O575:S575,(O575:S575&lt;&gt;"R")*(O575:S575&lt;&gt;"NA")*(O575:S575&lt;&gt;"W")*(O575:S575&lt;&gt;"")),
IF(COUNTA(_xlpm.x)=0,"NA",IF(MIN(_xlpm.x)=MAX(_xlpm.x),MIN(_xlpm.x),"review"))
)</f>
        <v>63</v>
      </c>
    </row>
    <row r="576" spans="1:22" ht="15.75" hidden="1" customHeight="1" x14ac:dyDescent="0.25">
      <c r="A576" s="7" t="s">
        <v>69</v>
      </c>
      <c r="B576" s="8">
        <v>8</v>
      </c>
      <c r="C576" s="8" t="s">
        <v>70</v>
      </c>
      <c r="D576" s="9" t="s">
        <v>71</v>
      </c>
      <c r="E576" s="7" t="s">
        <v>25</v>
      </c>
      <c r="F576" s="7" t="s">
        <v>39</v>
      </c>
      <c r="G576" s="7" t="s">
        <v>27</v>
      </c>
      <c r="H576" s="7">
        <v>1976</v>
      </c>
      <c r="I576" s="7">
        <v>6</v>
      </c>
      <c r="K576" s="7">
        <v>7</v>
      </c>
      <c r="M576" s="7">
        <v>1</v>
      </c>
      <c r="N576" s="7">
        <v>12</v>
      </c>
      <c r="O576" s="7">
        <v>42</v>
      </c>
      <c r="P576" s="7" t="s">
        <v>29</v>
      </c>
      <c r="T576" s="12" t="s">
        <v>79</v>
      </c>
      <c r="V576" cm="1">
        <f t="array" ref="V576">_xlfn.LET(
_xlpm.x,_xlfn._xlws.FILTER(O576:S576,(O576:S576&lt;&gt;"R")*(O576:S576&lt;&gt;"NA")*(O576:S576&lt;&gt;"W")*(O576:S576&lt;&gt;"")),
IF(COUNTA(_xlpm.x)=0,"NA",IF(MIN(_xlpm.x)=MAX(_xlpm.x),MIN(_xlpm.x),"review"))
)</f>
        <v>42</v>
      </c>
    </row>
    <row r="577" spans="1:22" ht="15.75" hidden="1" customHeight="1" x14ac:dyDescent="0.25">
      <c r="A577" s="7" t="s">
        <v>69</v>
      </c>
      <c r="B577" s="8">
        <v>8</v>
      </c>
      <c r="C577" s="8" t="s">
        <v>70</v>
      </c>
      <c r="D577" s="9" t="s">
        <v>71</v>
      </c>
      <c r="E577" s="7" t="s">
        <v>25</v>
      </c>
      <c r="F577" s="7" t="s">
        <v>39</v>
      </c>
      <c r="G577" s="7" t="s">
        <v>27</v>
      </c>
      <c r="H577" s="7">
        <v>1976</v>
      </c>
      <c r="I577" s="7">
        <v>6</v>
      </c>
      <c r="K577" s="7">
        <v>7</v>
      </c>
      <c r="M577" s="7">
        <v>1</v>
      </c>
      <c r="N577" s="7">
        <v>13</v>
      </c>
      <c r="O577" s="7" t="s">
        <v>28</v>
      </c>
      <c r="P577" s="7">
        <v>42</v>
      </c>
      <c r="T577" s="12" t="s">
        <v>80</v>
      </c>
      <c r="V577" cm="1">
        <f t="array" ref="V577">_xlfn.LET(
_xlpm.x,_xlfn._xlws.FILTER(O577:S577,(O577:S577&lt;&gt;"R")*(O577:S577&lt;&gt;"NA")*(O577:S577&lt;&gt;"W")*(O577:S577&lt;&gt;"")),
IF(COUNTA(_xlpm.x)=0,"NA",IF(MIN(_xlpm.x)=MAX(_xlpm.x),MIN(_xlpm.x),"review"))
)</f>
        <v>42</v>
      </c>
    </row>
    <row r="578" spans="1:22" ht="15.75" hidden="1" customHeight="1" x14ac:dyDescent="0.25">
      <c r="A578" s="7" t="s">
        <v>69</v>
      </c>
      <c r="B578" s="8">
        <v>8</v>
      </c>
      <c r="C578" s="8" t="s">
        <v>70</v>
      </c>
      <c r="D578" s="9" t="s">
        <v>71</v>
      </c>
      <c r="E578" s="7" t="s">
        <v>25</v>
      </c>
      <c r="F578" s="7" t="s">
        <v>39</v>
      </c>
      <c r="G578" s="7" t="s">
        <v>27</v>
      </c>
      <c r="H578" s="7">
        <v>1976</v>
      </c>
      <c r="I578" s="7">
        <v>6</v>
      </c>
      <c r="K578" s="7">
        <v>7</v>
      </c>
      <c r="M578" s="7">
        <v>1</v>
      </c>
      <c r="N578" s="7">
        <v>14</v>
      </c>
      <c r="O578" s="7">
        <v>52</v>
      </c>
      <c r="P578" s="7">
        <v>52</v>
      </c>
      <c r="T578" s="12" t="s">
        <v>74</v>
      </c>
      <c r="V578" cm="1">
        <f t="array" ref="V578">_xlfn.LET(
_xlpm.x,_xlfn._xlws.FILTER(O578:S578,(O578:S578&lt;&gt;"R")*(O578:S578&lt;&gt;"NA")*(O578:S578&lt;&gt;"W")*(O578:S578&lt;&gt;"")),
IF(COUNTA(_xlpm.x)=0,"NA",IF(MIN(_xlpm.x)=MAX(_xlpm.x),MIN(_xlpm.x),"review"))
)</f>
        <v>52</v>
      </c>
    </row>
    <row r="579" spans="1:22" ht="15.75" hidden="1" customHeight="1" x14ac:dyDescent="0.25">
      <c r="A579" s="7" t="s">
        <v>69</v>
      </c>
      <c r="B579" s="8">
        <v>8</v>
      </c>
      <c r="C579" s="8" t="s">
        <v>70</v>
      </c>
      <c r="D579" s="9" t="s">
        <v>71</v>
      </c>
      <c r="E579" s="7" t="s">
        <v>25</v>
      </c>
      <c r="F579" s="7" t="s">
        <v>39</v>
      </c>
      <c r="G579" s="7" t="s">
        <v>27</v>
      </c>
      <c r="H579" s="7">
        <v>1976</v>
      </c>
      <c r="I579" s="7">
        <v>6</v>
      </c>
      <c r="K579" s="7">
        <v>7</v>
      </c>
      <c r="M579" s="7">
        <v>1</v>
      </c>
      <c r="N579" s="7">
        <v>15</v>
      </c>
      <c r="O579" s="7">
        <v>42</v>
      </c>
      <c r="P579" s="7">
        <v>42</v>
      </c>
      <c r="T579" s="12" t="s">
        <v>74</v>
      </c>
      <c r="V579" cm="1">
        <f t="array" ref="V579">_xlfn.LET(
_xlpm.x,_xlfn._xlws.FILTER(O579:S579,(O579:S579&lt;&gt;"R")*(O579:S579&lt;&gt;"NA")*(O579:S579&lt;&gt;"W")*(O579:S579&lt;&gt;"")),
IF(COUNTA(_xlpm.x)=0,"NA",IF(MIN(_xlpm.x)=MAX(_xlpm.x),MIN(_xlpm.x),"review"))
)</f>
        <v>42</v>
      </c>
    </row>
    <row r="580" spans="1:22" ht="15.75" hidden="1" customHeight="1" x14ac:dyDescent="0.25">
      <c r="A580" s="7" t="s">
        <v>69</v>
      </c>
      <c r="B580" s="8">
        <v>8</v>
      </c>
      <c r="C580" s="8" t="s">
        <v>70</v>
      </c>
      <c r="D580" s="9" t="s">
        <v>71</v>
      </c>
      <c r="E580" s="7" t="s">
        <v>25</v>
      </c>
      <c r="F580" s="7" t="s">
        <v>39</v>
      </c>
      <c r="G580" s="7" t="s">
        <v>27</v>
      </c>
      <c r="H580" s="7">
        <v>1976</v>
      </c>
      <c r="I580" s="7">
        <v>6</v>
      </c>
      <c r="K580" s="7">
        <v>7</v>
      </c>
      <c r="M580" s="7">
        <v>1</v>
      </c>
      <c r="N580" s="7">
        <v>16</v>
      </c>
      <c r="O580" s="7">
        <v>52</v>
      </c>
      <c r="P580" s="7">
        <v>52</v>
      </c>
      <c r="T580" s="12" t="s">
        <v>74</v>
      </c>
      <c r="V580" cm="1">
        <f t="array" ref="V580">_xlfn.LET(
_xlpm.x,_xlfn._xlws.FILTER(O580:S580,(O580:S580&lt;&gt;"R")*(O580:S580&lt;&gt;"NA")*(O580:S580&lt;&gt;"W")*(O580:S580&lt;&gt;"")),
IF(COUNTA(_xlpm.x)=0,"NA",IF(MIN(_xlpm.x)=MAX(_xlpm.x),MIN(_xlpm.x),"review"))
)</f>
        <v>52</v>
      </c>
    </row>
    <row r="581" spans="1:22" ht="15.75" hidden="1" customHeight="1" x14ac:dyDescent="0.25">
      <c r="A581" s="7" t="s">
        <v>69</v>
      </c>
      <c r="B581" s="8">
        <v>8</v>
      </c>
      <c r="C581" s="8" t="s">
        <v>70</v>
      </c>
      <c r="D581" s="9" t="s">
        <v>71</v>
      </c>
      <c r="E581" s="7" t="s">
        <v>25</v>
      </c>
      <c r="F581" s="7" t="s">
        <v>39</v>
      </c>
      <c r="G581" s="7" t="s">
        <v>27</v>
      </c>
      <c r="H581" s="7">
        <v>1976</v>
      </c>
      <c r="I581" s="7">
        <v>6</v>
      </c>
      <c r="K581" s="7">
        <v>7</v>
      </c>
      <c r="M581" s="7">
        <v>1</v>
      </c>
      <c r="N581" s="7">
        <v>17</v>
      </c>
      <c r="O581" s="7">
        <v>42</v>
      </c>
      <c r="P581" s="7">
        <v>42</v>
      </c>
      <c r="T581" s="12" t="s">
        <v>74</v>
      </c>
      <c r="V581" cm="1">
        <f t="array" ref="V581">_xlfn.LET(
_xlpm.x,_xlfn._xlws.FILTER(O581:S581,(O581:S581&lt;&gt;"R")*(O581:S581&lt;&gt;"NA")*(O581:S581&lt;&gt;"W")*(O581:S581&lt;&gt;"")),
IF(COUNTA(_xlpm.x)=0,"NA",IF(MIN(_xlpm.x)=MAX(_xlpm.x),MIN(_xlpm.x),"review"))
)</f>
        <v>42</v>
      </c>
    </row>
    <row r="582" spans="1:22" ht="15.75" hidden="1" customHeight="1" x14ac:dyDescent="0.25">
      <c r="A582" s="7" t="s">
        <v>69</v>
      </c>
      <c r="B582" s="8">
        <v>8</v>
      </c>
      <c r="C582" s="8" t="s">
        <v>70</v>
      </c>
      <c r="D582" s="9" t="s">
        <v>71</v>
      </c>
      <c r="E582" s="7" t="s">
        <v>25</v>
      </c>
      <c r="F582" s="7" t="s">
        <v>39</v>
      </c>
      <c r="G582" s="7" t="s">
        <v>27</v>
      </c>
      <c r="H582" s="7">
        <v>1976</v>
      </c>
      <c r="I582" s="7">
        <v>6</v>
      </c>
      <c r="K582" s="7">
        <v>7</v>
      </c>
      <c r="M582" s="7">
        <v>1</v>
      </c>
      <c r="N582" s="7">
        <v>18</v>
      </c>
      <c r="O582" s="7">
        <v>42</v>
      </c>
      <c r="P582" s="7" t="s">
        <v>28</v>
      </c>
      <c r="T582" s="12" t="s">
        <v>73</v>
      </c>
      <c r="V582" cm="1">
        <f t="array" ref="V582">_xlfn.LET(
_xlpm.x,_xlfn._xlws.FILTER(O582:S582,(O582:S582&lt;&gt;"R")*(O582:S582&lt;&gt;"NA")*(O582:S582&lt;&gt;"W")*(O582:S582&lt;&gt;"")),
IF(COUNTA(_xlpm.x)=0,"NA",IF(MIN(_xlpm.x)=MAX(_xlpm.x),MIN(_xlpm.x),"review"))
)</f>
        <v>42</v>
      </c>
    </row>
    <row r="583" spans="1:22" ht="15.75" hidden="1" customHeight="1" x14ac:dyDescent="0.25">
      <c r="A583" s="7" t="s">
        <v>69</v>
      </c>
      <c r="B583" s="8">
        <v>8</v>
      </c>
      <c r="C583" s="8" t="s">
        <v>70</v>
      </c>
      <c r="D583" s="9" t="s">
        <v>71</v>
      </c>
      <c r="E583" s="7" t="s">
        <v>25</v>
      </c>
      <c r="F583" s="7" t="s">
        <v>39</v>
      </c>
      <c r="G583" s="7" t="s">
        <v>27</v>
      </c>
      <c r="H583" s="7">
        <v>1976</v>
      </c>
      <c r="I583" s="7">
        <v>6</v>
      </c>
      <c r="K583" s="7">
        <v>7</v>
      </c>
      <c r="M583" s="7">
        <v>1</v>
      </c>
      <c r="N583" s="7">
        <v>19</v>
      </c>
      <c r="O583" s="7">
        <v>42</v>
      </c>
      <c r="P583" s="7">
        <v>42</v>
      </c>
      <c r="T583" s="12" t="s">
        <v>72</v>
      </c>
      <c r="V583" cm="1">
        <f t="array" ref="V583">_xlfn.LET(
_xlpm.x,_xlfn._xlws.FILTER(O583:S583,(O583:S583&lt;&gt;"R")*(O583:S583&lt;&gt;"NA")*(O583:S583&lt;&gt;"W")*(O583:S583&lt;&gt;"")),
IF(COUNTA(_xlpm.x)=0,"NA",IF(MIN(_xlpm.x)=MAX(_xlpm.x),MIN(_xlpm.x),"review"))
)</f>
        <v>42</v>
      </c>
    </row>
    <row r="584" spans="1:22" ht="15.75" hidden="1" customHeight="1" x14ac:dyDescent="0.25">
      <c r="A584" s="7" t="s">
        <v>69</v>
      </c>
      <c r="B584" s="8">
        <v>8</v>
      </c>
      <c r="C584" s="8" t="s">
        <v>70</v>
      </c>
      <c r="D584" s="9" t="s">
        <v>71</v>
      </c>
      <c r="E584" s="7" t="s">
        <v>25</v>
      </c>
      <c r="F584" s="7" t="s">
        <v>39</v>
      </c>
      <c r="G584" s="7" t="s">
        <v>27</v>
      </c>
      <c r="H584" s="7">
        <v>1976</v>
      </c>
      <c r="I584" s="7">
        <v>6</v>
      </c>
      <c r="K584" s="7">
        <v>7</v>
      </c>
      <c r="M584" s="7">
        <v>1</v>
      </c>
      <c r="N584" s="7">
        <v>20</v>
      </c>
      <c r="O584" s="7">
        <v>42</v>
      </c>
      <c r="P584" s="7" t="s">
        <v>28</v>
      </c>
      <c r="T584" s="12"/>
      <c r="V584" cm="1">
        <f t="array" ref="V584">_xlfn.LET(
_xlpm.x,_xlfn._xlws.FILTER(O584:S584,(O584:S584&lt;&gt;"R")*(O584:S584&lt;&gt;"NA")*(O584:S584&lt;&gt;"W")*(O584:S584&lt;&gt;"")),
IF(COUNTA(_xlpm.x)=0,"NA",IF(MIN(_xlpm.x)=MAX(_xlpm.x),MIN(_xlpm.x),"review"))
)</f>
        <v>42</v>
      </c>
    </row>
    <row r="585" spans="1:22" ht="15.75" hidden="1" customHeight="1" x14ac:dyDescent="0.25">
      <c r="A585" s="7" t="s">
        <v>69</v>
      </c>
      <c r="B585" s="8">
        <v>8</v>
      </c>
      <c r="C585" s="8" t="s">
        <v>70</v>
      </c>
      <c r="D585" s="9" t="s">
        <v>71</v>
      </c>
      <c r="E585" s="7" t="s">
        <v>25</v>
      </c>
      <c r="F585" s="7" t="s">
        <v>39</v>
      </c>
      <c r="G585" s="7" t="s">
        <v>27</v>
      </c>
      <c r="H585" s="7">
        <v>1976</v>
      </c>
      <c r="I585" s="7">
        <v>6</v>
      </c>
      <c r="K585" s="7">
        <v>7</v>
      </c>
      <c r="M585" s="7">
        <v>1</v>
      </c>
      <c r="N585" s="7">
        <v>21</v>
      </c>
      <c r="O585" s="7" t="s">
        <v>29</v>
      </c>
      <c r="P585" s="7">
        <v>42</v>
      </c>
      <c r="T585" s="12" t="s">
        <v>81</v>
      </c>
      <c r="V585" cm="1">
        <f t="array" ref="V585">_xlfn.LET(
_xlpm.x,_xlfn._xlws.FILTER(O585:S585,(O585:S585&lt;&gt;"R")*(O585:S585&lt;&gt;"NA")*(O585:S585&lt;&gt;"W")*(O585:S585&lt;&gt;"")),
IF(COUNTA(_xlpm.x)=0,"NA",IF(MIN(_xlpm.x)=MAX(_xlpm.x),MIN(_xlpm.x),"review"))
)</f>
        <v>42</v>
      </c>
    </row>
    <row r="586" spans="1:22" ht="15.75" hidden="1" customHeight="1" x14ac:dyDescent="0.25">
      <c r="A586" s="7" t="s">
        <v>69</v>
      </c>
      <c r="B586" s="8">
        <v>8</v>
      </c>
      <c r="C586" s="8" t="s">
        <v>70</v>
      </c>
      <c r="D586" s="9" t="s">
        <v>71</v>
      </c>
      <c r="E586" s="7" t="s">
        <v>25</v>
      </c>
      <c r="F586" s="7" t="s">
        <v>39</v>
      </c>
      <c r="G586" s="7" t="s">
        <v>27</v>
      </c>
      <c r="H586" s="7">
        <v>1976</v>
      </c>
      <c r="I586" s="7">
        <v>6</v>
      </c>
      <c r="K586" s="7">
        <v>7</v>
      </c>
      <c r="M586" s="7">
        <v>1</v>
      </c>
      <c r="N586" s="7">
        <v>22</v>
      </c>
      <c r="O586" s="7">
        <v>42</v>
      </c>
      <c r="P586" s="7">
        <v>42</v>
      </c>
      <c r="T586" s="12" t="s">
        <v>82</v>
      </c>
      <c r="V586" cm="1">
        <f t="array" ref="V586">_xlfn.LET(
_xlpm.x,_xlfn._xlws.FILTER(O586:S586,(O586:S586&lt;&gt;"R")*(O586:S586&lt;&gt;"NA")*(O586:S586&lt;&gt;"W")*(O586:S586&lt;&gt;"")),
IF(COUNTA(_xlpm.x)=0,"NA",IF(MIN(_xlpm.x)=MAX(_xlpm.x),MIN(_xlpm.x),"review"))
)</f>
        <v>42</v>
      </c>
    </row>
    <row r="587" spans="1:22" ht="15.75" hidden="1" customHeight="1" x14ac:dyDescent="0.25">
      <c r="A587" s="7" t="s">
        <v>69</v>
      </c>
      <c r="B587" s="8">
        <v>8</v>
      </c>
      <c r="C587" s="8" t="s">
        <v>70</v>
      </c>
      <c r="D587" s="9" t="s">
        <v>71</v>
      </c>
      <c r="E587" s="7" t="s">
        <v>25</v>
      </c>
      <c r="F587" s="7" t="s">
        <v>39</v>
      </c>
      <c r="G587" s="7" t="s">
        <v>27</v>
      </c>
      <c r="H587" s="7">
        <v>1976</v>
      </c>
      <c r="I587" s="7">
        <v>6</v>
      </c>
      <c r="K587" s="7">
        <v>7</v>
      </c>
      <c r="M587" s="7">
        <v>1</v>
      </c>
      <c r="N587" s="7">
        <v>23</v>
      </c>
      <c r="O587" s="7" t="s">
        <v>28</v>
      </c>
      <c r="P587" s="7">
        <v>52</v>
      </c>
      <c r="T587" s="12" t="s">
        <v>83</v>
      </c>
      <c r="V587" cm="1">
        <f t="array" ref="V587">_xlfn.LET(
_xlpm.x,_xlfn._xlws.FILTER(O587:S587,(O587:S587&lt;&gt;"R")*(O587:S587&lt;&gt;"NA")*(O587:S587&lt;&gt;"W")*(O587:S587&lt;&gt;"")),
IF(COUNTA(_xlpm.x)=0,"NA",IF(MIN(_xlpm.x)=MAX(_xlpm.x),MIN(_xlpm.x),"review"))
)</f>
        <v>52</v>
      </c>
    </row>
    <row r="588" spans="1:22" ht="15.75" hidden="1" customHeight="1" x14ac:dyDescent="0.25">
      <c r="A588" s="7" t="s">
        <v>69</v>
      </c>
      <c r="B588" s="8">
        <v>8</v>
      </c>
      <c r="C588" s="8" t="s">
        <v>70</v>
      </c>
      <c r="D588" s="9" t="s">
        <v>71</v>
      </c>
      <c r="E588" s="7" t="s">
        <v>25</v>
      </c>
      <c r="F588" s="7" t="s">
        <v>39</v>
      </c>
      <c r="G588" s="7" t="s">
        <v>27</v>
      </c>
      <c r="H588" s="7">
        <v>1976</v>
      </c>
      <c r="I588" s="7">
        <v>6</v>
      </c>
      <c r="K588" s="7">
        <v>7</v>
      </c>
      <c r="M588" s="7">
        <v>1</v>
      </c>
      <c r="N588" s="7">
        <v>24</v>
      </c>
      <c r="O588" s="7">
        <v>42</v>
      </c>
      <c r="P588" s="7">
        <v>42</v>
      </c>
      <c r="T588" s="12" t="s">
        <v>73</v>
      </c>
      <c r="V588" cm="1">
        <f t="array" ref="V588">_xlfn.LET(
_xlpm.x,_xlfn._xlws.FILTER(O588:S588,(O588:S588&lt;&gt;"R")*(O588:S588&lt;&gt;"NA")*(O588:S588&lt;&gt;"W")*(O588:S588&lt;&gt;"")),
IF(COUNTA(_xlpm.x)=0,"NA",IF(MIN(_xlpm.x)=MAX(_xlpm.x),MIN(_xlpm.x),"review"))
)</f>
        <v>42</v>
      </c>
    </row>
    <row r="589" spans="1:22" ht="15.75" hidden="1" customHeight="1" x14ac:dyDescent="0.25">
      <c r="A589" s="7" t="s">
        <v>69</v>
      </c>
      <c r="B589" s="8">
        <v>8</v>
      </c>
      <c r="C589" s="8" t="s">
        <v>70</v>
      </c>
      <c r="D589" s="9" t="s">
        <v>71</v>
      </c>
      <c r="E589" s="7" t="s">
        <v>25</v>
      </c>
      <c r="F589" s="7" t="s">
        <v>39</v>
      </c>
      <c r="G589" s="7" t="s">
        <v>27</v>
      </c>
      <c r="H589" s="7">
        <v>1976</v>
      </c>
      <c r="I589" s="7">
        <v>6</v>
      </c>
      <c r="K589" s="7">
        <v>7</v>
      </c>
      <c r="M589" s="7">
        <v>1</v>
      </c>
      <c r="N589" s="7">
        <v>25</v>
      </c>
      <c r="O589" s="7">
        <v>52</v>
      </c>
      <c r="P589" s="7">
        <v>52</v>
      </c>
      <c r="T589" s="12" t="s">
        <v>84</v>
      </c>
      <c r="V589" cm="1">
        <f t="array" ref="V589">_xlfn.LET(
_xlpm.x,_xlfn._xlws.FILTER(O589:S589,(O589:S589&lt;&gt;"R")*(O589:S589&lt;&gt;"NA")*(O589:S589&lt;&gt;"W")*(O589:S589&lt;&gt;"")),
IF(COUNTA(_xlpm.x)=0,"NA",IF(MIN(_xlpm.x)=MAX(_xlpm.x),MIN(_xlpm.x),"review"))
)</f>
        <v>52</v>
      </c>
    </row>
    <row r="590" spans="1:22" ht="15.75" hidden="1" customHeight="1" x14ac:dyDescent="0.25">
      <c r="A590" s="7" t="s">
        <v>69</v>
      </c>
      <c r="B590" s="8">
        <v>8</v>
      </c>
      <c r="C590" s="8" t="s">
        <v>70</v>
      </c>
      <c r="D590" s="9" t="s">
        <v>71</v>
      </c>
      <c r="E590" s="7" t="s">
        <v>25</v>
      </c>
      <c r="F590" s="7" t="s">
        <v>39</v>
      </c>
      <c r="G590" s="7" t="s">
        <v>85</v>
      </c>
      <c r="H590" s="7">
        <v>1976</v>
      </c>
      <c r="I590" s="7">
        <v>6</v>
      </c>
      <c r="K590" s="7">
        <v>7</v>
      </c>
      <c r="M590" s="7">
        <v>2</v>
      </c>
      <c r="N590" s="7">
        <v>1</v>
      </c>
      <c r="O590" s="7">
        <v>42</v>
      </c>
      <c r="P590" s="7">
        <v>42</v>
      </c>
      <c r="T590" s="12" t="s">
        <v>33</v>
      </c>
      <c r="V590" cm="1">
        <f t="array" ref="V590">_xlfn.LET(
_xlpm.x,_xlfn._xlws.FILTER(O590:S590,(O590:S590&lt;&gt;"R")*(O590:S590&lt;&gt;"NA")*(O590:S590&lt;&gt;"W")*(O590:S590&lt;&gt;"")),
IF(COUNTA(_xlpm.x)=0,"NA",IF(MIN(_xlpm.x)=MAX(_xlpm.x),MIN(_xlpm.x),"review"))
)</f>
        <v>42</v>
      </c>
    </row>
    <row r="591" spans="1:22" ht="15.75" hidden="1" customHeight="1" x14ac:dyDescent="0.25">
      <c r="A591" s="7" t="s">
        <v>69</v>
      </c>
      <c r="B591" s="8">
        <v>8</v>
      </c>
      <c r="C591" s="8" t="s">
        <v>70</v>
      </c>
      <c r="D591" s="9" t="s">
        <v>71</v>
      </c>
      <c r="E591" s="7" t="s">
        <v>25</v>
      </c>
      <c r="F591" s="7" t="s">
        <v>39</v>
      </c>
      <c r="G591" s="7" t="s">
        <v>85</v>
      </c>
      <c r="H591" s="7">
        <v>1976</v>
      </c>
      <c r="I591" s="7">
        <v>6</v>
      </c>
      <c r="K591" s="7">
        <v>7</v>
      </c>
      <c r="M591" s="7">
        <v>2</v>
      </c>
      <c r="N591" s="7">
        <v>2</v>
      </c>
      <c r="O591" s="7">
        <v>42</v>
      </c>
      <c r="P591" s="7">
        <v>42</v>
      </c>
      <c r="T591" s="12" t="s">
        <v>86</v>
      </c>
      <c r="V591" cm="1">
        <f t="array" ref="V591">_xlfn.LET(
_xlpm.x,_xlfn._xlws.FILTER(O591:S591,(O591:S591&lt;&gt;"R")*(O591:S591&lt;&gt;"NA")*(O591:S591&lt;&gt;"W")*(O591:S591&lt;&gt;"")),
IF(COUNTA(_xlpm.x)=0,"NA",IF(MIN(_xlpm.x)=MAX(_xlpm.x),MIN(_xlpm.x),"review"))
)</f>
        <v>42</v>
      </c>
    </row>
    <row r="592" spans="1:22" ht="15.75" hidden="1" customHeight="1" x14ac:dyDescent="0.25">
      <c r="A592" s="7" t="s">
        <v>69</v>
      </c>
      <c r="B592" s="8">
        <v>8</v>
      </c>
      <c r="C592" s="8" t="s">
        <v>70</v>
      </c>
      <c r="D592" s="9" t="s">
        <v>71</v>
      </c>
      <c r="E592" s="7" t="s">
        <v>25</v>
      </c>
      <c r="F592" s="7" t="s">
        <v>39</v>
      </c>
      <c r="G592" s="7" t="s">
        <v>85</v>
      </c>
      <c r="H592" s="7">
        <v>1976</v>
      </c>
      <c r="I592" s="7">
        <v>6</v>
      </c>
      <c r="K592" s="7">
        <v>7</v>
      </c>
      <c r="M592" s="7">
        <v>2</v>
      </c>
      <c r="N592" s="7">
        <v>3</v>
      </c>
      <c r="O592" s="7">
        <v>53</v>
      </c>
      <c r="P592" s="7">
        <v>53</v>
      </c>
      <c r="T592" s="12" t="s">
        <v>87</v>
      </c>
      <c r="V592" cm="1">
        <f t="array" ref="V592">_xlfn.LET(
_xlpm.x,_xlfn._xlws.FILTER(O592:S592,(O592:S592&lt;&gt;"R")*(O592:S592&lt;&gt;"NA")*(O592:S592&lt;&gt;"W")*(O592:S592&lt;&gt;"")),
IF(COUNTA(_xlpm.x)=0,"NA",IF(MIN(_xlpm.x)=MAX(_xlpm.x),MIN(_xlpm.x),"review"))
)</f>
        <v>53</v>
      </c>
    </row>
    <row r="593" spans="1:22" ht="15.75" hidden="1" customHeight="1" x14ac:dyDescent="0.25">
      <c r="A593" s="7" t="s">
        <v>69</v>
      </c>
      <c r="B593" s="8">
        <v>8</v>
      </c>
      <c r="C593" s="8" t="s">
        <v>70</v>
      </c>
      <c r="D593" s="9" t="s">
        <v>71</v>
      </c>
      <c r="E593" s="7" t="s">
        <v>25</v>
      </c>
      <c r="F593" s="7" t="s">
        <v>39</v>
      </c>
      <c r="G593" s="7" t="s">
        <v>85</v>
      </c>
      <c r="H593" s="7">
        <v>1976</v>
      </c>
      <c r="I593" s="7">
        <v>6</v>
      </c>
      <c r="K593" s="7">
        <v>7</v>
      </c>
      <c r="M593" s="7">
        <v>2</v>
      </c>
      <c r="N593" s="7">
        <v>4</v>
      </c>
      <c r="O593" s="7">
        <v>42</v>
      </c>
      <c r="P593" s="7" t="s">
        <v>28</v>
      </c>
      <c r="T593" s="12" t="s">
        <v>79</v>
      </c>
      <c r="V593" cm="1">
        <f t="array" ref="V593">_xlfn.LET(
_xlpm.x,_xlfn._xlws.FILTER(O593:S593,(O593:S593&lt;&gt;"R")*(O593:S593&lt;&gt;"NA")*(O593:S593&lt;&gt;"W")*(O593:S593&lt;&gt;"")),
IF(COUNTA(_xlpm.x)=0,"NA",IF(MIN(_xlpm.x)=MAX(_xlpm.x),MIN(_xlpm.x),"review"))
)</f>
        <v>42</v>
      </c>
    </row>
    <row r="594" spans="1:22" ht="15.75" hidden="1" customHeight="1" x14ac:dyDescent="0.25">
      <c r="A594" s="7" t="s">
        <v>69</v>
      </c>
      <c r="B594" s="8">
        <v>8</v>
      </c>
      <c r="C594" s="8" t="s">
        <v>70</v>
      </c>
      <c r="D594" s="9" t="s">
        <v>71</v>
      </c>
      <c r="E594" s="7" t="s">
        <v>25</v>
      </c>
      <c r="F594" s="7" t="s">
        <v>39</v>
      </c>
      <c r="G594" s="7" t="s">
        <v>85</v>
      </c>
      <c r="H594" s="7">
        <v>1976</v>
      </c>
      <c r="I594" s="7">
        <v>6</v>
      </c>
      <c r="K594" s="7">
        <v>7</v>
      </c>
      <c r="M594" s="7">
        <v>2</v>
      </c>
      <c r="N594" s="7">
        <v>5</v>
      </c>
      <c r="O594" s="7">
        <v>42</v>
      </c>
      <c r="P594" s="7">
        <v>42</v>
      </c>
      <c r="T594" s="12" t="s">
        <v>83</v>
      </c>
      <c r="V594" cm="1">
        <f t="array" ref="V594">_xlfn.LET(
_xlpm.x,_xlfn._xlws.FILTER(O594:S594,(O594:S594&lt;&gt;"R")*(O594:S594&lt;&gt;"NA")*(O594:S594&lt;&gt;"W")*(O594:S594&lt;&gt;"")),
IF(COUNTA(_xlpm.x)=0,"NA",IF(MIN(_xlpm.x)=MAX(_xlpm.x),MIN(_xlpm.x),"review"))
)</f>
        <v>42</v>
      </c>
    </row>
    <row r="595" spans="1:22" ht="15.75" hidden="1" customHeight="1" x14ac:dyDescent="0.25">
      <c r="A595" s="7" t="s">
        <v>69</v>
      </c>
      <c r="B595" s="8">
        <v>8</v>
      </c>
      <c r="C595" s="8" t="s">
        <v>70</v>
      </c>
      <c r="D595" s="9" t="s">
        <v>71</v>
      </c>
      <c r="E595" s="7" t="s">
        <v>25</v>
      </c>
      <c r="F595" s="7" t="s">
        <v>39</v>
      </c>
      <c r="G595" s="7" t="s">
        <v>85</v>
      </c>
      <c r="H595" s="7">
        <v>1976</v>
      </c>
      <c r="I595" s="7">
        <v>6</v>
      </c>
      <c r="K595" s="7">
        <v>7</v>
      </c>
      <c r="M595" s="7">
        <v>2</v>
      </c>
      <c r="N595" s="7">
        <v>6</v>
      </c>
      <c r="O595" s="7">
        <v>42</v>
      </c>
      <c r="P595" s="7" t="s">
        <v>28</v>
      </c>
      <c r="T595" s="12" t="s">
        <v>72</v>
      </c>
      <c r="V595" cm="1">
        <f t="array" ref="V595">_xlfn.LET(
_xlpm.x,_xlfn._xlws.FILTER(O595:S595,(O595:S595&lt;&gt;"R")*(O595:S595&lt;&gt;"NA")*(O595:S595&lt;&gt;"W")*(O595:S595&lt;&gt;"")),
IF(COUNTA(_xlpm.x)=0,"NA",IF(MIN(_xlpm.x)=MAX(_xlpm.x),MIN(_xlpm.x),"review"))
)</f>
        <v>42</v>
      </c>
    </row>
    <row r="596" spans="1:22" ht="15.75" hidden="1" customHeight="1" x14ac:dyDescent="0.25">
      <c r="A596" s="7" t="s">
        <v>69</v>
      </c>
      <c r="B596" s="8">
        <v>8</v>
      </c>
      <c r="C596" s="8" t="s">
        <v>70</v>
      </c>
      <c r="D596" s="9" t="s">
        <v>71</v>
      </c>
      <c r="E596" s="7" t="s">
        <v>25</v>
      </c>
      <c r="F596" s="7" t="s">
        <v>39</v>
      </c>
      <c r="G596" s="7" t="s">
        <v>85</v>
      </c>
      <c r="H596" s="7">
        <v>1976</v>
      </c>
      <c r="I596" s="7">
        <v>6</v>
      </c>
      <c r="K596" s="7">
        <v>7</v>
      </c>
      <c r="M596" s="7">
        <v>2</v>
      </c>
      <c r="N596" s="7">
        <v>7</v>
      </c>
      <c r="O596" s="7" t="s">
        <v>28</v>
      </c>
      <c r="P596" s="7" t="s">
        <v>28</v>
      </c>
      <c r="T596" s="12"/>
      <c r="V596" t="s">
        <v>29</v>
      </c>
    </row>
    <row r="597" spans="1:22" ht="15.75" hidden="1" customHeight="1" x14ac:dyDescent="0.25">
      <c r="A597" s="7" t="s">
        <v>69</v>
      </c>
      <c r="B597" s="8">
        <v>8</v>
      </c>
      <c r="C597" s="8" t="s">
        <v>70</v>
      </c>
      <c r="D597" s="9" t="s">
        <v>71</v>
      </c>
      <c r="E597" s="7" t="s">
        <v>25</v>
      </c>
      <c r="F597" s="7" t="s">
        <v>39</v>
      </c>
      <c r="G597" s="7" t="s">
        <v>85</v>
      </c>
      <c r="H597" s="7">
        <v>1976</v>
      </c>
      <c r="I597" s="7">
        <v>6</v>
      </c>
      <c r="K597" s="7">
        <v>7</v>
      </c>
      <c r="M597" s="7">
        <v>2</v>
      </c>
      <c r="N597" s="7">
        <v>8</v>
      </c>
      <c r="O597" s="7">
        <v>52</v>
      </c>
      <c r="P597" s="7">
        <v>52</v>
      </c>
      <c r="T597" s="12" t="s">
        <v>88</v>
      </c>
      <c r="V597" cm="1">
        <f t="array" ref="V597">_xlfn.LET(
_xlpm.x,_xlfn._xlws.FILTER(O597:S597,(O597:S597&lt;&gt;"R")*(O597:S597&lt;&gt;"NA")*(O597:S597&lt;&gt;"W")*(O597:S597&lt;&gt;"")),
IF(COUNTA(_xlpm.x)=0,"NA",IF(MIN(_xlpm.x)=MAX(_xlpm.x),MIN(_xlpm.x),"review"))
)</f>
        <v>52</v>
      </c>
    </row>
    <row r="598" spans="1:22" ht="15.75" hidden="1" customHeight="1" x14ac:dyDescent="0.25">
      <c r="A598" s="7" t="s">
        <v>69</v>
      </c>
      <c r="B598" s="8">
        <v>8</v>
      </c>
      <c r="C598" s="8" t="s">
        <v>70</v>
      </c>
      <c r="D598" s="9" t="s">
        <v>71</v>
      </c>
      <c r="E598" s="7" t="s">
        <v>25</v>
      </c>
      <c r="F598" s="7" t="s">
        <v>39</v>
      </c>
      <c r="G598" s="7" t="s">
        <v>85</v>
      </c>
      <c r="H598" s="7">
        <v>1976</v>
      </c>
      <c r="I598" s="7">
        <v>6</v>
      </c>
      <c r="K598" s="7">
        <v>7</v>
      </c>
      <c r="M598" s="7">
        <v>2</v>
      </c>
      <c r="N598" s="7">
        <v>9</v>
      </c>
      <c r="O598" s="7" t="s">
        <v>28</v>
      </c>
      <c r="P598" s="7" t="s">
        <v>28</v>
      </c>
      <c r="T598" s="12"/>
      <c r="V598" t="s">
        <v>29</v>
      </c>
    </row>
    <row r="599" spans="1:22" ht="15.75" hidden="1" customHeight="1" x14ac:dyDescent="0.25">
      <c r="A599" s="7" t="s">
        <v>69</v>
      </c>
      <c r="B599" s="8">
        <v>8</v>
      </c>
      <c r="C599" s="8" t="s">
        <v>70</v>
      </c>
      <c r="D599" s="9" t="s">
        <v>71</v>
      </c>
      <c r="E599" s="7" t="s">
        <v>25</v>
      </c>
      <c r="F599" s="7" t="s">
        <v>39</v>
      </c>
      <c r="G599" s="7" t="s">
        <v>85</v>
      </c>
      <c r="H599" s="7">
        <v>1976</v>
      </c>
      <c r="I599" s="7">
        <v>6</v>
      </c>
      <c r="K599" s="7">
        <v>7</v>
      </c>
      <c r="M599" s="7">
        <v>2</v>
      </c>
      <c r="N599" s="7">
        <v>10</v>
      </c>
      <c r="O599" s="7" t="s">
        <v>28</v>
      </c>
      <c r="P599" s="7">
        <v>42</v>
      </c>
      <c r="T599" s="12" t="s">
        <v>83</v>
      </c>
      <c r="V599" cm="1">
        <f t="array" ref="V599">_xlfn.LET(
_xlpm.x,_xlfn._xlws.FILTER(O599:S599,(O599:S599&lt;&gt;"R")*(O599:S599&lt;&gt;"NA")*(O599:S599&lt;&gt;"W")*(O599:S599&lt;&gt;"")),
IF(COUNTA(_xlpm.x)=0,"NA",IF(MIN(_xlpm.x)=MAX(_xlpm.x),MIN(_xlpm.x),"review"))
)</f>
        <v>42</v>
      </c>
    </row>
    <row r="600" spans="1:22" ht="15.75" hidden="1" customHeight="1" x14ac:dyDescent="0.25">
      <c r="A600" s="7" t="s">
        <v>69</v>
      </c>
      <c r="B600" s="8">
        <v>8</v>
      </c>
      <c r="C600" s="8" t="s">
        <v>70</v>
      </c>
      <c r="D600" s="9" t="s">
        <v>71</v>
      </c>
      <c r="E600" s="7" t="s">
        <v>25</v>
      </c>
      <c r="F600" s="7" t="s">
        <v>39</v>
      </c>
      <c r="G600" s="7" t="s">
        <v>85</v>
      </c>
      <c r="H600" s="7">
        <v>1976</v>
      </c>
      <c r="I600" s="7">
        <v>6</v>
      </c>
      <c r="K600" s="7">
        <v>7</v>
      </c>
      <c r="M600" s="7">
        <v>2</v>
      </c>
      <c r="N600" s="7">
        <v>11</v>
      </c>
      <c r="O600" s="7" t="s">
        <v>28</v>
      </c>
      <c r="P600" s="7">
        <v>52</v>
      </c>
      <c r="T600" s="12"/>
      <c r="V600" cm="1">
        <f t="array" ref="V600">_xlfn.LET(
_xlpm.x,_xlfn._xlws.FILTER(O600:S600,(O600:S600&lt;&gt;"R")*(O600:S600&lt;&gt;"NA")*(O600:S600&lt;&gt;"W")*(O600:S600&lt;&gt;"")),
IF(COUNTA(_xlpm.x)=0,"NA",IF(MIN(_xlpm.x)=MAX(_xlpm.x),MIN(_xlpm.x),"review"))
)</f>
        <v>52</v>
      </c>
    </row>
    <row r="601" spans="1:22" ht="15.75" hidden="1" customHeight="1" x14ac:dyDescent="0.25">
      <c r="A601" s="7" t="s">
        <v>69</v>
      </c>
      <c r="B601" s="8">
        <v>8</v>
      </c>
      <c r="C601" s="8" t="s">
        <v>70</v>
      </c>
      <c r="D601" s="9" t="s">
        <v>71</v>
      </c>
      <c r="E601" s="7" t="s">
        <v>25</v>
      </c>
      <c r="F601" s="7" t="s">
        <v>39</v>
      </c>
      <c r="G601" s="7" t="s">
        <v>85</v>
      </c>
      <c r="H601" s="7">
        <v>1976</v>
      </c>
      <c r="I601" s="7">
        <v>6</v>
      </c>
      <c r="K601" s="7">
        <v>7</v>
      </c>
      <c r="M601" s="7">
        <v>2</v>
      </c>
      <c r="N601" s="7">
        <v>12</v>
      </c>
      <c r="O601" s="7" t="s">
        <v>28</v>
      </c>
      <c r="P601" s="7" t="s">
        <v>28</v>
      </c>
      <c r="T601" s="12"/>
      <c r="V601" t="s">
        <v>29</v>
      </c>
    </row>
    <row r="602" spans="1:22" ht="15.75" hidden="1" customHeight="1" x14ac:dyDescent="0.25">
      <c r="A602" s="7" t="s">
        <v>69</v>
      </c>
      <c r="B602" s="8">
        <v>8</v>
      </c>
      <c r="C602" s="8" t="s">
        <v>70</v>
      </c>
      <c r="D602" s="9" t="s">
        <v>71</v>
      </c>
      <c r="E602" s="7" t="s">
        <v>25</v>
      </c>
      <c r="F602" s="7" t="s">
        <v>39</v>
      </c>
      <c r="G602" s="7" t="s">
        <v>85</v>
      </c>
      <c r="H602" s="7">
        <v>1976</v>
      </c>
      <c r="I602" s="7">
        <v>6</v>
      </c>
      <c r="K602" s="7">
        <v>7</v>
      </c>
      <c r="M602" s="7">
        <v>2</v>
      </c>
      <c r="N602" s="7">
        <v>13</v>
      </c>
      <c r="O602" s="7">
        <v>42</v>
      </c>
      <c r="P602" s="7">
        <v>42</v>
      </c>
      <c r="T602" s="12" t="s">
        <v>72</v>
      </c>
      <c r="V602" cm="1">
        <f t="array" ref="V602">_xlfn.LET(
_xlpm.x,_xlfn._xlws.FILTER(O602:S602,(O602:S602&lt;&gt;"R")*(O602:S602&lt;&gt;"NA")*(O602:S602&lt;&gt;"W")*(O602:S602&lt;&gt;"")),
IF(COUNTA(_xlpm.x)=0,"NA",IF(MIN(_xlpm.x)=MAX(_xlpm.x),MIN(_xlpm.x),"review"))
)</f>
        <v>42</v>
      </c>
    </row>
    <row r="603" spans="1:22" ht="15.75" hidden="1" customHeight="1" x14ac:dyDescent="0.25">
      <c r="A603" s="7" t="s">
        <v>69</v>
      </c>
      <c r="B603" s="8">
        <v>8</v>
      </c>
      <c r="C603" s="8" t="s">
        <v>70</v>
      </c>
      <c r="D603" s="9" t="s">
        <v>71</v>
      </c>
      <c r="E603" s="7" t="s">
        <v>25</v>
      </c>
      <c r="F603" s="7" t="s">
        <v>39</v>
      </c>
      <c r="G603" s="7" t="s">
        <v>85</v>
      </c>
      <c r="H603" s="7">
        <v>1976</v>
      </c>
      <c r="I603" s="7">
        <v>6</v>
      </c>
      <c r="K603" s="7">
        <v>7</v>
      </c>
      <c r="M603" s="7">
        <v>2</v>
      </c>
      <c r="N603" s="7">
        <v>14</v>
      </c>
      <c r="O603" s="7" t="s">
        <v>28</v>
      </c>
      <c r="P603" s="7">
        <v>52</v>
      </c>
      <c r="T603" s="12"/>
      <c r="V603" cm="1">
        <f t="array" ref="V603">_xlfn.LET(
_xlpm.x,_xlfn._xlws.FILTER(O603:S603,(O603:S603&lt;&gt;"R")*(O603:S603&lt;&gt;"NA")*(O603:S603&lt;&gt;"W")*(O603:S603&lt;&gt;"")),
IF(COUNTA(_xlpm.x)=0,"NA",IF(MIN(_xlpm.x)=MAX(_xlpm.x),MIN(_xlpm.x),"review"))
)</f>
        <v>52</v>
      </c>
    </row>
    <row r="604" spans="1:22" ht="15.75" hidden="1" customHeight="1" x14ac:dyDescent="0.25">
      <c r="A604" s="7" t="s">
        <v>69</v>
      </c>
      <c r="B604" s="8">
        <v>8</v>
      </c>
      <c r="C604" s="8" t="s">
        <v>70</v>
      </c>
      <c r="D604" s="9" t="s">
        <v>71</v>
      </c>
      <c r="E604" s="7" t="s">
        <v>25</v>
      </c>
      <c r="F604" s="7" t="s">
        <v>39</v>
      </c>
      <c r="G604" s="7" t="s">
        <v>85</v>
      </c>
      <c r="H604" s="7">
        <v>1976</v>
      </c>
      <c r="I604" s="7">
        <v>6</v>
      </c>
      <c r="K604" s="7">
        <v>7</v>
      </c>
      <c r="M604" s="7">
        <v>2</v>
      </c>
      <c r="N604" s="7">
        <v>15</v>
      </c>
      <c r="O604" s="7">
        <v>52</v>
      </c>
      <c r="P604" s="7" t="s">
        <v>28</v>
      </c>
      <c r="T604" s="12" t="s">
        <v>89</v>
      </c>
      <c r="V604" cm="1">
        <f t="array" ref="V604">_xlfn.LET(
_xlpm.x,_xlfn._xlws.FILTER(O604:S604,(O604:S604&lt;&gt;"R")*(O604:S604&lt;&gt;"NA")*(O604:S604&lt;&gt;"W")*(O604:S604&lt;&gt;"")),
IF(COUNTA(_xlpm.x)=0,"NA",IF(MIN(_xlpm.x)=MAX(_xlpm.x),MIN(_xlpm.x),"review"))
)</f>
        <v>52</v>
      </c>
    </row>
    <row r="605" spans="1:22" ht="15.75" hidden="1" customHeight="1" x14ac:dyDescent="0.25">
      <c r="A605" s="7" t="s">
        <v>69</v>
      </c>
      <c r="B605" s="8">
        <v>8</v>
      </c>
      <c r="C605" s="8" t="s">
        <v>70</v>
      </c>
      <c r="D605" s="9" t="s">
        <v>71</v>
      </c>
      <c r="E605" s="7" t="s">
        <v>25</v>
      </c>
      <c r="F605" s="7" t="s">
        <v>39</v>
      </c>
      <c r="G605" s="7" t="s">
        <v>85</v>
      </c>
      <c r="H605" s="7">
        <v>1976</v>
      </c>
      <c r="I605" s="7">
        <v>6</v>
      </c>
      <c r="K605" s="7">
        <v>7</v>
      </c>
      <c r="M605" s="7">
        <v>2</v>
      </c>
      <c r="N605" s="7">
        <v>16</v>
      </c>
      <c r="O605" s="7">
        <v>53</v>
      </c>
      <c r="P605" s="7">
        <v>53</v>
      </c>
      <c r="T605" s="12" t="s">
        <v>90</v>
      </c>
      <c r="V605" cm="1">
        <f t="array" ref="V605">_xlfn.LET(
_xlpm.x,_xlfn._xlws.FILTER(O605:S605,(O605:S605&lt;&gt;"R")*(O605:S605&lt;&gt;"NA")*(O605:S605&lt;&gt;"W")*(O605:S605&lt;&gt;"")),
IF(COUNTA(_xlpm.x)=0,"NA",IF(MIN(_xlpm.x)=MAX(_xlpm.x),MIN(_xlpm.x),"review"))
)</f>
        <v>53</v>
      </c>
    </row>
    <row r="606" spans="1:22" ht="15.75" hidden="1" customHeight="1" x14ac:dyDescent="0.25">
      <c r="A606" s="7" t="s">
        <v>69</v>
      </c>
      <c r="B606" s="8">
        <v>8</v>
      </c>
      <c r="C606" s="8" t="s">
        <v>70</v>
      </c>
      <c r="D606" s="9" t="s">
        <v>71</v>
      </c>
      <c r="E606" s="7" t="s">
        <v>25</v>
      </c>
      <c r="F606" s="7" t="s">
        <v>39</v>
      </c>
      <c r="G606" s="7" t="s">
        <v>85</v>
      </c>
      <c r="H606" s="7">
        <v>1976</v>
      </c>
      <c r="I606" s="7">
        <v>6</v>
      </c>
      <c r="K606" s="7">
        <v>7</v>
      </c>
      <c r="M606" s="7">
        <v>2</v>
      </c>
      <c r="N606" s="7">
        <v>17</v>
      </c>
      <c r="O606" s="7">
        <v>42</v>
      </c>
      <c r="P606" s="7">
        <v>42</v>
      </c>
      <c r="T606" s="12" t="s">
        <v>79</v>
      </c>
      <c r="V606" cm="1">
        <f t="array" ref="V606">_xlfn.LET(
_xlpm.x,_xlfn._xlws.FILTER(O606:S606,(O606:S606&lt;&gt;"R")*(O606:S606&lt;&gt;"NA")*(O606:S606&lt;&gt;"W")*(O606:S606&lt;&gt;"")),
IF(COUNTA(_xlpm.x)=0,"NA",IF(MIN(_xlpm.x)=MAX(_xlpm.x),MIN(_xlpm.x),"review"))
)</f>
        <v>42</v>
      </c>
    </row>
    <row r="607" spans="1:22" ht="15.75" hidden="1" customHeight="1" x14ac:dyDescent="0.25">
      <c r="A607" s="7" t="s">
        <v>69</v>
      </c>
      <c r="B607" s="8">
        <v>8</v>
      </c>
      <c r="C607" s="8" t="s">
        <v>70</v>
      </c>
      <c r="D607" s="9" t="s">
        <v>71</v>
      </c>
      <c r="E607" s="7" t="s">
        <v>25</v>
      </c>
      <c r="F607" s="7" t="s">
        <v>39</v>
      </c>
      <c r="G607" s="7" t="s">
        <v>85</v>
      </c>
      <c r="H607" s="7">
        <v>1976</v>
      </c>
      <c r="I607" s="7">
        <v>6</v>
      </c>
      <c r="K607" s="7">
        <v>7</v>
      </c>
      <c r="M607" s="7">
        <v>2</v>
      </c>
      <c r="N607" s="7">
        <v>18</v>
      </c>
      <c r="O607" s="7">
        <v>52</v>
      </c>
      <c r="P607" s="7">
        <v>52</v>
      </c>
      <c r="T607" s="12" t="s">
        <v>83</v>
      </c>
      <c r="V607" cm="1">
        <f t="array" ref="V607">_xlfn.LET(
_xlpm.x,_xlfn._xlws.FILTER(O607:S607,(O607:S607&lt;&gt;"R")*(O607:S607&lt;&gt;"NA")*(O607:S607&lt;&gt;"W")*(O607:S607&lt;&gt;"")),
IF(COUNTA(_xlpm.x)=0,"NA",IF(MIN(_xlpm.x)=MAX(_xlpm.x),MIN(_xlpm.x),"review"))
)</f>
        <v>52</v>
      </c>
    </row>
    <row r="608" spans="1:22" ht="15.75" hidden="1" customHeight="1" x14ac:dyDescent="0.25">
      <c r="A608" s="7" t="s">
        <v>69</v>
      </c>
      <c r="B608" s="8">
        <v>8</v>
      </c>
      <c r="C608" s="8" t="s">
        <v>70</v>
      </c>
      <c r="D608" s="9" t="s">
        <v>71</v>
      </c>
      <c r="E608" s="7" t="s">
        <v>25</v>
      </c>
      <c r="F608" s="7" t="s">
        <v>39</v>
      </c>
      <c r="G608" s="7" t="s">
        <v>85</v>
      </c>
      <c r="H608" s="7">
        <v>1976</v>
      </c>
      <c r="I608" s="7">
        <v>6</v>
      </c>
      <c r="K608" s="7">
        <v>7</v>
      </c>
      <c r="M608" s="7">
        <v>2</v>
      </c>
      <c r="N608" s="7">
        <v>19</v>
      </c>
      <c r="O608" s="7" t="s">
        <v>28</v>
      </c>
      <c r="P608" s="7">
        <v>52</v>
      </c>
      <c r="T608" s="12" t="s">
        <v>83</v>
      </c>
      <c r="V608" cm="1">
        <f t="array" ref="V608">_xlfn.LET(
_xlpm.x,_xlfn._xlws.FILTER(O608:S608,(O608:S608&lt;&gt;"R")*(O608:S608&lt;&gt;"NA")*(O608:S608&lt;&gt;"W")*(O608:S608&lt;&gt;"")),
IF(COUNTA(_xlpm.x)=0,"NA",IF(MIN(_xlpm.x)=MAX(_xlpm.x),MIN(_xlpm.x),"review"))
)</f>
        <v>52</v>
      </c>
    </row>
    <row r="609" spans="1:22" ht="15.75" hidden="1" customHeight="1" x14ac:dyDescent="0.25">
      <c r="A609" s="7" t="s">
        <v>69</v>
      </c>
      <c r="B609" s="8">
        <v>8</v>
      </c>
      <c r="C609" s="8" t="s">
        <v>70</v>
      </c>
      <c r="D609" s="9" t="s">
        <v>71</v>
      </c>
      <c r="E609" s="7" t="s">
        <v>25</v>
      </c>
      <c r="F609" s="7" t="s">
        <v>39</v>
      </c>
      <c r="G609" s="7" t="s">
        <v>85</v>
      </c>
      <c r="H609" s="7">
        <v>1976</v>
      </c>
      <c r="I609" s="7">
        <v>6</v>
      </c>
      <c r="K609" s="7">
        <v>7</v>
      </c>
      <c r="M609" s="7">
        <v>2</v>
      </c>
      <c r="N609" s="7">
        <v>20</v>
      </c>
      <c r="O609" s="7">
        <v>42</v>
      </c>
      <c r="P609" s="7">
        <v>42</v>
      </c>
      <c r="T609" s="12" t="s">
        <v>80</v>
      </c>
      <c r="V609" cm="1">
        <f t="array" ref="V609">_xlfn.LET(
_xlpm.x,_xlfn._xlws.FILTER(O609:S609,(O609:S609&lt;&gt;"R")*(O609:S609&lt;&gt;"NA")*(O609:S609&lt;&gt;"W")*(O609:S609&lt;&gt;"")),
IF(COUNTA(_xlpm.x)=0,"NA",IF(MIN(_xlpm.x)=MAX(_xlpm.x),MIN(_xlpm.x),"review"))
)</f>
        <v>42</v>
      </c>
    </row>
    <row r="610" spans="1:22" ht="15.75" hidden="1" customHeight="1" x14ac:dyDescent="0.25">
      <c r="A610" s="7" t="s">
        <v>69</v>
      </c>
      <c r="B610" s="8">
        <v>8</v>
      </c>
      <c r="C610" s="8" t="s">
        <v>70</v>
      </c>
      <c r="D610" s="9" t="s">
        <v>71</v>
      </c>
      <c r="E610" s="7" t="s">
        <v>25</v>
      </c>
      <c r="F610" s="7" t="s">
        <v>39</v>
      </c>
      <c r="G610" s="7" t="s">
        <v>85</v>
      </c>
      <c r="H610" s="7">
        <v>1976</v>
      </c>
      <c r="I610" s="7">
        <v>6</v>
      </c>
      <c r="K610" s="7">
        <v>7</v>
      </c>
      <c r="M610" s="7">
        <v>2</v>
      </c>
      <c r="N610" s="7">
        <v>21</v>
      </c>
      <c r="O610" s="7">
        <v>42</v>
      </c>
      <c r="P610" s="7">
        <v>42</v>
      </c>
      <c r="T610" s="12" t="s">
        <v>91</v>
      </c>
      <c r="V610" cm="1">
        <f t="array" ref="V610">_xlfn.LET(
_xlpm.x,_xlfn._xlws.FILTER(O610:S610,(O610:S610&lt;&gt;"R")*(O610:S610&lt;&gt;"NA")*(O610:S610&lt;&gt;"W")*(O610:S610&lt;&gt;"")),
IF(COUNTA(_xlpm.x)=0,"NA",IF(MIN(_xlpm.x)=MAX(_xlpm.x),MIN(_xlpm.x),"review"))
)</f>
        <v>42</v>
      </c>
    </row>
    <row r="611" spans="1:22" ht="15.75" hidden="1" customHeight="1" x14ac:dyDescent="0.25">
      <c r="A611" s="7" t="s">
        <v>69</v>
      </c>
      <c r="B611" s="8">
        <v>8</v>
      </c>
      <c r="C611" s="8" t="s">
        <v>70</v>
      </c>
      <c r="D611" s="9" t="s">
        <v>71</v>
      </c>
      <c r="E611" s="7" t="s">
        <v>25</v>
      </c>
      <c r="F611" s="7" t="s">
        <v>39</v>
      </c>
      <c r="G611" s="7" t="s">
        <v>85</v>
      </c>
      <c r="H611" s="7">
        <v>1976</v>
      </c>
      <c r="I611" s="7">
        <v>6</v>
      </c>
      <c r="K611" s="7">
        <v>7</v>
      </c>
      <c r="M611" s="7">
        <v>2</v>
      </c>
      <c r="N611" s="7">
        <v>22</v>
      </c>
      <c r="O611" s="7" t="s">
        <v>28</v>
      </c>
      <c r="P611" s="7">
        <v>52</v>
      </c>
      <c r="T611" s="12"/>
      <c r="V611" cm="1">
        <f t="array" ref="V611">_xlfn.LET(
_xlpm.x,_xlfn._xlws.FILTER(O611:S611,(O611:S611&lt;&gt;"R")*(O611:S611&lt;&gt;"NA")*(O611:S611&lt;&gt;"W")*(O611:S611&lt;&gt;"")),
IF(COUNTA(_xlpm.x)=0,"NA",IF(MIN(_xlpm.x)=MAX(_xlpm.x),MIN(_xlpm.x),"review"))
)</f>
        <v>52</v>
      </c>
    </row>
    <row r="612" spans="1:22" ht="15.75" hidden="1" customHeight="1" x14ac:dyDescent="0.25">
      <c r="A612" s="7" t="s">
        <v>69</v>
      </c>
      <c r="B612" s="8">
        <v>8</v>
      </c>
      <c r="C612" s="8" t="s">
        <v>70</v>
      </c>
      <c r="D612" s="9" t="s">
        <v>71</v>
      </c>
      <c r="E612" s="7" t="s">
        <v>25</v>
      </c>
      <c r="F612" s="7" t="s">
        <v>39</v>
      </c>
      <c r="G612" s="7" t="s">
        <v>85</v>
      </c>
      <c r="H612" s="7">
        <v>1976</v>
      </c>
      <c r="I612" s="7">
        <v>6</v>
      </c>
      <c r="K612" s="7">
        <v>7</v>
      </c>
      <c r="M612" s="7">
        <v>2</v>
      </c>
      <c r="N612" s="7">
        <v>23</v>
      </c>
      <c r="O612" s="7" t="s">
        <v>29</v>
      </c>
      <c r="P612" s="7">
        <v>42</v>
      </c>
      <c r="T612" s="12" t="s">
        <v>83</v>
      </c>
      <c r="V612" cm="1">
        <f t="array" ref="V612">_xlfn.LET(
_xlpm.x,_xlfn._xlws.FILTER(O612:S612,(O612:S612&lt;&gt;"R")*(O612:S612&lt;&gt;"NA")*(O612:S612&lt;&gt;"W")*(O612:S612&lt;&gt;"")),
IF(COUNTA(_xlpm.x)=0,"NA",IF(MIN(_xlpm.x)=MAX(_xlpm.x),MIN(_xlpm.x),"review"))
)</f>
        <v>42</v>
      </c>
    </row>
    <row r="613" spans="1:22" ht="15.75" hidden="1" customHeight="1" x14ac:dyDescent="0.25">
      <c r="A613" s="7" t="s">
        <v>69</v>
      </c>
      <c r="B613" s="8">
        <v>8</v>
      </c>
      <c r="C613" s="8" t="s">
        <v>70</v>
      </c>
      <c r="D613" s="9" t="s">
        <v>71</v>
      </c>
      <c r="E613" s="7" t="s">
        <v>25</v>
      </c>
      <c r="F613" s="7" t="s">
        <v>39</v>
      </c>
      <c r="G613" s="7" t="s">
        <v>85</v>
      </c>
      <c r="H613" s="7">
        <v>1976</v>
      </c>
      <c r="I613" s="7">
        <v>6</v>
      </c>
      <c r="K613" s="7">
        <v>7</v>
      </c>
      <c r="M613" s="7">
        <v>2</v>
      </c>
      <c r="N613" s="7">
        <v>24</v>
      </c>
      <c r="O613" s="7">
        <v>52</v>
      </c>
      <c r="P613" s="7">
        <v>52</v>
      </c>
      <c r="T613" s="12" t="s">
        <v>74</v>
      </c>
      <c r="V613" cm="1">
        <f t="array" ref="V613">_xlfn.LET(
_xlpm.x,_xlfn._xlws.FILTER(O613:S613,(O613:S613&lt;&gt;"R")*(O613:S613&lt;&gt;"NA")*(O613:S613&lt;&gt;"W")*(O613:S613&lt;&gt;"")),
IF(COUNTA(_xlpm.x)=0,"NA",IF(MIN(_xlpm.x)=MAX(_xlpm.x),MIN(_xlpm.x),"review"))
)</f>
        <v>52</v>
      </c>
    </row>
    <row r="614" spans="1:22" ht="15.75" hidden="1" customHeight="1" x14ac:dyDescent="0.25">
      <c r="A614" s="7" t="s">
        <v>69</v>
      </c>
      <c r="B614" s="8">
        <v>8</v>
      </c>
      <c r="C614" s="8" t="s">
        <v>70</v>
      </c>
      <c r="D614" s="9" t="s">
        <v>71</v>
      </c>
      <c r="E614" s="7" t="s">
        <v>25</v>
      </c>
      <c r="F614" s="7" t="s">
        <v>39</v>
      </c>
      <c r="G614" s="7" t="s">
        <v>85</v>
      </c>
      <c r="H614" s="7">
        <v>1976</v>
      </c>
      <c r="I614" s="7">
        <v>6</v>
      </c>
      <c r="K614" s="7">
        <v>7</v>
      </c>
      <c r="M614" s="7">
        <v>2</v>
      </c>
      <c r="N614" s="7">
        <v>25</v>
      </c>
      <c r="O614" s="7" t="s">
        <v>28</v>
      </c>
      <c r="P614" s="7" t="s">
        <v>28</v>
      </c>
      <c r="T614" s="12"/>
      <c r="V614" t="s">
        <v>29</v>
      </c>
    </row>
    <row r="615" spans="1:22" ht="15.75" hidden="1" customHeight="1" x14ac:dyDescent="0.25">
      <c r="A615" s="7" t="s">
        <v>69</v>
      </c>
      <c r="B615" s="8">
        <v>8</v>
      </c>
      <c r="C615" s="8" t="s">
        <v>70</v>
      </c>
      <c r="D615" s="9" t="s">
        <v>71</v>
      </c>
      <c r="E615" s="7" t="s">
        <v>25</v>
      </c>
      <c r="F615" s="7" t="s">
        <v>39</v>
      </c>
      <c r="G615" s="7" t="s">
        <v>85</v>
      </c>
      <c r="H615" s="7">
        <v>1976</v>
      </c>
      <c r="I615" s="7">
        <v>7</v>
      </c>
      <c r="K615" s="7">
        <v>7</v>
      </c>
      <c r="M615" s="7">
        <v>3</v>
      </c>
      <c r="N615" s="7">
        <v>1</v>
      </c>
      <c r="O615" s="7">
        <v>42</v>
      </c>
      <c r="P615" s="7" t="s">
        <v>28</v>
      </c>
      <c r="T615" s="12" t="s">
        <v>74</v>
      </c>
      <c r="V615" cm="1">
        <f t="array" ref="V615">_xlfn.LET(
_xlpm.x,_xlfn._xlws.FILTER(O615:S615,(O615:S615&lt;&gt;"R")*(O615:S615&lt;&gt;"NA")*(O615:S615&lt;&gt;"W")*(O615:S615&lt;&gt;"")),
IF(COUNTA(_xlpm.x)=0,"NA",IF(MIN(_xlpm.x)=MAX(_xlpm.x),MIN(_xlpm.x),"review"))
)</f>
        <v>42</v>
      </c>
    </row>
    <row r="616" spans="1:22" ht="15.75" hidden="1" customHeight="1" x14ac:dyDescent="0.25">
      <c r="A616" s="7" t="s">
        <v>69</v>
      </c>
      <c r="B616" s="8">
        <v>8</v>
      </c>
      <c r="C616" s="8" t="s">
        <v>70</v>
      </c>
      <c r="D616" s="9" t="s">
        <v>71</v>
      </c>
      <c r="E616" s="7" t="s">
        <v>25</v>
      </c>
      <c r="F616" s="7" t="s">
        <v>39</v>
      </c>
      <c r="G616" s="7" t="s">
        <v>85</v>
      </c>
      <c r="H616" s="7">
        <v>1976</v>
      </c>
      <c r="I616" s="7">
        <v>7</v>
      </c>
      <c r="K616" s="7">
        <v>7</v>
      </c>
      <c r="M616" s="7">
        <v>3</v>
      </c>
      <c r="N616" s="7">
        <v>2</v>
      </c>
      <c r="O616" s="7">
        <v>52</v>
      </c>
      <c r="P616" s="7" t="s">
        <v>29</v>
      </c>
      <c r="T616" s="12" t="s">
        <v>92</v>
      </c>
      <c r="V616" cm="1">
        <f t="array" ref="V616">_xlfn.LET(
_xlpm.x,_xlfn._xlws.FILTER(O616:S616,(O616:S616&lt;&gt;"R")*(O616:S616&lt;&gt;"NA")*(O616:S616&lt;&gt;"W")*(O616:S616&lt;&gt;"")),
IF(COUNTA(_xlpm.x)=0,"NA",IF(MIN(_xlpm.x)=MAX(_xlpm.x),MIN(_xlpm.x),"review"))
)</f>
        <v>52</v>
      </c>
    </row>
    <row r="617" spans="1:22" ht="15.75" hidden="1" customHeight="1" x14ac:dyDescent="0.25">
      <c r="A617" s="7" t="s">
        <v>69</v>
      </c>
      <c r="B617" s="8">
        <v>8</v>
      </c>
      <c r="C617" s="8" t="s">
        <v>70</v>
      </c>
      <c r="D617" s="9" t="s">
        <v>71</v>
      </c>
      <c r="E617" s="7" t="s">
        <v>25</v>
      </c>
      <c r="F617" s="7" t="s">
        <v>39</v>
      </c>
      <c r="G617" s="7" t="s">
        <v>85</v>
      </c>
      <c r="H617" s="7">
        <v>1976</v>
      </c>
      <c r="I617" s="7">
        <v>7</v>
      </c>
      <c r="K617" s="7">
        <v>7</v>
      </c>
      <c r="M617" s="7">
        <v>3</v>
      </c>
      <c r="N617" s="7">
        <v>3</v>
      </c>
      <c r="O617" s="7">
        <v>53</v>
      </c>
      <c r="P617" s="7">
        <v>53</v>
      </c>
      <c r="T617" s="12" t="s">
        <v>93</v>
      </c>
      <c r="V617" cm="1">
        <f t="array" ref="V617">_xlfn.LET(
_xlpm.x,_xlfn._xlws.FILTER(O617:S617,(O617:S617&lt;&gt;"R")*(O617:S617&lt;&gt;"NA")*(O617:S617&lt;&gt;"W")*(O617:S617&lt;&gt;"")),
IF(COUNTA(_xlpm.x)=0,"NA",IF(MIN(_xlpm.x)=MAX(_xlpm.x),MIN(_xlpm.x),"review"))
)</f>
        <v>53</v>
      </c>
    </row>
    <row r="618" spans="1:22" ht="15.75" hidden="1" customHeight="1" x14ac:dyDescent="0.25">
      <c r="A618" s="7" t="s">
        <v>69</v>
      </c>
      <c r="B618" s="8">
        <v>8</v>
      </c>
      <c r="C618" s="8" t="s">
        <v>70</v>
      </c>
      <c r="D618" s="9" t="s">
        <v>71</v>
      </c>
      <c r="E618" s="7" t="s">
        <v>25</v>
      </c>
      <c r="F618" s="7" t="s">
        <v>39</v>
      </c>
      <c r="G618" s="7" t="s">
        <v>85</v>
      </c>
      <c r="H618" s="7">
        <v>1976</v>
      </c>
      <c r="I618" s="7">
        <v>7</v>
      </c>
      <c r="K618" s="7">
        <v>7</v>
      </c>
      <c r="M618" s="7">
        <v>3</v>
      </c>
      <c r="N618" s="7">
        <v>4</v>
      </c>
      <c r="O618" s="7">
        <v>42</v>
      </c>
      <c r="P618" s="7">
        <v>42</v>
      </c>
      <c r="T618" s="12" t="s">
        <v>72</v>
      </c>
      <c r="V618" cm="1">
        <f t="array" ref="V618">_xlfn.LET(
_xlpm.x,_xlfn._xlws.FILTER(O618:S618,(O618:S618&lt;&gt;"R")*(O618:S618&lt;&gt;"NA")*(O618:S618&lt;&gt;"W")*(O618:S618&lt;&gt;"")),
IF(COUNTA(_xlpm.x)=0,"NA",IF(MIN(_xlpm.x)=MAX(_xlpm.x),MIN(_xlpm.x),"review"))
)</f>
        <v>42</v>
      </c>
    </row>
    <row r="619" spans="1:22" ht="15.75" hidden="1" customHeight="1" x14ac:dyDescent="0.25">
      <c r="A619" s="7" t="s">
        <v>69</v>
      </c>
      <c r="B619" s="8">
        <v>8</v>
      </c>
      <c r="C619" s="8" t="s">
        <v>70</v>
      </c>
      <c r="D619" s="9" t="s">
        <v>71</v>
      </c>
      <c r="E619" s="7" t="s">
        <v>25</v>
      </c>
      <c r="F619" s="7" t="s">
        <v>39</v>
      </c>
      <c r="G619" s="7" t="s">
        <v>85</v>
      </c>
      <c r="H619" s="7">
        <v>1976</v>
      </c>
      <c r="I619" s="7">
        <v>7</v>
      </c>
      <c r="K619" s="7">
        <v>7</v>
      </c>
      <c r="M619" s="7">
        <v>3</v>
      </c>
      <c r="N619" s="7">
        <v>5</v>
      </c>
      <c r="O619" s="7">
        <v>42</v>
      </c>
      <c r="P619" s="7">
        <v>42</v>
      </c>
      <c r="T619" s="12" t="s">
        <v>79</v>
      </c>
      <c r="V619" cm="1">
        <f t="array" ref="V619">_xlfn.LET(
_xlpm.x,_xlfn._xlws.FILTER(O619:S619,(O619:S619&lt;&gt;"R")*(O619:S619&lt;&gt;"NA")*(O619:S619&lt;&gt;"W")*(O619:S619&lt;&gt;"")),
IF(COUNTA(_xlpm.x)=0,"NA",IF(MIN(_xlpm.x)=MAX(_xlpm.x),MIN(_xlpm.x),"review"))
)</f>
        <v>42</v>
      </c>
    </row>
    <row r="620" spans="1:22" ht="15.75" hidden="1" customHeight="1" x14ac:dyDescent="0.25">
      <c r="A620" s="7" t="s">
        <v>69</v>
      </c>
      <c r="B620" s="8">
        <v>8</v>
      </c>
      <c r="C620" s="8" t="s">
        <v>70</v>
      </c>
      <c r="D620" s="9" t="s">
        <v>71</v>
      </c>
      <c r="E620" s="7" t="s">
        <v>25</v>
      </c>
      <c r="F620" s="7" t="s">
        <v>39</v>
      </c>
      <c r="G620" s="7" t="s">
        <v>85</v>
      </c>
      <c r="H620" s="7">
        <v>1976</v>
      </c>
      <c r="I620" s="7">
        <v>7</v>
      </c>
      <c r="K620" s="7">
        <v>7</v>
      </c>
      <c r="M620" s="7">
        <v>3</v>
      </c>
      <c r="N620" s="7">
        <v>6</v>
      </c>
      <c r="O620" s="7">
        <v>52</v>
      </c>
      <c r="P620" s="7">
        <v>52</v>
      </c>
      <c r="T620" s="12" t="s">
        <v>94</v>
      </c>
      <c r="V620" cm="1">
        <f t="array" ref="V620">_xlfn.LET(
_xlpm.x,_xlfn._xlws.FILTER(O620:S620,(O620:S620&lt;&gt;"R")*(O620:S620&lt;&gt;"NA")*(O620:S620&lt;&gt;"W")*(O620:S620&lt;&gt;"")),
IF(COUNTA(_xlpm.x)=0,"NA",IF(MIN(_xlpm.x)=MAX(_xlpm.x),MIN(_xlpm.x),"review"))
)</f>
        <v>52</v>
      </c>
    </row>
    <row r="621" spans="1:22" ht="15.75" hidden="1" customHeight="1" x14ac:dyDescent="0.25">
      <c r="A621" s="7" t="s">
        <v>69</v>
      </c>
      <c r="B621" s="8">
        <v>8</v>
      </c>
      <c r="C621" s="8" t="s">
        <v>70</v>
      </c>
      <c r="D621" s="9" t="s">
        <v>71</v>
      </c>
      <c r="E621" s="7" t="s">
        <v>25</v>
      </c>
      <c r="F621" s="7" t="s">
        <v>39</v>
      </c>
      <c r="G621" s="7" t="s">
        <v>85</v>
      </c>
      <c r="H621" s="7">
        <v>1976</v>
      </c>
      <c r="I621" s="7">
        <v>7</v>
      </c>
      <c r="K621" s="7">
        <v>7</v>
      </c>
      <c r="M621" s="7">
        <v>3</v>
      </c>
      <c r="N621" s="7">
        <v>7</v>
      </c>
      <c r="O621" s="7">
        <v>42</v>
      </c>
      <c r="P621" s="7">
        <v>42</v>
      </c>
      <c r="T621" s="12" t="s">
        <v>80</v>
      </c>
      <c r="V621" cm="1">
        <f t="array" ref="V621">_xlfn.LET(
_xlpm.x,_xlfn._xlws.FILTER(O621:S621,(O621:S621&lt;&gt;"R")*(O621:S621&lt;&gt;"NA")*(O621:S621&lt;&gt;"W")*(O621:S621&lt;&gt;"")),
IF(COUNTA(_xlpm.x)=0,"NA",IF(MIN(_xlpm.x)=MAX(_xlpm.x),MIN(_xlpm.x),"review"))
)</f>
        <v>42</v>
      </c>
    </row>
    <row r="622" spans="1:22" ht="15.75" hidden="1" customHeight="1" x14ac:dyDescent="0.25">
      <c r="A622" s="7" t="s">
        <v>69</v>
      </c>
      <c r="B622" s="8">
        <v>8</v>
      </c>
      <c r="C622" s="8" t="s">
        <v>70</v>
      </c>
      <c r="D622" s="9" t="s">
        <v>71</v>
      </c>
      <c r="E622" s="7" t="s">
        <v>25</v>
      </c>
      <c r="F622" s="7" t="s">
        <v>39</v>
      </c>
      <c r="G622" s="7" t="s">
        <v>85</v>
      </c>
      <c r="H622" s="7">
        <v>1976</v>
      </c>
      <c r="I622" s="7">
        <v>7</v>
      </c>
      <c r="K622" s="7">
        <v>7</v>
      </c>
      <c r="M622" s="7">
        <v>3</v>
      </c>
      <c r="N622" s="7">
        <v>8</v>
      </c>
      <c r="O622" s="7">
        <v>52</v>
      </c>
      <c r="P622" s="7">
        <v>52</v>
      </c>
      <c r="T622" s="12" t="s">
        <v>95</v>
      </c>
      <c r="V622" cm="1">
        <f t="array" ref="V622">_xlfn.LET(
_xlpm.x,_xlfn._xlws.FILTER(O622:S622,(O622:S622&lt;&gt;"R")*(O622:S622&lt;&gt;"NA")*(O622:S622&lt;&gt;"W")*(O622:S622&lt;&gt;"")),
IF(COUNTA(_xlpm.x)=0,"NA",IF(MIN(_xlpm.x)=MAX(_xlpm.x),MIN(_xlpm.x),"review"))
)</f>
        <v>52</v>
      </c>
    </row>
    <row r="623" spans="1:22" ht="15.75" hidden="1" customHeight="1" x14ac:dyDescent="0.25">
      <c r="A623" s="7" t="s">
        <v>69</v>
      </c>
      <c r="B623" s="8">
        <v>8</v>
      </c>
      <c r="C623" s="8" t="s">
        <v>70</v>
      </c>
      <c r="D623" s="9" t="s">
        <v>71</v>
      </c>
      <c r="E623" s="7" t="s">
        <v>25</v>
      </c>
      <c r="F623" s="7" t="s">
        <v>39</v>
      </c>
      <c r="G623" s="7" t="s">
        <v>85</v>
      </c>
      <c r="H623" s="7">
        <v>1976</v>
      </c>
      <c r="I623" s="7">
        <v>7</v>
      </c>
      <c r="K623" s="7">
        <v>7</v>
      </c>
      <c r="M623" s="7">
        <v>3</v>
      </c>
      <c r="N623" s="7">
        <v>9</v>
      </c>
      <c r="O623" s="7">
        <v>42</v>
      </c>
      <c r="P623" s="7">
        <v>42</v>
      </c>
      <c r="T623" s="12" t="s">
        <v>73</v>
      </c>
      <c r="V623" cm="1">
        <f t="array" ref="V623">_xlfn.LET(
_xlpm.x,_xlfn._xlws.FILTER(O623:S623,(O623:S623&lt;&gt;"R")*(O623:S623&lt;&gt;"NA")*(O623:S623&lt;&gt;"W")*(O623:S623&lt;&gt;"")),
IF(COUNTA(_xlpm.x)=0,"NA",IF(MIN(_xlpm.x)=MAX(_xlpm.x),MIN(_xlpm.x),"review"))
)</f>
        <v>42</v>
      </c>
    </row>
    <row r="624" spans="1:22" ht="15.75" hidden="1" customHeight="1" x14ac:dyDescent="0.25">
      <c r="A624" s="7" t="s">
        <v>69</v>
      </c>
      <c r="B624" s="8">
        <v>8</v>
      </c>
      <c r="C624" s="8" t="s">
        <v>70</v>
      </c>
      <c r="D624" s="9" t="s">
        <v>71</v>
      </c>
      <c r="E624" s="7" t="s">
        <v>25</v>
      </c>
      <c r="F624" s="7" t="s">
        <v>39</v>
      </c>
      <c r="G624" s="7" t="s">
        <v>85</v>
      </c>
      <c r="H624" s="7">
        <v>1976</v>
      </c>
      <c r="I624" s="7">
        <v>7</v>
      </c>
      <c r="K624" s="7">
        <v>7</v>
      </c>
      <c r="M624" s="7">
        <v>3</v>
      </c>
      <c r="N624" s="7">
        <v>10</v>
      </c>
      <c r="O624" s="7">
        <v>52</v>
      </c>
      <c r="P624" s="7" t="s">
        <v>28</v>
      </c>
      <c r="T624" s="12" t="s">
        <v>79</v>
      </c>
      <c r="V624" cm="1">
        <f t="array" ref="V624">_xlfn.LET(
_xlpm.x,_xlfn._xlws.FILTER(O624:S624,(O624:S624&lt;&gt;"R")*(O624:S624&lt;&gt;"NA")*(O624:S624&lt;&gt;"W")*(O624:S624&lt;&gt;"")),
IF(COUNTA(_xlpm.x)=0,"NA",IF(MIN(_xlpm.x)=MAX(_xlpm.x),MIN(_xlpm.x),"review"))
)</f>
        <v>52</v>
      </c>
    </row>
    <row r="625" spans="1:22" ht="15.75" hidden="1" customHeight="1" x14ac:dyDescent="0.25">
      <c r="A625" s="7" t="s">
        <v>69</v>
      </c>
      <c r="B625" s="8">
        <v>8</v>
      </c>
      <c r="C625" s="8" t="s">
        <v>70</v>
      </c>
      <c r="D625" s="9" t="s">
        <v>71</v>
      </c>
      <c r="E625" s="7" t="s">
        <v>25</v>
      </c>
      <c r="F625" s="7" t="s">
        <v>39</v>
      </c>
      <c r="G625" s="7" t="s">
        <v>85</v>
      </c>
      <c r="H625" s="7">
        <v>1976</v>
      </c>
      <c r="I625" s="7">
        <v>7</v>
      </c>
      <c r="K625" s="7">
        <v>7</v>
      </c>
      <c r="M625" s="7">
        <v>3</v>
      </c>
      <c r="N625" s="7">
        <v>11</v>
      </c>
      <c r="O625" s="7">
        <v>31</v>
      </c>
      <c r="P625" s="7">
        <v>31</v>
      </c>
      <c r="T625" s="12" t="s">
        <v>96</v>
      </c>
      <c r="V625" cm="1">
        <f t="array" ref="V625">_xlfn.LET(
_xlpm.x,_xlfn._xlws.FILTER(O625:S625,(O625:S625&lt;&gt;"R")*(O625:S625&lt;&gt;"NA")*(O625:S625&lt;&gt;"W")*(O625:S625&lt;&gt;"")),
IF(COUNTA(_xlpm.x)=0,"NA",IF(MIN(_xlpm.x)=MAX(_xlpm.x),MIN(_xlpm.x),"review"))
)</f>
        <v>31</v>
      </c>
    </row>
    <row r="626" spans="1:22" ht="15.75" hidden="1" customHeight="1" x14ac:dyDescent="0.25">
      <c r="A626" s="7" t="s">
        <v>97</v>
      </c>
      <c r="B626" s="8">
        <v>8</v>
      </c>
      <c r="C626" s="8" t="s">
        <v>23</v>
      </c>
      <c r="D626" s="9" t="s">
        <v>98</v>
      </c>
      <c r="E626" s="7" t="s">
        <v>25</v>
      </c>
      <c r="F626" s="7" t="s">
        <v>39</v>
      </c>
      <c r="G626" s="7" t="s">
        <v>27</v>
      </c>
      <c r="H626" s="7">
        <v>1976</v>
      </c>
      <c r="I626" s="7">
        <v>12</v>
      </c>
      <c r="K626" s="7">
        <v>7</v>
      </c>
      <c r="M626" s="7">
        <v>4</v>
      </c>
      <c r="N626" s="7">
        <v>1</v>
      </c>
      <c r="O626" s="7" t="s">
        <v>28</v>
      </c>
      <c r="P626" s="7" t="s">
        <v>28</v>
      </c>
      <c r="T626" s="12"/>
      <c r="V626" t="s">
        <v>29</v>
      </c>
    </row>
    <row r="627" spans="1:22" ht="15.75" hidden="1" customHeight="1" x14ac:dyDescent="0.25">
      <c r="A627" s="7" t="s">
        <v>97</v>
      </c>
      <c r="B627" s="8">
        <v>8</v>
      </c>
      <c r="C627" s="8" t="s">
        <v>23</v>
      </c>
      <c r="D627" s="9" t="s">
        <v>98</v>
      </c>
      <c r="E627" s="7" t="s">
        <v>25</v>
      </c>
      <c r="F627" s="7" t="s">
        <v>39</v>
      </c>
      <c r="G627" s="7" t="s">
        <v>27</v>
      </c>
      <c r="H627" s="7">
        <v>1976</v>
      </c>
      <c r="I627" s="7">
        <v>12</v>
      </c>
      <c r="K627" s="7">
        <v>7</v>
      </c>
      <c r="M627" s="7">
        <v>4</v>
      </c>
      <c r="N627" s="7">
        <v>2</v>
      </c>
      <c r="O627" s="7">
        <v>42</v>
      </c>
      <c r="P627" s="7" t="s">
        <v>28</v>
      </c>
      <c r="T627" s="12" t="s">
        <v>74</v>
      </c>
      <c r="V627" cm="1">
        <f t="array" ref="V627">_xlfn.LET(
_xlpm.x,_xlfn._xlws.FILTER(O627:S627,(O627:S627&lt;&gt;"R")*(O627:S627&lt;&gt;"NA")*(O627:S627&lt;&gt;"W")*(O627:S627&lt;&gt;"")),
IF(COUNTA(_xlpm.x)=0,"NA",IF(MIN(_xlpm.x)=MAX(_xlpm.x),MIN(_xlpm.x),"review"))
)</f>
        <v>42</v>
      </c>
    </row>
    <row r="628" spans="1:22" ht="15.75" hidden="1" customHeight="1" x14ac:dyDescent="0.25">
      <c r="A628" s="7" t="s">
        <v>97</v>
      </c>
      <c r="B628" s="8">
        <v>8</v>
      </c>
      <c r="C628" s="8" t="s">
        <v>23</v>
      </c>
      <c r="D628" s="9" t="s">
        <v>98</v>
      </c>
      <c r="E628" s="7" t="s">
        <v>25</v>
      </c>
      <c r="F628" s="7" t="s">
        <v>39</v>
      </c>
      <c r="G628" s="7" t="s">
        <v>27</v>
      </c>
      <c r="H628" s="7">
        <v>1976</v>
      </c>
      <c r="I628" s="7">
        <v>12</v>
      </c>
      <c r="K628" s="7">
        <v>7</v>
      </c>
      <c r="M628" s="7">
        <v>4</v>
      </c>
      <c r="N628" s="7">
        <v>3</v>
      </c>
      <c r="O628" s="7" t="s">
        <v>28</v>
      </c>
      <c r="P628" s="7">
        <v>42</v>
      </c>
      <c r="T628" s="12" t="s">
        <v>99</v>
      </c>
      <c r="V628" cm="1">
        <f t="array" ref="V628">_xlfn.LET(
_xlpm.x,_xlfn._xlws.FILTER(O628:S628,(O628:S628&lt;&gt;"R")*(O628:S628&lt;&gt;"NA")*(O628:S628&lt;&gt;"W")*(O628:S628&lt;&gt;"")),
IF(COUNTA(_xlpm.x)=0,"NA",IF(MIN(_xlpm.x)=MAX(_xlpm.x),MIN(_xlpm.x),"review"))
)</f>
        <v>42</v>
      </c>
    </row>
    <row r="629" spans="1:22" ht="15.75" hidden="1" customHeight="1" x14ac:dyDescent="0.25">
      <c r="A629" s="7" t="s">
        <v>97</v>
      </c>
      <c r="B629" s="8">
        <v>8</v>
      </c>
      <c r="C629" s="8" t="s">
        <v>23</v>
      </c>
      <c r="D629" s="9" t="s">
        <v>98</v>
      </c>
      <c r="E629" s="7" t="s">
        <v>25</v>
      </c>
      <c r="F629" s="7" t="s">
        <v>39</v>
      </c>
      <c r="G629" s="7" t="s">
        <v>27</v>
      </c>
      <c r="H629" s="7">
        <v>1976</v>
      </c>
      <c r="I629" s="7">
        <v>12</v>
      </c>
      <c r="K629" s="7">
        <v>7</v>
      </c>
      <c r="M629" s="7">
        <v>4</v>
      </c>
      <c r="N629" s="7">
        <v>4</v>
      </c>
      <c r="O629" s="7">
        <v>42</v>
      </c>
      <c r="P629" s="7">
        <v>42</v>
      </c>
      <c r="T629" s="12" t="s">
        <v>94</v>
      </c>
      <c r="V629" cm="1">
        <f t="array" ref="V629">_xlfn.LET(
_xlpm.x,_xlfn._xlws.FILTER(O629:S629,(O629:S629&lt;&gt;"R")*(O629:S629&lt;&gt;"NA")*(O629:S629&lt;&gt;"W")*(O629:S629&lt;&gt;"")),
IF(COUNTA(_xlpm.x)=0,"NA",IF(MIN(_xlpm.x)=MAX(_xlpm.x),MIN(_xlpm.x),"review"))
)</f>
        <v>42</v>
      </c>
    </row>
    <row r="630" spans="1:22" ht="15.75" hidden="1" customHeight="1" x14ac:dyDescent="0.25">
      <c r="A630" s="7" t="s">
        <v>97</v>
      </c>
      <c r="B630" s="8">
        <v>8</v>
      </c>
      <c r="C630" s="8" t="s">
        <v>23</v>
      </c>
      <c r="D630" s="9" t="s">
        <v>98</v>
      </c>
      <c r="E630" s="7" t="s">
        <v>25</v>
      </c>
      <c r="F630" s="7" t="s">
        <v>39</v>
      </c>
      <c r="G630" s="7" t="s">
        <v>27</v>
      </c>
      <c r="H630" s="7">
        <v>1976</v>
      </c>
      <c r="I630" s="7">
        <v>12</v>
      </c>
      <c r="K630" s="7">
        <v>7</v>
      </c>
      <c r="M630" s="7">
        <v>4</v>
      </c>
      <c r="N630" s="7">
        <v>5</v>
      </c>
      <c r="O630" s="7">
        <v>52</v>
      </c>
      <c r="P630" s="7">
        <v>52</v>
      </c>
      <c r="T630" s="12" t="s">
        <v>79</v>
      </c>
      <c r="V630" cm="1">
        <f t="array" ref="V630">_xlfn.LET(
_xlpm.x,_xlfn._xlws.FILTER(O630:S630,(O630:S630&lt;&gt;"R")*(O630:S630&lt;&gt;"NA")*(O630:S630&lt;&gt;"W")*(O630:S630&lt;&gt;"")),
IF(COUNTA(_xlpm.x)=0,"NA",IF(MIN(_xlpm.x)=MAX(_xlpm.x),MIN(_xlpm.x),"review"))
)</f>
        <v>52</v>
      </c>
    </row>
    <row r="631" spans="1:22" ht="15.75" hidden="1" customHeight="1" x14ac:dyDescent="0.25">
      <c r="A631" s="7" t="s">
        <v>97</v>
      </c>
      <c r="B631" s="8">
        <v>8</v>
      </c>
      <c r="C631" s="8" t="s">
        <v>23</v>
      </c>
      <c r="D631" s="9" t="s">
        <v>98</v>
      </c>
      <c r="E631" s="7" t="s">
        <v>25</v>
      </c>
      <c r="F631" s="7" t="s">
        <v>39</v>
      </c>
      <c r="G631" s="7" t="s">
        <v>27</v>
      </c>
      <c r="H631" s="7">
        <v>1976</v>
      </c>
      <c r="I631" s="7">
        <v>12</v>
      </c>
      <c r="K631" s="7">
        <v>7</v>
      </c>
      <c r="M631" s="7">
        <v>4</v>
      </c>
      <c r="N631" s="7">
        <v>6</v>
      </c>
      <c r="O631" s="7" t="s">
        <v>29</v>
      </c>
      <c r="P631" s="7">
        <v>42</v>
      </c>
      <c r="T631" s="12" t="s">
        <v>81</v>
      </c>
      <c r="V631" cm="1">
        <f t="array" ref="V631">_xlfn.LET(
_xlpm.x,_xlfn._xlws.FILTER(O631:S631,(O631:S631&lt;&gt;"R")*(O631:S631&lt;&gt;"NA")*(O631:S631&lt;&gt;"W")*(O631:S631&lt;&gt;"")),
IF(COUNTA(_xlpm.x)=0,"NA",IF(MIN(_xlpm.x)=MAX(_xlpm.x),MIN(_xlpm.x),"review"))
)</f>
        <v>42</v>
      </c>
    </row>
    <row r="632" spans="1:22" ht="15.75" hidden="1" customHeight="1" x14ac:dyDescent="0.25">
      <c r="A632" s="7" t="s">
        <v>97</v>
      </c>
      <c r="B632" s="8">
        <v>8</v>
      </c>
      <c r="C632" s="8" t="s">
        <v>23</v>
      </c>
      <c r="D632" s="9" t="s">
        <v>98</v>
      </c>
      <c r="E632" s="7" t="s">
        <v>25</v>
      </c>
      <c r="F632" s="7" t="s">
        <v>39</v>
      </c>
      <c r="G632" s="7" t="s">
        <v>27</v>
      </c>
      <c r="H632" s="7">
        <v>1976</v>
      </c>
      <c r="I632" s="7">
        <v>12</v>
      </c>
      <c r="K632" s="7">
        <v>7</v>
      </c>
      <c r="M632" s="7">
        <v>4</v>
      </c>
      <c r="N632" s="7">
        <v>7</v>
      </c>
      <c r="O632" s="7">
        <v>42</v>
      </c>
      <c r="P632" s="7" t="s">
        <v>29</v>
      </c>
      <c r="T632" s="12" t="s">
        <v>79</v>
      </c>
      <c r="V632" cm="1">
        <f t="array" ref="V632">_xlfn.LET(
_xlpm.x,_xlfn._xlws.FILTER(O632:S632,(O632:S632&lt;&gt;"R")*(O632:S632&lt;&gt;"NA")*(O632:S632&lt;&gt;"W")*(O632:S632&lt;&gt;"")),
IF(COUNTA(_xlpm.x)=0,"NA",IF(MIN(_xlpm.x)=MAX(_xlpm.x),MIN(_xlpm.x),"review"))
)</f>
        <v>42</v>
      </c>
    </row>
    <row r="633" spans="1:22" ht="15.75" hidden="1" customHeight="1" x14ac:dyDescent="0.25">
      <c r="A633" s="7" t="s">
        <v>97</v>
      </c>
      <c r="B633" s="8">
        <v>8</v>
      </c>
      <c r="C633" s="8" t="s">
        <v>23</v>
      </c>
      <c r="D633" s="9" t="s">
        <v>98</v>
      </c>
      <c r="E633" s="7" t="s">
        <v>25</v>
      </c>
      <c r="F633" s="7" t="s">
        <v>39</v>
      </c>
      <c r="G633" s="7" t="s">
        <v>27</v>
      </c>
      <c r="H633" s="7">
        <v>1976</v>
      </c>
      <c r="I633" s="7">
        <v>12</v>
      </c>
      <c r="K633" s="7">
        <v>7</v>
      </c>
      <c r="M633" s="7">
        <v>4</v>
      </c>
      <c r="N633" s="7">
        <v>8</v>
      </c>
      <c r="O633" s="7">
        <v>52</v>
      </c>
      <c r="P633" s="7">
        <v>52</v>
      </c>
      <c r="T633" s="12"/>
      <c r="V633" cm="1">
        <f t="array" ref="V633">_xlfn.LET(
_xlpm.x,_xlfn._xlws.FILTER(O633:S633,(O633:S633&lt;&gt;"R")*(O633:S633&lt;&gt;"NA")*(O633:S633&lt;&gt;"W")*(O633:S633&lt;&gt;"")),
IF(COUNTA(_xlpm.x)=0,"NA",IF(MIN(_xlpm.x)=MAX(_xlpm.x),MIN(_xlpm.x),"review"))
)</f>
        <v>52</v>
      </c>
    </row>
    <row r="634" spans="1:22" ht="15.75" hidden="1" customHeight="1" x14ac:dyDescent="0.25">
      <c r="A634" s="7" t="s">
        <v>97</v>
      </c>
      <c r="B634" s="8">
        <v>8</v>
      </c>
      <c r="C634" s="8" t="s">
        <v>23</v>
      </c>
      <c r="D634" s="9" t="s">
        <v>98</v>
      </c>
      <c r="E634" s="7" t="s">
        <v>25</v>
      </c>
      <c r="F634" s="7" t="s">
        <v>39</v>
      </c>
      <c r="G634" s="7" t="s">
        <v>27</v>
      </c>
      <c r="H634" s="7">
        <v>1976</v>
      </c>
      <c r="I634" s="7">
        <v>12</v>
      </c>
      <c r="K634" s="7">
        <v>7</v>
      </c>
      <c r="M634" s="7">
        <v>4</v>
      </c>
      <c r="N634" s="7">
        <v>9</v>
      </c>
      <c r="O634" s="7">
        <v>42</v>
      </c>
      <c r="P634" s="7">
        <v>42</v>
      </c>
      <c r="T634" s="12" t="s">
        <v>94</v>
      </c>
      <c r="V634" cm="1">
        <f t="array" ref="V634">_xlfn.LET(
_xlpm.x,_xlfn._xlws.FILTER(O634:S634,(O634:S634&lt;&gt;"R")*(O634:S634&lt;&gt;"NA")*(O634:S634&lt;&gt;"W")*(O634:S634&lt;&gt;"")),
IF(COUNTA(_xlpm.x)=0,"NA",IF(MIN(_xlpm.x)=MAX(_xlpm.x),MIN(_xlpm.x),"review"))
)</f>
        <v>42</v>
      </c>
    </row>
    <row r="635" spans="1:22" ht="15.75" hidden="1" customHeight="1" x14ac:dyDescent="0.25">
      <c r="A635" s="7" t="s">
        <v>97</v>
      </c>
      <c r="B635" s="8">
        <v>8</v>
      </c>
      <c r="C635" s="8" t="s">
        <v>23</v>
      </c>
      <c r="D635" s="9" t="s">
        <v>98</v>
      </c>
      <c r="E635" s="7" t="s">
        <v>25</v>
      </c>
      <c r="F635" s="7" t="s">
        <v>39</v>
      </c>
      <c r="G635" s="7" t="s">
        <v>27</v>
      </c>
      <c r="H635" s="7">
        <v>1976</v>
      </c>
      <c r="I635" s="7">
        <v>12</v>
      </c>
      <c r="K635" s="7">
        <v>7</v>
      </c>
      <c r="M635" s="7">
        <v>4</v>
      </c>
      <c r="N635" s="7">
        <v>10</v>
      </c>
      <c r="O635" s="7">
        <v>42</v>
      </c>
      <c r="P635" s="7">
        <v>42</v>
      </c>
      <c r="T635" s="12" t="s">
        <v>72</v>
      </c>
      <c r="V635" cm="1">
        <f t="array" ref="V635">_xlfn.LET(
_xlpm.x,_xlfn._xlws.FILTER(O635:S635,(O635:S635&lt;&gt;"R")*(O635:S635&lt;&gt;"NA")*(O635:S635&lt;&gt;"W")*(O635:S635&lt;&gt;"")),
IF(COUNTA(_xlpm.x)=0,"NA",IF(MIN(_xlpm.x)=MAX(_xlpm.x),MIN(_xlpm.x),"review"))
)</f>
        <v>42</v>
      </c>
    </row>
    <row r="636" spans="1:22" ht="15.75" hidden="1" customHeight="1" x14ac:dyDescent="0.25">
      <c r="A636" s="7" t="s">
        <v>97</v>
      </c>
      <c r="B636" s="8">
        <v>8</v>
      </c>
      <c r="C636" s="8" t="s">
        <v>23</v>
      </c>
      <c r="D636" s="9" t="s">
        <v>98</v>
      </c>
      <c r="E636" s="7" t="s">
        <v>25</v>
      </c>
      <c r="F636" s="7" t="s">
        <v>39</v>
      </c>
      <c r="G636" s="7" t="s">
        <v>27</v>
      </c>
      <c r="H636" s="7">
        <v>1976</v>
      </c>
      <c r="I636" s="7">
        <v>12</v>
      </c>
      <c r="K636" s="7">
        <v>7</v>
      </c>
      <c r="M636" s="7">
        <v>4</v>
      </c>
      <c r="N636" s="7">
        <v>11</v>
      </c>
      <c r="O636" s="7" t="s">
        <v>29</v>
      </c>
      <c r="P636" s="7">
        <v>52</v>
      </c>
      <c r="T636" s="12" t="s">
        <v>76</v>
      </c>
      <c r="V636" cm="1">
        <f t="array" ref="V636">_xlfn.LET(
_xlpm.x,_xlfn._xlws.FILTER(O636:S636,(O636:S636&lt;&gt;"R")*(O636:S636&lt;&gt;"NA")*(O636:S636&lt;&gt;"W")*(O636:S636&lt;&gt;"")),
IF(COUNTA(_xlpm.x)=0,"NA",IF(MIN(_xlpm.x)=MAX(_xlpm.x),MIN(_xlpm.x),"review"))
)</f>
        <v>52</v>
      </c>
    </row>
    <row r="637" spans="1:22" ht="15.75" hidden="1" customHeight="1" x14ac:dyDescent="0.25">
      <c r="A637" s="7" t="s">
        <v>97</v>
      </c>
      <c r="B637" s="8">
        <v>8</v>
      </c>
      <c r="C637" s="8" t="s">
        <v>23</v>
      </c>
      <c r="D637" s="9" t="s">
        <v>98</v>
      </c>
      <c r="E637" s="7" t="s">
        <v>25</v>
      </c>
      <c r="F637" s="7" t="s">
        <v>39</v>
      </c>
      <c r="G637" s="7" t="s">
        <v>27</v>
      </c>
      <c r="H637" s="7">
        <v>1976</v>
      </c>
      <c r="I637" s="7">
        <v>12</v>
      </c>
      <c r="K637" s="7">
        <v>7</v>
      </c>
      <c r="M637" s="7">
        <v>4</v>
      </c>
      <c r="N637" s="7">
        <v>12</v>
      </c>
      <c r="O637" s="7" t="s">
        <v>28</v>
      </c>
      <c r="P637" s="7" t="s">
        <v>29</v>
      </c>
      <c r="T637" s="12"/>
      <c r="V637" t="s">
        <v>29</v>
      </c>
    </row>
    <row r="638" spans="1:22" ht="15.75" hidden="1" customHeight="1" x14ac:dyDescent="0.25">
      <c r="A638" s="7" t="s">
        <v>97</v>
      </c>
      <c r="B638" s="8">
        <v>8</v>
      </c>
      <c r="C638" s="8" t="s">
        <v>23</v>
      </c>
      <c r="D638" s="9" t="s">
        <v>98</v>
      </c>
      <c r="E638" s="7" t="s">
        <v>25</v>
      </c>
      <c r="F638" s="7" t="s">
        <v>39</v>
      </c>
      <c r="G638" s="7" t="s">
        <v>27</v>
      </c>
      <c r="H638" s="7">
        <v>1976</v>
      </c>
      <c r="I638" s="7">
        <v>12</v>
      </c>
      <c r="K638" s="7">
        <v>7</v>
      </c>
      <c r="M638" s="7">
        <v>4</v>
      </c>
      <c r="N638" s="7">
        <v>13</v>
      </c>
      <c r="O638" s="7" t="s">
        <v>29</v>
      </c>
      <c r="P638" s="7">
        <v>52</v>
      </c>
      <c r="T638" s="12" t="s">
        <v>80</v>
      </c>
      <c r="V638" cm="1">
        <f t="array" ref="V638">_xlfn.LET(
_xlpm.x,_xlfn._xlws.FILTER(O638:S638,(O638:S638&lt;&gt;"R")*(O638:S638&lt;&gt;"NA")*(O638:S638&lt;&gt;"W")*(O638:S638&lt;&gt;"")),
IF(COUNTA(_xlpm.x)=0,"NA",IF(MIN(_xlpm.x)=MAX(_xlpm.x),MIN(_xlpm.x),"review"))
)</f>
        <v>52</v>
      </c>
    </row>
    <row r="639" spans="1:22" ht="15.75" hidden="1" customHeight="1" x14ac:dyDescent="0.25">
      <c r="A639" s="7" t="s">
        <v>97</v>
      </c>
      <c r="B639" s="8">
        <v>8</v>
      </c>
      <c r="C639" s="8" t="s">
        <v>23</v>
      </c>
      <c r="D639" s="9" t="s">
        <v>98</v>
      </c>
      <c r="E639" s="7" t="s">
        <v>25</v>
      </c>
      <c r="F639" s="7" t="s">
        <v>39</v>
      </c>
      <c r="G639" s="7" t="s">
        <v>27</v>
      </c>
      <c r="H639" s="7">
        <v>1976</v>
      </c>
      <c r="I639" s="7">
        <v>12</v>
      </c>
      <c r="K639" s="7">
        <v>7</v>
      </c>
      <c r="M639" s="7">
        <v>4</v>
      </c>
      <c r="N639" s="7">
        <v>14</v>
      </c>
      <c r="O639" s="7">
        <v>42</v>
      </c>
      <c r="P639" s="7">
        <v>42</v>
      </c>
      <c r="T639" s="12" t="s">
        <v>74</v>
      </c>
      <c r="V639" cm="1">
        <f t="array" ref="V639">_xlfn.LET(
_xlpm.x,_xlfn._xlws.FILTER(O639:S639,(O639:S639&lt;&gt;"R")*(O639:S639&lt;&gt;"NA")*(O639:S639&lt;&gt;"W")*(O639:S639&lt;&gt;"")),
IF(COUNTA(_xlpm.x)=0,"NA",IF(MIN(_xlpm.x)=MAX(_xlpm.x),MIN(_xlpm.x),"review"))
)</f>
        <v>42</v>
      </c>
    </row>
    <row r="640" spans="1:22" ht="15.75" hidden="1" customHeight="1" x14ac:dyDescent="0.25">
      <c r="A640" s="7" t="s">
        <v>97</v>
      </c>
      <c r="B640" s="8">
        <v>8</v>
      </c>
      <c r="C640" s="8" t="s">
        <v>23</v>
      </c>
      <c r="D640" s="9" t="s">
        <v>98</v>
      </c>
      <c r="E640" s="7" t="s">
        <v>25</v>
      </c>
      <c r="F640" s="7" t="s">
        <v>39</v>
      </c>
      <c r="G640" s="7" t="s">
        <v>27</v>
      </c>
      <c r="H640" s="7">
        <v>1976</v>
      </c>
      <c r="I640" s="7">
        <v>12</v>
      </c>
      <c r="K640" s="7">
        <v>7</v>
      </c>
      <c r="M640" s="7">
        <v>4</v>
      </c>
      <c r="N640" s="7">
        <v>15</v>
      </c>
      <c r="O640" s="7" t="s">
        <v>28</v>
      </c>
      <c r="P640" s="7">
        <v>52</v>
      </c>
      <c r="T640" s="12" t="s">
        <v>100</v>
      </c>
      <c r="V640" cm="1">
        <f t="array" ref="V640">_xlfn.LET(
_xlpm.x,_xlfn._xlws.FILTER(O640:S640,(O640:S640&lt;&gt;"R")*(O640:S640&lt;&gt;"NA")*(O640:S640&lt;&gt;"W")*(O640:S640&lt;&gt;"")),
IF(COUNTA(_xlpm.x)=0,"NA",IF(MIN(_xlpm.x)=MAX(_xlpm.x),MIN(_xlpm.x),"review"))
)</f>
        <v>52</v>
      </c>
    </row>
    <row r="641" spans="1:22" ht="15.75" hidden="1" customHeight="1" x14ac:dyDescent="0.25">
      <c r="A641" s="7" t="s">
        <v>97</v>
      </c>
      <c r="B641" s="8">
        <v>8</v>
      </c>
      <c r="C641" s="8" t="s">
        <v>23</v>
      </c>
      <c r="D641" s="9" t="s">
        <v>98</v>
      </c>
      <c r="E641" s="7" t="s">
        <v>25</v>
      </c>
      <c r="F641" s="7" t="s">
        <v>39</v>
      </c>
      <c r="G641" s="7" t="s">
        <v>27</v>
      </c>
      <c r="H641" s="7">
        <v>1976</v>
      </c>
      <c r="I641" s="7">
        <v>12</v>
      </c>
      <c r="K641" s="7">
        <v>7</v>
      </c>
      <c r="M641" s="7">
        <v>4</v>
      </c>
      <c r="N641" s="7">
        <v>16</v>
      </c>
      <c r="O641" s="7" t="s">
        <v>28</v>
      </c>
      <c r="P641" s="7" t="s">
        <v>28</v>
      </c>
      <c r="T641" s="12"/>
      <c r="V641" t="s">
        <v>29</v>
      </c>
    </row>
    <row r="642" spans="1:22" ht="15.75" hidden="1" customHeight="1" x14ac:dyDescent="0.25">
      <c r="A642" s="7" t="s">
        <v>97</v>
      </c>
      <c r="B642" s="8">
        <v>8</v>
      </c>
      <c r="C642" s="8" t="s">
        <v>23</v>
      </c>
      <c r="D642" s="9" t="s">
        <v>98</v>
      </c>
      <c r="E642" s="7" t="s">
        <v>25</v>
      </c>
      <c r="F642" s="7" t="s">
        <v>39</v>
      </c>
      <c r="G642" s="7" t="s">
        <v>27</v>
      </c>
      <c r="H642" s="7">
        <v>1976</v>
      </c>
      <c r="I642" s="7">
        <v>12</v>
      </c>
      <c r="K642" s="7">
        <v>7</v>
      </c>
      <c r="M642" s="7">
        <v>4</v>
      </c>
      <c r="N642" s="7">
        <v>17</v>
      </c>
      <c r="O642" s="7" t="s">
        <v>29</v>
      </c>
      <c r="P642" s="7">
        <v>42</v>
      </c>
      <c r="T642" s="12" t="s">
        <v>81</v>
      </c>
      <c r="V642" cm="1">
        <f t="array" ref="V642">_xlfn.LET(
_xlpm.x,_xlfn._xlws.FILTER(O642:S642,(O642:S642&lt;&gt;"R")*(O642:S642&lt;&gt;"NA")*(O642:S642&lt;&gt;"W")*(O642:S642&lt;&gt;"")),
IF(COUNTA(_xlpm.x)=0,"NA",IF(MIN(_xlpm.x)=MAX(_xlpm.x),MIN(_xlpm.x),"review"))
)</f>
        <v>42</v>
      </c>
    </row>
    <row r="643" spans="1:22" ht="15.75" hidden="1" customHeight="1" x14ac:dyDescent="0.25">
      <c r="A643" s="7" t="s">
        <v>97</v>
      </c>
      <c r="B643" s="8">
        <v>8</v>
      </c>
      <c r="C643" s="8" t="s">
        <v>23</v>
      </c>
      <c r="D643" s="9" t="s">
        <v>98</v>
      </c>
      <c r="E643" s="7" t="s">
        <v>25</v>
      </c>
      <c r="F643" s="7" t="s">
        <v>39</v>
      </c>
      <c r="G643" s="7" t="s">
        <v>27</v>
      </c>
      <c r="H643" s="7">
        <v>1976</v>
      </c>
      <c r="I643" s="7">
        <v>12</v>
      </c>
      <c r="K643" s="7">
        <v>7</v>
      </c>
      <c r="M643" s="7">
        <v>4</v>
      </c>
      <c r="N643" s="7">
        <v>18</v>
      </c>
      <c r="O643" s="7">
        <v>42</v>
      </c>
      <c r="P643" s="7" t="s">
        <v>29</v>
      </c>
      <c r="T643" s="12" t="s">
        <v>79</v>
      </c>
      <c r="V643" cm="1">
        <f t="array" ref="V643">_xlfn.LET(
_xlpm.x,_xlfn._xlws.FILTER(O643:S643,(O643:S643&lt;&gt;"R")*(O643:S643&lt;&gt;"NA")*(O643:S643&lt;&gt;"W")*(O643:S643&lt;&gt;"")),
IF(COUNTA(_xlpm.x)=0,"NA",IF(MIN(_xlpm.x)=MAX(_xlpm.x),MIN(_xlpm.x),"review"))
)</f>
        <v>42</v>
      </c>
    </row>
    <row r="644" spans="1:22" ht="15.75" hidden="1" customHeight="1" x14ac:dyDescent="0.25">
      <c r="A644" s="7" t="s">
        <v>97</v>
      </c>
      <c r="B644" s="8">
        <v>8</v>
      </c>
      <c r="C644" s="8" t="s">
        <v>23</v>
      </c>
      <c r="D644" s="9" t="s">
        <v>98</v>
      </c>
      <c r="E644" s="7" t="s">
        <v>25</v>
      </c>
      <c r="F644" s="7" t="s">
        <v>39</v>
      </c>
      <c r="G644" s="7" t="s">
        <v>27</v>
      </c>
      <c r="H644" s="7">
        <v>1976</v>
      </c>
      <c r="I644" s="7">
        <v>12</v>
      </c>
      <c r="K644" s="7">
        <v>7</v>
      </c>
      <c r="M644" s="7">
        <v>4</v>
      </c>
      <c r="N644" s="7">
        <v>19</v>
      </c>
      <c r="O644" s="7">
        <v>52</v>
      </c>
      <c r="P644" s="7">
        <v>52</v>
      </c>
      <c r="T644" s="12" t="s">
        <v>79</v>
      </c>
      <c r="V644" cm="1">
        <f t="array" ref="V644">_xlfn.LET(
_xlpm.x,_xlfn._xlws.FILTER(O644:S644,(O644:S644&lt;&gt;"R")*(O644:S644&lt;&gt;"NA")*(O644:S644&lt;&gt;"W")*(O644:S644&lt;&gt;"")),
IF(COUNTA(_xlpm.x)=0,"NA",IF(MIN(_xlpm.x)=MAX(_xlpm.x),MIN(_xlpm.x),"review"))
)</f>
        <v>52</v>
      </c>
    </row>
    <row r="645" spans="1:22" ht="15.75" hidden="1" customHeight="1" x14ac:dyDescent="0.25">
      <c r="A645" s="7" t="s">
        <v>97</v>
      </c>
      <c r="B645" s="8">
        <v>8</v>
      </c>
      <c r="C645" s="8" t="s">
        <v>23</v>
      </c>
      <c r="D645" s="9" t="s">
        <v>98</v>
      </c>
      <c r="E645" s="7" t="s">
        <v>25</v>
      </c>
      <c r="F645" s="7" t="s">
        <v>39</v>
      </c>
      <c r="G645" s="7" t="s">
        <v>27</v>
      </c>
      <c r="H645" s="7">
        <v>1976</v>
      </c>
      <c r="I645" s="7">
        <v>12</v>
      </c>
      <c r="K645" s="7">
        <v>7</v>
      </c>
      <c r="M645" s="7">
        <v>4</v>
      </c>
      <c r="N645" s="7">
        <v>20</v>
      </c>
      <c r="O645" s="7">
        <v>42</v>
      </c>
      <c r="P645" s="7">
        <v>42</v>
      </c>
      <c r="T645" s="12" t="s">
        <v>81</v>
      </c>
      <c r="V645" cm="1">
        <f t="array" ref="V645">_xlfn.LET(
_xlpm.x,_xlfn._xlws.FILTER(O645:S645,(O645:S645&lt;&gt;"R")*(O645:S645&lt;&gt;"NA")*(O645:S645&lt;&gt;"W")*(O645:S645&lt;&gt;"")),
IF(COUNTA(_xlpm.x)=0,"NA",IF(MIN(_xlpm.x)=MAX(_xlpm.x),MIN(_xlpm.x),"review"))
)</f>
        <v>42</v>
      </c>
    </row>
    <row r="646" spans="1:22" ht="15.75" hidden="1" customHeight="1" x14ac:dyDescent="0.25">
      <c r="A646" s="7" t="s">
        <v>97</v>
      </c>
      <c r="B646" s="8">
        <v>8</v>
      </c>
      <c r="C646" s="8" t="s">
        <v>23</v>
      </c>
      <c r="D646" s="9" t="s">
        <v>98</v>
      </c>
      <c r="E646" s="7" t="s">
        <v>25</v>
      </c>
      <c r="F646" s="7" t="s">
        <v>39</v>
      </c>
      <c r="G646" s="7" t="s">
        <v>27</v>
      </c>
      <c r="H646" s="7">
        <v>1976</v>
      </c>
      <c r="I646" s="7">
        <v>12</v>
      </c>
      <c r="K646" s="7">
        <v>7</v>
      </c>
      <c r="M646" s="7">
        <v>4</v>
      </c>
      <c r="N646" s="7">
        <v>21</v>
      </c>
      <c r="O646" s="7">
        <v>52</v>
      </c>
      <c r="P646" s="7" t="s">
        <v>28</v>
      </c>
      <c r="T646" s="12" t="s">
        <v>74</v>
      </c>
      <c r="V646" cm="1">
        <f t="array" ref="V646">_xlfn.LET(
_xlpm.x,_xlfn._xlws.FILTER(O646:S646,(O646:S646&lt;&gt;"R")*(O646:S646&lt;&gt;"NA")*(O646:S646&lt;&gt;"W")*(O646:S646&lt;&gt;"")),
IF(COUNTA(_xlpm.x)=0,"NA",IF(MIN(_xlpm.x)=MAX(_xlpm.x),MIN(_xlpm.x),"review"))
)</f>
        <v>52</v>
      </c>
    </row>
    <row r="647" spans="1:22" ht="15.75" hidden="1" customHeight="1" x14ac:dyDescent="0.25">
      <c r="A647" s="7" t="s">
        <v>97</v>
      </c>
      <c r="B647" s="8">
        <v>8</v>
      </c>
      <c r="C647" s="8" t="s">
        <v>23</v>
      </c>
      <c r="D647" s="9" t="s">
        <v>98</v>
      </c>
      <c r="E647" s="7" t="s">
        <v>25</v>
      </c>
      <c r="F647" s="7" t="s">
        <v>39</v>
      </c>
      <c r="G647" s="7" t="s">
        <v>27</v>
      </c>
      <c r="H647" s="7">
        <v>1976</v>
      </c>
      <c r="I647" s="7">
        <v>12</v>
      </c>
      <c r="K647" s="7">
        <v>7</v>
      </c>
      <c r="M647" s="7">
        <v>4</v>
      </c>
      <c r="N647" s="7">
        <v>22</v>
      </c>
      <c r="O647" s="7">
        <v>42</v>
      </c>
      <c r="P647" s="7">
        <v>42</v>
      </c>
      <c r="T647" s="12" t="s">
        <v>94</v>
      </c>
      <c r="V647" cm="1">
        <f t="array" ref="V647">_xlfn.LET(
_xlpm.x,_xlfn._xlws.FILTER(O647:S647,(O647:S647&lt;&gt;"R")*(O647:S647&lt;&gt;"NA")*(O647:S647&lt;&gt;"W")*(O647:S647&lt;&gt;"")),
IF(COUNTA(_xlpm.x)=0,"NA",IF(MIN(_xlpm.x)=MAX(_xlpm.x),MIN(_xlpm.x),"review"))
)</f>
        <v>42</v>
      </c>
    </row>
    <row r="648" spans="1:22" ht="15.75" hidden="1" customHeight="1" x14ac:dyDescent="0.25">
      <c r="A648" s="7" t="s">
        <v>97</v>
      </c>
      <c r="B648" s="8">
        <v>8</v>
      </c>
      <c r="C648" s="8" t="s">
        <v>23</v>
      </c>
      <c r="D648" s="9" t="s">
        <v>98</v>
      </c>
      <c r="E648" s="7" t="s">
        <v>25</v>
      </c>
      <c r="F648" s="7" t="s">
        <v>39</v>
      </c>
      <c r="G648" s="7" t="s">
        <v>27</v>
      </c>
      <c r="H648" s="7">
        <v>1976</v>
      </c>
      <c r="I648" s="7">
        <v>12</v>
      </c>
      <c r="K648" s="7">
        <v>7</v>
      </c>
      <c r="M648" s="7">
        <v>4</v>
      </c>
      <c r="N648" s="7">
        <v>23</v>
      </c>
      <c r="O648" s="7">
        <v>42</v>
      </c>
      <c r="P648" s="7">
        <v>42</v>
      </c>
      <c r="T648" s="12" t="s">
        <v>94</v>
      </c>
      <c r="V648" cm="1">
        <f t="array" ref="V648">_xlfn.LET(
_xlpm.x,_xlfn._xlws.FILTER(O648:S648,(O648:S648&lt;&gt;"R")*(O648:S648&lt;&gt;"NA")*(O648:S648&lt;&gt;"W")*(O648:S648&lt;&gt;"")),
IF(COUNTA(_xlpm.x)=0,"NA",IF(MIN(_xlpm.x)=MAX(_xlpm.x),MIN(_xlpm.x),"review"))
)</f>
        <v>42</v>
      </c>
    </row>
    <row r="649" spans="1:22" ht="15.75" hidden="1" customHeight="1" x14ac:dyDescent="0.25">
      <c r="A649" s="7" t="s">
        <v>97</v>
      </c>
      <c r="B649" s="8">
        <v>8</v>
      </c>
      <c r="C649" s="8" t="s">
        <v>23</v>
      </c>
      <c r="D649" s="9" t="s">
        <v>98</v>
      </c>
      <c r="E649" s="7" t="s">
        <v>25</v>
      </c>
      <c r="F649" s="7" t="s">
        <v>39</v>
      </c>
      <c r="G649" s="7" t="s">
        <v>27</v>
      </c>
      <c r="H649" s="7">
        <v>1976</v>
      </c>
      <c r="I649" s="7">
        <v>12</v>
      </c>
      <c r="K649" s="7">
        <v>7</v>
      </c>
      <c r="M649" s="7">
        <v>4</v>
      </c>
      <c r="N649" s="7">
        <v>24</v>
      </c>
      <c r="O649" s="7" t="s">
        <v>28</v>
      </c>
      <c r="P649" s="7">
        <v>42</v>
      </c>
      <c r="T649" s="12" t="s">
        <v>80</v>
      </c>
      <c r="V649" cm="1">
        <f t="array" ref="V649">_xlfn.LET(
_xlpm.x,_xlfn._xlws.FILTER(O649:S649,(O649:S649&lt;&gt;"R")*(O649:S649&lt;&gt;"NA")*(O649:S649&lt;&gt;"W")*(O649:S649&lt;&gt;"")),
IF(COUNTA(_xlpm.x)=0,"NA",IF(MIN(_xlpm.x)=MAX(_xlpm.x),MIN(_xlpm.x),"review"))
)</f>
        <v>42</v>
      </c>
    </row>
    <row r="650" spans="1:22" ht="15.75" hidden="1" customHeight="1" x14ac:dyDescent="0.25">
      <c r="A650" s="7" t="s">
        <v>97</v>
      </c>
      <c r="B650" s="8">
        <v>8</v>
      </c>
      <c r="C650" s="8" t="s">
        <v>23</v>
      </c>
      <c r="D650" s="9" t="s">
        <v>98</v>
      </c>
      <c r="E650" s="7" t="s">
        <v>25</v>
      </c>
      <c r="F650" s="7" t="s">
        <v>39</v>
      </c>
      <c r="G650" s="7" t="s">
        <v>27</v>
      </c>
      <c r="H650" s="7">
        <v>1976</v>
      </c>
      <c r="I650" s="7">
        <v>12</v>
      </c>
      <c r="K650" s="7">
        <v>7</v>
      </c>
      <c r="M650" s="7">
        <v>4</v>
      </c>
      <c r="N650" s="7">
        <v>25</v>
      </c>
      <c r="O650" s="7">
        <v>52</v>
      </c>
      <c r="P650" s="7">
        <v>52</v>
      </c>
      <c r="T650" s="12" t="s">
        <v>79</v>
      </c>
      <c r="V650" cm="1">
        <f t="array" ref="V650">_xlfn.LET(
_xlpm.x,_xlfn._xlws.FILTER(O650:S650,(O650:S650&lt;&gt;"R")*(O650:S650&lt;&gt;"NA")*(O650:S650&lt;&gt;"W")*(O650:S650&lt;&gt;"")),
IF(COUNTA(_xlpm.x)=0,"NA",IF(MIN(_xlpm.x)=MAX(_xlpm.x),MIN(_xlpm.x),"review"))
)</f>
        <v>52</v>
      </c>
    </row>
    <row r="651" spans="1:22" ht="15.75" hidden="1" customHeight="1" x14ac:dyDescent="0.25">
      <c r="A651" s="7" t="s">
        <v>97</v>
      </c>
      <c r="B651" s="8">
        <v>8</v>
      </c>
      <c r="C651" s="8" t="s">
        <v>23</v>
      </c>
      <c r="D651" s="9" t="s">
        <v>98</v>
      </c>
      <c r="E651" s="7" t="s">
        <v>25</v>
      </c>
      <c r="F651" s="7" t="s">
        <v>39</v>
      </c>
      <c r="G651" s="7" t="s">
        <v>27</v>
      </c>
      <c r="H651" s="7">
        <v>1976</v>
      </c>
      <c r="I651" s="7">
        <v>12</v>
      </c>
      <c r="K651" s="7">
        <v>7</v>
      </c>
      <c r="M651" s="7">
        <v>5</v>
      </c>
      <c r="N651" s="7">
        <v>1</v>
      </c>
      <c r="O651" s="7" t="s">
        <v>28</v>
      </c>
      <c r="P651" s="7" t="s">
        <v>28</v>
      </c>
      <c r="T651" s="12"/>
      <c r="V651" t="s">
        <v>29</v>
      </c>
    </row>
    <row r="652" spans="1:22" ht="15.75" hidden="1" customHeight="1" x14ac:dyDescent="0.25">
      <c r="A652" s="7" t="s">
        <v>97</v>
      </c>
      <c r="B652" s="8">
        <v>8</v>
      </c>
      <c r="C652" s="8" t="s">
        <v>23</v>
      </c>
      <c r="D652" s="9" t="s">
        <v>98</v>
      </c>
      <c r="E652" s="7" t="s">
        <v>25</v>
      </c>
      <c r="F652" s="7" t="s">
        <v>39</v>
      </c>
      <c r="G652" s="7" t="s">
        <v>27</v>
      </c>
      <c r="H652" s="7">
        <v>1976</v>
      </c>
      <c r="I652" s="7">
        <v>12</v>
      </c>
      <c r="K652" s="7">
        <v>7</v>
      </c>
      <c r="M652" s="7">
        <v>5</v>
      </c>
      <c r="N652" s="7">
        <v>2</v>
      </c>
      <c r="O652" s="7">
        <v>42</v>
      </c>
      <c r="P652" s="7">
        <v>42</v>
      </c>
      <c r="T652" s="12" t="s">
        <v>101</v>
      </c>
      <c r="V652" cm="1">
        <f t="array" ref="V652">_xlfn.LET(
_xlpm.x,_xlfn._xlws.FILTER(O652:S652,(O652:S652&lt;&gt;"R")*(O652:S652&lt;&gt;"NA")*(O652:S652&lt;&gt;"W")*(O652:S652&lt;&gt;"")),
IF(COUNTA(_xlpm.x)=0,"NA",IF(MIN(_xlpm.x)=MAX(_xlpm.x),MIN(_xlpm.x),"review"))
)</f>
        <v>42</v>
      </c>
    </row>
    <row r="653" spans="1:22" ht="15.75" hidden="1" customHeight="1" x14ac:dyDescent="0.25">
      <c r="A653" s="7" t="s">
        <v>97</v>
      </c>
      <c r="B653" s="8">
        <v>8</v>
      </c>
      <c r="C653" s="8" t="s">
        <v>23</v>
      </c>
      <c r="D653" s="9" t="s">
        <v>98</v>
      </c>
      <c r="E653" s="7" t="s">
        <v>25</v>
      </c>
      <c r="F653" s="7" t="s">
        <v>39</v>
      </c>
      <c r="G653" s="7" t="s">
        <v>27</v>
      </c>
      <c r="H653" s="7">
        <v>1976</v>
      </c>
      <c r="I653" s="7">
        <v>12</v>
      </c>
      <c r="K653" s="7">
        <v>7</v>
      </c>
      <c r="M653" s="7">
        <v>5</v>
      </c>
      <c r="N653" s="7">
        <v>3</v>
      </c>
      <c r="O653" s="7">
        <v>42</v>
      </c>
      <c r="P653" s="7">
        <v>42</v>
      </c>
      <c r="T653" s="12" t="s">
        <v>72</v>
      </c>
      <c r="V653" cm="1">
        <f t="array" ref="V653">_xlfn.LET(
_xlpm.x,_xlfn._xlws.FILTER(O653:S653,(O653:S653&lt;&gt;"R")*(O653:S653&lt;&gt;"NA")*(O653:S653&lt;&gt;"W")*(O653:S653&lt;&gt;"")),
IF(COUNTA(_xlpm.x)=0,"NA",IF(MIN(_xlpm.x)=MAX(_xlpm.x),MIN(_xlpm.x),"review"))
)</f>
        <v>42</v>
      </c>
    </row>
    <row r="654" spans="1:22" ht="15.75" hidden="1" customHeight="1" x14ac:dyDescent="0.25">
      <c r="A654" s="7" t="s">
        <v>97</v>
      </c>
      <c r="B654" s="8">
        <v>8</v>
      </c>
      <c r="C654" s="8" t="s">
        <v>23</v>
      </c>
      <c r="D654" s="9" t="s">
        <v>98</v>
      </c>
      <c r="E654" s="7" t="s">
        <v>25</v>
      </c>
      <c r="F654" s="7" t="s">
        <v>39</v>
      </c>
      <c r="G654" s="7" t="s">
        <v>27</v>
      </c>
      <c r="H654" s="7">
        <v>1976</v>
      </c>
      <c r="I654" s="7">
        <v>12</v>
      </c>
      <c r="K654" s="7">
        <v>7</v>
      </c>
      <c r="M654" s="7">
        <v>5</v>
      </c>
      <c r="N654" s="7">
        <v>4</v>
      </c>
      <c r="O654" s="7">
        <v>42</v>
      </c>
      <c r="P654" s="7">
        <v>42</v>
      </c>
      <c r="T654" s="12" t="s">
        <v>102</v>
      </c>
      <c r="V654" cm="1">
        <f t="array" ref="V654">_xlfn.LET(
_xlpm.x,_xlfn._xlws.FILTER(O654:S654,(O654:S654&lt;&gt;"R")*(O654:S654&lt;&gt;"NA")*(O654:S654&lt;&gt;"W")*(O654:S654&lt;&gt;"")),
IF(COUNTA(_xlpm.x)=0,"NA",IF(MIN(_xlpm.x)=MAX(_xlpm.x),MIN(_xlpm.x),"review"))
)</f>
        <v>42</v>
      </c>
    </row>
    <row r="655" spans="1:22" ht="15.75" hidden="1" customHeight="1" x14ac:dyDescent="0.25">
      <c r="A655" s="7" t="s">
        <v>97</v>
      </c>
      <c r="B655" s="8">
        <v>8</v>
      </c>
      <c r="C655" s="8" t="s">
        <v>23</v>
      </c>
      <c r="D655" s="9" t="s">
        <v>98</v>
      </c>
      <c r="E655" s="7" t="s">
        <v>25</v>
      </c>
      <c r="F655" s="7" t="s">
        <v>39</v>
      </c>
      <c r="G655" s="7" t="s">
        <v>27</v>
      </c>
      <c r="H655" s="7">
        <v>1976</v>
      </c>
      <c r="I655" s="7">
        <v>12</v>
      </c>
      <c r="K655" s="7">
        <v>7</v>
      </c>
      <c r="M655" s="7">
        <v>5</v>
      </c>
      <c r="N655" s="7">
        <v>5</v>
      </c>
      <c r="O655" s="7" t="s">
        <v>28</v>
      </c>
      <c r="P655" s="7">
        <v>42</v>
      </c>
      <c r="T655" s="12" t="s">
        <v>103</v>
      </c>
      <c r="V655" cm="1">
        <f t="array" ref="V655">_xlfn.LET(
_xlpm.x,_xlfn._xlws.FILTER(O655:S655,(O655:S655&lt;&gt;"R")*(O655:S655&lt;&gt;"NA")*(O655:S655&lt;&gt;"W")*(O655:S655&lt;&gt;"")),
IF(COUNTA(_xlpm.x)=0,"NA",IF(MIN(_xlpm.x)=MAX(_xlpm.x),MIN(_xlpm.x),"review"))
)</f>
        <v>42</v>
      </c>
    </row>
    <row r="656" spans="1:22" ht="15.75" hidden="1" customHeight="1" x14ac:dyDescent="0.25">
      <c r="A656" s="7" t="s">
        <v>97</v>
      </c>
      <c r="B656" s="8">
        <v>8</v>
      </c>
      <c r="C656" s="8" t="s">
        <v>23</v>
      </c>
      <c r="D656" s="9" t="s">
        <v>98</v>
      </c>
      <c r="E656" s="7" t="s">
        <v>25</v>
      </c>
      <c r="F656" s="7" t="s">
        <v>39</v>
      </c>
      <c r="G656" s="7" t="s">
        <v>27</v>
      </c>
      <c r="H656" s="7">
        <v>1976</v>
      </c>
      <c r="I656" s="7">
        <v>12</v>
      </c>
      <c r="K656" s="7">
        <v>7</v>
      </c>
      <c r="M656" s="7">
        <v>5</v>
      </c>
      <c r="N656" s="7">
        <v>6</v>
      </c>
      <c r="O656" s="7" t="s">
        <v>28</v>
      </c>
      <c r="P656" s="7" t="s">
        <v>28</v>
      </c>
      <c r="T656" s="12"/>
      <c r="V656" t="s">
        <v>29</v>
      </c>
    </row>
    <row r="657" spans="1:22" ht="15.75" hidden="1" customHeight="1" x14ac:dyDescent="0.25">
      <c r="A657" s="7" t="s">
        <v>97</v>
      </c>
      <c r="B657" s="8">
        <v>8</v>
      </c>
      <c r="C657" s="8" t="s">
        <v>23</v>
      </c>
      <c r="D657" s="9" t="s">
        <v>98</v>
      </c>
      <c r="E657" s="7" t="s">
        <v>25</v>
      </c>
      <c r="F657" s="7" t="s">
        <v>39</v>
      </c>
      <c r="G657" s="7" t="s">
        <v>27</v>
      </c>
      <c r="H657" s="7">
        <v>1976</v>
      </c>
      <c r="I657" s="7">
        <v>12</v>
      </c>
      <c r="K657" s="7">
        <v>7</v>
      </c>
      <c r="M657" s="7">
        <v>5</v>
      </c>
      <c r="N657" s="7">
        <v>7</v>
      </c>
      <c r="O657" s="7">
        <v>52</v>
      </c>
      <c r="P657" s="7">
        <v>52</v>
      </c>
      <c r="T657" s="12" t="s">
        <v>104</v>
      </c>
      <c r="V657" cm="1">
        <f t="array" ref="V657">_xlfn.LET(
_xlpm.x,_xlfn._xlws.FILTER(O657:S657,(O657:S657&lt;&gt;"R")*(O657:S657&lt;&gt;"NA")*(O657:S657&lt;&gt;"W")*(O657:S657&lt;&gt;"")),
IF(COUNTA(_xlpm.x)=0,"NA",IF(MIN(_xlpm.x)=MAX(_xlpm.x),MIN(_xlpm.x),"review"))
)</f>
        <v>52</v>
      </c>
    </row>
    <row r="658" spans="1:22" ht="15.75" hidden="1" customHeight="1" x14ac:dyDescent="0.25">
      <c r="A658" s="7" t="s">
        <v>97</v>
      </c>
      <c r="B658" s="8">
        <v>8</v>
      </c>
      <c r="C658" s="8" t="s">
        <v>23</v>
      </c>
      <c r="D658" s="9" t="s">
        <v>98</v>
      </c>
      <c r="E658" s="7" t="s">
        <v>25</v>
      </c>
      <c r="F658" s="7" t="s">
        <v>39</v>
      </c>
      <c r="G658" s="7" t="s">
        <v>27</v>
      </c>
      <c r="H658" s="7">
        <v>1976</v>
      </c>
      <c r="I658" s="7">
        <v>12</v>
      </c>
      <c r="K658" s="7">
        <v>7</v>
      </c>
      <c r="M658" s="7">
        <v>5</v>
      </c>
      <c r="N658" s="7">
        <v>8</v>
      </c>
      <c r="O658" s="7">
        <v>52</v>
      </c>
      <c r="P658" s="7">
        <v>52</v>
      </c>
      <c r="T658" s="12" t="s">
        <v>94</v>
      </c>
      <c r="V658" cm="1">
        <f t="array" ref="V658">_xlfn.LET(
_xlpm.x,_xlfn._xlws.FILTER(O658:S658,(O658:S658&lt;&gt;"R")*(O658:S658&lt;&gt;"NA")*(O658:S658&lt;&gt;"W")*(O658:S658&lt;&gt;"")),
IF(COUNTA(_xlpm.x)=0,"NA",IF(MIN(_xlpm.x)=MAX(_xlpm.x),MIN(_xlpm.x),"review"))
)</f>
        <v>52</v>
      </c>
    </row>
    <row r="659" spans="1:22" ht="15.75" hidden="1" customHeight="1" x14ac:dyDescent="0.25">
      <c r="A659" s="7" t="s">
        <v>97</v>
      </c>
      <c r="B659" s="8">
        <v>8</v>
      </c>
      <c r="C659" s="8" t="s">
        <v>23</v>
      </c>
      <c r="D659" s="9" t="s">
        <v>98</v>
      </c>
      <c r="E659" s="7" t="s">
        <v>25</v>
      </c>
      <c r="F659" s="7" t="s">
        <v>39</v>
      </c>
      <c r="G659" s="7" t="s">
        <v>27</v>
      </c>
      <c r="H659" s="7">
        <v>1976</v>
      </c>
      <c r="I659" s="7">
        <v>12</v>
      </c>
      <c r="K659" s="7">
        <v>7</v>
      </c>
      <c r="M659" s="7">
        <v>5</v>
      </c>
      <c r="N659" s="7">
        <v>9</v>
      </c>
      <c r="O659" s="7" t="s">
        <v>29</v>
      </c>
      <c r="P659" s="7">
        <v>42</v>
      </c>
      <c r="T659" s="12" t="s">
        <v>102</v>
      </c>
      <c r="V659" cm="1">
        <f t="array" ref="V659">_xlfn.LET(
_xlpm.x,_xlfn._xlws.FILTER(O659:S659,(O659:S659&lt;&gt;"R")*(O659:S659&lt;&gt;"NA")*(O659:S659&lt;&gt;"W")*(O659:S659&lt;&gt;"")),
IF(COUNTA(_xlpm.x)=0,"NA",IF(MIN(_xlpm.x)=MAX(_xlpm.x),MIN(_xlpm.x),"review"))
)</f>
        <v>42</v>
      </c>
    </row>
    <row r="660" spans="1:22" ht="15.75" hidden="1" customHeight="1" x14ac:dyDescent="0.25">
      <c r="A660" s="7" t="s">
        <v>97</v>
      </c>
      <c r="B660" s="8">
        <v>8</v>
      </c>
      <c r="C660" s="8" t="s">
        <v>23</v>
      </c>
      <c r="D660" s="9" t="s">
        <v>98</v>
      </c>
      <c r="E660" s="7" t="s">
        <v>25</v>
      </c>
      <c r="F660" s="7" t="s">
        <v>39</v>
      </c>
      <c r="G660" s="7" t="s">
        <v>27</v>
      </c>
      <c r="H660" s="7">
        <v>1976</v>
      </c>
      <c r="I660" s="7">
        <v>12</v>
      </c>
      <c r="K660" s="7">
        <v>7</v>
      </c>
      <c r="M660" s="7">
        <v>5</v>
      </c>
      <c r="N660" s="7">
        <v>10</v>
      </c>
      <c r="O660" s="7" t="s">
        <v>28</v>
      </c>
      <c r="P660" s="7" t="s">
        <v>29</v>
      </c>
      <c r="T660" s="12"/>
      <c r="V660" t="s">
        <v>29</v>
      </c>
    </row>
    <row r="661" spans="1:22" ht="15.75" hidden="1" customHeight="1" x14ac:dyDescent="0.25">
      <c r="A661" s="7" t="s">
        <v>97</v>
      </c>
      <c r="B661" s="8">
        <v>8</v>
      </c>
      <c r="C661" s="8" t="s">
        <v>23</v>
      </c>
      <c r="D661" s="9" t="s">
        <v>98</v>
      </c>
      <c r="E661" s="7" t="s">
        <v>25</v>
      </c>
      <c r="F661" s="7" t="s">
        <v>39</v>
      </c>
      <c r="G661" s="7" t="s">
        <v>27</v>
      </c>
      <c r="H661" s="7">
        <v>1976</v>
      </c>
      <c r="I661" s="7">
        <v>12</v>
      </c>
      <c r="K661" s="7">
        <v>7</v>
      </c>
      <c r="M661" s="7">
        <v>5</v>
      </c>
      <c r="N661" s="7">
        <v>11</v>
      </c>
      <c r="O661" s="7">
        <v>42</v>
      </c>
      <c r="P661" s="7">
        <v>42</v>
      </c>
      <c r="T661" s="12" t="s">
        <v>105</v>
      </c>
      <c r="V661" cm="1">
        <f t="array" ref="V661">_xlfn.LET(
_xlpm.x,_xlfn._xlws.FILTER(O661:S661,(O661:S661&lt;&gt;"R")*(O661:S661&lt;&gt;"NA")*(O661:S661&lt;&gt;"W")*(O661:S661&lt;&gt;"")),
IF(COUNTA(_xlpm.x)=0,"NA",IF(MIN(_xlpm.x)=MAX(_xlpm.x),MIN(_xlpm.x),"review"))
)</f>
        <v>42</v>
      </c>
    </row>
    <row r="662" spans="1:22" ht="15.75" hidden="1" customHeight="1" x14ac:dyDescent="0.25">
      <c r="A662" s="7" t="s">
        <v>97</v>
      </c>
      <c r="B662" s="8">
        <v>8</v>
      </c>
      <c r="C662" s="8" t="s">
        <v>23</v>
      </c>
      <c r="D662" s="9" t="s">
        <v>98</v>
      </c>
      <c r="E662" s="7" t="s">
        <v>25</v>
      </c>
      <c r="F662" s="7" t="s">
        <v>39</v>
      </c>
      <c r="G662" s="7" t="s">
        <v>27</v>
      </c>
      <c r="H662" s="7">
        <v>1976</v>
      </c>
      <c r="I662" s="7">
        <v>12</v>
      </c>
      <c r="K662" s="7">
        <v>7</v>
      </c>
      <c r="M662" s="7">
        <v>5</v>
      </c>
      <c r="N662" s="7">
        <v>12</v>
      </c>
      <c r="O662" s="7">
        <v>42</v>
      </c>
      <c r="P662" s="7">
        <v>42</v>
      </c>
      <c r="T662" s="12" t="s">
        <v>106</v>
      </c>
      <c r="V662" cm="1">
        <f t="array" ref="V662">_xlfn.LET(
_xlpm.x,_xlfn._xlws.FILTER(O662:S662,(O662:S662&lt;&gt;"R")*(O662:S662&lt;&gt;"NA")*(O662:S662&lt;&gt;"W")*(O662:S662&lt;&gt;"")),
IF(COUNTA(_xlpm.x)=0,"NA",IF(MIN(_xlpm.x)=MAX(_xlpm.x),MIN(_xlpm.x),"review"))
)</f>
        <v>42</v>
      </c>
    </row>
    <row r="663" spans="1:22" ht="15.75" hidden="1" customHeight="1" x14ac:dyDescent="0.25">
      <c r="A663" s="7" t="s">
        <v>97</v>
      </c>
      <c r="B663" s="8">
        <v>8</v>
      </c>
      <c r="C663" s="8" t="s">
        <v>23</v>
      </c>
      <c r="D663" s="9" t="s">
        <v>98</v>
      </c>
      <c r="E663" s="7" t="s">
        <v>25</v>
      </c>
      <c r="F663" s="7" t="s">
        <v>39</v>
      </c>
      <c r="G663" s="7" t="s">
        <v>27</v>
      </c>
      <c r="H663" s="7">
        <v>1976</v>
      </c>
      <c r="I663" s="7">
        <v>12</v>
      </c>
      <c r="K663" s="7">
        <v>7</v>
      </c>
      <c r="M663" s="7">
        <v>5</v>
      </c>
      <c r="N663" s="7">
        <v>13</v>
      </c>
      <c r="O663" s="7">
        <v>52</v>
      </c>
      <c r="P663" s="7" t="s">
        <v>28</v>
      </c>
      <c r="T663" s="12" t="s">
        <v>107</v>
      </c>
      <c r="V663" cm="1">
        <f t="array" ref="V663">_xlfn.LET(
_xlpm.x,_xlfn._xlws.FILTER(O663:S663,(O663:S663&lt;&gt;"R")*(O663:S663&lt;&gt;"NA")*(O663:S663&lt;&gt;"W")*(O663:S663&lt;&gt;"")),
IF(COUNTA(_xlpm.x)=0,"NA",IF(MIN(_xlpm.x)=MAX(_xlpm.x),MIN(_xlpm.x),"review"))
)</f>
        <v>52</v>
      </c>
    </row>
    <row r="664" spans="1:22" ht="15.75" hidden="1" customHeight="1" x14ac:dyDescent="0.25">
      <c r="A664" s="7" t="s">
        <v>97</v>
      </c>
      <c r="B664" s="8">
        <v>8</v>
      </c>
      <c r="C664" s="8" t="s">
        <v>23</v>
      </c>
      <c r="D664" s="9" t="s">
        <v>98</v>
      </c>
      <c r="E664" s="7" t="s">
        <v>25</v>
      </c>
      <c r="F664" s="7" t="s">
        <v>39</v>
      </c>
      <c r="G664" s="7" t="s">
        <v>27</v>
      </c>
      <c r="H664" s="7">
        <v>1976</v>
      </c>
      <c r="I664" s="7">
        <v>12</v>
      </c>
      <c r="K664" s="7">
        <v>7</v>
      </c>
      <c r="M664" s="7">
        <v>5</v>
      </c>
      <c r="N664" s="7">
        <v>14</v>
      </c>
      <c r="O664" s="7">
        <v>42</v>
      </c>
      <c r="P664" s="7">
        <v>42</v>
      </c>
      <c r="T664" s="12" t="s">
        <v>81</v>
      </c>
      <c r="V664" cm="1">
        <f t="array" ref="V664">_xlfn.LET(
_xlpm.x,_xlfn._xlws.FILTER(O664:S664,(O664:S664&lt;&gt;"R")*(O664:S664&lt;&gt;"NA")*(O664:S664&lt;&gt;"W")*(O664:S664&lt;&gt;"")),
IF(COUNTA(_xlpm.x)=0,"NA",IF(MIN(_xlpm.x)=MAX(_xlpm.x),MIN(_xlpm.x),"review"))
)</f>
        <v>42</v>
      </c>
    </row>
    <row r="665" spans="1:22" ht="15.75" hidden="1" customHeight="1" x14ac:dyDescent="0.25">
      <c r="A665" s="7" t="s">
        <v>97</v>
      </c>
      <c r="B665" s="8">
        <v>8</v>
      </c>
      <c r="C665" s="8" t="s">
        <v>23</v>
      </c>
      <c r="D665" s="9" t="s">
        <v>98</v>
      </c>
      <c r="E665" s="7" t="s">
        <v>25</v>
      </c>
      <c r="F665" s="7" t="s">
        <v>39</v>
      </c>
      <c r="G665" s="7" t="s">
        <v>27</v>
      </c>
      <c r="H665" s="7">
        <v>1976</v>
      </c>
      <c r="I665" s="7">
        <v>12</v>
      </c>
      <c r="K665" s="7">
        <v>7</v>
      </c>
      <c r="M665" s="7">
        <v>5</v>
      </c>
      <c r="N665" s="7">
        <v>15</v>
      </c>
      <c r="O665" s="7">
        <v>42</v>
      </c>
      <c r="P665" s="7">
        <v>42</v>
      </c>
      <c r="T665" s="12" t="s">
        <v>79</v>
      </c>
      <c r="V665" cm="1">
        <f t="array" ref="V665">_xlfn.LET(
_xlpm.x,_xlfn._xlws.FILTER(O665:S665,(O665:S665&lt;&gt;"R")*(O665:S665&lt;&gt;"NA")*(O665:S665&lt;&gt;"W")*(O665:S665&lt;&gt;"")),
IF(COUNTA(_xlpm.x)=0,"NA",IF(MIN(_xlpm.x)=MAX(_xlpm.x),MIN(_xlpm.x),"review"))
)</f>
        <v>42</v>
      </c>
    </row>
    <row r="666" spans="1:22" ht="15.75" hidden="1" customHeight="1" x14ac:dyDescent="0.25">
      <c r="A666" s="7" t="s">
        <v>97</v>
      </c>
      <c r="B666" s="8">
        <v>8</v>
      </c>
      <c r="C666" s="8" t="s">
        <v>23</v>
      </c>
      <c r="D666" s="9" t="s">
        <v>98</v>
      </c>
      <c r="E666" s="7" t="s">
        <v>25</v>
      </c>
      <c r="F666" s="7" t="s">
        <v>39</v>
      </c>
      <c r="G666" s="7" t="s">
        <v>27</v>
      </c>
      <c r="H666" s="7">
        <v>1976</v>
      </c>
      <c r="I666" s="7">
        <v>12</v>
      </c>
      <c r="K666" s="7">
        <v>7</v>
      </c>
      <c r="M666" s="7">
        <v>5</v>
      </c>
      <c r="N666" s="7">
        <v>16</v>
      </c>
      <c r="O666" s="7" t="s">
        <v>29</v>
      </c>
      <c r="P666" s="7" t="s">
        <v>28</v>
      </c>
      <c r="T666" s="12"/>
      <c r="V666" t="s">
        <v>29</v>
      </c>
    </row>
    <row r="667" spans="1:22" ht="15.75" hidden="1" customHeight="1" x14ac:dyDescent="0.25">
      <c r="A667" s="7" t="s">
        <v>97</v>
      </c>
      <c r="B667" s="8">
        <v>8</v>
      </c>
      <c r="C667" s="8" t="s">
        <v>23</v>
      </c>
      <c r="D667" s="9" t="s">
        <v>98</v>
      </c>
      <c r="E667" s="7" t="s">
        <v>25</v>
      </c>
      <c r="F667" s="7" t="s">
        <v>39</v>
      </c>
      <c r="G667" s="7" t="s">
        <v>27</v>
      </c>
      <c r="H667" s="7">
        <v>1976</v>
      </c>
      <c r="I667" s="7">
        <v>12</v>
      </c>
      <c r="K667" s="7">
        <v>7</v>
      </c>
      <c r="M667" s="7">
        <v>5</v>
      </c>
      <c r="N667" s="7">
        <v>17</v>
      </c>
      <c r="O667" s="7">
        <v>32</v>
      </c>
      <c r="P667" s="7" t="s">
        <v>28</v>
      </c>
      <c r="T667" s="12" t="s">
        <v>108</v>
      </c>
      <c r="V667" cm="1">
        <f t="array" ref="V667">_xlfn.LET(
_xlpm.x,_xlfn._xlws.FILTER(O667:S667,(O667:S667&lt;&gt;"R")*(O667:S667&lt;&gt;"NA")*(O667:S667&lt;&gt;"W")*(O667:S667&lt;&gt;"")),
IF(COUNTA(_xlpm.x)=0,"NA",IF(MIN(_xlpm.x)=MAX(_xlpm.x),MIN(_xlpm.x),"review"))
)</f>
        <v>32</v>
      </c>
    </row>
    <row r="668" spans="1:22" ht="15.75" hidden="1" customHeight="1" x14ac:dyDescent="0.25">
      <c r="A668" s="7" t="s">
        <v>97</v>
      </c>
      <c r="B668" s="8">
        <v>8</v>
      </c>
      <c r="C668" s="8" t="s">
        <v>23</v>
      </c>
      <c r="D668" s="9" t="s">
        <v>98</v>
      </c>
      <c r="E668" s="7" t="s">
        <v>25</v>
      </c>
      <c r="F668" s="7" t="s">
        <v>39</v>
      </c>
      <c r="G668" s="7" t="s">
        <v>27</v>
      </c>
      <c r="H668" s="7">
        <v>1976</v>
      </c>
      <c r="I668" s="7">
        <v>12</v>
      </c>
      <c r="K668" s="7">
        <v>7</v>
      </c>
      <c r="M668" s="7">
        <v>5</v>
      </c>
      <c r="N668" s="7">
        <v>18</v>
      </c>
      <c r="O668" s="7">
        <v>42</v>
      </c>
      <c r="P668" s="7" t="s">
        <v>28</v>
      </c>
      <c r="T668" s="12" t="s">
        <v>109</v>
      </c>
      <c r="V668" cm="1">
        <f t="array" ref="V668">_xlfn.LET(
_xlpm.x,_xlfn._xlws.FILTER(O668:S668,(O668:S668&lt;&gt;"R")*(O668:S668&lt;&gt;"NA")*(O668:S668&lt;&gt;"W")*(O668:S668&lt;&gt;"")),
IF(COUNTA(_xlpm.x)=0,"NA",IF(MIN(_xlpm.x)=MAX(_xlpm.x),MIN(_xlpm.x),"review"))
)</f>
        <v>42</v>
      </c>
    </row>
    <row r="669" spans="1:22" ht="15.75" hidden="1" customHeight="1" x14ac:dyDescent="0.25">
      <c r="A669" s="7" t="s">
        <v>97</v>
      </c>
      <c r="B669" s="8">
        <v>8</v>
      </c>
      <c r="C669" s="8" t="s">
        <v>23</v>
      </c>
      <c r="D669" s="9" t="s">
        <v>98</v>
      </c>
      <c r="E669" s="7" t="s">
        <v>25</v>
      </c>
      <c r="F669" s="7" t="s">
        <v>39</v>
      </c>
      <c r="G669" s="7" t="s">
        <v>27</v>
      </c>
      <c r="H669" s="7">
        <v>1976</v>
      </c>
      <c r="I669" s="7">
        <v>12</v>
      </c>
      <c r="K669" s="7">
        <v>7</v>
      </c>
      <c r="M669" s="7">
        <v>5</v>
      </c>
      <c r="N669" s="7">
        <v>19</v>
      </c>
      <c r="O669" s="7">
        <v>52</v>
      </c>
      <c r="P669" s="7">
        <v>52</v>
      </c>
      <c r="T669" s="12" t="s">
        <v>74</v>
      </c>
      <c r="V669" cm="1">
        <f t="array" ref="V669">_xlfn.LET(
_xlpm.x,_xlfn._xlws.FILTER(O669:S669,(O669:S669&lt;&gt;"R")*(O669:S669&lt;&gt;"NA")*(O669:S669&lt;&gt;"W")*(O669:S669&lt;&gt;"")),
IF(COUNTA(_xlpm.x)=0,"NA",IF(MIN(_xlpm.x)=MAX(_xlpm.x),MIN(_xlpm.x),"review"))
)</f>
        <v>52</v>
      </c>
    </row>
    <row r="670" spans="1:22" ht="15.75" hidden="1" customHeight="1" x14ac:dyDescent="0.25">
      <c r="A670" s="7" t="s">
        <v>97</v>
      </c>
      <c r="B670" s="8">
        <v>8</v>
      </c>
      <c r="C670" s="8" t="s">
        <v>23</v>
      </c>
      <c r="D670" s="9" t="s">
        <v>98</v>
      </c>
      <c r="E670" s="7" t="s">
        <v>25</v>
      </c>
      <c r="F670" s="7" t="s">
        <v>39</v>
      </c>
      <c r="G670" s="7" t="s">
        <v>27</v>
      </c>
      <c r="H670" s="7">
        <v>1976</v>
      </c>
      <c r="I670" s="7">
        <v>12</v>
      </c>
      <c r="K670" s="7">
        <v>7</v>
      </c>
      <c r="M670" s="7">
        <v>5</v>
      </c>
      <c r="N670" s="7">
        <v>20</v>
      </c>
      <c r="O670" s="7">
        <v>52</v>
      </c>
      <c r="P670" s="7" t="s">
        <v>28</v>
      </c>
      <c r="T670" s="12" t="s">
        <v>79</v>
      </c>
      <c r="V670" cm="1">
        <f t="array" ref="V670">_xlfn.LET(
_xlpm.x,_xlfn._xlws.FILTER(O670:S670,(O670:S670&lt;&gt;"R")*(O670:S670&lt;&gt;"NA")*(O670:S670&lt;&gt;"W")*(O670:S670&lt;&gt;"")),
IF(COUNTA(_xlpm.x)=0,"NA",IF(MIN(_xlpm.x)=MAX(_xlpm.x),MIN(_xlpm.x),"review"))
)</f>
        <v>52</v>
      </c>
    </row>
    <row r="671" spans="1:22" ht="15.75" hidden="1" customHeight="1" x14ac:dyDescent="0.25">
      <c r="A671" s="7" t="s">
        <v>97</v>
      </c>
      <c r="B671" s="8">
        <v>8</v>
      </c>
      <c r="C671" s="8" t="s">
        <v>23</v>
      </c>
      <c r="D671" s="9" t="s">
        <v>98</v>
      </c>
      <c r="E671" s="7" t="s">
        <v>25</v>
      </c>
      <c r="F671" s="7" t="s">
        <v>39</v>
      </c>
      <c r="G671" s="7" t="s">
        <v>27</v>
      </c>
      <c r="H671" s="7">
        <v>1976</v>
      </c>
      <c r="I671" s="7">
        <v>12</v>
      </c>
      <c r="K671" s="7">
        <v>7</v>
      </c>
      <c r="M671" s="7">
        <v>5</v>
      </c>
      <c r="N671" s="7">
        <v>21</v>
      </c>
      <c r="O671" s="7" t="s">
        <v>29</v>
      </c>
      <c r="P671" s="7" t="s">
        <v>29</v>
      </c>
      <c r="T671" s="12"/>
      <c r="V671" t="s">
        <v>29</v>
      </c>
    </row>
    <row r="672" spans="1:22" ht="15.75" hidden="1" customHeight="1" x14ac:dyDescent="0.25">
      <c r="A672" s="7" t="s">
        <v>97</v>
      </c>
      <c r="B672" s="8">
        <v>8</v>
      </c>
      <c r="C672" s="8" t="s">
        <v>23</v>
      </c>
      <c r="D672" s="9" t="s">
        <v>98</v>
      </c>
      <c r="E672" s="7" t="s">
        <v>25</v>
      </c>
      <c r="F672" s="7" t="s">
        <v>39</v>
      </c>
      <c r="G672" s="7" t="s">
        <v>27</v>
      </c>
      <c r="H672" s="7">
        <v>1976</v>
      </c>
      <c r="I672" s="7">
        <v>12</v>
      </c>
      <c r="K672" s="7">
        <v>7</v>
      </c>
      <c r="M672" s="7">
        <v>5</v>
      </c>
      <c r="N672" s="7">
        <v>22</v>
      </c>
      <c r="O672" s="7">
        <v>42</v>
      </c>
      <c r="P672" s="7">
        <v>42</v>
      </c>
      <c r="T672" s="12" t="s">
        <v>73</v>
      </c>
      <c r="V672" cm="1">
        <f t="array" ref="V672">_xlfn.LET(
_xlpm.x,_xlfn._xlws.FILTER(O672:S672,(O672:S672&lt;&gt;"R")*(O672:S672&lt;&gt;"NA")*(O672:S672&lt;&gt;"W")*(O672:S672&lt;&gt;"")),
IF(COUNTA(_xlpm.x)=0,"NA",IF(MIN(_xlpm.x)=MAX(_xlpm.x),MIN(_xlpm.x),"review"))
)</f>
        <v>42</v>
      </c>
    </row>
    <row r="673" spans="1:22" ht="15.75" hidden="1" customHeight="1" x14ac:dyDescent="0.25">
      <c r="A673" s="7" t="s">
        <v>97</v>
      </c>
      <c r="B673" s="8">
        <v>8</v>
      </c>
      <c r="C673" s="8" t="s">
        <v>23</v>
      </c>
      <c r="D673" s="9" t="s">
        <v>98</v>
      </c>
      <c r="E673" s="7" t="s">
        <v>25</v>
      </c>
      <c r="F673" s="7" t="s">
        <v>39</v>
      </c>
      <c r="G673" s="7" t="s">
        <v>27</v>
      </c>
      <c r="H673" s="7">
        <v>1976</v>
      </c>
      <c r="I673" s="7">
        <v>12</v>
      </c>
      <c r="K673" s="7">
        <v>7</v>
      </c>
      <c r="M673" s="7">
        <v>5</v>
      </c>
      <c r="N673" s="7">
        <v>23</v>
      </c>
      <c r="O673" s="7">
        <v>42</v>
      </c>
      <c r="P673" s="7">
        <v>42</v>
      </c>
      <c r="T673" s="12" t="s">
        <v>79</v>
      </c>
      <c r="V673" cm="1">
        <f t="array" ref="V673">_xlfn.LET(
_xlpm.x,_xlfn._xlws.FILTER(O673:S673,(O673:S673&lt;&gt;"R")*(O673:S673&lt;&gt;"NA")*(O673:S673&lt;&gt;"W")*(O673:S673&lt;&gt;"")),
IF(COUNTA(_xlpm.x)=0,"NA",IF(MIN(_xlpm.x)=MAX(_xlpm.x),MIN(_xlpm.x),"review"))
)</f>
        <v>42</v>
      </c>
    </row>
    <row r="674" spans="1:22" ht="15.75" hidden="1" customHeight="1" x14ac:dyDescent="0.25">
      <c r="A674" s="7" t="s">
        <v>97</v>
      </c>
      <c r="B674" s="8">
        <v>8</v>
      </c>
      <c r="C674" s="8" t="s">
        <v>23</v>
      </c>
      <c r="D674" s="9" t="s">
        <v>98</v>
      </c>
      <c r="E674" s="7" t="s">
        <v>25</v>
      </c>
      <c r="F674" s="7" t="s">
        <v>39</v>
      </c>
      <c r="G674" s="7" t="s">
        <v>27</v>
      </c>
      <c r="H674" s="7">
        <v>1976</v>
      </c>
      <c r="I674" s="7">
        <v>12</v>
      </c>
      <c r="K674" s="7">
        <v>7</v>
      </c>
      <c r="M674" s="7">
        <v>5</v>
      </c>
      <c r="N674" s="7">
        <v>24</v>
      </c>
      <c r="O674" s="7">
        <v>42</v>
      </c>
      <c r="P674" s="7">
        <v>42</v>
      </c>
      <c r="T674" s="12" t="s">
        <v>72</v>
      </c>
      <c r="V674" cm="1">
        <f t="array" ref="V674">_xlfn.LET(
_xlpm.x,_xlfn._xlws.FILTER(O674:S674,(O674:S674&lt;&gt;"R")*(O674:S674&lt;&gt;"NA")*(O674:S674&lt;&gt;"W")*(O674:S674&lt;&gt;"")),
IF(COUNTA(_xlpm.x)=0,"NA",IF(MIN(_xlpm.x)=MAX(_xlpm.x),MIN(_xlpm.x),"review"))
)</f>
        <v>42</v>
      </c>
    </row>
    <row r="675" spans="1:22" ht="15.75" hidden="1" customHeight="1" x14ac:dyDescent="0.25">
      <c r="A675" s="7" t="s">
        <v>97</v>
      </c>
      <c r="B675" s="8">
        <v>8</v>
      </c>
      <c r="C675" s="8" t="s">
        <v>23</v>
      </c>
      <c r="D675" s="9" t="s">
        <v>98</v>
      </c>
      <c r="E675" s="7" t="s">
        <v>25</v>
      </c>
      <c r="F675" s="7" t="s">
        <v>39</v>
      </c>
      <c r="G675" s="7" t="s">
        <v>27</v>
      </c>
      <c r="H675" s="7">
        <v>1976</v>
      </c>
      <c r="I675" s="7">
        <v>12</v>
      </c>
      <c r="K675" s="7">
        <v>7</v>
      </c>
      <c r="M675" s="7">
        <v>5</v>
      </c>
      <c r="N675" s="7">
        <v>25</v>
      </c>
      <c r="O675" s="7">
        <v>52</v>
      </c>
      <c r="P675" s="7">
        <v>52</v>
      </c>
      <c r="T675" s="12" t="s">
        <v>79</v>
      </c>
      <c r="V675" cm="1">
        <f t="array" ref="V675">_xlfn.LET(
_xlpm.x,_xlfn._xlws.FILTER(O675:S675,(O675:S675&lt;&gt;"R")*(O675:S675&lt;&gt;"NA")*(O675:S675&lt;&gt;"W")*(O675:S675&lt;&gt;"")),
IF(COUNTA(_xlpm.x)=0,"NA",IF(MIN(_xlpm.x)=MAX(_xlpm.x),MIN(_xlpm.x),"review"))
)</f>
        <v>52</v>
      </c>
    </row>
    <row r="676" spans="1:22" ht="15.75" hidden="1" customHeight="1" x14ac:dyDescent="0.25">
      <c r="A676" s="7" t="s">
        <v>97</v>
      </c>
      <c r="B676" s="8">
        <v>8</v>
      </c>
      <c r="C676" s="8" t="s">
        <v>23</v>
      </c>
      <c r="D676" s="9" t="s">
        <v>98</v>
      </c>
      <c r="E676" s="7" t="s">
        <v>25</v>
      </c>
      <c r="F676" s="7" t="s">
        <v>39</v>
      </c>
      <c r="G676" s="7" t="s">
        <v>27</v>
      </c>
      <c r="H676" s="7">
        <v>1976</v>
      </c>
      <c r="I676" s="7">
        <v>12</v>
      </c>
      <c r="K676" s="7">
        <v>7</v>
      </c>
      <c r="M676" s="7">
        <v>6</v>
      </c>
      <c r="N676" s="7">
        <v>1</v>
      </c>
      <c r="O676" s="7" t="s">
        <v>28</v>
      </c>
      <c r="P676" s="7">
        <v>42</v>
      </c>
      <c r="T676" s="12" t="s">
        <v>83</v>
      </c>
      <c r="V676" cm="1">
        <f t="array" ref="V676">_xlfn.LET(
_xlpm.x,_xlfn._xlws.FILTER(O676:S676,(O676:S676&lt;&gt;"R")*(O676:S676&lt;&gt;"NA")*(O676:S676&lt;&gt;"W")*(O676:S676&lt;&gt;"")),
IF(COUNTA(_xlpm.x)=0,"NA",IF(MIN(_xlpm.x)=MAX(_xlpm.x),MIN(_xlpm.x),"review"))
)</f>
        <v>42</v>
      </c>
    </row>
    <row r="677" spans="1:22" ht="15.75" hidden="1" customHeight="1" x14ac:dyDescent="0.25">
      <c r="A677" s="7" t="s">
        <v>97</v>
      </c>
      <c r="B677" s="8">
        <v>8</v>
      </c>
      <c r="C677" s="8" t="s">
        <v>23</v>
      </c>
      <c r="D677" s="9" t="s">
        <v>98</v>
      </c>
      <c r="E677" s="7" t="s">
        <v>25</v>
      </c>
      <c r="F677" s="7" t="s">
        <v>39</v>
      </c>
      <c r="G677" s="7" t="s">
        <v>27</v>
      </c>
      <c r="H677" s="7">
        <v>1976</v>
      </c>
      <c r="I677" s="7">
        <v>12</v>
      </c>
      <c r="K677" s="7">
        <v>7</v>
      </c>
      <c r="M677" s="7">
        <v>6</v>
      </c>
      <c r="N677" s="7">
        <v>2</v>
      </c>
      <c r="O677" s="7">
        <v>52</v>
      </c>
      <c r="P677" s="7">
        <v>52</v>
      </c>
      <c r="T677" s="12" t="s">
        <v>110</v>
      </c>
      <c r="V677" cm="1">
        <f t="array" ref="V677">_xlfn.LET(
_xlpm.x,_xlfn._xlws.FILTER(O677:S677,(O677:S677&lt;&gt;"R")*(O677:S677&lt;&gt;"NA")*(O677:S677&lt;&gt;"W")*(O677:S677&lt;&gt;"")),
IF(COUNTA(_xlpm.x)=0,"NA",IF(MIN(_xlpm.x)=MAX(_xlpm.x),MIN(_xlpm.x),"review"))
)</f>
        <v>52</v>
      </c>
    </row>
    <row r="678" spans="1:22" ht="15.75" hidden="1" customHeight="1" x14ac:dyDescent="0.25">
      <c r="A678" s="7" t="s">
        <v>97</v>
      </c>
      <c r="B678" s="8">
        <v>8</v>
      </c>
      <c r="C678" s="8" t="s">
        <v>23</v>
      </c>
      <c r="D678" s="9" t="s">
        <v>98</v>
      </c>
      <c r="E678" s="7" t="s">
        <v>25</v>
      </c>
      <c r="F678" s="7" t="s">
        <v>39</v>
      </c>
      <c r="G678" s="7" t="s">
        <v>27</v>
      </c>
      <c r="H678" s="7">
        <v>1976</v>
      </c>
      <c r="I678" s="7">
        <v>12</v>
      </c>
      <c r="K678" s="7">
        <v>7</v>
      </c>
      <c r="M678" s="7">
        <v>6</v>
      </c>
      <c r="N678" s="7">
        <v>3</v>
      </c>
      <c r="O678" s="7">
        <v>42</v>
      </c>
      <c r="P678" s="7">
        <v>42</v>
      </c>
      <c r="T678" s="12" t="s">
        <v>106</v>
      </c>
      <c r="V678" cm="1">
        <f t="array" ref="V678">_xlfn.LET(
_xlpm.x,_xlfn._xlws.FILTER(O678:S678,(O678:S678&lt;&gt;"R")*(O678:S678&lt;&gt;"NA")*(O678:S678&lt;&gt;"W")*(O678:S678&lt;&gt;"")),
IF(COUNTA(_xlpm.x)=0,"NA",IF(MIN(_xlpm.x)=MAX(_xlpm.x),MIN(_xlpm.x),"review"))
)</f>
        <v>42</v>
      </c>
    </row>
    <row r="679" spans="1:22" ht="15.75" hidden="1" customHeight="1" x14ac:dyDescent="0.25">
      <c r="A679" s="7" t="s">
        <v>97</v>
      </c>
      <c r="B679" s="8">
        <v>8</v>
      </c>
      <c r="C679" s="8" t="s">
        <v>23</v>
      </c>
      <c r="D679" s="9" t="s">
        <v>98</v>
      </c>
      <c r="E679" s="7" t="s">
        <v>25</v>
      </c>
      <c r="F679" s="7" t="s">
        <v>39</v>
      </c>
      <c r="G679" s="7" t="s">
        <v>27</v>
      </c>
      <c r="H679" s="7">
        <v>1976</v>
      </c>
      <c r="I679" s="7">
        <v>12</v>
      </c>
      <c r="K679" s="7">
        <v>7</v>
      </c>
      <c r="M679" s="7">
        <v>6</v>
      </c>
      <c r="N679" s="7">
        <v>4</v>
      </c>
      <c r="O679" s="7">
        <v>52</v>
      </c>
      <c r="P679" s="7">
        <v>52</v>
      </c>
      <c r="T679" s="12" t="s">
        <v>111</v>
      </c>
      <c r="V679" cm="1">
        <f t="array" ref="V679">_xlfn.LET(
_xlpm.x,_xlfn._xlws.FILTER(O679:S679,(O679:S679&lt;&gt;"R")*(O679:S679&lt;&gt;"NA")*(O679:S679&lt;&gt;"W")*(O679:S679&lt;&gt;"")),
IF(COUNTA(_xlpm.x)=0,"NA",IF(MIN(_xlpm.x)=MAX(_xlpm.x),MIN(_xlpm.x),"review"))
)</f>
        <v>52</v>
      </c>
    </row>
    <row r="680" spans="1:22" ht="15.75" hidden="1" customHeight="1" x14ac:dyDescent="0.25">
      <c r="A680" s="7" t="s">
        <v>97</v>
      </c>
      <c r="B680" s="8">
        <v>8</v>
      </c>
      <c r="C680" s="8" t="s">
        <v>23</v>
      </c>
      <c r="D680" s="9" t="s">
        <v>98</v>
      </c>
      <c r="E680" s="7" t="s">
        <v>25</v>
      </c>
      <c r="F680" s="7" t="s">
        <v>39</v>
      </c>
      <c r="G680" s="7" t="s">
        <v>27</v>
      </c>
      <c r="H680" s="7">
        <v>1976</v>
      </c>
      <c r="I680" s="7">
        <v>12</v>
      </c>
      <c r="K680" s="7">
        <v>7</v>
      </c>
      <c r="M680" s="7">
        <v>6</v>
      </c>
      <c r="N680" s="7">
        <v>5</v>
      </c>
      <c r="O680" s="7">
        <v>42</v>
      </c>
      <c r="P680" s="7">
        <v>42</v>
      </c>
      <c r="T680" s="12" t="s">
        <v>80</v>
      </c>
      <c r="V680" cm="1">
        <f t="array" ref="V680">_xlfn.LET(
_xlpm.x,_xlfn._xlws.FILTER(O680:S680,(O680:S680&lt;&gt;"R")*(O680:S680&lt;&gt;"NA")*(O680:S680&lt;&gt;"W")*(O680:S680&lt;&gt;"")),
IF(COUNTA(_xlpm.x)=0,"NA",IF(MIN(_xlpm.x)=MAX(_xlpm.x),MIN(_xlpm.x),"review"))
)</f>
        <v>42</v>
      </c>
    </row>
    <row r="681" spans="1:22" ht="15.75" hidden="1" customHeight="1" x14ac:dyDescent="0.25">
      <c r="A681" s="7" t="s">
        <v>97</v>
      </c>
      <c r="B681" s="8">
        <v>8</v>
      </c>
      <c r="C681" s="8" t="s">
        <v>23</v>
      </c>
      <c r="D681" s="9" t="s">
        <v>98</v>
      </c>
      <c r="E681" s="7" t="s">
        <v>25</v>
      </c>
      <c r="F681" s="7" t="s">
        <v>39</v>
      </c>
      <c r="G681" s="7" t="s">
        <v>27</v>
      </c>
      <c r="H681" s="7">
        <v>1976</v>
      </c>
      <c r="I681" s="7">
        <v>12</v>
      </c>
      <c r="K681" s="7">
        <v>7</v>
      </c>
      <c r="M681" s="7">
        <v>6</v>
      </c>
      <c r="N681" s="7">
        <v>6</v>
      </c>
      <c r="O681" s="7" t="s">
        <v>29</v>
      </c>
      <c r="P681" s="7" t="s">
        <v>28</v>
      </c>
      <c r="T681" s="12"/>
      <c r="V681" t="s">
        <v>29</v>
      </c>
    </row>
    <row r="682" spans="1:22" ht="15.75" hidden="1" customHeight="1" x14ac:dyDescent="0.25">
      <c r="A682" s="7" t="s">
        <v>97</v>
      </c>
      <c r="B682" s="8">
        <v>8</v>
      </c>
      <c r="C682" s="8" t="s">
        <v>23</v>
      </c>
      <c r="D682" s="9" t="s">
        <v>98</v>
      </c>
      <c r="E682" s="7" t="s">
        <v>25</v>
      </c>
      <c r="F682" s="7" t="s">
        <v>39</v>
      </c>
      <c r="G682" s="7" t="s">
        <v>27</v>
      </c>
      <c r="H682" s="7">
        <v>1976</v>
      </c>
      <c r="I682" s="7">
        <v>12</v>
      </c>
      <c r="K682" s="7">
        <v>7</v>
      </c>
      <c r="M682" s="7">
        <v>6</v>
      </c>
      <c r="N682" s="7">
        <v>7</v>
      </c>
      <c r="O682" s="7" t="s">
        <v>28</v>
      </c>
      <c r="P682" s="7" t="s">
        <v>28</v>
      </c>
      <c r="T682" s="12"/>
      <c r="V682" t="s">
        <v>29</v>
      </c>
    </row>
    <row r="683" spans="1:22" ht="15.75" hidden="1" customHeight="1" x14ac:dyDescent="0.25">
      <c r="A683" s="7" t="s">
        <v>97</v>
      </c>
      <c r="B683" s="8">
        <v>8</v>
      </c>
      <c r="C683" s="8" t="s">
        <v>23</v>
      </c>
      <c r="D683" s="9" t="s">
        <v>98</v>
      </c>
      <c r="E683" s="7" t="s">
        <v>25</v>
      </c>
      <c r="F683" s="7" t="s">
        <v>39</v>
      </c>
      <c r="G683" s="7" t="s">
        <v>27</v>
      </c>
      <c r="H683" s="7">
        <v>1976</v>
      </c>
      <c r="I683" s="7">
        <v>12</v>
      </c>
      <c r="K683" s="7">
        <v>7</v>
      </c>
      <c r="M683" s="7">
        <v>6</v>
      </c>
      <c r="N683" s="7">
        <v>8</v>
      </c>
      <c r="O683" s="7" t="s">
        <v>28</v>
      </c>
      <c r="P683" s="7">
        <v>42</v>
      </c>
      <c r="T683" s="12" t="s">
        <v>112</v>
      </c>
      <c r="V683" cm="1">
        <f t="array" ref="V683">_xlfn.LET(
_xlpm.x,_xlfn._xlws.FILTER(O683:S683,(O683:S683&lt;&gt;"R")*(O683:S683&lt;&gt;"NA")*(O683:S683&lt;&gt;"W")*(O683:S683&lt;&gt;"")),
IF(COUNTA(_xlpm.x)=0,"NA",IF(MIN(_xlpm.x)=MAX(_xlpm.x),MIN(_xlpm.x),"review"))
)</f>
        <v>42</v>
      </c>
    </row>
    <row r="684" spans="1:22" ht="15.75" hidden="1" customHeight="1" x14ac:dyDescent="0.25">
      <c r="A684" s="7" t="s">
        <v>97</v>
      </c>
      <c r="B684" s="8">
        <v>8</v>
      </c>
      <c r="C684" s="8" t="s">
        <v>23</v>
      </c>
      <c r="D684" s="9" t="s">
        <v>98</v>
      </c>
      <c r="E684" s="7" t="s">
        <v>25</v>
      </c>
      <c r="F684" s="7" t="s">
        <v>39</v>
      </c>
      <c r="G684" s="7" t="s">
        <v>27</v>
      </c>
      <c r="H684" s="7">
        <v>1976</v>
      </c>
      <c r="I684" s="7">
        <v>12</v>
      </c>
      <c r="K684" s="7">
        <v>7</v>
      </c>
      <c r="M684" s="7">
        <v>6</v>
      </c>
      <c r="N684" s="7">
        <v>9</v>
      </c>
      <c r="O684" s="7">
        <v>42</v>
      </c>
      <c r="P684" s="7">
        <v>42</v>
      </c>
      <c r="T684" s="12" t="s">
        <v>73</v>
      </c>
      <c r="V684" cm="1">
        <f t="array" ref="V684">_xlfn.LET(
_xlpm.x,_xlfn._xlws.FILTER(O684:S684,(O684:S684&lt;&gt;"R")*(O684:S684&lt;&gt;"NA")*(O684:S684&lt;&gt;"W")*(O684:S684&lt;&gt;"")),
IF(COUNTA(_xlpm.x)=0,"NA",IF(MIN(_xlpm.x)=MAX(_xlpm.x),MIN(_xlpm.x),"review"))
)</f>
        <v>42</v>
      </c>
    </row>
    <row r="685" spans="1:22" ht="15.75" hidden="1" customHeight="1" x14ac:dyDescent="0.25">
      <c r="A685" s="7" t="s">
        <v>97</v>
      </c>
      <c r="B685" s="8">
        <v>8</v>
      </c>
      <c r="C685" s="8" t="s">
        <v>23</v>
      </c>
      <c r="D685" s="9" t="s">
        <v>98</v>
      </c>
      <c r="E685" s="7" t="s">
        <v>25</v>
      </c>
      <c r="F685" s="7" t="s">
        <v>39</v>
      </c>
      <c r="G685" s="7" t="s">
        <v>27</v>
      </c>
      <c r="H685" s="7">
        <v>1976</v>
      </c>
      <c r="I685" s="7">
        <v>12</v>
      </c>
      <c r="K685" s="7">
        <v>7</v>
      </c>
      <c r="M685" s="7">
        <v>6</v>
      </c>
      <c r="N685" s="7">
        <v>10</v>
      </c>
      <c r="O685" s="7" t="s">
        <v>28</v>
      </c>
      <c r="P685" s="7" t="s">
        <v>28</v>
      </c>
      <c r="T685" s="12"/>
      <c r="V685" t="s">
        <v>29</v>
      </c>
    </row>
    <row r="686" spans="1:22" ht="15.75" hidden="1" customHeight="1" x14ac:dyDescent="0.25">
      <c r="A686" s="7" t="s">
        <v>97</v>
      </c>
      <c r="B686" s="8">
        <v>8</v>
      </c>
      <c r="C686" s="8" t="s">
        <v>23</v>
      </c>
      <c r="D686" s="9" t="s">
        <v>98</v>
      </c>
      <c r="E686" s="7" t="s">
        <v>25</v>
      </c>
      <c r="F686" s="7" t="s">
        <v>39</v>
      </c>
      <c r="G686" s="7" t="s">
        <v>27</v>
      </c>
      <c r="H686" s="7">
        <v>1976</v>
      </c>
      <c r="I686" s="7">
        <v>12</v>
      </c>
      <c r="K686" s="7">
        <v>7</v>
      </c>
      <c r="M686" s="7">
        <v>6</v>
      </c>
      <c r="N686" s="7">
        <v>11</v>
      </c>
      <c r="O686" s="7">
        <v>42</v>
      </c>
      <c r="P686" s="7" t="s">
        <v>29</v>
      </c>
      <c r="T686" s="12" t="s">
        <v>113</v>
      </c>
      <c r="V686" cm="1">
        <f t="array" ref="V686">_xlfn.LET(
_xlpm.x,_xlfn._xlws.FILTER(O686:S686,(O686:S686&lt;&gt;"R")*(O686:S686&lt;&gt;"NA")*(O686:S686&lt;&gt;"W")*(O686:S686&lt;&gt;"")),
IF(COUNTA(_xlpm.x)=0,"NA",IF(MIN(_xlpm.x)=MAX(_xlpm.x),MIN(_xlpm.x),"review"))
)</f>
        <v>42</v>
      </c>
    </row>
    <row r="687" spans="1:22" ht="15.75" hidden="1" customHeight="1" x14ac:dyDescent="0.25">
      <c r="A687" s="7" t="s">
        <v>97</v>
      </c>
      <c r="B687" s="8">
        <v>8</v>
      </c>
      <c r="C687" s="8" t="s">
        <v>23</v>
      </c>
      <c r="D687" s="9" t="s">
        <v>98</v>
      </c>
      <c r="E687" s="7" t="s">
        <v>25</v>
      </c>
      <c r="F687" s="7" t="s">
        <v>39</v>
      </c>
      <c r="G687" s="7" t="s">
        <v>27</v>
      </c>
      <c r="H687" s="7">
        <v>1976</v>
      </c>
      <c r="I687" s="7">
        <v>12</v>
      </c>
      <c r="K687" s="7">
        <v>7</v>
      </c>
      <c r="M687" s="7">
        <v>6</v>
      </c>
      <c r="N687" s="7">
        <v>12</v>
      </c>
      <c r="O687" s="7" t="s">
        <v>29</v>
      </c>
      <c r="P687" s="7">
        <v>42</v>
      </c>
      <c r="T687" s="12" t="s">
        <v>114</v>
      </c>
      <c r="V687" cm="1">
        <f t="array" ref="V687">_xlfn.LET(
_xlpm.x,_xlfn._xlws.FILTER(O687:S687,(O687:S687&lt;&gt;"R")*(O687:S687&lt;&gt;"NA")*(O687:S687&lt;&gt;"W")*(O687:S687&lt;&gt;"")),
IF(COUNTA(_xlpm.x)=0,"NA",IF(MIN(_xlpm.x)=MAX(_xlpm.x),MIN(_xlpm.x),"review"))
)</f>
        <v>42</v>
      </c>
    </row>
    <row r="688" spans="1:22" ht="15.75" hidden="1" customHeight="1" x14ac:dyDescent="0.25">
      <c r="A688" s="7" t="s">
        <v>97</v>
      </c>
      <c r="B688" s="8">
        <v>8</v>
      </c>
      <c r="C688" s="8" t="s">
        <v>23</v>
      </c>
      <c r="D688" s="9" t="s">
        <v>98</v>
      </c>
      <c r="E688" s="7" t="s">
        <v>25</v>
      </c>
      <c r="F688" s="7" t="s">
        <v>39</v>
      </c>
      <c r="G688" s="7" t="s">
        <v>27</v>
      </c>
      <c r="H688" s="7">
        <v>1976</v>
      </c>
      <c r="I688" s="7">
        <v>12</v>
      </c>
      <c r="K688" s="7">
        <v>7</v>
      </c>
      <c r="M688" s="7">
        <v>6</v>
      </c>
      <c r="N688" s="7">
        <v>13</v>
      </c>
      <c r="O688" s="7">
        <v>42</v>
      </c>
      <c r="P688" s="7">
        <v>42</v>
      </c>
      <c r="T688" s="12" t="s">
        <v>102</v>
      </c>
      <c r="V688" cm="1">
        <f t="array" ref="V688">_xlfn.LET(
_xlpm.x,_xlfn._xlws.FILTER(O688:S688,(O688:S688&lt;&gt;"R")*(O688:S688&lt;&gt;"NA")*(O688:S688&lt;&gt;"W")*(O688:S688&lt;&gt;"")),
IF(COUNTA(_xlpm.x)=0,"NA",IF(MIN(_xlpm.x)=MAX(_xlpm.x),MIN(_xlpm.x),"review"))
)</f>
        <v>42</v>
      </c>
    </row>
    <row r="689" spans="1:22" ht="15.75" hidden="1" customHeight="1" x14ac:dyDescent="0.25">
      <c r="A689" s="7" t="s">
        <v>97</v>
      </c>
      <c r="B689" s="8">
        <v>8</v>
      </c>
      <c r="C689" s="8" t="s">
        <v>23</v>
      </c>
      <c r="D689" s="9" t="s">
        <v>98</v>
      </c>
      <c r="E689" s="7" t="s">
        <v>25</v>
      </c>
      <c r="F689" s="7" t="s">
        <v>39</v>
      </c>
      <c r="G689" s="7" t="s">
        <v>27</v>
      </c>
      <c r="H689" s="7">
        <v>1976</v>
      </c>
      <c r="I689" s="7">
        <v>12</v>
      </c>
      <c r="K689" s="7">
        <v>7</v>
      </c>
      <c r="M689" s="7">
        <v>6</v>
      </c>
      <c r="N689" s="7">
        <v>14</v>
      </c>
      <c r="O689" s="7" t="s">
        <v>28</v>
      </c>
      <c r="P689" s="7">
        <v>42</v>
      </c>
      <c r="T689" s="12" t="s">
        <v>76</v>
      </c>
      <c r="V689" cm="1">
        <f t="array" ref="V689">_xlfn.LET(
_xlpm.x,_xlfn._xlws.FILTER(O689:S689,(O689:S689&lt;&gt;"R")*(O689:S689&lt;&gt;"NA")*(O689:S689&lt;&gt;"W")*(O689:S689&lt;&gt;"")),
IF(COUNTA(_xlpm.x)=0,"NA",IF(MIN(_xlpm.x)=MAX(_xlpm.x),MIN(_xlpm.x),"review"))
)</f>
        <v>42</v>
      </c>
    </row>
    <row r="690" spans="1:22" ht="15.75" hidden="1" customHeight="1" x14ac:dyDescent="0.25">
      <c r="A690" s="7" t="s">
        <v>97</v>
      </c>
      <c r="B690" s="8">
        <v>8</v>
      </c>
      <c r="C690" s="8" t="s">
        <v>23</v>
      </c>
      <c r="D690" s="9" t="s">
        <v>98</v>
      </c>
      <c r="E690" s="7" t="s">
        <v>25</v>
      </c>
      <c r="F690" s="7" t="s">
        <v>39</v>
      </c>
      <c r="G690" s="7" t="s">
        <v>27</v>
      </c>
      <c r="H690" s="7">
        <v>1976</v>
      </c>
      <c r="I690" s="7">
        <v>12</v>
      </c>
      <c r="K690" s="7">
        <v>7</v>
      </c>
      <c r="M690" s="7">
        <v>6</v>
      </c>
      <c r="N690" s="7">
        <v>15</v>
      </c>
      <c r="O690" s="7">
        <v>42</v>
      </c>
      <c r="P690" s="7">
        <v>42</v>
      </c>
      <c r="T690" s="12" t="s">
        <v>115</v>
      </c>
      <c r="V690" cm="1">
        <f t="array" ref="V690">_xlfn.LET(
_xlpm.x,_xlfn._xlws.FILTER(O690:S690,(O690:S690&lt;&gt;"R")*(O690:S690&lt;&gt;"NA")*(O690:S690&lt;&gt;"W")*(O690:S690&lt;&gt;"")),
IF(COUNTA(_xlpm.x)=0,"NA",IF(MIN(_xlpm.x)=MAX(_xlpm.x),MIN(_xlpm.x),"review"))
)</f>
        <v>42</v>
      </c>
    </row>
    <row r="691" spans="1:22" ht="15.75" hidden="1" customHeight="1" x14ac:dyDescent="0.25">
      <c r="A691" s="7" t="s">
        <v>97</v>
      </c>
      <c r="B691" s="8">
        <v>8</v>
      </c>
      <c r="C691" s="8" t="s">
        <v>23</v>
      </c>
      <c r="D691" s="9" t="s">
        <v>98</v>
      </c>
      <c r="E691" s="7" t="s">
        <v>25</v>
      </c>
      <c r="F691" s="7" t="s">
        <v>39</v>
      </c>
      <c r="G691" s="7" t="s">
        <v>27</v>
      </c>
      <c r="H691" s="7">
        <v>1976</v>
      </c>
      <c r="I691" s="7">
        <v>12</v>
      </c>
      <c r="K691" s="7">
        <v>7</v>
      </c>
      <c r="M691" s="7">
        <v>6</v>
      </c>
      <c r="N691" s="7">
        <v>16</v>
      </c>
      <c r="O691" s="7" t="s">
        <v>29</v>
      </c>
      <c r="P691" s="7">
        <v>52</v>
      </c>
      <c r="T691" s="12" t="s">
        <v>102</v>
      </c>
      <c r="V691" cm="1">
        <f t="array" ref="V691">_xlfn.LET(
_xlpm.x,_xlfn._xlws.FILTER(O691:S691,(O691:S691&lt;&gt;"R")*(O691:S691&lt;&gt;"NA")*(O691:S691&lt;&gt;"W")*(O691:S691&lt;&gt;"")),
IF(COUNTA(_xlpm.x)=0,"NA",IF(MIN(_xlpm.x)=MAX(_xlpm.x),MIN(_xlpm.x),"review"))
)</f>
        <v>52</v>
      </c>
    </row>
    <row r="692" spans="1:22" ht="15.75" hidden="1" customHeight="1" x14ac:dyDescent="0.25">
      <c r="A692" s="7" t="s">
        <v>97</v>
      </c>
      <c r="B692" s="8">
        <v>8</v>
      </c>
      <c r="C692" s="8" t="s">
        <v>23</v>
      </c>
      <c r="D692" s="9" t="s">
        <v>98</v>
      </c>
      <c r="E692" s="7" t="s">
        <v>25</v>
      </c>
      <c r="F692" s="7" t="s">
        <v>39</v>
      </c>
      <c r="G692" s="7" t="s">
        <v>27</v>
      </c>
      <c r="H692" s="7">
        <v>1976</v>
      </c>
      <c r="I692" s="7">
        <v>12</v>
      </c>
      <c r="K692" s="7">
        <v>7</v>
      </c>
      <c r="M692" s="7">
        <v>6</v>
      </c>
      <c r="N692" s="7">
        <v>17</v>
      </c>
      <c r="O692" s="7">
        <v>42</v>
      </c>
      <c r="P692" s="7">
        <v>42</v>
      </c>
      <c r="T692" s="12" t="s">
        <v>116</v>
      </c>
      <c r="V692" cm="1">
        <f t="array" ref="V692">_xlfn.LET(
_xlpm.x,_xlfn._xlws.FILTER(O692:S692,(O692:S692&lt;&gt;"R")*(O692:S692&lt;&gt;"NA")*(O692:S692&lt;&gt;"W")*(O692:S692&lt;&gt;"")),
IF(COUNTA(_xlpm.x)=0,"NA",IF(MIN(_xlpm.x)=MAX(_xlpm.x),MIN(_xlpm.x),"review"))
)</f>
        <v>42</v>
      </c>
    </row>
    <row r="693" spans="1:22" ht="15.75" hidden="1" customHeight="1" x14ac:dyDescent="0.25">
      <c r="A693" s="7" t="s">
        <v>97</v>
      </c>
      <c r="B693" s="8">
        <v>8</v>
      </c>
      <c r="C693" s="8" t="s">
        <v>23</v>
      </c>
      <c r="D693" s="9" t="s">
        <v>98</v>
      </c>
      <c r="E693" s="7" t="s">
        <v>25</v>
      </c>
      <c r="F693" s="7" t="s">
        <v>39</v>
      </c>
      <c r="G693" s="7" t="s">
        <v>27</v>
      </c>
      <c r="H693" s="7">
        <v>1976</v>
      </c>
      <c r="I693" s="7">
        <v>12</v>
      </c>
      <c r="K693" s="7">
        <v>7</v>
      </c>
      <c r="M693" s="7">
        <v>6</v>
      </c>
      <c r="N693" s="7">
        <v>18</v>
      </c>
      <c r="O693" s="7" t="s">
        <v>28</v>
      </c>
      <c r="P693" s="7">
        <v>42</v>
      </c>
      <c r="T693" s="12" t="s">
        <v>81</v>
      </c>
      <c r="V693" cm="1">
        <f t="array" ref="V693">_xlfn.LET(
_xlpm.x,_xlfn._xlws.FILTER(O693:S693,(O693:S693&lt;&gt;"R")*(O693:S693&lt;&gt;"NA")*(O693:S693&lt;&gt;"W")*(O693:S693&lt;&gt;"")),
IF(COUNTA(_xlpm.x)=0,"NA",IF(MIN(_xlpm.x)=MAX(_xlpm.x),MIN(_xlpm.x),"review"))
)</f>
        <v>42</v>
      </c>
    </row>
    <row r="694" spans="1:22" ht="15.75" hidden="1" customHeight="1" x14ac:dyDescent="0.25">
      <c r="A694" s="7" t="s">
        <v>97</v>
      </c>
      <c r="B694" s="8">
        <v>8</v>
      </c>
      <c r="C694" s="8" t="s">
        <v>23</v>
      </c>
      <c r="D694" s="9" t="s">
        <v>98</v>
      </c>
      <c r="E694" s="7" t="s">
        <v>25</v>
      </c>
      <c r="F694" s="7" t="s">
        <v>39</v>
      </c>
      <c r="G694" s="7" t="s">
        <v>27</v>
      </c>
      <c r="H694" s="7">
        <v>1976</v>
      </c>
      <c r="I694" s="7">
        <v>12</v>
      </c>
      <c r="K694" s="7">
        <v>7</v>
      </c>
      <c r="M694" s="7">
        <v>6</v>
      </c>
      <c r="N694" s="7">
        <v>19</v>
      </c>
      <c r="O694" s="7">
        <v>42</v>
      </c>
      <c r="P694" s="7">
        <v>42</v>
      </c>
      <c r="T694" s="12" t="s">
        <v>73</v>
      </c>
      <c r="V694" cm="1">
        <f t="array" ref="V694">_xlfn.LET(
_xlpm.x,_xlfn._xlws.FILTER(O694:S694,(O694:S694&lt;&gt;"R")*(O694:S694&lt;&gt;"NA")*(O694:S694&lt;&gt;"W")*(O694:S694&lt;&gt;"")),
IF(COUNTA(_xlpm.x)=0,"NA",IF(MIN(_xlpm.x)=MAX(_xlpm.x),MIN(_xlpm.x),"review"))
)</f>
        <v>42</v>
      </c>
    </row>
    <row r="695" spans="1:22" ht="15.75" hidden="1" customHeight="1" x14ac:dyDescent="0.25">
      <c r="A695" s="7" t="s">
        <v>97</v>
      </c>
      <c r="B695" s="8">
        <v>8</v>
      </c>
      <c r="C695" s="8" t="s">
        <v>23</v>
      </c>
      <c r="D695" s="9" t="s">
        <v>98</v>
      </c>
      <c r="E695" s="7" t="s">
        <v>25</v>
      </c>
      <c r="F695" s="7" t="s">
        <v>39</v>
      </c>
      <c r="G695" s="7" t="s">
        <v>27</v>
      </c>
      <c r="H695" s="7">
        <v>1976</v>
      </c>
      <c r="I695" s="7">
        <v>12</v>
      </c>
      <c r="K695" s="7">
        <v>7</v>
      </c>
      <c r="M695" s="7">
        <v>6</v>
      </c>
      <c r="N695" s="7">
        <v>20</v>
      </c>
      <c r="O695" s="7">
        <v>42</v>
      </c>
      <c r="P695" s="7">
        <v>42</v>
      </c>
      <c r="T695" s="12" t="s">
        <v>101</v>
      </c>
      <c r="V695" cm="1">
        <f t="array" ref="V695">_xlfn.LET(
_xlpm.x,_xlfn._xlws.FILTER(O695:S695,(O695:S695&lt;&gt;"R")*(O695:S695&lt;&gt;"NA")*(O695:S695&lt;&gt;"W")*(O695:S695&lt;&gt;"")),
IF(COUNTA(_xlpm.x)=0,"NA",IF(MIN(_xlpm.x)=MAX(_xlpm.x),MIN(_xlpm.x),"review"))
)</f>
        <v>42</v>
      </c>
    </row>
    <row r="696" spans="1:22" ht="15.75" hidden="1" customHeight="1" x14ac:dyDescent="0.25">
      <c r="A696" s="7" t="s">
        <v>97</v>
      </c>
      <c r="B696" s="8">
        <v>8</v>
      </c>
      <c r="C696" s="8" t="s">
        <v>23</v>
      </c>
      <c r="D696" s="9" t="s">
        <v>98</v>
      </c>
      <c r="E696" s="7" t="s">
        <v>25</v>
      </c>
      <c r="F696" s="7" t="s">
        <v>39</v>
      </c>
      <c r="G696" s="7" t="s">
        <v>27</v>
      </c>
      <c r="H696" s="7">
        <v>1976</v>
      </c>
      <c r="I696" s="7">
        <v>12</v>
      </c>
      <c r="K696" s="7">
        <v>7</v>
      </c>
      <c r="M696" s="7">
        <v>6</v>
      </c>
      <c r="N696" s="7">
        <v>21</v>
      </c>
      <c r="O696" s="7">
        <v>42</v>
      </c>
      <c r="P696" s="7">
        <v>42</v>
      </c>
      <c r="T696" s="12" t="s">
        <v>76</v>
      </c>
      <c r="V696" cm="1">
        <f t="array" ref="V696">_xlfn.LET(
_xlpm.x,_xlfn._xlws.FILTER(O696:S696,(O696:S696&lt;&gt;"R")*(O696:S696&lt;&gt;"NA")*(O696:S696&lt;&gt;"W")*(O696:S696&lt;&gt;"")),
IF(COUNTA(_xlpm.x)=0,"NA",IF(MIN(_xlpm.x)=MAX(_xlpm.x),MIN(_xlpm.x),"review"))
)</f>
        <v>42</v>
      </c>
    </row>
    <row r="697" spans="1:22" ht="15.75" hidden="1" customHeight="1" x14ac:dyDescent="0.25">
      <c r="A697" s="7" t="s">
        <v>97</v>
      </c>
      <c r="B697" s="8">
        <v>8</v>
      </c>
      <c r="C697" s="8" t="s">
        <v>23</v>
      </c>
      <c r="D697" s="9" t="s">
        <v>98</v>
      </c>
      <c r="E697" s="7" t="s">
        <v>25</v>
      </c>
      <c r="F697" s="7" t="s">
        <v>39</v>
      </c>
      <c r="G697" s="7" t="s">
        <v>27</v>
      </c>
      <c r="H697" s="7">
        <v>1976</v>
      </c>
      <c r="I697" s="7">
        <v>12</v>
      </c>
      <c r="K697" s="7">
        <v>7</v>
      </c>
      <c r="M697" s="7">
        <v>6</v>
      </c>
      <c r="N697" s="7">
        <v>22</v>
      </c>
      <c r="O697" s="7" t="s">
        <v>29</v>
      </c>
      <c r="P697" s="7">
        <v>42</v>
      </c>
      <c r="T697" s="12" t="s">
        <v>117</v>
      </c>
      <c r="V697" cm="1">
        <f t="array" ref="V697">_xlfn.LET(
_xlpm.x,_xlfn._xlws.FILTER(O697:S697,(O697:S697&lt;&gt;"R")*(O697:S697&lt;&gt;"NA")*(O697:S697&lt;&gt;"W")*(O697:S697&lt;&gt;"")),
IF(COUNTA(_xlpm.x)=0,"NA",IF(MIN(_xlpm.x)=MAX(_xlpm.x),MIN(_xlpm.x),"review"))
)</f>
        <v>42</v>
      </c>
    </row>
    <row r="698" spans="1:22" ht="15.75" hidden="1" customHeight="1" x14ac:dyDescent="0.25">
      <c r="A698" s="7" t="s">
        <v>97</v>
      </c>
      <c r="B698" s="8">
        <v>8</v>
      </c>
      <c r="C698" s="8" t="s">
        <v>23</v>
      </c>
      <c r="D698" s="9" t="s">
        <v>98</v>
      </c>
      <c r="E698" s="7" t="s">
        <v>25</v>
      </c>
      <c r="F698" s="7" t="s">
        <v>39</v>
      </c>
      <c r="G698" s="7" t="s">
        <v>27</v>
      </c>
      <c r="H698" s="7">
        <v>1976</v>
      </c>
      <c r="I698" s="7">
        <v>12</v>
      </c>
      <c r="K698" s="7">
        <v>7</v>
      </c>
      <c r="M698" s="7">
        <v>6</v>
      </c>
      <c r="N698" s="7">
        <v>23</v>
      </c>
      <c r="O698" s="7" t="s">
        <v>29</v>
      </c>
      <c r="P698" s="7" t="s">
        <v>29</v>
      </c>
      <c r="T698" s="12"/>
      <c r="V698" t="s">
        <v>29</v>
      </c>
    </row>
    <row r="699" spans="1:22" ht="15.75" hidden="1" customHeight="1" x14ac:dyDescent="0.25">
      <c r="A699" s="7" t="s">
        <v>97</v>
      </c>
      <c r="B699" s="8">
        <v>8</v>
      </c>
      <c r="C699" s="8" t="s">
        <v>23</v>
      </c>
      <c r="D699" s="9" t="s">
        <v>98</v>
      </c>
      <c r="E699" s="7" t="s">
        <v>25</v>
      </c>
      <c r="F699" s="7" t="s">
        <v>39</v>
      </c>
      <c r="G699" s="7" t="s">
        <v>27</v>
      </c>
      <c r="H699" s="7">
        <v>1976</v>
      </c>
      <c r="I699" s="7">
        <v>12</v>
      </c>
      <c r="K699" s="7">
        <v>7</v>
      </c>
      <c r="M699" s="7">
        <v>6</v>
      </c>
      <c r="N699" s="7">
        <v>24</v>
      </c>
      <c r="O699" s="7">
        <v>42</v>
      </c>
      <c r="P699" s="7" t="s">
        <v>28</v>
      </c>
      <c r="T699" s="12" t="s">
        <v>94</v>
      </c>
      <c r="V699" cm="1">
        <f t="array" ref="V699">_xlfn.LET(
_xlpm.x,_xlfn._xlws.FILTER(O699:S699,(O699:S699&lt;&gt;"R")*(O699:S699&lt;&gt;"NA")*(O699:S699&lt;&gt;"W")*(O699:S699&lt;&gt;"")),
IF(COUNTA(_xlpm.x)=0,"NA",IF(MIN(_xlpm.x)=MAX(_xlpm.x),MIN(_xlpm.x),"review"))
)</f>
        <v>42</v>
      </c>
    </row>
    <row r="700" spans="1:22" ht="15.75" hidden="1" customHeight="1" x14ac:dyDescent="0.25">
      <c r="A700" s="7" t="s">
        <v>97</v>
      </c>
      <c r="B700" s="8">
        <v>8</v>
      </c>
      <c r="C700" s="8" t="s">
        <v>23</v>
      </c>
      <c r="D700" s="9" t="s">
        <v>98</v>
      </c>
      <c r="E700" s="7" t="s">
        <v>25</v>
      </c>
      <c r="F700" s="7" t="s">
        <v>39</v>
      </c>
      <c r="G700" s="7" t="s">
        <v>27</v>
      </c>
      <c r="H700" s="7">
        <v>1976</v>
      </c>
      <c r="I700" s="7">
        <v>12</v>
      </c>
      <c r="K700" s="7">
        <v>7</v>
      </c>
      <c r="M700" s="7">
        <v>6</v>
      </c>
      <c r="N700" s="7">
        <v>25</v>
      </c>
      <c r="O700" s="7" t="s">
        <v>28</v>
      </c>
      <c r="P700" s="7" t="s">
        <v>28</v>
      </c>
      <c r="T700" s="12"/>
      <c r="V700" t="s">
        <v>29</v>
      </c>
    </row>
    <row r="701" spans="1:22" ht="15.75" hidden="1" customHeight="1" x14ac:dyDescent="0.25">
      <c r="A701" s="7" t="s">
        <v>97</v>
      </c>
      <c r="B701" s="8">
        <v>8</v>
      </c>
      <c r="C701" s="8" t="s">
        <v>23</v>
      </c>
      <c r="D701" s="9" t="s">
        <v>98</v>
      </c>
      <c r="E701" s="7" t="s">
        <v>25</v>
      </c>
      <c r="F701" s="7" t="s">
        <v>39</v>
      </c>
      <c r="G701" s="7" t="s">
        <v>27</v>
      </c>
      <c r="H701" s="7">
        <v>1976</v>
      </c>
      <c r="I701" s="7">
        <v>12</v>
      </c>
      <c r="K701" s="7">
        <v>7</v>
      </c>
      <c r="M701" s="7">
        <v>7</v>
      </c>
      <c r="N701" s="7">
        <v>1</v>
      </c>
      <c r="O701" s="7">
        <v>42</v>
      </c>
      <c r="P701" s="7">
        <v>42</v>
      </c>
      <c r="T701" s="12" t="s">
        <v>73</v>
      </c>
      <c r="V701" cm="1">
        <f t="array" ref="V701">_xlfn.LET(
_xlpm.x,_xlfn._xlws.FILTER(O701:S701,(O701:S701&lt;&gt;"R")*(O701:S701&lt;&gt;"NA")*(O701:S701&lt;&gt;"W")*(O701:S701&lt;&gt;"")),
IF(COUNTA(_xlpm.x)=0,"NA",IF(MIN(_xlpm.x)=MAX(_xlpm.x),MIN(_xlpm.x),"review"))
)</f>
        <v>42</v>
      </c>
    </row>
    <row r="702" spans="1:22" ht="15.75" hidden="1" customHeight="1" x14ac:dyDescent="0.25">
      <c r="A702" s="7" t="s">
        <v>97</v>
      </c>
      <c r="B702" s="8">
        <v>8</v>
      </c>
      <c r="C702" s="8" t="s">
        <v>23</v>
      </c>
      <c r="D702" s="9" t="s">
        <v>98</v>
      </c>
      <c r="E702" s="7" t="s">
        <v>25</v>
      </c>
      <c r="F702" s="7" t="s">
        <v>39</v>
      </c>
      <c r="G702" s="7" t="s">
        <v>27</v>
      </c>
      <c r="H702" s="7">
        <v>1976</v>
      </c>
      <c r="I702" s="7">
        <v>12</v>
      </c>
      <c r="K702" s="7">
        <v>7</v>
      </c>
      <c r="M702" s="7">
        <v>7</v>
      </c>
      <c r="N702" s="7">
        <v>2</v>
      </c>
      <c r="O702" s="7">
        <v>42</v>
      </c>
      <c r="P702" s="7">
        <v>42</v>
      </c>
      <c r="T702" s="12" t="s">
        <v>72</v>
      </c>
      <c r="V702" cm="1">
        <f t="array" ref="V702">_xlfn.LET(
_xlpm.x,_xlfn._xlws.FILTER(O702:S702,(O702:S702&lt;&gt;"R")*(O702:S702&lt;&gt;"NA")*(O702:S702&lt;&gt;"W")*(O702:S702&lt;&gt;"")),
IF(COUNTA(_xlpm.x)=0,"NA",IF(MIN(_xlpm.x)=MAX(_xlpm.x),MIN(_xlpm.x),"review"))
)</f>
        <v>42</v>
      </c>
    </row>
    <row r="703" spans="1:22" ht="15.75" hidden="1" customHeight="1" x14ac:dyDescent="0.25">
      <c r="A703" s="7" t="s">
        <v>97</v>
      </c>
      <c r="B703" s="8">
        <v>8</v>
      </c>
      <c r="C703" s="8" t="s">
        <v>23</v>
      </c>
      <c r="D703" s="9" t="s">
        <v>98</v>
      </c>
      <c r="E703" s="7" t="s">
        <v>25</v>
      </c>
      <c r="F703" s="7" t="s">
        <v>39</v>
      </c>
      <c r="G703" s="7" t="s">
        <v>27</v>
      </c>
      <c r="H703" s="7">
        <v>1976</v>
      </c>
      <c r="I703" s="7">
        <v>12</v>
      </c>
      <c r="K703" s="7">
        <v>7</v>
      </c>
      <c r="M703" s="7">
        <v>7</v>
      </c>
      <c r="N703" s="7">
        <v>3</v>
      </c>
      <c r="O703" s="7">
        <v>42</v>
      </c>
      <c r="P703" s="7">
        <v>42</v>
      </c>
      <c r="T703" s="12" t="s">
        <v>72</v>
      </c>
      <c r="V703" cm="1">
        <f t="array" ref="V703">_xlfn.LET(
_xlpm.x,_xlfn._xlws.FILTER(O703:S703,(O703:S703&lt;&gt;"R")*(O703:S703&lt;&gt;"NA")*(O703:S703&lt;&gt;"W")*(O703:S703&lt;&gt;"")),
IF(COUNTA(_xlpm.x)=0,"NA",IF(MIN(_xlpm.x)=MAX(_xlpm.x),MIN(_xlpm.x),"review"))
)</f>
        <v>42</v>
      </c>
    </row>
    <row r="704" spans="1:22" ht="15.75" hidden="1" customHeight="1" x14ac:dyDescent="0.25">
      <c r="A704" s="7" t="s">
        <v>97</v>
      </c>
      <c r="B704" s="8">
        <v>8</v>
      </c>
      <c r="C704" s="8" t="s">
        <v>23</v>
      </c>
      <c r="D704" s="9" t="s">
        <v>98</v>
      </c>
      <c r="E704" s="7" t="s">
        <v>25</v>
      </c>
      <c r="F704" s="7" t="s">
        <v>39</v>
      </c>
      <c r="G704" s="7" t="s">
        <v>27</v>
      </c>
      <c r="H704" s="7">
        <v>1976</v>
      </c>
      <c r="I704" s="7">
        <v>12</v>
      </c>
      <c r="K704" s="7">
        <v>7</v>
      </c>
      <c r="M704" s="7">
        <v>7</v>
      </c>
      <c r="N704" s="7">
        <v>4</v>
      </c>
      <c r="O704" s="7">
        <v>53</v>
      </c>
      <c r="P704" s="7">
        <v>53</v>
      </c>
      <c r="T704" s="12" t="s">
        <v>118</v>
      </c>
      <c r="V704" cm="1">
        <f t="array" ref="V704">_xlfn.LET(
_xlpm.x,_xlfn._xlws.FILTER(O704:S704,(O704:S704&lt;&gt;"R")*(O704:S704&lt;&gt;"NA")*(O704:S704&lt;&gt;"W")*(O704:S704&lt;&gt;"")),
IF(COUNTA(_xlpm.x)=0,"NA",IF(MIN(_xlpm.x)=MAX(_xlpm.x),MIN(_xlpm.x),"review"))
)</f>
        <v>53</v>
      </c>
    </row>
    <row r="705" spans="1:22" ht="15.75" hidden="1" customHeight="1" x14ac:dyDescent="0.25">
      <c r="A705" s="7" t="s">
        <v>97</v>
      </c>
      <c r="B705" s="8">
        <v>8</v>
      </c>
      <c r="C705" s="8" t="s">
        <v>23</v>
      </c>
      <c r="D705" s="9" t="s">
        <v>98</v>
      </c>
      <c r="E705" s="7" t="s">
        <v>25</v>
      </c>
      <c r="F705" s="7" t="s">
        <v>39</v>
      </c>
      <c r="G705" s="7" t="s">
        <v>27</v>
      </c>
      <c r="H705" s="7">
        <v>1976</v>
      </c>
      <c r="I705" s="7">
        <v>12</v>
      </c>
      <c r="K705" s="7">
        <v>7</v>
      </c>
      <c r="M705" s="7">
        <v>7</v>
      </c>
      <c r="N705" s="7">
        <v>5</v>
      </c>
      <c r="O705" s="7" t="s">
        <v>28</v>
      </c>
      <c r="P705" s="7">
        <v>42</v>
      </c>
      <c r="T705" s="12" t="s">
        <v>80</v>
      </c>
      <c r="V705" cm="1">
        <f t="array" ref="V705">_xlfn.LET(
_xlpm.x,_xlfn._xlws.FILTER(O705:S705,(O705:S705&lt;&gt;"R")*(O705:S705&lt;&gt;"NA")*(O705:S705&lt;&gt;"W")*(O705:S705&lt;&gt;"")),
IF(COUNTA(_xlpm.x)=0,"NA",IF(MIN(_xlpm.x)=MAX(_xlpm.x),MIN(_xlpm.x),"review"))
)</f>
        <v>42</v>
      </c>
    </row>
    <row r="706" spans="1:22" ht="15.75" hidden="1" customHeight="1" x14ac:dyDescent="0.25">
      <c r="A706" s="7" t="s">
        <v>97</v>
      </c>
      <c r="B706" s="8">
        <v>8</v>
      </c>
      <c r="C706" s="8" t="s">
        <v>23</v>
      </c>
      <c r="D706" s="9" t="s">
        <v>98</v>
      </c>
      <c r="E706" s="7" t="s">
        <v>25</v>
      </c>
      <c r="F706" s="7" t="s">
        <v>39</v>
      </c>
      <c r="G706" s="7" t="s">
        <v>27</v>
      </c>
      <c r="H706" s="7">
        <v>1976</v>
      </c>
      <c r="I706" s="7">
        <v>12</v>
      </c>
      <c r="K706" s="7">
        <v>7</v>
      </c>
      <c r="M706" s="7">
        <v>7</v>
      </c>
      <c r="N706" s="7">
        <v>6</v>
      </c>
      <c r="O706" s="7">
        <v>42</v>
      </c>
      <c r="P706" s="7">
        <v>42</v>
      </c>
      <c r="T706" s="12" t="s">
        <v>94</v>
      </c>
      <c r="V706" cm="1">
        <f t="array" ref="V706">_xlfn.LET(
_xlpm.x,_xlfn._xlws.FILTER(O706:S706,(O706:S706&lt;&gt;"R")*(O706:S706&lt;&gt;"NA")*(O706:S706&lt;&gt;"W")*(O706:S706&lt;&gt;"")),
IF(COUNTA(_xlpm.x)=0,"NA",IF(MIN(_xlpm.x)=MAX(_xlpm.x),MIN(_xlpm.x),"review"))
)</f>
        <v>42</v>
      </c>
    </row>
    <row r="707" spans="1:22" ht="15.75" hidden="1" customHeight="1" x14ac:dyDescent="0.25">
      <c r="A707" s="7" t="s">
        <v>97</v>
      </c>
      <c r="B707" s="8">
        <v>8</v>
      </c>
      <c r="C707" s="8" t="s">
        <v>23</v>
      </c>
      <c r="D707" s="9" t="s">
        <v>98</v>
      </c>
      <c r="E707" s="7" t="s">
        <v>25</v>
      </c>
      <c r="F707" s="7" t="s">
        <v>39</v>
      </c>
      <c r="G707" s="7" t="s">
        <v>27</v>
      </c>
      <c r="H707" s="7">
        <v>1976</v>
      </c>
      <c r="I707" s="7">
        <v>12</v>
      </c>
      <c r="K707" s="7">
        <v>7</v>
      </c>
      <c r="M707" s="7">
        <v>7</v>
      </c>
      <c r="N707" s="7">
        <v>7</v>
      </c>
      <c r="O707" s="7" t="s">
        <v>28</v>
      </c>
      <c r="P707" s="7" t="s">
        <v>28</v>
      </c>
      <c r="T707" s="12"/>
      <c r="V707" t="s">
        <v>29</v>
      </c>
    </row>
    <row r="708" spans="1:22" ht="15.75" hidden="1" customHeight="1" x14ac:dyDescent="0.25">
      <c r="A708" s="7" t="s">
        <v>97</v>
      </c>
      <c r="B708" s="8">
        <v>8</v>
      </c>
      <c r="C708" s="8" t="s">
        <v>23</v>
      </c>
      <c r="D708" s="9" t="s">
        <v>98</v>
      </c>
      <c r="E708" s="7" t="s">
        <v>25</v>
      </c>
      <c r="F708" s="7" t="s">
        <v>39</v>
      </c>
      <c r="G708" s="7" t="s">
        <v>27</v>
      </c>
      <c r="H708" s="7">
        <v>1976</v>
      </c>
      <c r="I708" s="7">
        <v>12</v>
      </c>
      <c r="K708" s="7">
        <v>7</v>
      </c>
      <c r="M708" s="7">
        <v>7</v>
      </c>
      <c r="N708" s="7">
        <v>8</v>
      </c>
      <c r="O708" s="7">
        <v>42</v>
      </c>
      <c r="P708" s="7">
        <v>42</v>
      </c>
      <c r="T708" s="12" t="s">
        <v>80</v>
      </c>
      <c r="V708" cm="1">
        <f t="array" ref="V708">_xlfn.LET(
_xlpm.x,_xlfn._xlws.FILTER(O708:S708,(O708:S708&lt;&gt;"R")*(O708:S708&lt;&gt;"NA")*(O708:S708&lt;&gt;"W")*(O708:S708&lt;&gt;"")),
IF(COUNTA(_xlpm.x)=0,"NA",IF(MIN(_xlpm.x)=MAX(_xlpm.x),MIN(_xlpm.x),"review"))
)</f>
        <v>42</v>
      </c>
    </row>
    <row r="709" spans="1:22" ht="15.75" hidden="1" customHeight="1" x14ac:dyDescent="0.25">
      <c r="A709" s="7" t="s">
        <v>97</v>
      </c>
      <c r="B709" s="8">
        <v>8</v>
      </c>
      <c r="C709" s="8" t="s">
        <v>23</v>
      </c>
      <c r="D709" s="9" t="s">
        <v>98</v>
      </c>
      <c r="E709" s="7" t="s">
        <v>25</v>
      </c>
      <c r="F709" s="7" t="s">
        <v>39</v>
      </c>
      <c r="G709" s="7" t="s">
        <v>27</v>
      </c>
      <c r="H709" s="7">
        <v>1976</v>
      </c>
      <c r="I709" s="7">
        <v>12</v>
      </c>
      <c r="K709" s="7">
        <v>7</v>
      </c>
      <c r="M709" s="7">
        <v>7</v>
      </c>
      <c r="N709" s="7">
        <v>9</v>
      </c>
      <c r="O709" s="7">
        <v>42</v>
      </c>
      <c r="P709" s="7">
        <v>42</v>
      </c>
      <c r="T709" s="12" t="s">
        <v>99</v>
      </c>
      <c r="V709" cm="1">
        <f t="array" ref="V709">_xlfn.LET(
_xlpm.x,_xlfn._xlws.FILTER(O709:S709,(O709:S709&lt;&gt;"R")*(O709:S709&lt;&gt;"NA")*(O709:S709&lt;&gt;"W")*(O709:S709&lt;&gt;"")),
IF(COUNTA(_xlpm.x)=0,"NA",IF(MIN(_xlpm.x)=MAX(_xlpm.x),MIN(_xlpm.x),"review"))
)</f>
        <v>42</v>
      </c>
    </row>
    <row r="710" spans="1:22" ht="15.75" hidden="1" customHeight="1" x14ac:dyDescent="0.25">
      <c r="A710" s="7" t="s">
        <v>97</v>
      </c>
      <c r="B710" s="8">
        <v>8</v>
      </c>
      <c r="C710" s="8" t="s">
        <v>23</v>
      </c>
      <c r="D710" s="9" t="s">
        <v>98</v>
      </c>
      <c r="E710" s="7" t="s">
        <v>25</v>
      </c>
      <c r="F710" s="7" t="s">
        <v>39</v>
      </c>
      <c r="G710" s="7" t="s">
        <v>27</v>
      </c>
      <c r="H710" s="7">
        <v>1976</v>
      </c>
      <c r="I710" s="7">
        <v>12</v>
      </c>
      <c r="K710" s="7">
        <v>7</v>
      </c>
      <c r="M710" s="7">
        <v>7</v>
      </c>
      <c r="N710" s="7">
        <v>10</v>
      </c>
      <c r="O710" s="7">
        <v>42</v>
      </c>
      <c r="P710" s="7" t="s">
        <v>29</v>
      </c>
      <c r="T710" s="12" t="s">
        <v>73</v>
      </c>
      <c r="V710" cm="1">
        <f t="array" ref="V710">_xlfn.LET(
_xlpm.x,_xlfn._xlws.FILTER(O710:S710,(O710:S710&lt;&gt;"R")*(O710:S710&lt;&gt;"NA")*(O710:S710&lt;&gt;"W")*(O710:S710&lt;&gt;"")),
IF(COUNTA(_xlpm.x)=0,"NA",IF(MIN(_xlpm.x)=MAX(_xlpm.x),MIN(_xlpm.x),"review"))
)</f>
        <v>42</v>
      </c>
    </row>
    <row r="711" spans="1:22" ht="15.75" hidden="1" customHeight="1" x14ac:dyDescent="0.25">
      <c r="A711" s="7" t="s">
        <v>97</v>
      </c>
      <c r="B711" s="8">
        <v>8</v>
      </c>
      <c r="C711" s="8" t="s">
        <v>23</v>
      </c>
      <c r="D711" s="9" t="s">
        <v>98</v>
      </c>
      <c r="E711" s="7" t="s">
        <v>25</v>
      </c>
      <c r="F711" s="7" t="s">
        <v>39</v>
      </c>
      <c r="G711" s="7" t="s">
        <v>27</v>
      </c>
      <c r="H711" s="7">
        <v>1976</v>
      </c>
      <c r="I711" s="7">
        <v>12</v>
      </c>
      <c r="K711" s="7">
        <v>7</v>
      </c>
      <c r="M711" s="7">
        <v>7</v>
      </c>
      <c r="N711" s="7">
        <v>11</v>
      </c>
      <c r="O711" s="7">
        <v>42</v>
      </c>
      <c r="P711" s="7">
        <v>42</v>
      </c>
      <c r="T711" s="12" t="s">
        <v>74</v>
      </c>
      <c r="V711" cm="1">
        <f t="array" ref="V711">_xlfn.LET(
_xlpm.x,_xlfn._xlws.FILTER(O711:S711,(O711:S711&lt;&gt;"R")*(O711:S711&lt;&gt;"NA")*(O711:S711&lt;&gt;"W")*(O711:S711&lt;&gt;"")),
IF(COUNTA(_xlpm.x)=0,"NA",IF(MIN(_xlpm.x)=MAX(_xlpm.x),MIN(_xlpm.x),"review"))
)</f>
        <v>42</v>
      </c>
    </row>
    <row r="712" spans="1:22" ht="15.75" hidden="1" customHeight="1" x14ac:dyDescent="0.25">
      <c r="A712" s="7" t="s">
        <v>97</v>
      </c>
      <c r="B712" s="8">
        <v>8</v>
      </c>
      <c r="C712" s="8" t="s">
        <v>23</v>
      </c>
      <c r="D712" s="9" t="s">
        <v>98</v>
      </c>
      <c r="E712" s="7" t="s">
        <v>25</v>
      </c>
      <c r="F712" s="7" t="s">
        <v>39</v>
      </c>
      <c r="G712" s="7" t="s">
        <v>27</v>
      </c>
      <c r="H712" s="7">
        <v>1976</v>
      </c>
      <c r="I712" s="7">
        <v>12</v>
      </c>
      <c r="K712" s="7">
        <v>7</v>
      </c>
      <c r="M712" s="7">
        <v>7</v>
      </c>
      <c r="N712" s="7">
        <v>12</v>
      </c>
      <c r="O712" s="7">
        <v>42</v>
      </c>
      <c r="P712" s="7">
        <v>42</v>
      </c>
      <c r="T712" s="12" t="s">
        <v>94</v>
      </c>
      <c r="V712" cm="1">
        <f t="array" ref="V712">_xlfn.LET(
_xlpm.x,_xlfn._xlws.FILTER(O712:S712,(O712:S712&lt;&gt;"R")*(O712:S712&lt;&gt;"NA")*(O712:S712&lt;&gt;"W")*(O712:S712&lt;&gt;"")),
IF(COUNTA(_xlpm.x)=0,"NA",IF(MIN(_xlpm.x)=MAX(_xlpm.x),MIN(_xlpm.x),"review"))
)</f>
        <v>42</v>
      </c>
    </row>
    <row r="713" spans="1:22" ht="15.75" hidden="1" customHeight="1" x14ac:dyDescent="0.25">
      <c r="A713" s="7" t="s">
        <v>97</v>
      </c>
      <c r="B713" s="8">
        <v>8</v>
      </c>
      <c r="C713" s="8" t="s">
        <v>23</v>
      </c>
      <c r="D713" s="9" t="s">
        <v>98</v>
      </c>
      <c r="E713" s="7" t="s">
        <v>25</v>
      </c>
      <c r="F713" s="7" t="s">
        <v>39</v>
      </c>
      <c r="G713" s="7" t="s">
        <v>27</v>
      </c>
      <c r="H713" s="7">
        <v>1976</v>
      </c>
      <c r="I713" s="7">
        <v>12</v>
      </c>
      <c r="K713" s="7">
        <v>7</v>
      </c>
      <c r="M713" s="7">
        <v>7</v>
      </c>
      <c r="N713" s="7">
        <v>13</v>
      </c>
      <c r="O713" s="7">
        <v>42</v>
      </c>
      <c r="P713" s="7">
        <v>42</v>
      </c>
      <c r="T713" s="12" t="s">
        <v>73</v>
      </c>
      <c r="V713" cm="1">
        <f t="array" ref="V713">_xlfn.LET(
_xlpm.x,_xlfn._xlws.FILTER(O713:S713,(O713:S713&lt;&gt;"R")*(O713:S713&lt;&gt;"NA")*(O713:S713&lt;&gt;"W")*(O713:S713&lt;&gt;"")),
IF(COUNTA(_xlpm.x)=0,"NA",IF(MIN(_xlpm.x)=MAX(_xlpm.x),MIN(_xlpm.x),"review"))
)</f>
        <v>42</v>
      </c>
    </row>
    <row r="714" spans="1:22" ht="15.75" hidden="1" customHeight="1" x14ac:dyDescent="0.25">
      <c r="A714" s="7" t="s">
        <v>97</v>
      </c>
      <c r="B714" s="8">
        <v>8</v>
      </c>
      <c r="C714" s="8" t="s">
        <v>23</v>
      </c>
      <c r="D714" s="9" t="s">
        <v>98</v>
      </c>
      <c r="E714" s="7" t="s">
        <v>25</v>
      </c>
      <c r="F714" s="7" t="s">
        <v>39</v>
      </c>
      <c r="G714" s="7" t="s">
        <v>27</v>
      </c>
      <c r="H714" s="7">
        <v>1976</v>
      </c>
      <c r="I714" s="7">
        <v>12</v>
      </c>
      <c r="K714" s="7">
        <v>7</v>
      </c>
      <c r="M714" s="7">
        <v>7</v>
      </c>
      <c r="N714" s="7">
        <v>14</v>
      </c>
      <c r="O714" s="7">
        <v>32</v>
      </c>
      <c r="P714" s="7" t="s">
        <v>28</v>
      </c>
      <c r="T714" s="12" t="s">
        <v>119</v>
      </c>
      <c r="V714" cm="1">
        <f t="array" ref="V714">_xlfn.LET(
_xlpm.x,_xlfn._xlws.FILTER(O714:S714,(O714:S714&lt;&gt;"R")*(O714:S714&lt;&gt;"NA")*(O714:S714&lt;&gt;"W")*(O714:S714&lt;&gt;"")),
IF(COUNTA(_xlpm.x)=0,"NA",IF(MIN(_xlpm.x)=MAX(_xlpm.x),MIN(_xlpm.x),"review"))
)</f>
        <v>32</v>
      </c>
    </row>
    <row r="715" spans="1:22" ht="15.75" hidden="1" customHeight="1" x14ac:dyDescent="0.25">
      <c r="A715" s="7" t="s">
        <v>97</v>
      </c>
      <c r="B715" s="8">
        <v>8</v>
      </c>
      <c r="C715" s="8" t="s">
        <v>23</v>
      </c>
      <c r="D715" s="9" t="s">
        <v>98</v>
      </c>
      <c r="E715" s="7" t="s">
        <v>25</v>
      </c>
      <c r="F715" s="7" t="s">
        <v>39</v>
      </c>
      <c r="G715" s="7" t="s">
        <v>27</v>
      </c>
      <c r="H715" s="7">
        <v>1976</v>
      </c>
      <c r="I715" s="7">
        <v>12</v>
      </c>
      <c r="K715" s="7">
        <v>7</v>
      </c>
      <c r="M715" s="7">
        <v>7</v>
      </c>
      <c r="N715" s="7">
        <v>15</v>
      </c>
      <c r="O715" s="7" t="s">
        <v>28</v>
      </c>
      <c r="P715" s="7" t="s">
        <v>28</v>
      </c>
      <c r="T715" s="12"/>
      <c r="V715" t="s">
        <v>29</v>
      </c>
    </row>
    <row r="716" spans="1:22" ht="15.75" hidden="1" customHeight="1" x14ac:dyDescent="0.25">
      <c r="A716" s="7" t="s">
        <v>97</v>
      </c>
      <c r="B716" s="8">
        <v>8</v>
      </c>
      <c r="C716" s="8" t="s">
        <v>23</v>
      </c>
      <c r="D716" s="9" t="s">
        <v>98</v>
      </c>
      <c r="E716" s="7" t="s">
        <v>25</v>
      </c>
      <c r="F716" s="7" t="s">
        <v>39</v>
      </c>
      <c r="G716" s="7" t="s">
        <v>27</v>
      </c>
      <c r="H716" s="7">
        <v>1976</v>
      </c>
      <c r="I716" s="7">
        <v>12</v>
      </c>
      <c r="K716" s="7">
        <v>7</v>
      </c>
      <c r="M716" s="7">
        <v>7</v>
      </c>
      <c r="N716" s="7">
        <v>16</v>
      </c>
      <c r="O716" s="7">
        <v>42</v>
      </c>
      <c r="P716" s="7" t="s">
        <v>28</v>
      </c>
      <c r="T716" s="12" t="s">
        <v>120</v>
      </c>
      <c r="V716" cm="1">
        <f t="array" ref="V716">_xlfn.LET(
_xlpm.x,_xlfn._xlws.FILTER(O716:S716,(O716:S716&lt;&gt;"R")*(O716:S716&lt;&gt;"NA")*(O716:S716&lt;&gt;"W")*(O716:S716&lt;&gt;"")),
IF(COUNTA(_xlpm.x)=0,"NA",IF(MIN(_xlpm.x)=MAX(_xlpm.x),MIN(_xlpm.x),"review"))
)</f>
        <v>42</v>
      </c>
    </row>
    <row r="717" spans="1:22" ht="15.75" hidden="1" customHeight="1" x14ac:dyDescent="0.25">
      <c r="A717" s="7" t="s">
        <v>97</v>
      </c>
      <c r="B717" s="8">
        <v>8</v>
      </c>
      <c r="C717" s="8" t="s">
        <v>23</v>
      </c>
      <c r="D717" s="9" t="s">
        <v>98</v>
      </c>
      <c r="E717" s="7" t="s">
        <v>25</v>
      </c>
      <c r="F717" s="7" t="s">
        <v>39</v>
      </c>
      <c r="G717" s="7" t="s">
        <v>27</v>
      </c>
      <c r="H717" s="7">
        <v>1976</v>
      </c>
      <c r="I717" s="7">
        <v>12</v>
      </c>
      <c r="K717" s="7">
        <v>7</v>
      </c>
      <c r="M717" s="7">
        <v>7</v>
      </c>
      <c r="N717" s="7">
        <v>17</v>
      </c>
      <c r="O717" s="7">
        <v>42</v>
      </c>
      <c r="P717" s="7">
        <v>42</v>
      </c>
      <c r="T717" s="12" t="s">
        <v>73</v>
      </c>
      <c r="V717" cm="1">
        <f t="array" ref="V717">_xlfn.LET(
_xlpm.x,_xlfn._xlws.FILTER(O717:S717,(O717:S717&lt;&gt;"R")*(O717:S717&lt;&gt;"NA")*(O717:S717&lt;&gt;"W")*(O717:S717&lt;&gt;"")),
IF(COUNTA(_xlpm.x)=0,"NA",IF(MIN(_xlpm.x)=MAX(_xlpm.x),MIN(_xlpm.x),"review"))
)</f>
        <v>42</v>
      </c>
    </row>
    <row r="718" spans="1:22" ht="15.75" hidden="1" customHeight="1" x14ac:dyDescent="0.25">
      <c r="A718" s="7" t="s">
        <v>97</v>
      </c>
      <c r="B718" s="8">
        <v>8</v>
      </c>
      <c r="C718" s="8" t="s">
        <v>23</v>
      </c>
      <c r="D718" s="9" t="s">
        <v>98</v>
      </c>
      <c r="E718" s="7" t="s">
        <v>25</v>
      </c>
      <c r="F718" s="7" t="s">
        <v>39</v>
      </c>
      <c r="G718" s="7" t="s">
        <v>27</v>
      </c>
      <c r="H718" s="7">
        <v>1976</v>
      </c>
      <c r="I718" s="7">
        <v>12</v>
      </c>
      <c r="K718" s="7">
        <v>7</v>
      </c>
      <c r="M718" s="7">
        <v>7</v>
      </c>
      <c r="N718" s="7">
        <v>18</v>
      </c>
      <c r="O718" s="7" t="s">
        <v>29</v>
      </c>
      <c r="P718" s="7">
        <v>42</v>
      </c>
      <c r="T718" s="12" t="s">
        <v>80</v>
      </c>
      <c r="V718" cm="1">
        <f t="array" ref="V718">_xlfn.LET(
_xlpm.x,_xlfn._xlws.FILTER(O718:S718,(O718:S718&lt;&gt;"R")*(O718:S718&lt;&gt;"NA")*(O718:S718&lt;&gt;"W")*(O718:S718&lt;&gt;"")),
IF(COUNTA(_xlpm.x)=0,"NA",IF(MIN(_xlpm.x)=MAX(_xlpm.x),MIN(_xlpm.x),"review"))
)</f>
        <v>42</v>
      </c>
    </row>
    <row r="719" spans="1:22" ht="15.75" hidden="1" customHeight="1" x14ac:dyDescent="0.25">
      <c r="A719" s="7" t="s">
        <v>97</v>
      </c>
      <c r="B719" s="8">
        <v>8</v>
      </c>
      <c r="C719" s="8" t="s">
        <v>23</v>
      </c>
      <c r="D719" s="9" t="s">
        <v>98</v>
      </c>
      <c r="E719" s="7" t="s">
        <v>25</v>
      </c>
      <c r="F719" s="7" t="s">
        <v>39</v>
      </c>
      <c r="G719" s="7" t="s">
        <v>27</v>
      </c>
      <c r="H719" s="7">
        <v>1976</v>
      </c>
      <c r="I719" s="7">
        <v>12</v>
      </c>
      <c r="K719" s="7">
        <v>7</v>
      </c>
      <c r="M719" s="7">
        <v>7</v>
      </c>
      <c r="N719" s="7">
        <v>19</v>
      </c>
      <c r="O719" s="7" t="s">
        <v>29</v>
      </c>
      <c r="P719" s="7">
        <v>42</v>
      </c>
      <c r="T719" s="12" t="s">
        <v>76</v>
      </c>
      <c r="V719" cm="1">
        <f t="array" ref="V719">_xlfn.LET(
_xlpm.x,_xlfn._xlws.FILTER(O719:S719,(O719:S719&lt;&gt;"R")*(O719:S719&lt;&gt;"NA")*(O719:S719&lt;&gt;"W")*(O719:S719&lt;&gt;"")),
IF(COUNTA(_xlpm.x)=0,"NA",IF(MIN(_xlpm.x)=MAX(_xlpm.x),MIN(_xlpm.x),"review"))
)</f>
        <v>42</v>
      </c>
    </row>
    <row r="720" spans="1:22" ht="15.75" hidden="1" customHeight="1" x14ac:dyDescent="0.25">
      <c r="A720" s="7" t="s">
        <v>97</v>
      </c>
      <c r="B720" s="8">
        <v>8</v>
      </c>
      <c r="C720" s="8" t="s">
        <v>23</v>
      </c>
      <c r="D720" s="9" t="s">
        <v>98</v>
      </c>
      <c r="E720" s="7" t="s">
        <v>25</v>
      </c>
      <c r="F720" s="7" t="s">
        <v>39</v>
      </c>
      <c r="G720" s="7" t="s">
        <v>27</v>
      </c>
      <c r="H720" s="7">
        <v>1976</v>
      </c>
      <c r="I720" s="7">
        <v>12</v>
      </c>
      <c r="K720" s="7">
        <v>7</v>
      </c>
      <c r="M720" s="7">
        <v>7</v>
      </c>
      <c r="N720" s="7">
        <v>20</v>
      </c>
      <c r="O720" s="7">
        <v>42</v>
      </c>
      <c r="P720" s="7">
        <v>42</v>
      </c>
      <c r="T720" s="12" t="s">
        <v>73</v>
      </c>
      <c r="V720" cm="1">
        <f t="array" ref="V720">_xlfn.LET(
_xlpm.x,_xlfn._xlws.FILTER(O720:S720,(O720:S720&lt;&gt;"R")*(O720:S720&lt;&gt;"NA")*(O720:S720&lt;&gt;"W")*(O720:S720&lt;&gt;"")),
IF(COUNTA(_xlpm.x)=0,"NA",IF(MIN(_xlpm.x)=MAX(_xlpm.x),MIN(_xlpm.x),"review"))
)</f>
        <v>42</v>
      </c>
    </row>
    <row r="721" spans="1:22" ht="15.75" hidden="1" customHeight="1" x14ac:dyDescent="0.25">
      <c r="A721" s="7" t="s">
        <v>97</v>
      </c>
      <c r="B721" s="8">
        <v>8</v>
      </c>
      <c r="C721" s="8" t="s">
        <v>23</v>
      </c>
      <c r="D721" s="9" t="s">
        <v>98</v>
      </c>
      <c r="E721" s="7" t="s">
        <v>25</v>
      </c>
      <c r="F721" s="7" t="s">
        <v>39</v>
      </c>
      <c r="G721" s="7" t="s">
        <v>27</v>
      </c>
      <c r="H721" s="7">
        <v>1976</v>
      </c>
      <c r="I721" s="7">
        <v>12</v>
      </c>
      <c r="K721" s="7">
        <v>7</v>
      </c>
      <c r="M721" s="7">
        <v>7</v>
      </c>
      <c r="N721" s="7">
        <v>21</v>
      </c>
      <c r="O721" s="7">
        <v>42</v>
      </c>
      <c r="P721" s="7">
        <v>42</v>
      </c>
      <c r="T721" s="12"/>
      <c r="V721" cm="1">
        <f t="array" ref="V721">_xlfn.LET(
_xlpm.x,_xlfn._xlws.FILTER(O721:S721,(O721:S721&lt;&gt;"R")*(O721:S721&lt;&gt;"NA")*(O721:S721&lt;&gt;"W")*(O721:S721&lt;&gt;"")),
IF(COUNTA(_xlpm.x)=0,"NA",IF(MIN(_xlpm.x)=MAX(_xlpm.x),MIN(_xlpm.x),"review"))
)</f>
        <v>42</v>
      </c>
    </row>
    <row r="722" spans="1:22" ht="15.75" hidden="1" customHeight="1" x14ac:dyDescent="0.25">
      <c r="A722" s="7" t="s">
        <v>97</v>
      </c>
      <c r="B722" s="8">
        <v>8</v>
      </c>
      <c r="C722" s="8" t="s">
        <v>23</v>
      </c>
      <c r="D722" s="9" t="s">
        <v>98</v>
      </c>
      <c r="E722" s="7" t="s">
        <v>25</v>
      </c>
      <c r="F722" s="7" t="s">
        <v>39</v>
      </c>
      <c r="G722" s="7" t="s">
        <v>27</v>
      </c>
      <c r="H722" s="7">
        <v>1976</v>
      </c>
      <c r="I722" s="7">
        <v>12</v>
      </c>
      <c r="K722" s="7">
        <v>7</v>
      </c>
      <c r="M722" s="7">
        <v>7</v>
      </c>
      <c r="N722" s="7">
        <v>22</v>
      </c>
      <c r="O722" s="7">
        <v>42</v>
      </c>
      <c r="P722" s="7" t="s">
        <v>29</v>
      </c>
      <c r="T722" s="12" t="s">
        <v>94</v>
      </c>
      <c r="V722" cm="1">
        <f t="array" ref="V722">_xlfn.LET(
_xlpm.x,_xlfn._xlws.FILTER(O722:S722,(O722:S722&lt;&gt;"R")*(O722:S722&lt;&gt;"NA")*(O722:S722&lt;&gt;"W")*(O722:S722&lt;&gt;"")),
IF(COUNTA(_xlpm.x)=0,"NA",IF(MIN(_xlpm.x)=MAX(_xlpm.x),MIN(_xlpm.x),"review"))
)</f>
        <v>42</v>
      </c>
    </row>
    <row r="723" spans="1:22" ht="15.75" hidden="1" customHeight="1" x14ac:dyDescent="0.25">
      <c r="A723" s="7" t="s">
        <v>97</v>
      </c>
      <c r="B723" s="8">
        <v>8</v>
      </c>
      <c r="C723" s="8" t="s">
        <v>23</v>
      </c>
      <c r="D723" s="9" t="s">
        <v>98</v>
      </c>
      <c r="E723" s="7" t="s">
        <v>25</v>
      </c>
      <c r="F723" s="7" t="s">
        <v>39</v>
      </c>
      <c r="G723" s="7" t="s">
        <v>27</v>
      </c>
      <c r="H723" s="7">
        <v>1976</v>
      </c>
      <c r="I723" s="7">
        <v>12</v>
      </c>
      <c r="K723" s="7">
        <v>7</v>
      </c>
      <c r="M723" s="7">
        <v>7</v>
      </c>
      <c r="N723" s="7">
        <v>23</v>
      </c>
      <c r="O723" s="7">
        <v>42</v>
      </c>
      <c r="P723" s="7">
        <v>42</v>
      </c>
      <c r="T723" s="12" t="s">
        <v>74</v>
      </c>
      <c r="V723" cm="1">
        <f t="array" ref="V723">_xlfn.LET(
_xlpm.x,_xlfn._xlws.FILTER(O723:S723,(O723:S723&lt;&gt;"R")*(O723:S723&lt;&gt;"NA")*(O723:S723&lt;&gt;"W")*(O723:S723&lt;&gt;"")),
IF(COUNTA(_xlpm.x)=0,"NA",IF(MIN(_xlpm.x)=MAX(_xlpm.x),MIN(_xlpm.x),"review"))
)</f>
        <v>42</v>
      </c>
    </row>
    <row r="724" spans="1:22" ht="15.75" hidden="1" customHeight="1" x14ac:dyDescent="0.25">
      <c r="A724" s="7" t="s">
        <v>97</v>
      </c>
      <c r="B724" s="8">
        <v>8</v>
      </c>
      <c r="C724" s="8" t="s">
        <v>23</v>
      </c>
      <c r="D724" s="9" t="s">
        <v>98</v>
      </c>
      <c r="E724" s="7" t="s">
        <v>25</v>
      </c>
      <c r="F724" s="7" t="s">
        <v>39</v>
      </c>
      <c r="G724" s="7" t="s">
        <v>27</v>
      </c>
      <c r="H724" s="7">
        <v>1976</v>
      </c>
      <c r="I724" s="7">
        <v>12</v>
      </c>
      <c r="K724" s="7">
        <v>7</v>
      </c>
      <c r="M724" s="7">
        <v>7</v>
      </c>
      <c r="N724" s="7">
        <v>24</v>
      </c>
      <c r="O724" s="7" t="s">
        <v>28</v>
      </c>
      <c r="P724" s="7" t="s">
        <v>28</v>
      </c>
      <c r="T724" s="12"/>
      <c r="V724" t="s">
        <v>29</v>
      </c>
    </row>
    <row r="725" spans="1:22" ht="15.75" hidden="1" customHeight="1" x14ac:dyDescent="0.25">
      <c r="A725" s="7" t="s">
        <v>97</v>
      </c>
      <c r="B725" s="8">
        <v>8</v>
      </c>
      <c r="C725" s="8" t="s">
        <v>23</v>
      </c>
      <c r="D725" s="9" t="s">
        <v>98</v>
      </c>
      <c r="E725" s="7" t="s">
        <v>25</v>
      </c>
      <c r="F725" s="7" t="s">
        <v>39</v>
      </c>
      <c r="G725" s="7" t="s">
        <v>27</v>
      </c>
      <c r="H725" s="7">
        <v>1976</v>
      </c>
      <c r="I725" s="7">
        <v>12</v>
      </c>
      <c r="K725" s="7">
        <v>7</v>
      </c>
      <c r="M725" s="7">
        <v>7</v>
      </c>
      <c r="N725" s="7">
        <v>25</v>
      </c>
      <c r="O725" s="7">
        <v>31</v>
      </c>
      <c r="P725" s="7" t="s">
        <v>29</v>
      </c>
      <c r="T725" s="12" t="s">
        <v>121</v>
      </c>
      <c r="V725" cm="1">
        <f t="array" ref="V725">_xlfn.LET(
_xlpm.x,_xlfn._xlws.FILTER(O725:S725,(O725:S725&lt;&gt;"R")*(O725:S725&lt;&gt;"NA")*(O725:S725&lt;&gt;"W")*(O725:S725&lt;&gt;"")),
IF(COUNTA(_xlpm.x)=0,"NA",IF(MIN(_xlpm.x)=MAX(_xlpm.x),MIN(_xlpm.x),"review"))
)</f>
        <v>31</v>
      </c>
    </row>
    <row r="726" spans="1:22" ht="15.75" hidden="1" customHeight="1" x14ac:dyDescent="0.25">
      <c r="A726" s="7" t="s">
        <v>122</v>
      </c>
      <c r="B726" s="8">
        <v>8</v>
      </c>
      <c r="C726" s="8" t="s">
        <v>70</v>
      </c>
      <c r="D726" s="9" t="s">
        <v>123</v>
      </c>
      <c r="E726" s="7" t="s">
        <v>25</v>
      </c>
      <c r="F726" s="7" t="s">
        <v>39</v>
      </c>
      <c r="G726" s="7" t="s">
        <v>85</v>
      </c>
      <c r="H726" s="7">
        <v>1977</v>
      </c>
      <c r="I726" s="7">
        <v>4</v>
      </c>
      <c r="K726" s="7">
        <v>7</v>
      </c>
      <c r="M726" s="7">
        <v>1</v>
      </c>
      <c r="N726" s="7">
        <v>1</v>
      </c>
      <c r="O726" s="7">
        <v>42</v>
      </c>
      <c r="P726" s="7">
        <v>42</v>
      </c>
      <c r="T726" s="12" t="s">
        <v>124</v>
      </c>
      <c r="V726" cm="1">
        <f t="array" ref="V726">_xlfn.LET(
_xlpm.x,_xlfn._xlws.FILTER(O726:S726,(O726:S726&lt;&gt;"R")*(O726:S726&lt;&gt;"NA")*(O726:S726&lt;&gt;"W")*(O726:S726&lt;&gt;"")),
IF(COUNTA(_xlpm.x)=0,"NA",IF(MIN(_xlpm.x)=MAX(_xlpm.x),MIN(_xlpm.x),"review"))
)</f>
        <v>42</v>
      </c>
    </row>
    <row r="727" spans="1:22" ht="15.75" hidden="1" customHeight="1" x14ac:dyDescent="0.25">
      <c r="A727" s="7" t="s">
        <v>122</v>
      </c>
      <c r="B727" s="8">
        <v>8</v>
      </c>
      <c r="C727" s="8" t="s">
        <v>70</v>
      </c>
      <c r="D727" s="9" t="s">
        <v>123</v>
      </c>
      <c r="E727" s="7" t="s">
        <v>25</v>
      </c>
      <c r="F727" s="7" t="s">
        <v>39</v>
      </c>
      <c r="G727" s="7" t="s">
        <v>85</v>
      </c>
      <c r="H727" s="7">
        <v>1977</v>
      </c>
      <c r="I727" s="7">
        <v>4</v>
      </c>
      <c r="K727" s="7">
        <v>7</v>
      </c>
      <c r="M727" s="7">
        <v>1</v>
      </c>
      <c r="N727" s="7">
        <v>2</v>
      </c>
      <c r="O727" s="7">
        <v>42</v>
      </c>
      <c r="P727" s="7">
        <v>42</v>
      </c>
      <c r="T727" s="12" t="s">
        <v>120</v>
      </c>
      <c r="V727" cm="1">
        <f t="array" ref="V727">_xlfn.LET(
_xlpm.x,_xlfn._xlws.FILTER(O727:S727,(O727:S727&lt;&gt;"R")*(O727:S727&lt;&gt;"NA")*(O727:S727&lt;&gt;"W")*(O727:S727&lt;&gt;"")),
IF(COUNTA(_xlpm.x)=0,"NA",IF(MIN(_xlpm.x)=MAX(_xlpm.x),MIN(_xlpm.x),"review"))
)</f>
        <v>42</v>
      </c>
    </row>
    <row r="728" spans="1:22" ht="15.75" hidden="1" customHeight="1" x14ac:dyDescent="0.25">
      <c r="A728" s="7" t="s">
        <v>122</v>
      </c>
      <c r="B728" s="8">
        <v>8</v>
      </c>
      <c r="C728" s="8" t="s">
        <v>70</v>
      </c>
      <c r="D728" s="9" t="s">
        <v>123</v>
      </c>
      <c r="E728" s="7" t="s">
        <v>25</v>
      </c>
      <c r="F728" s="7" t="s">
        <v>39</v>
      </c>
      <c r="G728" s="7" t="s">
        <v>85</v>
      </c>
      <c r="H728" s="7">
        <v>1977</v>
      </c>
      <c r="I728" s="7">
        <v>4</v>
      </c>
      <c r="K728" s="7">
        <v>7</v>
      </c>
      <c r="M728" s="7">
        <v>1</v>
      </c>
      <c r="N728" s="7">
        <v>3</v>
      </c>
      <c r="O728" s="7" t="s">
        <v>29</v>
      </c>
      <c r="P728" s="7" t="s">
        <v>29</v>
      </c>
      <c r="T728" s="12"/>
      <c r="V728" t="s">
        <v>29</v>
      </c>
    </row>
    <row r="729" spans="1:22" ht="15.75" hidden="1" customHeight="1" x14ac:dyDescent="0.25">
      <c r="A729" s="7" t="s">
        <v>122</v>
      </c>
      <c r="B729" s="8">
        <v>8</v>
      </c>
      <c r="C729" s="8" t="s">
        <v>70</v>
      </c>
      <c r="D729" s="9" t="s">
        <v>123</v>
      </c>
      <c r="E729" s="7" t="s">
        <v>25</v>
      </c>
      <c r="F729" s="7" t="s">
        <v>39</v>
      </c>
      <c r="G729" s="7" t="s">
        <v>85</v>
      </c>
      <c r="H729" s="7">
        <v>1977</v>
      </c>
      <c r="I729" s="7">
        <v>4</v>
      </c>
      <c r="K729" s="7">
        <v>7</v>
      </c>
      <c r="M729" s="7">
        <v>1</v>
      </c>
      <c r="N729" s="7">
        <v>4</v>
      </c>
      <c r="O729" s="7" t="s">
        <v>28</v>
      </c>
      <c r="P729" s="7">
        <v>42</v>
      </c>
      <c r="T729" s="12" t="s">
        <v>125</v>
      </c>
      <c r="V729" cm="1">
        <f t="array" ref="V729">_xlfn.LET(
_xlpm.x,_xlfn._xlws.FILTER(O729:S729,(O729:S729&lt;&gt;"R")*(O729:S729&lt;&gt;"NA")*(O729:S729&lt;&gt;"W")*(O729:S729&lt;&gt;"")),
IF(COUNTA(_xlpm.x)=0,"NA",IF(MIN(_xlpm.x)=MAX(_xlpm.x),MIN(_xlpm.x),"review"))
)</f>
        <v>42</v>
      </c>
    </row>
    <row r="730" spans="1:22" ht="15.75" hidden="1" customHeight="1" x14ac:dyDescent="0.25">
      <c r="A730" s="7" t="s">
        <v>122</v>
      </c>
      <c r="B730" s="8">
        <v>8</v>
      </c>
      <c r="C730" s="8" t="s">
        <v>70</v>
      </c>
      <c r="D730" s="9" t="s">
        <v>123</v>
      </c>
      <c r="E730" s="7" t="s">
        <v>25</v>
      </c>
      <c r="F730" s="7" t="s">
        <v>39</v>
      </c>
      <c r="G730" s="7" t="s">
        <v>85</v>
      </c>
      <c r="H730" s="7">
        <v>1977</v>
      </c>
      <c r="I730" s="7">
        <v>4</v>
      </c>
      <c r="K730" s="7">
        <v>7</v>
      </c>
      <c r="M730" s="7">
        <v>1</v>
      </c>
      <c r="N730" s="7">
        <v>5</v>
      </c>
      <c r="O730" s="7" t="s">
        <v>29</v>
      </c>
      <c r="P730" s="7" t="s">
        <v>28</v>
      </c>
      <c r="T730" s="12"/>
      <c r="V730" t="s">
        <v>29</v>
      </c>
    </row>
    <row r="731" spans="1:22" ht="15.75" hidden="1" customHeight="1" x14ac:dyDescent="0.25">
      <c r="A731" s="7" t="s">
        <v>122</v>
      </c>
      <c r="B731" s="8">
        <v>8</v>
      </c>
      <c r="C731" s="8" t="s">
        <v>70</v>
      </c>
      <c r="D731" s="9" t="s">
        <v>123</v>
      </c>
      <c r="E731" s="7" t="s">
        <v>25</v>
      </c>
      <c r="F731" s="7" t="s">
        <v>39</v>
      </c>
      <c r="G731" s="7" t="s">
        <v>85</v>
      </c>
      <c r="H731" s="7">
        <v>1977</v>
      </c>
      <c r="I731" s="7">
        <v>4</v>
      </c>
      <c r="K731" s="7">
        <v>7</v>
      </c>
      <c r="M731" s="7">
        <v>1</v>
      </c>
      <c r="N731" s="7">
        <v>6</v>
      </c>
      <c r="O731" s="7">
        <v>42</v>
      </c>
      <c r="P731" s="7">
        <v>42</v>
      </c>
      <c r="T731" s="12" t="s">
        <v>126</v>
      </c>
      <c r="V731" cm="1">
        <f t="array" ref="V731">_xlfn.LET(
_xlpm.x,_xlfn._xlws.FILTER(O731:S731,(O731:S731&lt;&gt;"R")*(O731:S731&lt;&gt;"NA")*(O731:S731&lt;&gt;"W")*(O731:S731&lt;&gt;"")),
IF(COUNTA(_xlpm.x)=0,"NA",IF(MIN(_xlpm.x)=MAX(_xlpm.x),MIN(_xlpm.x),"review"))
)</f>
        <v>42</v>
      </c>
    </row>
    <row r="732" spans="1:22" ht="15.75" hidden="1" customHeight="1" x14ac:dyDescent="0.25">
      <c r="A732" s="7" t="s">
        <v>122</v>
      </c>
      <c r="B732" s="8">
        <v>8</v>
      </c>
      <c r="C732" s="8" t="s">
        <v>70</v>
      </c>
      <c r="D732" s="9" t="s">
        <v>123</v>
      </c>
      <c r="E732" s="7" t="s">
        <v>25</v>
      </c>
      <c r="F732" s="7" t="s">
        <v>39</v>
      </c>
      <c r="G732" s="7" t="s">
        <v>85</v>
      </c>
      <c r="H732" s="7">
        <v>1977</v>
      </c>
      <c r="I732" s="7">
        <v>4</v>
      </c>
      <c r="K732" s="7">
        <v>7</v>
      </c>
      <c r="M732" s="7">
        <v>1</v>
      </c>
      <c r="N732" s="7">
        <v>7</v>
      </c>
      <c r="O732" s="7">
        <v>42</v>
      </c>
      <c r="P732" s="7">
        <v>42</v>
      </c>
      <c r="T732" s="12" t="s">
        <v>125</v>
      </c>
      <c r="V732" cm="1">
        <f t="array" ref="V732">_xlfn.LET(
_xlpm.x,_xlfn._xlws.FILTER(O732:S732,(O732:S732&lt;&gt;"R")*(O732:S732&lt;&gt;"NA")*(O732:S732&lt;&gt;"W")*(O732:S732&lt;&gt;"")),
IF(COUNTA(_xlpm.x)=0,"NA",IF(MIN(_xlpm.x)=MAX(_xlpm.x),MIN(_xlpm.x),"review"))
)</f>
        <v>42</v>
      </c>
    </row>
    <row r="733" spans="1:22" ht="15.75" hidden="1" customHeight="1" x14ac:dyDescent="0.25">
      <c r="A733" s="7" t="s">
        <v>122</v>
      </c>
      <c r="B733" s="8">
        <v>8</v>
      </c>
      <c r="C733" s="8" t="s">
        <v>70</v>
      </c>
      <c r="D733" s="9" t="s">
        <v>123</v>
      </c>
      <c r="E733" s="7" t="s">
        <v>25</v>
      </c>
      <c r="F733" s="7" t="s">
        <v>39</v>
      </c>
      <c r="G733" s="7" t="s">
        <v>85</v>
      </c>
      <c r="H733" s="7">
        <v>1977</v>
      </c>
      <c r="I733" s="7">
        <v>4</v>
      </c>
      <c r="K733" s="7">
        <v>7</v>
      </c>
      <c r="M733" s="7">
        <v>1</v>
      </c>
      <c r="N733" s="7">
        <v>8</v>
      </c>
      <c r="O733" s="7">
        <v>42</v>
      </c>
      <c r="P733" s="7">
        <v>42</v>
      </c>
      <c r="T733" s="12" t="s">
        <v>127</v>
      </c>
      <c r="V733" cm="1">
        <f t="array" ref="V733">_xlfn.LET(
_xlpm.x,_xlfn._xlws.FILTER(O733:S733,(O733:S733&lt;&gt;"R")*(O733:S733&lt;&gt;"NA")*(O733:S733&lt;&gt;"W")*(O733:S733&lt;&gt;"")),
IF(COUNTA(_xlpm.x)=0,"NA",IF(MIN(_xlpm.x)=MAX(_xlpm.x),MIN(_xlpm.x),"review"))
)</f>
        <v>42</v>
      </c>
    </row>
    <row r="734" spans="1:22" ht="15.75" hidden="1" customHeight="1" x14ac:dyDescent="0.25">
      <c r="A734" s="7" t="s">
        <v>122</v>
      </c>
      <c r="B734" s="8">
        <v>8</v>
      </c>
      <c r="C734" s="8" t="s">
        <v>70</v>
      </c>
      <c r="D734" s="9" t="s">
        <v>123</v>
      </c>
      <c r="E734" s="7" t="s">
        <v>25</v>
      </c>
      <c r="F734" s="7" t="s">
        <v>39</v>
      </c>
      <c r="G734" s="7" t="s">
        <v>85</v>
      </c>
      <c r="H734" s="7">
        <v>1977</v>
      </c>
      <c r="I734" s="7">
        <v>4</v>
      </c>
      <c r="K734" s="7">
        <v>7</v>
      </c>
      <c r="M734" s="7">
        <v>1</v>
      </c>
      <c r="N734" s="7">
        <v>9</v>
      </c>
      <c r="O734" s="7">
        <v>52</v>
      </c>
      <c r="P734" s="7">
        <v>52</v>
      </c>
      <c r="T734" s="12" t="s">
        <v>89</v>
      </c>
      <c r="V734" cm="1">
        <f t="array" ref="V734">_xlfn.LET(
_xlpm.x,_xlfn._xlws.FILTER(O734:S734,(O734:S734&lt;&gt;"R")*(O734:S734&lt;&gt;"NA")*(O734:S734&lt;&gt;"W")*(O734:S734&lt;&gt;"")),
IF(COUNTA(_xlpm.x)=0,"NA",IF(MIN(_xlpm.x)=MAX(_xlpm.x),MIN(_xlpm.x),"review"))
)</f>
        <v>52</v>
      </c>
    </row>
    <row r="735" spans="1:22" ht="15.75" hidden="1" customHeight="1" x14ac:dyDescent="0.25">
      <c r="A735" s="7" t="s">
        <v>122</v>
      </c>
      <c r="B735" s="8">
        <v>8</v>
      </c>
      <c r="C735" s="8" t="s">
        <v>70</v>
      </c>
      <c r="D735" s="9" t="s">
        <v>123</v>
      </c>
      <c r="E735" s="7" t="s">
        <v>25</v>
      </c>
      <c r="F735" s="7" t="s">
        <v>39</v>
      </c>
      <c r="G735" s="7" t="s">
        <v>85</v>
      </c>
      <c r="H735" s="7">
        <v>1977</v>
      </c>
      <c r="I735" s="7">
        <v>4</v>
      </c>
      <c r="K735" s="7">
        <v>7</v>
      </c>
      <c r="M735" s="7">
        <v>1</v>
      </c>
      <c r="N735" s="7">
        <v>10</v>
      </c>
      <c r="O735" s="7">
        <v>42</v>
      </c>
      <c r="P735" s="7">
        <v>42</v>
      </c>
      <c r="T735" s="12" t="s">
        <v>76</v>
      </c>
      <c r="V735" cm="1">
        <f t="array" ref="V735">_xlfn.LET(
_xlpm.x,_xlfn._xlws.FILTER(O735:S735,(O735:S735&lt;&gt;"R")*(O735:S735&lt;&gt;"NA")*(O735:S735&lt;&gt;"W")*(O735:S735&lt;&gt;"")),
IF(COUNTA(_xlpm.x)=0,"NA",IF(MIN(_xlpm.x)=MAX(_xlpm.x),MIN(_xlpm.x),"review"))
)</f>
        <v>42</v>
      </c>
    </row>
    <row r="736" spans="1:22" ht="15.75" hidden="1" customHeight="1" x14ac:dyDescent="0.25">
      <c r="A736" s="7" t="s">
        <v>122</v>
      </c>
      <c r="B736" s="8">
        <v>8</v>
      </c>
      <c r="C736" s="8" t="s">
        <v>70</v>
      </c>
      <c r="D736" s="9" t="s">
        <v>123</v>
      </c>
      <c r="E736" s="7" t="s">
        <v>25</v>
      </c>
      <c r="F736" s="7" t="s">
        <v>39</v>
      </c>
      <c r="G736" s="7" t="s">
        <v>85</v>
      </c>
      <c r="H736" s="7">
        <v>1977</v>
      </c>
      <c r="I736" s="7">
        <v>4</v>
      </c>
      <c r="K736" s="7">
        <v>7</v>
      </c>
      <c r="M736" s="7">
        <v>1</v>
      </c>
      <c r="N736" s="7">
        <v>11</v>
      </c>
      <c r="O736" s="7">
        <v>42</v>
      </c>
      <c r="P736" s="7">
        <v>42</v>
      </c>
      <c r="T736" s="12" t="s">
        <v>128</v>
      </c>
      <c r="V736" cm="1">
        <f t="array" ref="V736">_xlfn.LET(
_xlpm.x,_xlfn._xlws.FILTER(O736:S736,(O736:S736&lt;&gt;"R")*(O736:S736&lt;&gt;"NA")*(O736:S736&lt;&gt;"W")*(O736:S736&lt;&gt;"")),
IF(COUNTA(_xlpm.x)=0,"NA",IF(MIN(_xlpm.x)=MAX(_xlpm.x),MIN(_xlpm.x),"review"))
)</f>
        <v>42</v>
      </c>
    </row>
    <row r="737" spans="1:22" ht="15.75" hidden="1" customHeight="1" x14ac:dyDescent="0.25">
      <c r="A737" s="7" t="s">
        <v>122</v>
      </c>
      <c r="B737" s="8">
        <v>8</v>
      </c>
      <c r="C737" s="8" t="s">
        <v>70</v>
      </c>
      <c r="D737" s="9" t="s">
        <v>123</v>
      </c>
      <c r="E737" s="7" t="s">
        <v>25</v>
      </c>
      <c r="F737" s="7" t="s">
        <v>39</v>
      </c>
      <c r="G737" s="7" t="s">
        <v>85</v>
      </c>
      <c r="H737" s="7">
        <v>1977</v>
      </c>
      <c r="I737" s="7">
        <v>4</v>
      </c>
      <c r="K737" s="7">
        <v>7</v>
      </c>
      <c r="M737" s="7">
        <v>1</v>
      </c>
      <c r="N737" s="7">
        <v>12</v>
      </c>
      <c r="O737" s="7" t="s">
        <v>28</v>
      </c>
      <c r="P737" s="7">
        <v>42</v>
      </c>
      <c r="T737" s="12" t="s">
        <v>129</v>
      </c>
      <c r="V737" cm="1">
        <f t="array" ref="V737">_xlfn.LET(
_xlpm.x,_xlfn._xlws.FILTER(O737:S737,(O737:S737&lt;&gt;"R")*(O737:S737&lt;&gt;"NA")*(O737:S737&lt;&gt;"W")*(O737:S737&lt;&gt;"")),
IF(COUNTA(_xlpm.x)=0,"NA",IF(MIN(_xlpm.x)=MAX(_xlpm.x),MIN(_xlpm.x),"review"))
)</f>
        <v>42</v>
      </c>
    </row>
    <row r="738" spans="1:22" ht="15.75" hidden="1" customHeight="1" x14ac:dyDescent="0.25">
      <c r="A738" s="7" t="s">
        <v>122</v>
      </c>
      <c r="B738" s="8">
        <v>8</v>
      </c>
      <c r="C738" s="8" t="s">
        <v>70</v>
      </c>
      <c r="D738" s="9" t="s">
        <v>123</v>
      </c>
      <c r="E738" s="7" t="s">
        <v>25</v>
      </c>
      <c r="F738" s="7" t="s">
        <v>39</v>
      </c>
      <c r="G738" s="7" t="s">
        <v>85</v>
      </c>
      <c r="H738" s="7">
        <v>1977</v>
      </c>
      <c r="I738" s="7">
        <v>4</v>
      </c>
      <c r="K738" s="7">
        <v>7</v>
      </c>
      <c r="M738" s="7">
        <v>1</v>
      </c>
      <c r="N738" s="7">
        <v>13</v>
      </c>
      <c r="O738" s="7">
        <v>42</v>
      </c>
      <c r="P738" s="7">
        <v>42</v>
      </c>
      <c r="T738" s="12" t="s">
        <v>130</v>
      </c>
      <c r="V738" cm="1">
        <f t="array" ref="V738">_xlfn.LET(
_xlpm.x,_xlfn._xlws.FILTER(O738:S738,(O738:S738&lt;&gt;"R")*(O738:S738&lt;&gt;"NA")*(O738:S738&lt;&gt;"W")*(O738:S738&lt;&gt;"")),
IF(COUNTA(_xlpm.x)=0,"NA",IF(MIN(_xlpm.x)=MAX(_xlpm.x),MIN(_xlpm.x),"review"))
)</f>
        <v>42</v>
      </c>
    </row>
    <row r="739" spans="1:22" ht="15.75" hidden="1" customHeight="1" x14ac:dyDescent="0.25">
      <c r="A739" s="7" t="s">
        <v>122</v>
      </c>
      <c r="B739" s="8">
        <v>8</v>
      </c>
      <c r="C739" s="8" t="s">
        <v>70</v>
      </c>
      <c r="D739" s="9" t="s">
        <v>123</v>
      </c>
      <c r="E739" s="7" t="s">
        <v>25</v>
      </c>
      <c r="F739" s="7" t="s">
        <v>39</v>
      </c>
      <c r="G739" s="7" t="s">
        <v>85</v>
      </c>
      <c r="H739" s="7">
        <v>1977</v>
      </c>
      <c r="I739" s="7">
        <v>4</v>
      </c>
      <c r="K739" s="7">
        <v>7</v>
      </c>
      <c r="M739" s="7">
        <v>1</v>
      </c>
      <c r="N739" s="7">
        <v>14</v>
      </c>
      <c r="O739" s="7">
        <v>42</v>
      </c>
      <c r="P739" s="7">
        <v>42</v>
      </c>
      <c r="T739" s="12" t="s">
        <v>72</v>
      </c>
      <c r="V739" cm="1">
        <f t="array" ref="V739">_xlfn.LET(
_xlpm.x,_xlfn._xlws.FILTER(O739:S739,(O739:S739&lt;&gt;"R")*(O739:S739&lt;&gt;"NA")*(O739:S739&lt;&gt;"W")*(O739:S739&lt;&gt;"")),
IF(COUNTA(_xlpm.x)=0,"NA",IF(MIN(_xlpm.x)=MAX(_xlpm.x),MIN(_xlpm.x),"review"))
)</f>
        <v>42</v>
      </c>
    </row>
    <row r="740" spans="1:22" ht="15.75" hidden="1" customHeight="1" x14ac:dyDescent="0.25">
      <c r="A740" s="7" t="s">
        <v>122</v>
      </c>
      <c r="B740" s="8">
        <v>8</v>
      </c>
      <c r="C740" s="8" t="s">
        <v>70</v>
      </c>
      <c r="D740" s="9" t="s">
        <v>123</v>
      </c>
      <c r="E740" s="7" t="s">
        <v>25</v>
      </c>
      <c r="F740" s="7" t="s">
        <v>39</v>
      </c>
      <c r="G740" s="7" t="s">
        <v>85</v>
      </c>
      <c r="H740" s="7">
        <v>1977</v>
      </c>
      <c r="I740" s="7">
        <v>4</v>
      </c>
      <c r="K740" s="7">
        <v>7</v>
      </c>
      <c r="M740" s="7">
        <v>1</v>
      </c>
      <c r="N740" s="7">
        <v>15</v>
      </c>
      <c r="O740" s="7">
        <v>63</v>
      </c>
      <c r="P740" s="7">
        <v>63</v>
      </c>
      <c r="T740" s="12" t="s">
        <v>131</v>
      </c>
      <c r="V740" cm="1">
        <f t="array" ref="V740">_xlfn.LET(
_xlpm.x,_xlfn._xlws.FILTER(O740:S740,(O740:S740&lt;&gt;"R")*(O740:S740&lt;&gt;"NA")*(O740:S740&lt;&gt;"W")*(O740:S740&lt;&gt;"")),
IF(COUNTA(_xlpm.x)=0,"NA",IF(MIN(_xlpm.x)=MAX(_xlpm.x),MIN(_xlpm.x),"review"))
)</f>
        <v>63</v>
      </c>
    </row>
    <row r="741" spans="1:22" ht="15.75" hidden="1" customHeight="1" x14ac:dyDescent="0.25">
      <c r="A741" s="7" t="s">
        <v>122</v>
      </c>
      <c r="B741" s="8">
        <v>8</v>
      </c>
      <c r="C741" s="8" t="s">
        <v>70</v>
      </c>
      <c r="D741" s="9" t="s">
        <v>123</v>
      </c>
      <c r="E741" s="7" t="s">
        <v>25</v>
      </c>
      <c r="F741" s="7" t="s">
        <v>39</v>
      </c>
      <c r="G741" s="7" t="s">
        <v>85</v>
      </c>
      <c r="H741" s="7">
        <v>1977</v>
      </c>
      <c r="I741" s="7">
        <v>4</v>
      </c>
      <c r="K741" s="7">
        <v>7</v>
      </c>
      <c r="M741" s="7">
        <v>1</v>
      </c>
      <c r="N741" s="7">
        <v>16</v>
      </c>
      <c r="O741" s="7">
        <v>42</v>
      </c>
      <c r="P741" s="7">
        <v>42</v>
      </c>
      <c r="T741" s="12" t="s">
        <v>132</v>
      </c>
      <c r="V741" cm="1">
        <f t="array" ref="V741">_xlfn.LET(
_xlpm.x,_xlfn._xlws.FILTER(O741:S741,(O741:S741&lt;&gt;"R")*(O741:S741&lt;&gt;"NA")*(O741:S741&lt;&gt;"W")*(O741:S741&lt;&gt;"")),
IF(COUNTA(_xlpm.x)=0,"NA",IF(MIN(_xlpm.x)=MAX(_xlpm.x),MIN(_xlpm.x),"review"))
)</f>
        <v>42</v>
      </c>
    </row>
    <row r="742" spans="1:22" ht="15.75" hidden="1" customHeight="1" x14ac:dyDescent="0.25">
      <c r="A742" s="7" t="s">
        <v>122</v>
      </c>
      <c r="B742" s="8">
        <v>8</v>
      </c>
      <c r="C742" s="8" t="s">
        <v>70</v>
      </c>
      <c r="D742" s="9" t="s">
        <v>123</v>
      </c>
      <c r="E742" s="7" t="s">
        <v>25</v>
      </c>
      <c r="F742" s="7" t="s">
        <v>39</v>
      </c>
      <c r="G742" s="7" t="s">
        <v>85</v>
      </c>
      <c r="H742" s="7">
        <v>1977</v>
      </c>
      <c r="I742" s="7">
        <v>4</v>
      </c>
      <c r="K742" s="7">
        <v>7</v>
      </c>
      <c r="M742" s="7">
        <v>1</v>
      </c>
      <c r="N742" s="7">
        <v>17</v>
      </c>
      <c r="O742" s="7">
        <v>53</v>
      </c>
      <c r="P742" s="7">
        <v>53</v>
      </c>
      <c r="T742" s="12" t="s">
        <v>133</v>
      </c>
      <c r="V742" cm="1">
        <f t="array" ref="V742">_xlfn.LET(
_xlpm.x,_xlfn._xlws.FILTER(O742:S742,(O742:S742&lt;&gt;"R")*(O742:S742&lt;&gt;"NA")*(O742:S742&lt;&gt;"W")*(O742:S742&lt;&gt;"")),
IF(COUNTA(_xlpm.x)=0,"NA",IF(MIN(_xlpm.x)=MAX(_xlpm.x),MIN(_xlpm.x),"review"))
)</f>
        <v>53</v>
      </c>
    </row>
    <row r="743" spans="1:22" ht="15.75" hidden="1" customHeight="1" x14ac:dyDescent="0.25">
      <c r="A743" s="7" t="s">
        <v>122</v>
      </c>
      <c r="B743" s="8">
        <v>8</v>
      </c>
      <c r="C743" s="8" t="s">
        <v>70</v>
      </c>
      <c r="D743" s="9" t="s">
        <v>123</v>
      </c>
      <c r="E743" s="7" t="s">
        <v>25</v>
      </c>
      <c r="F743" s="7" t="s">
        <v>39</v>
      </c>
      <c r="G743" s="7" t="s">
        <v>85</v>
      </c>
      <c r="H743" s="7">
        <v>1977</v>
      </c>
      <c r="I743" s="7">
        <v>4</v>
      </c>
      <c r="K743" s="7">
        <v>7</v>
      </c>
      <c r="M743" s="7">
        <v>1</v>
      </c>
      <c r="N743" s="7">
        <v>18</v>
      </c>
      <c r="O743" s="7">
        <v>42</v>
      </c>
      <c r="P743" s="7">
        <v>42</v>
      </c>
      <c r="T743" s="12" t="s">
        <v>134</v>
      </c>
      <c r="V743" cm="1">
        <f t="array" ref="V743">_xlfn.LET(
_xlpm.x,_xlfn._xlws.FILTER(O743:S743,(O743:S743&lt;&gt;"R")*(O743:S743&lt;&gt;"NA")*(O743:S743&lt;&gt;"W")*(O743:S743&lt;&gt;"")),
IF(COUNTA(_xlpm.x)=0,"NA",IF(MIN(_xlpm.x)=MAX(_xlpm.x),MIN(_xlpm.x),"review"))
)</f>
        <v>42</v>
      </c>
    </row>
    <row r="744" spans="1:22" ht="15.75" hidden="1" customHeight="1" x14ac:dyDescent="0.25">
      <c r="A744" s="7" t="s">
        <v>122</v>
      </c>
      <c r="B744" s="8">
        <v>8</v>
      </c>
      <c r="C744" s="8" t="s">
        <v>70</v>
      </c>
      <c r="D744" s="9" t="s">
        <v>123</v>
      </c>
      <c r="E744" s="7" t="s">
        <v>25</v>
      </c>
      <c r="F744" s="7" t="s">
        <v>39</v>
      </c>
      <c r="G744" s="7" t="s">
        <v>85</v>
      </c>
      <c r="H744" s="7">
        <v>1977</v>
      </c>
      <c r="I744" s="7">
        <v>4</v>
      </c>
      <c r="K744" s="7">
        <v>7</v>
      </c>
      <c r="M744" s="7">
        <v>1</v>
      </c>
      <c r="N744" s="7">
        <v>19</v>
      </c>
      <c r="O744" s="7">
        <v>42</v>
      </c>
      <c r="P744" s="7">
        <v>42</v>
      </c>
      <c r="T744" s="12" t="s">
        <v>135</v>
      </c>
      <c r="V744" cm="1">
        <f t="array" ref="V744">_xlfn.LET(
_xlpm.x,_xlfn._xlws.FILTER(O744:S744,(O744:S744&lt;&gt;"R")*(O744:S744&lt;&gt;"NA")*(O744:S744&lt;&gt;"W")*(O744:S744&lt;&gt;"")),
IF(COUNTA(_xlpm.x)=0,"NA",IF(MIN(_xlpm.x)=MAX(_xlpm.x),MIN(_xlpm.x),"review"))
)</f>
        <v>42</v>
      </c>
    </row>
    <row r="745" spans="1:22" ht="15.75" hidden="1" customHeight="1" x14ac:dyDescent="0.25">
      <c r="A745" s="7" t="s">
        <v>122</v>
      </c>
      <c r="B745" s="8">
        <v>8</v>
      </c>
      <c r="C745" s="8" t="s">
        <v>70</v>
      </c>
      <c r="D745" s="9" t="s">
        <v>123</v>
      </c>
      <c r="E745" s="7" t="s">
        <v>25</v>
      </c>
      <c r="F745" s="7" t="s">
        <v>39</v>
      </c>
      <c r="G745" s="7" t="s">
        <v>85</v>
      </c>
      <c r="H745" s="7">
        <v>1977</v>
      </c>
      <c r="I745" s="7">
        <v>4</v>
      </c>
      <c r="K745" s="7">
        <v>7</v>
      </c>
      <c r="M745" s="7">
        <v>1</v>
      </c>
      <c r="N745" s="7">
        <v>20</v>
      </c>
      <c r="O745" s="7">
        <v>53</v>
      </c>
      <c r="P745" s="7">
        <v>53</v>
      </c>
      <c r="T745" s="12" t="s">
        <v>136</v>
      </c>
      <c r="V745" cm="1">
        <f t="array" ref="V745">_xlfn.LET(
_xlpm.x,_xlfn._xlws.FILTER(O745:S745,(O745:S745&lt;&gt;"R")*(O745:S745&lt;&gt;"NA")*(O745:S745&lt;&gt;"W")*(O745:S745&lt;&gt;"")),
IF(COUNTA(_xlpm.x)=0,"NA",IF(MIN(_xlpm.x)=MAX(_xlpm.x),MIN(_xlpm.x),"review"))
)</f>
        <v>53</v>
      </c>
    </row>
    <row r="746" spans="1:22" ht="15.75" hidden="1" customHeight="1" x14ac:dyDescent="0.25">
      <c r="A746" s="7" t="s">
        <v>122</v>
      </c>
      <c r="B746" s="8">
        <v>8</v>
      </c>
      <c r="C746" s="8" t="s">
        <v>70</v>
      </c>
      <c r="D746" s="9" t="s">
        <v>123</v>
      </c>
      <c r="E746" s="7" t="s">
        <v>25</v>
      </c>
      <c r="F746" s="7" t="s">
        <v>39</v>
      </c>
      <c r="G746" s="7" t="s">
        <v>85</v>
      </c>
      <c r="H746" s="7">
        <v>1977</v>
      </c>
      <c r="I746" s="7">
        <v>4</v>
      </c>
      <c r="K746" s="7">
        <v>7</v>
      </c>
      <c r="M746" s="7">
        <v>1</v>
      </c>
      <c r="N746" s="7">
        <v>21</v>
      </c>
      <c r="O746" s="7">
        <v>52</v>
      </c>
      <c r="P746" s="7">
        <v>52</v>
      </c>
      <c r="T746" s="12"/>
      <c r="V746" cm="1">
        <f t="array" ref="V746">_xlfn.LET(
_xlpm.x,_xlfn._xlws.FILTER(O746:S746,(O746:S746&lt;&gt;"R")*(O746:S746&lt;&gt;"NA")*(O746:S746&lt;&gt;"W")*(O746:S746&lt;&gt;"")),
IF(COUNTA(_xlpm.x)=0,"NA",IF(MIN(_xlpm.x)=MAX(_xlpm.x),MIN(_xlpm.x),"review"))
)</f>
        <v>52</v>
      </c>
    </row>
    <row r="747" spans="1:22" ht="15.75" hidden="1" customHeight="1" x14ac:dyDescent="0.25">
      <c r="A747" s="7" t="s">
        <v>122</v>
      </c>
      <c r="B747" s="8">
        <v>8</v>
      </c>
      <c r="C747" s="8" t="s">
        <v>70</v>
      </c>
      <c r="D747" s="9" t="s">
        <v>123</v>
      </c>
      <c r="E747" s="7" t="s">
        <v>25</v>
      </c>
      <c r="F747" s="7" t="s">
        <v>39</v>
      </c>
      <c r="G747" s="7" t="s">
        <v>85</v>
      </c>
      <c r="H747" s="7">
        <v>1977</v>
      </c>
      <c r="I747" s="7">
        <v>4</v>
      </c>
      <c r="K747" s="7">
        <v>7</v>
      </c>
      <c r="M747" s="7">
        <v>1</v>
      </c>
      <c r="N747" s="7">
        <v>22</v>
      </c>
      <c r="O747" s="7" t="s">
        <v>28</v>
      </c>
      <c r="P747" s="7" t="s">
        <v>28</v>
      </c>
      <c r="T747" s="12"/>
      <c r="V747" t="s">
        <v>29</v>
      </c>
    </row>
    <row r="748" spans="1:22" ht="15.75" hidden="1" customHeight="1" x14ac:dyDescent="0.25">
      <c r="A748" s="7" t="s">
        <v>122</v>
      </c>
      <c r="B748" s="8">
        <v>8</v>
      </c>
      <c r="C748" s="8" t="s">
        <v>70</v>
      </c>
      <c r="D748" s="9" t="s">
        <v>123</v>
      </c>
      <c r="E748" s="7" t="s">
        <v>25</v>
      </c>
      <c r="F748" s="7" t="s">
        <v>39</v>
      </c>
      <c r="G748" s="7" t="s">
        <v>85</v>
      </c>
      <c r="H748" s="7">
        <v>1977</v>
      </c>
      <c r="I748" s="7">
        <v>4</v>
      </c>
      <c r="K748" s="7">
        <v>7</v>
      </c>
      <c r="M748" s="7">
        <v>1</v>
      </c>
      <c r="N748" s="7">
        <v>23</v>
      </c>
      <c r="O748" s="7">
        <v>52</v>
      </c>
      <c r="P748" s="7">
        <v>52</v>
      </c>
      <c r="T748" s="12" t="s">
        <v>137</v>
      </c>
      <c r="V748" cm="1">
        <f t="array" ref="V748">_xlfn.LET(
_xlpm.x,_xlfn._xlws.FILTER(O748:S748,(O748:S748&lt;&gt;"R")*(O748:S748&lt;&gt;"NA")*(O748:S748&lt;&gt;"W")*(O748:S748&lt;&gt;"")),
IF(COUNTA(_xlpm.x)=0,"NA",IF(MIN(_xlpm.x)=MAX(_xlpm.x),MIN(_xlpm.x),"review"))
)</f>
        <v>52</v>
      </c>
    </row>
    <row r="749" spans="1:22" ht="15.75" hidden="1" customHeight="1" x14ac:dyDescent="0.25">
      <c r="A749" s="7" t="s">
        <v>122</v>
      </c>
      <c r="B749" s="8">
        <v>8</v>
      </c>
      <c r="C749" s="8" t="s">
        <v>70</v>
      </c>
      <c r="D749" s="9" t="s">
        <v>123</v>
      </c>
      <c r="E749" s="7" t="s">
        <v>25</v>
      </c>
      <c r="F749" s="7" t="s">
        <v>39</v>
      </c>
      <c r="G749" s="7" t="s">
        <v>85</v>
      </c>
      <c r="H749" s="7">
        <v>1977</v>
      </c>
      <c r="I749" s="7">
        <v>4</v>
      </c>
      <c r="K749" s="7">
        <v>7</v>
      </c>
      <c r="M749" s="7">
        <v>1</v>
      </c>
      <c r="N749" s="7">
        <v>24</v>
      </c>
      <c r="O749" s="7" t="s">
        <v>28</v>
      </c>
      <c r="P749" s="7" t="s">
        <v>28</v>
      </c>
      <c r="T749" s="12"/>
      <c r="V749" t="s">
        <v>29</v>
      </c>
    </row>
    <row r="750" spans="1:22" ht="15.75" hidden="1" customHeight="1" x14ac:dyDescent="0.25">
      <c r="A750" s="7" t="s">
        <v>122</v>
      </c>
      <c r="B750" s="8">
        <v>8</v>
      </c>
      <c r="C750" s="8" t="s">
        <v>70</v>
      </c>
      <c r="D750" s="9" t="s">
        <v>123</v>
      </c>
      <c r="E750" s="7" t="s">
        <v>25</v>
      </c>
      <c r="F750" s="7" t="s">
        <v>39</v>
      </c>
      <c r="G750" s="7" t="s">
        <v>85</v>
      </c>
      <c r="H750" s="7">
        <v>1977</v>
      </c>
      <c r="I750" s="7">
        <v>4</v>
      </c>
      <c r="K750" s="7">
        <v>7</v>
      </c>
      <c r="M750" s="7">
        <v>1</v>
      </c>
      <c r="N750" s="7">
        <v>25</v>
      </c>
      <c r="O750" s="7">
        <v>42</v>
      </c>
      <c r="P750" s="7">
        <v>42</v>
      </c>
      <c r="T750" s="12" t="s">
        <v>138</v>
      </c>
      <c r="V750" cm="1">
        <f t="array" ref="V750">_xlfn.LET(
_xlpm.x,_xlfn._xlws.FILTER(O750:S750,(O750:S750&lt;&gt;"R")*(O750:S750&lt;&gt;"NA")*(O750:S750&lt;&gt;"W")*(O750:S750&lt;&gt;"")),
IF(COUNTA(_xlpm.x)=0,"NA",IF(MIN(_xlpm.x)=MAX(_xlpm.x),MIN(_xlpm.x),"review"))
)</f>
        <v>42</v>
      </c>
    </row>
    <row r="751" spans="1:22" ht="15.75" hidden="1" customHeight="1" x14ac:dyDescent="0.25">
      <c r="A751" s="7" t="s">
        <v>122</v>
      </c>
      <c r="B751" s="8">
        <v>8</v>
      </c>
      <c r="C751" s="8" t="s">
        <v>70</v>
      </c>
      <c r="D751" s="9" t="s">
        <v>139</v>
      </c>
      <c r="E751" s="7" t="s">
        <v>25</v>
      </c>
      <c r="F751" s="7" t="s">
        <v>39</v>
      </c>
      <c r="G751" s="7" t="s">
        <v>85</v>
      </c>
      <c r="H751" s="7">
        <v>1977</v>
      </c>
      <c r="I751" s="7">
        <v>5</v>
      </c>
      <c r="K751" s="7">
        <v>7</v>
      </c>
      <c r="M751" s="7">
        <v>2</v>
      </c>
      <c r="N751" s="7">
        <v>1</v>
      </c>
      <c r="O751" s="7">
        <v>42</v>
      </c>
      <c r="P751" s="7">
        <v>42</v>
      </c>
      <c r="T751" s="12" t="s">
        <v>99</v>
      </c>
      <c r="V751" cm="1">
        <f t="array" ref="V751">_xlfn.LET(
_xlpm.x,_xlfn._xlws.FILTER(O751:S751,(O751:S751&lt;&gt;"R")*(O751:S751&lt;&gt;"NA")*(O751:S751&lt;&gt;"W")*(O751:S751&lt;&gt;"")),
IF(COUNTA(_xlpm.x)=0,"NA",IF(MIN(_xlpm.x)=MAX(_xlpm.x),MIN(_xlpm.x),"review"))
)</f>
        <v>42</v>
      </c>
    </row>
    <row r="752" spans="1:22" ht="15.75" hidden="1" customHeight="1" x14ac:dyDescent="0.25">
      <c r="A752" s="7" t="s">
        <v>122</v>
      </c>
      <c r="B752" s="8">
        <v>8</v>
      </c>
      <c r="C752" s="8" t="s">
        <v>70</v>
      </c>
      <c r="D752" s="9" t="s">
        <v>139</v>
      </c>
      <c r="E752" s="7" t="s">
        <v>25</v>
      </c>
      <c r="F752" s="7" t="s">
        <v>39</v>
      </c>
      <c r="G752" s="7" t="s">
        <v>85</v>
      </c>
      <c r="H752" s="7">
        <v>1977</v>
      </c>
      <c r="I752" s="7">
        <v>5</v>
      </c>
      <c r="K752" s="7">
        <v>7</v>
      </c>
      <c r="M752" s="7">
        <v>2</v>
      </c>
      <c r="N752" s="7">
        <v>2</v>
      </c>
      <c r="O752" s="7">
        <v>42</v>
      </c>
      <c r="P752" s="7">
        <v>42</v>
      </c>
      <c r="T752" s="12" t="s">
        <v>137</v>
      </c>
      <c r="V752" cm="1">
        <f t="array" ref="V752">_xlfn.LET(
_xlpm.x,_xlfn._xlws.FILTER(O752:S752,(O752:S752&lt;&gt;"R")*(O752:S752&lt;&gt;"NA")*(O752:S752&lt;&gt;"W")*(O752:S752&lt;&gt;"")),
IF(COUNTA(_xlpm.x)=0,"NA",IF(MIN(_xlpm.x)=MAX(_xlpm.x),MIN(_xlpm.x),"review"))
)</f>
        <v>42</v>
      </c>
    </row>
    <row r="753" spans="1:22" ht="15.75" hidden="1" customHeight="1" x14ac:dyDescent="0.25">
      <c r="A753" s="7" t="s">
        <v>122</v>
      </c>
      <c r="B753" s="8">
        <v>8</v>
      </c>
      <c r="C753" s="8" t="s">
        <v>70</v>
      </c>
      <c r="D753" s="9" t="s">
        <v>139</v>
      </c>
      <c r="E753" s="7" t="s">
        <v>25</v>
      </c>
      <c r="F753" s="7" t="s">
        <v>39</v>
      </c>
      <c r="G753" s="7" t="s">
        <v>85</v>
      </c>
      <c r="H753" s="7">
        <v>1977</v>
      </c>
      <c r="I753" s="7">
        <v>5</v>
      </c>
      <c r="K753" s="7">
        <v>7</v>
      </c>
      <c r="M753" s="7">
        <v>2</v>
      </c>
      <c r="N753" s="7">
        <v>3</v>
      </c>
      <c r="O753" s="7" t="s">
        <v>28</v>
      </c>
      <c r="P753" s="7">
        <v>42</v>
      </c>
      <c r="T753" s="12" t="s">
        <v>125</v>
      </c>
      <c r="V753" cm="1">
        <f t="array" ref="V753">_xlfn.LET(
_xlpm.x,_xlfn._xlws.FILTER(O753:S753,(O753:S753&lt;&gt;"R")*(O753:S753&lt;&gt;"NA")*(O753:S753&lt;&gt;"W")*(O753:S753&lt;&gt;"")),
IF(COUNTA(_xlpm.x)=0,"NA",IF(MIN(_xlpm.x)=MAX(_xlpm.x),MIN(_xlpm.x),"review"))
)</f>
        <v>42</v>
      </c>
    </row>
    <row r="754" spans="1:22" ht="15.75" hidden="1" customHeight="1" x14ac:dyDescent="0.25">
      <c r="A754" s="7" t="s">
        <v>122</v>
      </c>
      <c r="B754" s="8">
        <v>8</v>
      </c>
      <c r="C754" s="8" t="s">
        <v>70</v>
      </c>
      <c r="D754" s="9" t="s">
        <v>139</v>
      </c>
      <c r="E754" s="7" t="s">
        <v>25</v>
      </c>
      <c r="F754" s="7" t="s">
        <v>39</v>
      </c>
      <c r="G754" s="7" t="s">
        <v>85</v>
      </c>
      <c r="H754" s="7">
        <v>1977</v>
      </c>
      <c r="I754" s="7">
        <v>5</v>
      </c>
      <c r="K754" s="7">
        <v>7</v>
      </c>
      <c r="M754" s="7">
        <v>2</v>
      </c>
      <c r="N754" s="7">
        <v>4</v>
      </c>
      <c r="O754" s="7">
        <v>42</v>
      </c>
      <c r="P754" s="7">
        <v>42</v>
      </c>
      <c r="T754" s="12" t="s">
        <v>89</v>
      </c>
      <c r="V754" cm="1">
        <f t="array" ref="V754">_xlfn.LET(
_xlpm.x,_xlfn._xlws.FILTER(O754:S754,(O754:S754&lt;&gt;"R")*(O754:S754&lt;&gt;"NA")*(O754:S754&lt;&gt;"W")*(O754:S754&lt;&gt;"")),
IF(COUNTA(_xlpm.x)=0,"NA",IF(MIN(_xlpm.x)=MAX(_xlpm.x),MIN(_xlpm.x),"review"))
)</f>
        <v>42</v>
      </c>
    </row>
    <row r="755" spans="1:22" ht="15.75" hidden="1" customHeight="1" x14ac:dyDescent="0.25">
      <c r="A755" s="7" t="s">
        <v>122</v>
      </c>
      <c r="B755" s="8">
        <v>8</v>
      </c>
      <c r="C755" s="8" t="s">
        <v>70</v>
      </c>
      <c r="D755" s="9" t="s">
        <v>139</v>
      </c>
      <c r="E755" s="7" t="s">
        <v>25</v>
      </c>
      <c r="F755" s="7" t="s">
        <v>39</v>
      </c>
      <c r="G755" s="7" t="s">
        <v>85</v>
      </c>
      <c r="H755" s="7">
        <v>1977</v>
      </c>
      <c r="I755" s="7">
        <v>5</v>
      </c>
      <c r="K755" s="7">
        <v>7</v>
      </c>
      <c r="M755" s="7">
        <v>2</v>
      </c>
      <c r="N755" s="7">
        <v>5</v>
      </c>
      <c r="O755" s="7">
        <v>42</v>
      </c>
      <c r="P755" s="7">
        <v>42</v>
      </c>
      <c r="T755" s="12" t="s">
        <v>140</v>
      </c>
      <c r="V755" cm="1">
        <f t="array" ref="V755">_xlfn.LET(
_xlpm.x,_xlfn._xlws.FILTER(O755:S755,(O755:S755&lt;&gt;"R")*(O755:S755&lt;&gt;"NA")*(O755:S755&lt;&gt;"W")*(O755:S755&lt;&gt;"")),
IF(COUNTA(_xlpm.x)=0,"NA",IF(MIN(_xlpm.x)=MAX(_xlpm.x),MIN(_xlpm.x),"review"))
)</f>
        <v>42</v>
      </c>
    </row>
    <row r="756" spans="1:22" ht="15.75" hidden="1" customHeight="1" x14ac:dyDescent="0.25">
      <c r="A756" s="7" t="s">
        <v>122</v>
      </c>
      <c r="B756" s="8">
        <v>8</v>
      </c>
      <c r="C756" s="8" t="s">
        <v>70</v>
      </c>
      <c r="D756" s="9" t="s">
        <v>139</v>
      </c>
      <c r="E756" s="7" t="s">
        <v>25</v>
      </c>
      <c r="F756" s="7" t="s">
        <v>39</v>
      </c>
      <c r="G756" s="7" t="s">
        <v>85</v>
      </c>
      <c r="H756" s="7">
        <v>1977</v>
      </c>
      <c r="I756" s="7">
        <v>5</v>
      </c>
      <c r="K756" s="7">
        <v>7</v>
      </c>
      <c r="M756" s="7">
        <v>2</v>
      </c>
      <c r="N756" s="7">
        <v>6</v>
      </c>
      <c r="O756" s="7">
        <v>42</v>
      </c>
      <c r="P756" s="7">
        <v>42</v>
      </c>
      <c r="T756" s="12" t="s">
        <v>141</v>
      </c>
      <c r="V756" cm="1">
        <f t="array" ref="V756">_xlfn.LET(
_xlpm.x,_xlfn._xlws.FILTER(O756:S756,(O756:S756&lt;&gt;"R")*(O756:S756&lt;&gt;"NA")*(O756:S756&lt;&gt;"W")*(O756:S756&lt;&gt;"")),
IF(COUNTA(_xlpm.x)=0,"NA",IF(MIN(_xlpm.x)=MAX(_xlpm.x),MIN(_xlpm.x),"review"))
)</f>
        <v>42</v>
      </c>
    </row>
    <row r="757" spans="1:22" ht="15.75" hidden="1" customHeight="1" x14ac:dyDescent="0.25">
      <c r="A757" s="7" t="s">
        <v>122</v>
      </c>
      <c r="B757" s="8">
        <v>8</v>
      </c>
      <c r="C757" s="8" t="s">
        <v>70</v>
      </c>
      <c r="D757" s="9" t="s">
        <v>139</v>
      </c>
      <c r="E757" s="7" t="s">
        <v>25</v>
      </c>
      <c r="F757" s="7" t="s">
        <v>39</v>
      </c>
      <c r="G757" s="7" t="s">
        <v>85</v>
      </c>
      <c r="H757" s="7">
        <v>1977</v>
      </c>
      <c r="I757" s="7">
        <v>5</v>
      </c>
      <c r="K757" s="7">
        <v>7</v>
      </c>
      <c r="M757" s="7">
        <v>2</v>
      </c>
      <c r="N757" s="7">
        <v>7</v>
      </c>
      <c r="O757" s="7">
        <v>42</v>
      </c>
      <c r="P757" s="7">
        <v>42</v>
      </c>
      <c r="T757" s="12" t="s">
        <v>142</v>
      </c>
      <c r="V757" cm="1">
        <f t="array" ref="V757">_xlfn.LET(
_xlpm.x,_xlfn._xlws.FILTER(O757:S757,(O757:S757&lt;&gt;"R")*(O757:S757&lt;&gt;"NA")*(O757:S757&lt;&gt;"W")*(O757:S757&lt;&gt;"")),
IF(COUNTA(_xlpm.x)=0,"NA",IF(MIN(_xlpm.x)=MAX(_xlpm.x),MIN(_xlpm.x),"review"))
)</f>
        <v>42</v>
      </c>
    </row>
    <row r="758" spans="1:22" ht="15.75" hidden="1" customHeight="1" x14ac:dyDescent="0.25">
      <c r="A758" s="7" t="s">
        <v>122</v>
      </c>
      <c r="B758" s="8">
        <v>8</v>
      </c>
      <c r="C758" s="8" t="s">
        <v>70</v>
      </c>
      <c r="D758" s="9" t="s">
        <v>139</v>
      </c>
      <c r="E758" s="7" t="s">
        <v>25</v>
      </c>
      <c r="F758" s="7" t="s">
        <v>39</v>
      </c>
      <c r="G758" s="7" t="s">
        <v>85</v>
      </c>
      <c r="H758" s="7">
        <v>1977</v>
      </c>
      <c r="I758" s="7">
        <v>5</v>
      </c>
      <c r="K758" s="7">
        <v>7</v>
      </c>
      <c r="M758" s="7">
        <v>2</v>
      </c>
      <c r="N758" s="7">
        <v>8</v>
      </c>
      <c r="O758" s="7">
        <v>42</v>
      </c>
      <c r="P758" s="7" t="s">
        <v>29</v>
      </c>
      <c r="T758" s="12" t="s">
        <v>138</v>
      </c>
      <c r="V758" cm="1">
        <f t="array" ref="V758">_xlfn.LET(
_xlpm.x,_xlfn._xlws.FILTER(O758:S758,(O758:S758&lt;&gt;"R")*(O758:S758&lt;&gt;"NA")*(O758:S758&lt;&gt;"W")*(O758:S758&lt;&gt;"")),
IF(COUNTA(_xlpm.x)=0,"NA",IF(MIN(_xlpm.x)=MAX(_xlpm.x),MIN(_xlpm.x),"review"))
)</f>
        <v>42</v>
      </c>
    </row>
    <row r="759" spans="1:22" ht="15.75" hidden="1" customHeight="1" x14ac:dyDescent="0.25">
      <c r="A759" s="7" t="s">
        <v>122</v>
      </c>
      <c r="B759" s="8">
        <v>8</v>
      </c>
      <c r="C759" s="8" t="s">
        <v>70</v>
      </c>
      <c r="D759" s="9" t="s">
        <v>139</v>
      </c>
      <c r="E759" s="7" t="s">
        <v>25</v>
      </c>
      <c r="F759" s="7" t="s">
        <v>39</v>
      </c>
      <c r="G759" s="7" t="s">
        <v>85</v>
      </c>
      <c r="H759" s="7">
        <v>1977</v>
      </c>
      <c r="I759" s="7">
        <v>5</v>
      </c>
      <c r="K759" s="7">
        <v>7</v>
      </c>
      <c r="M759" s="7">
        <v>2</v>
      </c>
      <c r="N759" s="7">
        <v>9</v>
      </c>
      <c r="O759" s="7">
        <v>42</v>
      </c>
      <c r="P759" s="7">
        <v>42</v>
      </c>
      <c r="T759" s="12" t="s">
        <v>143</v>
      </c>
      <c r="V759" cm="1">
        <f t="array" ref="V759">_xlfn.LET(
_xlpm.x,_xlfn._xlws.FILTER(O759:S759,(O759:S759&lt;&gt;"R")*(O759:S759&lt;&gt;"NA")*(O759:S759&lt;&gt;"W")*(O759:S759&lt;&gt;"")),
IF(COUNTA(_xlpm.x)=0,"NA",IF(MIN(_xlpm.x)=MAX(_xlpm.x),MIN(_xlpm.x),"review"))
)</f>
        <v>42</v>
      </c>
    </row>
    <row r="760" spans="1:22" ht="15.75" hidden="1" customHeight="1" x14ac:dyDescent="0.25">
      <c r="A760" s="7" t="s">
        <v>122</v>
      </c>
      <c r="B760" s="8">
        <v>8</v>
      </c>
      <c r="C760" s="8" t="s">
        <v>70</v>
      </c>
      <c r="D760" s="9" t="s">
        <v>139</v>
      </c>
      <c r="E760" s="7" t="s">
        <v>25</v>
      </c>
      <c r="F760" s="7" t="s">
        <v>39</v>
      </c>
      <c r="G760" s="7" t="s">
        <v>85</v>
      </c>
      <c r="H760" s="7">
        <v>1977</v>
      </c>
      <c r="I760" s="7">
        <v>5</v>
      </c>
      <c r="K760" s="7">
        <v>7</v>
      </c>
      <c r="M760" s="7">
        <v>2</v>
      </c>
      <c r="N760" s="7">
        <v>10</v>
      </c>
      <c r="O760" s="7">
        <v>42</v>
      </c>
      <c r="P760" s="7">
        <v>42</v>
      </c>
      <c r="T760" s="12" t="s">
        <v>127</v>
      </c>
      <c r="V760" cm="1">
        <f t="array" ref="V760">_xlfn.LET(
_xlpm.x,_xlfn._xlws.FILTER(O760:S760,(O760:S760&lt;&gt;"R")*(O760:S760&lt;&gt;"NA")*(O760:S760&lt;&gt;"W")*(O760:S760&lt;&gt;"")),
IF(COUNTA(_xlpm.x)=0,"NA",IF(MIN(_xlpm.x)=MAX(_xlpm.x),MIN(_xlpm.x),"review"))
)</f>
        <v>42</v>
      </c>
    </row>
    <row r="761" spans="1:22" ht="15.75" hidden="1" customHeight="1" x14ac:dyDescent="0.25">
      <c r="A761" s="7" t="s">
        <v>122</v>
      </c>
      <c r="B761" s="8">
        <v>8</v>
      </c>
      <c r="C761" s="8" t="s">
        <v>70</v>
      </c>
      <c r="D761" s="9" t="s">
        <v>139</v>
      </c>
      <c r="E761" s="7" t="s">
        <v>25</v>
      </c>
      <c r="F761" s="7" t="s">
        <v>39</v>
      </c>
      <c r="G761" s="7" t="s">
        <v>85</v>
      </c>
      <c r="H761" s="7">
        <v>1977</v>
      </c>
      <c r="I761" s="7">
        <v>5</v>
      </c>
      <c r="K761" s="7">
        <v>7</v>
      </c>
      <c r="M761" s="7">
        <v>2</v>
      </c>
      <c r="N761" s="7">
        <v>11</v>
      </c>
      <c r="O761" s="7">
        <v>31</v>
      </c>
      <c r="P761" s="7">
        <v>31</v>
      </c>
      <c r="T761" s="12"/>
      <c r="V761" cm="1">
        <f t="array" ref="V761">_xlfn.LET(
_xlpm.x,_xlfn._xlws.FILTER(O761:S761,(O761:S761&lt;&gt;"R")*(O761:S761&lt;&gt;"NA")*(O761:S761&lt;&gt;"W")*(O761:S761&lt;&gt;"")),
IF(COUNTA(_xlpm.x)=0,"NA",IF(MIN(_xlpm.x)=MAX(_xlpm.x),MIN(_xlpm.x),"review"))
)</f>
        <v>31</v>
      </c>
    </row>
    <row r="762" spans="1:22" ht="15.75" hidden="1" customHeight="1" x14ac:dyDescent="0.25">
      <c r="A762" s="7" t="s">
        <v>122</v>
      </c>
      <c r="B762" s="8">
        <v>8</v>
      </c>
      <c r="C762" s="8" t="s">
        <v>70</v>
      </c>
      <c r="D762" s="9" t="s">
        <v>139</v>
      </c>
      <c r="E762" s="7" t="s">
        <v>25</v>
      </c>
      <c r="F762" s="7" t="s">
        <v>39</v>
      </c>
      <c r="G762" s="7" t="s">
        <v>85</v>
      </c>
      <c r="H762" s="7">
        <v>1977</v>
      </c>
      <c r="I762" s="7">
        <v>5</v>
      </c>
      <c r="K762" s="7">
        <v>7</v>
      </c>
      <c r="M762" s="7">
        <v>2</v>
      </c>
      <c r="N762" s="7">
        <v>12</v>
      </c>
      <c r="O762" s="7" t="s">
        <v>28</v>
      </c>
      <c r="P762" s="7" t="s">
        <v>28</v>
      </c>
      <c r="T762" s="12"/>
      <c r="V762" t="s">
        <v>29</v>
      </c>
    </row>
    <row r="763" spans="1:22" ht="15.75" hidden="1" customHeight="1" x14ac:dyDescent="0.25">
      <c r="A763" s="7" t="s">
        <v>122</v>
      </c>
      <c r="B763" s="8">
        <v>8</v>
      </c>
      <c r="C763" s="8" t="s">
        <v>70</v>
      </c>
      <c r="D763" s="9" t="s">
        <v>139</v>
      </c>
      <c r="E763" s="7" t="s">
        <v>25</v>
      </c>
      <c r="F763" s="7" t="s">
        <v>39</v>
      </c>
      <c r="G763" s="7" t="s">
        <v>85</v>
      </c>
      <c r="H763" s="7">
        <v>1977</v>
      </c>
      <c r="I763" s="7">
        <v>5</v>
      </c>
      <c r="K763" s="7">
        <v>7</v>
      </c>
      <c r="M763" s="7">
        <v>2</v>
      </c>
      <c r="N763" s="7">
        <v>13</v>
      </c>
      <c r="O763" s="7" t="s">
        <v>28</v>
      </c>
      <c r="P763" s="7" t="s">
        <v>28</v>
      </c>
      <c r="T763" s="12"/>
      <c r="V763" t="s">
        <v>29</v>
      </c>
    </row>
    <row r="764" spans="1:22" ht="15.75" hidden="1" customHeight="1" x14ac:dyDescent="0.25">
      <c r="A764" s="7" t="s">
        <v>122</v>
      </c>
      <c r="B764" s="8">
        <v>8</v>
      </c>
      <c r="C764" s="8" t="s">
        <v>70</v>
      </c>
      <c r="D764" s="9" t="s">
        <v>139</v>
      </c>
      <c r="E764" s="7" t="s">
        <v>25</v>
      </c>
      <c r="F764" s="7" t="s">
        <v>39</v>
      </c>
      <c r="G764" s="7" t="s">
        <v>85</v>
      </c>
      <c r="H764" s="7">
        <v>1977</v>
      </c>
      <c r="I764" s="7">
        <v>5</v>
      </c>
      <c r="K764" s="7">
        <v>7</v>
      </c>
      <c r="M764" s="7">
        <v>2</v>
      </c>
      <c r="N764" s="7">
        <v>14</v>
      </c>
      <c r="O764" s="7">
        <v>42</v>
      </c>
      <c r="P764" s="7" t="s">
        <v>28</v>
      </c>
      <c r="T764" s="12" t="s">
        <v>144</v>
      </c>
      <c r="V764" cm="1">
        <f t="array" ref="V764">_xlfn.LET(
_xlpm.x,_xlfn._xlws.FILTER(O764:S764,(O764:S764&lt;&gt;"R")*(O764:S764&lt;&gt;"NA")*(O764:S764&lt;&gt;"W")*(O764:S764&lt;&gt;"")),
IF(COUNTA(_xlpm.x)=0,"NA",IF(MIN(_xlpm.x)=MAX(_xlpm.x),MIN(_xlpm.x),"review"))
)</f>
        <v>42</v>
      </c>
    </row>
    <row r="765" spans="1:22" ht="15.75" hidden="1" customHeight="1" x14ac:dyDescent="0.25">
      <c r="A765" s="7" t="s">
        <v>122</v>
      </c>
      <c r="B765" s="8">
        <v>8</v>
      </c>
      <c r="C765" s="8" t="s">
        <v>70</v>
      </c>
      <c r="D765" s="9" t="s">
        <v>139</v>
      </c>
      <c r="E765" s="7" t="s">
        <v>25</v>
      </c>
      <c r="F765" s="7" t="s">
        <v>39</v>
      </c>
      <c r="G765" s="7" t="s">
        <v>85</v>
      </c>
      <c r="H765" s="7">
        <v>1977</v>
      </c>
      <c r="I765" s="7">
        <v>5</v>
      </c>
      <c r="K765" s="7">
        <v>7</v>
      </c>
      <c r="M765" s="7">
        <v>2</v>
      </c>
      <c r="N765" s="7">
        <v>15</v>
      </c>
      <c r="O765" s="7">
        <v>53</v>
      </c>
      <c r="P765" s="7">
        <v>53</v>
      </c>
      <c r="T765" s="12" t="s">
        <v>145</v>
      </c>
      <c r="V765" cm="1">
        <f t="array" ref="V765">_xlfn.LET(
_xlpm.x,_xlfn._xlws.FILTER(O765:S765,(O765:S765&lt;&gt;"R")*(O765:S765&lt;&gt;"NA")*(O765:S765&lt;&gt;"W")*(O765:S765&lt;&gt;"")),
IF(COUNTA(_xlpm.x)=0,"NA",IF(MIN(_xlpm.x)=MAX(_xlpm.x),MIN(_xlpm.x),"review"))
)</f>
        <v>53</v>
      </c>
    </row>
    <row r="766" spans="1:22" ht="15.75" hidden="1" customHeight="1" x14ac:dyDescent="0.25">
      <c r="A766" s="7" t="s">
        <v>122</v>
      </c>
      <c r="B766" s="8">
        <v>8</v>
      </c>
      <c r="C766" s="8" t="s">
        <v>70</v>
      </c>
      <c r="D766" s="9" t="s">
        <v>139</v>
      </c>
      <c r="E766" s="7" t="s">
        <v>25</v>
      </c>
      <c r="F766" s="7" t="s">
        <v>39</v>
      </c>
      <c r="G766" s="7" t="s">
        <v>85</v>
      </c>
      <c r="H766" s="7">
        <v>1977</v>
      </c>
      <c r="I766" s="7">
        <v>5</v>
      </c>
      <c r="K766" s="7">
        <v>7</v>
      </c>
      <c r="M766" s="7">
        <v>2</v>
      </c>
      <c r="N766" s="7">
        <v>16</v>
      </c>
      <c r="O766" s="7">
        <v>52</v>
      </c>
      <c r="P766" s="7">
        <v>52</v>
      </c>
      <c r="T766" s="12" t="s">
        <v>77</v>
      </c>
      <c r="V766" cm="1">
        <f t="array" ref="V766">_xlfn.LET(
_xlpm.x,_xlfn._xlws.FILTER(O766:S766,(O766:S766&lt;&gt;"R")*(O766:S766&lt;&gt;"NA")*(O766:S766&lt;&gt;"W")*(O766:S766&lt;&gt;"")),
IF(COUNTA(_xlpm.x)=0,"NA",IF(MIN(_xlpm.x)=MAX(_xlpm.x),MIN(_xlpm.x),"review"))
)</f>
        <v>52</v>
      </c>
    </row>
    <row r="767" spans="1:22" ht="15.75" hidden="1" customHeight="1" x14ac:dyDescent="0.25">
      <c r="A767" s="7" t="s">
        <v>122</v>
      </c>
      <c r="B767" s="8">
        <v>8</v>
      </c>
      <c r="C767" s="8" t="s">
        <v>70</v>
      </c>
      <c r="D767" s="9" t="s">
        <v>139</v>
      </c>
      <c r="E767" s="7" t="s">
        <v>25</v>
      </c>
      <c r="F767" s="7" t="s">
        <v>39</v>
      </c>
      <c r="G767" s="7" t="s">
        <v>85</v>
      </c>
      <c r="H767" s="7">
        <v>1977</v>
      </c>
      <c r="I767" s="7">
        <v>5</v>
      </c>
      <c r="K767" s="7">
        <v>7</v>
      </c>
      <c r="M767" s="7">
        <v>2</v>
      </c>
      <c r="N767" s="7">
        <v>17</v>
      </c>
      <c r="O767" s="7">
        <v>52</v>
      </c>
      <c r="P767" s="7" t="s">
        <v>29</v>
      </c>
      <c r="T767" s="12" t="s">
        <v>146</v>
      </c>
      <c r="V767" cm="1">
        <f t="array" ref="V767">_xlfn.LET(
_xlpm.x,_xlfn._xlws.FILTER(O767:S767,(O767:S767&lt;&gt;"R")*(O767:S767&lt;&gt;"NA")*(O767:S767&lt;&gt;"W")*(O767:S767&lt;&gt;"")),
IF(COUNTA(_xlpm.x)=0,"NA",IF(MIN(_xlpm.x)=MAX(_xlpm.x),MIN(_xlpm.x),"review"))
)</f>
        <v>52</v>
      </c>
    </row>
    <row r="768" spans="1:22" ht="15.75" hidden="1" customHeight="1" x14ac:dyDescent="0.25">
      <c r="A768" s="7" t="s">
        <v>122</v>
      </c>
      <c r="B768" s="8">
        <v>8</v>
      </c>
      <c r="C768" s="8" t="s">
        <v>70</v>
      </c>
      <c r="D768" s="9" t="s">
        <v>139</v>
      </c>
      <c r="E768" s="7" t="s">
        <v>25</v>
      </c>
      <c r="F768" s="7" t="s">
        <v>39</v>
      </c>
      <c r="G768" s="7" t="s">
        <v>85</v>
      </c>
      <c r="H768" s="7">
        <v>1977</v>
      </c>
      <c r="I768" s="7">
        <v>5</v>
      </c>
      <c r="K768" s="7">
        <v>7</v>
      </c>
      <c r="M768" s="7">
        <v>2</v>
      </c>
      <c r="N768" s="7">
        <v>18</v>
      </c>
      <c r="O768" s="7">
        <v>42</v>
      </c>
      <c r="P768" s="7">
        <v>42</v>
      </c>
      <c r="T768" s="12" t="s">
        <v>106</v>
      </c>
      <c r="V768" cm="1">
        <f t="array" ref="V768">_xlfn.LET(
_xlpm.x,_xlfn._xlws.FILTER(O768:S768,(O768:S768&lt;&gt;"R")*(O768:S768&lt;&gt;"NA")*(O768:S768&lt;&gt;"W")*(O768:S768&lt;&gt;"")),
IF(COUNTA(_xlpm.x)=0,"NA",IF(MIN(_xlpm.x)=MAX(_xlpm.x),MIN(_xlpm.x),"review"))
)</f>
        <v>42</v>
      </c>
    </row>
    <row r="769" spans="1:22" ht="15.75" hidden="1" customHeight="1" x14ac:dyDescent="0.25">
      <c r="A769" s="7" t="s">
        <v>122</v>
      </c>
      <c r="B769" s="8">
        <v>8</v>
      </c>
      <c r="C769" s="8" t="s">
        <v>70</v>
      </c>
      <c r="D769" s="9" t="s">
        <v>139</v>
      </c>
      <c r="E769" s="7" t="s">
        <v>25</v>
      </c>
      <c r="F769" s="7" t="s">
        <v>39</v>
      </c>
      <c r="G769" s="7" t="s">
        <v>85</v>
      </c>
      <c r="H769" s="7">
        <v>1977</v>
      </c>
      <c r="I769" s="7">
        <v>5</v>
      </c>
      <c r="K769" s="7">
        <v>7</v>
      </c>
      <c r="M769" s="7">
        <v>2</v>
      </c>
      <c r="N769" s="7">
        <v>19</v>
      </c>
      <c r="O769" s="7">
        <v>42</v>
      </c>
      <c r="P769" s="7">
        <v>42</v>
      </c>
      <c r="T769" s="12" t="s">
        <v>147</v>
      </c>
      <c r="V769" cm="1">
        <f t="array" ref="V769">_xlfn.LET(
_xlpm.x,_xlfn._xlws.FILTER(O769:S769,(O769:S769&lt;&gt;"R")*(O769:S769&lt;&gt;"NA")*(O769:S769&lt;&gt;"W")*(O769:S769&lt;&gt;"")),
IF(COUNTA(_xlpm.x)=0,"NA",IF(MIN(_xlpm.x)=MAX(_xlpm.x),MIN(_xlpm.x),"review"))
)</f>
        <v>42</v>
      </c>
    </row>
    <row r="770" spans="1:22" ht="15.75" hidden="1" customHeight="1" x14ac:dyDescent="0.25">
      <c r="A770" s="7" t="s">
        <v>122</v>
      </c>
      <c r="B770" s="8">
        <v>8</v>
      </c>
      <c r="C770" s="8" t="s">
        <v>70</v>
      </c>
      <c r="D770" s="9" t="s">
        <v>139</v>
      </c>
      <c r="E770" s="7" t="s">
        <v>25</v>
      </c>
      <c r="F770" s="7" t="s">
        <v>39</v>
      </c>
      <c r="G770" s="7" t="s">
        <v>85</v>
      </c>
      <c r="H770" s="7">
        <v>1977</v>
      </c>
      <c r="I770" s="7">
        <v>5</v>
      </c>
      <c r="K770" s="7">
        <v>7</v>
      </c>
      <c r="M770" s="7">
        <v>2</v>
      </c>
      <c r="N770" s="7">
        <v>20</v>
      </c>
      <c r="O770" s="7">
        <v>42</v>
      </c>
      <c r="P770" s="7" t="s">
        <v>29</v>
      </c>
      <c r="T770" s="12" t="s">
        <v>108</v>
      </c>
      <c r="V770" cm="1">
        <f t="array" ref="V770">_xlfn.LET(
_xlpm.x,_xlfn._xlws.FILTER(O770:S770,(O770:S770&lt;&gt;"R")*(O770:S770&lt;&gt;"NA")*(O770:S770&lt;&gt;"W")*(O770:S770&lt;&gt;"")),
IF(COUNTA(_xlpm.x)=0,"NA",IF(MIN(_xlpm.x)=MAX(_xlpm.x),MIN(_xlpm.x),"review"))
)</f>
        <v>42</v>
      </c>
    </row>
    <row r="771" spans="1:22" ht="15.75" hidden="1" customHeight="1" x14ac:dyDescent="0.25">
      <c r="A771" s="7" t="s">
        <v>122</v>
      </c>
      <c r="B771" s="8">
        <v>8</v>
      </c>
      <c r="C771" s="8" t="s">
        <v>70</v>
      </c>
      <c r="D771" s="9" t="s">
        <v>139</v>
      </c>
      <c r="E771" s="7" t="s">
        <v>25</v>
      </c>
      <c r="F771" s="7" t="s">
        <v>39</v>
      </c>
      <c r="G771" s="7" t="s">
        <v>85</v>
      </c>
      <c r="H771" s="7">
        <v>1977</v>
      </c>
      <c r="I771" s="7">
        <v>5</v>
      </c>
      <c r="K771" s="7">
        <v>7</v>
      </c>
      <c r="M771" s="7">
        <v>2</v>
      </c>
      <c r="N771" s="7">
        <v>21</v>
      </c>
      <c r="O771" s="7">
        <v>42</v>
      </c>
      <c r="P771" s="7" t="s">
        <v>29</v>
      </c>
      <c r="T771" s="12" t="s">
        <v>126</v>
      </c>
      <c r="V771" cm="1">
        <f t="array" ref="V771">_xlfn.LET(
_xlpm.x,_xlfn._xlws.FILTER(O771:S771,(O771:S771&lt;&gt;"R")*(O771:S771&lt;&gt;"NA")*(O771:S771&lt;&gt;"W")*(O771:S771&lt;&gt;"")),
IF(COUNTA(_xlpm.x)=0,"NA",IF(MIN(_xlpm.x)=MAX(_xlpm.x),MIN(_xlpm.x),"review"))
)</f>
        <v>42</v>
      </c>
    </row>
    <row r="772" spans="1:22" ht="15.75" hidden="1" customHeight="1" x14ac:dyDescent="0.25">
      <c r="A772" s="7" t="s">
        <v>122</v>
      </c>
      <c r="B772" s="8">
        <v>8</v>
      </c>
      <c r="C772" s="8" t="s">
        <v>70</v>
      </c>
      <c r="D772" s="9" t="s">
        <v>139</v>
      </c>
      <c r="E772" s="7" t="s">
        <v>25</v>
      </c>
      <c r="F772" s="7" t="s">
        <v>39</v>
      </c>
      <c r="G772" s="7" t="s">
        <v>85</v>
      </c>
      <c r="H772" s="7">
        <v>1977</v>
      </c>
      <c r="I772" s="7">
        <v>5</v>
      </c>
      <c r="K772" s="7">
        <v>7</v>
      </c>
      <c r="M772" s="7">
        <v>2</v>
      </c>
      <c r="N772" s="7">
        <v>22</v>
      </c>
      <c r="O772" s="7">
        <v>42</v>
      </c>
      <c r="P772" s="7">
        <v>42</v>
      </c>
      <c r="T772" s="12" t="s">
        <v>148</v>
      </c>
      <c r="V772" cm="1">
        <f t="array" ref="V772">_xlfn.LET(
_xlpm.x,_xlfn._xlws.FILTER(O772:S772,(O772:S772&lt;&gt;"R")*(O772:S772&lt;&gt;"NA")*(O772:S772&lt;&gt;"W")*(O772:S772&lt;&gt;"")),
IF(COUNTA(_xlpm.x)=0,"NA",IF(MIN(_xlpm.x)=MAX(_xlpm.x),MIN(_xlpm.x),"review"))
)</f>
        <v>42</v>
      </c>
    </row>
    <row r="773" spans="1:22" ht="15.75" hidden="1" customHeight="1" x14ac:dyDescent="0.25">
      <c r="A773" s="7" t="s">
        <v>122</v>
      </c>
      <c r="B773" s="8">
        <v>8</v>
      </c>
      <c r="C773" s="8" t="s">
        <v>70</v>
      </c>
      <c r="D773" s="9" t="s">
        <v>139</v>
      </c>
      <c r="E773" s="7" t="s">
        <v>25</v>
      </c>
      <c r="F773" s="7" t="s">
        <v>39</v>
      </c>
      <c r="G773" s="7" t="s">
        <v>85</v>
      </c>
      <c r="H773" s="7">
        <v>1977</v>
      </c>
      <c r="I773" s="7">
        <v>5</v>
      </c>
      <c r="K773" s="7">
        <v>7</v>
      </c>
      <c r="M773" s="7">
        <v>2</v>
      </c>
      <c r="N773" s="7">
        <v>23</v>
      </c>
      <c r="O773" s="7">
        <v>42</v>
      </c>
      <c r="P773" s="7" t="s">
        <v>28</v>
      </c>
      <c r="T773" s="12" t="s">
        <v>101</v>
      </c>
      <c r="V773" cm="1">
        <f t="array" ref="V773">_xlfn.LET(
_xlpm.x,_xlfn._xlws.FILTER(O773:S773,(O773:S773&lt;&gt;"R")*(O773:S773&lt;&gt;"NA")*(O773:S773&lt;&gt;"W")*(O773:S773&lt;&gt;"")),
IF(COUNTA(_xlpm.x)=0,"NA",IF(MIN(_xlpm.x)=MAX(_xlpm.x),MIN(_xlpm.x),"review"))
)</f>
        <v>42</v>
      </c>
    </row>
    <row r="774" spans="1:22" ht="15.75" hidden="1" customHeight="1" x14ac:dyDescent="0.25">
      <c r="A774" s="7" t="s">
        <v>122</v>
      </c>
      <c r="B774" s="8">
        <v>8</v>
      </c>
      <c r="C774" s="8" t="s">
        <v>70</v>
      </c>
      <c r="D774" s="9" t="s">
        <v>139</v>
      </c>
      <c r="E774" s="7" t="s">
        <v>25</v>
      </c>
      <c r="F774" s="7" t="s">
        <v>39</v>
      </c>
      <c r="G774" s="7" t="s">
        <v>85</v>
      </c>
      <c r="H774" s="7">
        <v>1977</v>
      </c>
      <c r="I774" s="7">
        <v>5</v>
      </c>
      <c r="K774" s="7">
        <v>7</v>
      </c>
      <c r="M774" s="7">
        <v>2</v>
      </c>
      <c r="N774" s="7">
        <v>24</v>
      </c>
      <c r="O774" s="7">
        <v>42</v>
      </c>
      <c r="P774" s="7">
        <v>42</v>
      </c>
      <c r="T774" s="12" t="s">
        <v>137</v>
      </c>
      <c r="V774" cm="1">
        <f t="array" ref="V774">_xlfn.LET(
_xlpm.x,_xlfn._xlws.FILTER(O774:S774,(O774:S774&lt;&gt;"R")*(O774:S774&lt;&gt;"NA")*(O774:S774&lt;&gt;"W")*(O774:S774&lt;&gt;"")),
IF(COUNTA(_xlpm.x)=0,"NA",IF(MIN(_xlpm.x)=MAX(_xlpm.x),MIN(_xlpm.x),"review"))
)</f>
        <v>42</v>
      </c>
    </row>
    <row r="775" spans="1:22" ht="15.75" hidden="1" customHeight="1" x14ac:dyDescent="0.25">
      <c r="A775" s="7" t="s">
        <v>122</v>
      </c>
      <c r="B775" s="8">
        <v>8</v>
      </c>
      <c r="C775" s="8" t="s">
        <v>70</v>
      </c>
      <c r="D775" s="9" t="s">
        <v>139</v>
      </c>
      <c r="E775" s="7" t="s">
        <v>25</v>
      </c>
      <c r="F775" s="7" t="s">
        <v>39</v>
      </c>
      <c r="G775" s="7" t="s">
        <v>85</v>
      </c>
      <c r="H775" s="7">
        <v>1977</v>
      </c>
      <c r="I775" s="7">
        <v>5</v>
      </c>
      <c r="K775" s="7">
        <v>7</v>
      </c>
      <c r="M775" s="7">
        <v>2</v>
      </c>
      <c r="N775" s="7">
        <v>25</v>
      </c>
      <c r="O775" s="7">
        <v>42</v>
      </c>
      <c r="P775" s="7">
        <v>42</v>
      </c>
      <c r="T775" s="12" t="s">
        <v>95</v>
      </c>
      <c r="V775" cm="1">
        <f t="array" ref="V775">_xlfn.LET(
_xlpm.x,_xlfn._xlws.FILTER(O775:S775,(O775:S775&lt;&gt;"R")*(O775:S775&lt;&gt;"NA")*(O775:S775&lt;&gt;"W")*(O775:S775&lt;&gt;"")),
IF(COUNTA(_xlpm.x)=0,"NA",IF(MIN(_xlpm.x)=MAX(_xlpm.x),MIN(_xlpm.x),"review"))
)</f>
        <v>42</v>
      </c>
    </row>
    <row r="776" spans="1:22" ht="15.75" hidden="1" customHeight="1" x14ac:dyDescent="0.25">
      <c r="A776" s="7" t="s">
        <v>122</v>
      </c>
      <c r="B776" s="8">
        <v>8</v>
      </c>
      <c r="C776" s="8" t="s">
        <v>70</v>
      </c>
      <c r="D776" s="9" t="s">
        <v>149</v>
      </c>
      <c r="E776" s="7" t="s">
        <v>25</v>
      </c>
      <c r="F776" s="7" t="s">
        <v>39</v>
      </c>
      <c r="G776" s="7" t="s">
        <v>85</v>
      </c>
      <c r="H776" s="7">
        <v>1977</v>
      </c>
      <c r="I776" s="7">
        <v>5</v>
      </c>
      <c r="K776" s="7">
        <v>7</v>
      </c>
      <c r="M776" s="7">
        <v>3</v>
      </c>
      <c r="N776" s="7">
        <v>1</v>
      </c>
      <c r="O776" s="7">
        <v>42</v>
      </c>
      <c r="P776" s="7">
        <v>42</v>
      </c>
      <c r="T776" s="12" t="s">
        <v>150</v>
      </c>
      <c r="V776" cm="1">
        <f t="array" ref="V776">_xlfn.LET(
_xlpm.x,_xlfn._xlws.FILTER(O776:S776,(O776:S776&lt;&gt;"R")*(O776:S776&lt;&gt;"NA")*(O776:S776&lt;&gt;"W")*(O776:S776&lt;&gt;"")),
IF(COUNTA(_xlpm.x)=0,"NA",IF(MIN(_xlpm.x)=MAX(_xlpm.x),MIN(_xlpm.x),"review"))
)</f>
        <v>42</v>
      </c>
    </row>
    <row r="777" spans="1:22" ht="15.75" hidden="1" customHeight="1" x14ac:dyDescent="0.25">
      <c r="A777" s="7" t="s">
        <v>122</v>
      </c>
      <c r="B777" s="8">
        <v>8</v>
      </c>
      <c r="C777" s="8" t="s">
        <v>70</v>
      </c>
      <c r="D777" s="9" t="s">
        <v>149</v>
      </c>
      <c r="E777" s="7" t="s">
        <v>25</v>
      </c>
      <c r="F777" s="7" t="s">
        <v>39</v>
      </c>
      <c r="G777" s="7" t="s">
        <v>85</v>
      </c>
      <c r="H777" s="7">
        <v>1977</v>
      </c>
      <c r="I777" s="7">
        <v>5</v>
      </c>
      <c r="K777" s="7">
        <v>7</v>
      </c>
      <c r="M777" s="7">
        <v>3</v>
      </c>
      <c r="N777" s="7">
        <v>2</v>
      </c>
      <c r="O777" s="7">
        <v>42</v>
      </c>
      <c r="P777" s="7">
        <v>42</v>
      </c>
      <c r="T777" s="12" t="s">
        <v>151</v>
      </c>
      <c r="V777" cm="1">
        <f t="array" ref="V777">_xlfn.LET(
_xlpm.x,_xlfn._xlws.FILTER(O777:S777,(O777:S777&lt;&gt;"R")*(O777:S777&lt;&gt;"NA")*(O777:S777&lt;&gt;"W")*(O777:S777&lt;&gt;"")),
IF(COUNTA(_xlpm.x)=0,"NA",IF(MIN(_xlpm.x)=MAX(_xlpm.x),MIN(_xlpm.x),"review"))
)</f>
        <v>42</v>
      </c>
    </row>
    <row r="778" spans="1:22" ht="15.75" hidden="1" customHeight="1" x14ac:dyDescent="0.25">
      <c r="A778" s="7" t="s">
        <v>122</v>
      </c>
      <c r="B778" s="8">
        <v>8</v>
      </c>
      <c r="C778" s="8" t="s">
        <v>70</v>
      </c>
      <c r="D778" s="9" t="s">
        <v>149</v>
      </c>
      <c r="E778" s="7" t="s">
        <v>25</v>
      </c>
      <c r="F778" s="7" t="s">
        <v>39</v>
      </c>
      <c r="G778" s="7" t="s">
        <v>85</v>
      </c>
      <c r="H778" s="7">
        <v>1977</v>
      </c>
      <c r="I778" s="7">
        <v>5</v>
      </c>
      <c r="K778" s="7">
        <v>7</v>
      </c>
      <c r="M778" s="7">
        <v>3</v>
      </c>
      <c r="N778" s="7">
        <v>3</v>
      </c>
      <c r="O778" s="7">
        <v>52</v>
      </c>
      <c r="P778" s="7">
        <v>52</v>
      </c>
      <c r="T778" s="12" t="s">
        <v>74</v>
      </c>
      <c r="V778" cm="1">
        <f t="array" ref="V778">_xlfn.LET(
_xlpm.x,_xlfn._xlws.FILTER(O778:S778,(O778:S778&lt;&gt;"R")*(O778:S778&lt;&gt;"NA")*(O778:S778&lt;&gt;"W")*(O778:S778&lt;&gt;"")),
IF(COUNTA(_xlpm.x)=0,"NA",IF(MIN(_xlpm.x)=MAX(_xlpm.x),MIN(_xlpm.x),"review"))
)</f>
        <v>52</v>
      </c>
    </row>
    <row r="779" spans="1:22" ht="15.75" hidden="1" customHeight="1" x14ac:dyDescent="0.25">
      <c r="A779" s="7" t="s">
        <v>122</v>
      </c>
      <c r="B779" s="8">
        <v>8</v>
      </c>
      <c r="C779" s="8" t="s">
        <v>70</v>
      </c>
      <c r="D779" s="9" t="s">
        <v>149</v>
      </c>
      <c r="E779" s="7" t="s">
        <v>25</v>
      </c>
      <c r="F779" s="7" t="s">
        <v>39</v>
      </c>
      <c r="G779" s="7" t="s">
        <v>85</v>
      </c>
      <c r="H779" s="7">
        <v>1977</v>
      </c>
      <c r="I779" s="7">
        <v>5</v>
      </c>
      <c r="K779" s="7">
        <v>7</v>
      </c>
      <c r="M779" s="7">
        <v>3</v>
      </c>
      <c r="N779" s="7">
        <v>4</v>
      </c>
      <c r="O779" s="7">
        <v>42</v>
      </c>
      <c r="P779" s="7">
        <v>42</v>
      </c>
      <c r="T779" s="12" t="s">
        <v>152</v>
      </c>
      <c r="V779" cm="1">
        <f t="array" ref="V779">_xlfn.LET(
_xlpm.x,_xlfn._xlws.FILTER(O779:S779,(O779:S779&lt;&gt;"R")*(O779:S779&lt;&gt;"NA")*(O779:S779&lt;&gt;"W")*(O779:S779&lt;&gt;"")),
IF(COUNTA(_xlpm.x)=0,"NA",IF(MIN(_xlpm.x)=MAX(_xlpm.x),MIN(_xlpm.x),"review"))
)</f>
        <v>42</v>
      </c>
    </row>
    <row r="780" spans="1:22" ht="15.75" hidden="1" customHeight="1" x14ac:dyDescent="0.25">
      <c r="A780" s="7" t="s">
        <v>122</v>
      </c>
      <c r="B780" s="8">
        <v>8</v>
      </c>
      <c r="C780" s="8" t="s">
        <v>70</v>
      </c>
      <c r="D780" s="9" t="s">
        <v>149</v>
      </c>
      <c r="E780" s="7" t="s">
        <v>25</v>
      </c>
      <c r="F780" s="7" t="s">
        <v>39</v>
      </c>
      <c r="G780" s="7" t="s">
        <v>85</v>
      </c>
      <c r="H780" s="7">
        <v>1977</v>
      </c>
      <c r="I780" s="7">
        <v>5</v>
      </c>
      <c r="K780" s="7">
        <v>7</v>
      </c>
      <c r="M780" s="7">
        <v>3</v>
      </c>
      <c r="N780" s="7">
        <v>5</v>
      </c>
      <c r="O780" s="7">
        <v>42</v>
      </c>
      <c r="P780" s="7">
        <v>42</v>
      </c>
      <c r="T780" s="12" t="s">
        <v>138</v>
      </c>
      <c r="V780" cm="1">
        <f t="array" ref="V780">_xlfn.LET(
_xlpm.x,_xlfn._xlws.FILTER(O780:S780,(O780:S780&lt;&gt;"R")*(O780:S780&lt;&gt;"NA")*(O780:S780&lt;&gt;"W")*(O780:S780&lt;&gt;"")),
IF(COUNTA(_xlpm.x)=0,"NA",IF(MIN(_xlpm.x)=MAX(_xlpm.x),MIN(_xlpm.x),"review"))
)</f>
        <v>42</v>
      </c>
    </row>
    <row r="781" spans="1:22" ht="15.75" hidden="1" customHeight="1" x14ac:dyDescent="0.25">
      <c r="A781" s="7" t="s">
        <v>122</v>
      </c>
      <c r="B781" s="8">
        <v>8</v>
      </c>
      <c r="C781" s="8" t="s">
        <v>70</v>
      </c>
      <c r="D781" s="9" t="s">
        <v>149</v>
      </c>
      <c r="E781" s="7" t="s">
        <v>25</v>
      </c>
      <c r="F781" s="7" t="s">
        <v>39</v>
      </c>
      <c r="G781" s="7" t="s">
        <v>85</v>
      </c>
      <c r="H781" s="7">
        <v>1977</v>
      </c>
      <c r="I781" s="7">
        <v>5</v>
      </c>
      <c r="K781" s="7">
        <v>7</v>
      </c>
      <c r="M781" s="7">
        <v>3</v>
      </c>
      <c r="N781" s="7">
        <v>6</v>
      </c>
      <c r="O781" s="7">
        <v>42</v>
      </c>
      <c r="P781" s="7">
        <v>42</v>
      </c>
      <c r="T781" s="12" t="s">
        <v>76</v>
      </c>
      <c r="V781" cm="1">
        <f t="array" ref="V781">_xlfn.LET(
_xlpm.x,_xlfn._xlws.FILTER(O781:S781,(O781:S781&lt;&gt;"R")*(O781:S781&lt;&gt;"NA")*(O781:S781&lt;&gt;"W")*(O781:S781&lt;&gt;"")),
IF(COUNTA(_xlpm.x)=0,"NA",IF(MIN(_xlpm.x)=MAX(_xlpm.x),MIN(_xlpm.x),"review"))
)</f>
        <v>42</v>
      </c>
    </row>
    <row r="782" spans="1:22" ht="15.75" hidden="1" customHeight="1" x14ac:dyDescent="0.25">
      <c r="A782" s="7" t="s">
        <v>122</v>
      </c>
      <c r="B782" s="8">
        <v>8</v>
      </c>
      <c r="C782" s="8" t="s">
        <v>70</v>
      </c>
      <c r="D782" s="9" t="s">
        <v>149</v>
      </c>
      <c r="E782" s="7" t="s">
        <v>25</v>
      </c>
      <c r="F782" s="7" t="s">
        <v>39</v>
      </c>
      <c r="G782" s="7" t="s">
        <v>85</v>
      </c>
      <c r="H782" s="7">
        <v>1977</v>
      </c>
      <c r="I782" s="7">
        <v>5</v>
      </c>
      <c r="K782" s="7">
        <v>7</v>
      </c>
      <c r="M782" s="7">
        <v>3</v>
      </c>
      <c r="N782" s="7">
        <v>7</v>
      </c>
      <c r="O782" s="7" t="s">
        <v>28</v>
      </c>
      <c r="P782" s="7" t="s">
        <v>28</v>
      </c>
      <c r="T782" s="12"/>
      <c r="V782" t="s">
        <v>29</v>
      </c>
    </row>
    <row r="783" spans="1:22" ht="15.75" hidden="1" customHeight="1" x14ac:dyDescent="0.25">
      <c r="A783" s="7" t="s">
        <v>122</v>
      </c>
      <c r="B783" s="8">
        <v>8</v>
      </c>
      <c r="C783" s="8" t="s">
        <v>70</v>
      </c>
      <c r="D783" s="9" t="s">
        <v>149</v>
      </c>
      <c r="E783" s="7" t="s">
        <v>25</v>
      </c>
      <c r="F783" s="7" t="s">
        <v>39</v>
      </c>
      <c r="G783" s="7" t="s">
        <v>85</v>
      </c>
      <c r="H783" s="7">
        <v>1977</v>
      </c>
      <c r="I783" s="7">
        <v>5</v>
      </c>
      <c r="K783" s="7">
        <v>7</v>
      </c>
      <c r="M783" s="7">
        <v>3</v>
      </c>
      <c r="N783" s="7">
        <v>8</v>
      </c>
      <c r="O783" s="7">
        <v>42</v>
      </c>
      <c r="P783" s="7">
        <v>42</v>
      </c>
      <c r="T783" s="12" t="s">
        <v>152</v>
      </c>
      <c r="V783" cm="1">
        <f t="array" ref="V783">_xlfn.LET(
_xlpm.x,_xlfn._xlws.FILTER(O783:S783,(O783:S783&lt;&gt;"R")*(O783:S783&lt;&gt;"NA")*(O783:S783&lt;&gt;"W")*(O783:S783&lt;&gt;"")),
IF(COUNTA(_xlpm.x)=0,"NA",IF(MIN(_xlpm.x)=MAX(_xlpm.x),MIN(_xlpm.x),"review"))
)</f>
        <v>42</v>
      </c>
    </row>
    <row r="784" spans="1:22" ht="15.75" hidden="1" customHeight="1" x14ac:dyDescent="0.25">
      <c r="A784" s="7" t="s">
        <v>122</v>
      </c>
      <c r="B784" s="8">
        <v>8</v>
      </c>
      <c r="C784" s="8" t="s">
        <v>70</v>
      </c>
      <c r="D784" s="9" t="s">
        <v>149</v>
      </c>
      <c r="E784" s="7" t="s">
        <v>25</v>
      </c>
      <c r="F784" s="7" t="s">
        <v>39</v>
      </c>
      <c r="G784" s="7" t="s">
        <v>85</v>
      </c>
      <c r="H784" s="7">
        <v>1977</v>
      </c>
      <c r="I784" s="7">
        <v>5</v>
      </c>
      <c r="K784" s="7">
        <v>7</v>
      </c>
      <c r="M784" s="7">
        <v>3</v>
      </c>
      <c r="N784" s="7">
        <v>9</v>
      </c>
      <c r="O784" s="7">
        <v>42</v>
      </c>
      <c r="P784" s="7">
        <v>42</v>
      </c>
      <c r="T784" s="12" t="s">
        <v>132</v>
      </c>
      <c r="V784" cm="1">
        <f t="array" ref="V784">_xlfn.LET(
_xlpm.x,_xlfn._xlws.FILTER(O784:S784,(O784:S784&lt;&gt;"R")*(O784:S784&lt;&gt;"NA")*(O784:S784&lt;&gt;"W")*(O784:S784&lt;&gt;"")),
IF(COUNTA(_xlpm.x)=0,"NA",IF(MIN(_xlpm.x)=MAX(_xlpm.x),MIN(_xlpm.x),"review"))
)</f>
        <v>42</v>
      </c>
    </row>
    <row r="785" spans="1:22" ht="15.75" hidden="1" customHeight="1" x14ac:dyDescent="0.25">
      <c r="A785" s="7" t="s">
        <v>122</v>
      </c>
      <c r="B785" s="8">
        <v>8</v>
      </c>
      <c r="C785" s="8" t="s">
        <v>70</v>
      </c>
      <c r="D785" s="9" t="s">
        <v>149</v>
      </c>
      <c r="E785" s="7" t="s">
        <v>25</v>
      </c>
      <c r="F785" s="7" t="s">
        <v>39</v>
      </c>
      <c r="G785" s="7" t="s">
        <v>85</v>
      </c>
      <c r="H785" s="7">
        <v>1977</v>
      </c>
      <c r="I785" s="7">
        <v>5</v>
      </c>
      <c r="K785" s="7">
        <v>7</v>
      </c>
      <c r="M785" s="7">
        <v>3</v>
      </c>
      <c r="N785" s="7">
        <v>10</v>
      </c>
      <c r="O785" s="7">
        <v>52</v>
      </c>
      <c r="P785" s="7" t="s">
        <v>28</v>
      </c>
      <c r="T785" s="12" t="s">
        <v>153</v>
      </c>
      <c r="V785" cm="1">
        <f t="array" ref="V785">_xlfn.LET(
_xlpm.x,_xlfn._xlws.FILTER(O785:S785,(O785:S785&lt;&gt;"R")*(O785:S785&lt;&gt;"NA")*(O785:S785&lt;&gt;"W")*(O785:S785&lt;&gt;"")),
IF(COUNTA(_xlpm.x)=0,"NA",IF(MIN(_xlpm.x)=MAX(_xlpm.x),MIN(_xlpm.x),"review"))
)</f>
        <v>52</v>
      </c>
    </row>
    <row r="786" spans="1:22" ht="15.75" hidden="1" customHeight="1" x14ac:dyDescent="0.25">
      <c r="A786" s="7" t="s">
        <v>154</v>
      </c>
      <c r="B786" s="8">
        <v>8</v>
      </c>
      <c r="C786" s="8" t="s">
        <v>155</v>
      </c>
      <c r="D786" s="9" t="s">
        <v>66</v>
      </c>
      <c r="E786" s="7" t="s">
        <v>25</v>
      </c>
      <c r="F786" s="7" t="s">
        <v>39</v>
      </c>
      <c r="G786" s="7" t="s">
        <v>85</v>
      </c>
      <c r="H786" s="7">
        <v>1977</v>
      </c>
      <c r="I786" s="7">
        <v>5</v>
      </c>
      <c r="K786" s="7">
        <v>7</v>
      </c>
      <c r="M786" s="7">
        <v>1</v>
      </c>
      <c r="N786" s="7">
        <v>1</v>
      </c>
      <c r="O786" s="7">
        <v>53</v>
      </c>
      <c r="P786" s="7">
        <v>53</v>
      </c>
      <c r="T786" s="12" t="s">
        <v>156</v>
      </c>
      <c r="V786" cm="1">
        <f t="array" ref="V786">_xlfn.LET(
_xlpm.x,_xlfn._xlws.FILTER(O786:S786,(O786:S786&lt;&gt;"R")*(O786:S786&lt;&gt;"NA")*(O786:S786&lt;&gt;"W")*(O786:S786&lt;&gt;"")),
IF(COUNTA(_xlpm.x)=0,"NA",IF(MIN(_xlpm.x)=MAX(_xlpm.x),MIN(_xlpm.x),"review"))
)</f>
        <v>53</v>
      </c>
    </row>
    <row r="787" spans="1:22" ht="15.75" hidden="1" customHeight="1" x14ac:dyDescent="0.25">
      <c r="A787" s="7" t="s">
        <v>154</v>
      </c>
      <c r="B787" s="8">
        <v>8</v>
      </c>
      <c r="C787" s="8" t="s">
        <v>155</v>
      </c>
      <c r="D787" s="9" t="s">
        <v>66</v>
      </c>
      <c r="E787" s="7" t="s">
        <v>25</v>
      </c>
      <c r="F787" s="7" t="s">
        <v>39</v>
      </c>
      <c r="G787" s="7" t="s">
        <v>85</v>
      </c>
      <c r="H787" s="7">
        <v>1977</v>
      </c>
      <c r="I787" s="7">
        <v>5</v>
      </c>
      <c r="K787" s="7">
        <v>7</v>
      </c>
      <c r="M787" s="7">
        <v>1</v>
      </c>
      <c r="N787" s="7">
        <v>2</v>
      </c>
      <c r="O787" s="7">
        <v>42</v>
      </c>
      <c r="P787" s="7">
        <v>42</v>
      </c>
      <c r="T787" s="12" t="s">
        <v>147</v>
      </c>
      <c r="V787" cm="1">
        <f t="array" ref="V787">_xlfn.LET(
_xlpm.x,_xlfn._xlws.FILTER(O787:S787,(O787:S787&lt;&gt;"R")*(O787:S787&lt;&gt;"NA")*(O787:S787&lt;&gt;"W")*(O787:S787&lt;&gt;"")),
IF(COUNTA(_xlpm.x)=0,"NA",IF(MIN(_xlpm.x)=MAX(_xlpm.x),MIN(_xlpm.x),"review"))
)</f>
        <v>42</v>
      </c>
    </row>
    <row r="788" spans="1:22" ht="15.75" hidden="1" customHeight="1" x14ac:dyDescent="0.25">
      <c r="A788" s="7" t="s">
        <v>154</v>
      </c>
      <c r="B788" s="8">
        <v>8</v>
      </c>
      <c r="C788" s="8" t="s">
        <v>155</v>
      </c>
      <c r="D788" s="9" t="s">
        <v>66</v>
      </c>
      <c r="E788" s="7" t="s">
        <v>25</v>
      </c>
      <c r="F788" s="7" t="s">
        <v>39</v>
      </c>
      <c r="G788" s="7" t="s">
        <v>85</v>
      </c>
      <c r="H788" s="7">
        <v>1977</v>
      </c>
      <c r="I788" s="7">
        <v>5</v>
      </c>
      <c r="K788" s="7">
        <v>7</v>
      </c>
      <c r="M788" s="7">
        <v>1</v>
      </c>
      <c r="N788" s="7">
        <v>3</v>
      </c>
      <c r="O788" s="7">
        <v>42</v>
      </c>
      <c r="P788" s="7">
        <v>42</v>
      </c>
      <c r="T788" s="12" t="s">
        <v>83</v>
      </c>
      <c r="V788" cm="1">
        <f t="array" ref="V788">_xlfn.LET(
_xlpm.x,_xlfn._xlws.FILTER(O788:S788,(O788:S788&lt;&gt;"R")*(O788:S788&lt;&gt;"NA")*(O788:S788&lt;&gt;"W")*(O788:S788&lt;&gt;"")),
IF(COUNTA(_xlpm.x)=0,"NA",IF(MIN(_xlpm.x)=MAX(_xlpm.x),MIN(_xlpm.x),"review"))
)</f>
        <v>42</v>
      </c>
    </row>
    <row r="789" spans="1:22" ht="15.75" hidden="1" customHeight="1" x14ac:dyDescent="0.25">
      <c r="A789" s="7" t="s">
        <v>154</v>
      </c>
      <c r="B789" s="8">
        <v>8</v>
      </c>
      <c r="C789" s="8" t="s">
        <v>155</v>
      </c>
      <c r="D789" s="9" t="s">
        <v>66</v>
      </c>
      <c r="E789" s="7" t="s">
        <v>25</v>
      </c>
      <c r="F789" s="7" t="s">
        <v>39</v>
      </c>
      <c r="G789" s="7" t="s">
        <v>85</v>
      </c>
      <c r="H789" s="7">
        <v>1977</v>
      </c>
      <c r="I789" s="7">
        <v>5</v>
      </c>
      <c r="K789" s="7">
        <v>7</v>
      </c>
      <c r="M789" s="7">
        <v>1</v>
      </c>
      <c r="N789" s="7">
        <v>4</v>
      </c>
      <c r="O789" s="7">
        <v>52</v>
      </c>
      <c r="P789" s="7">
        <v>52</v>
      </c>
      <c r="T789" s="12" t="s">
        <v>101</v>
      </c>
      <c r="V789" cm="1">
        <f t="array" ref="V789">_xlfn.LET(
_xlpm.x,_xlfn._xlws.FILTER(O789:S789,(O789:S789&lt;&gt;"R")*(O789:S789&lt;&gt;"NA")*(O789:S789&lt;&gt;"W")*(O789:S789&lt;&gt;"")),
IF(COUNTA(_xlpm.x)=0,"NA",IF(MIN(_xlpm.x)=MAX(_xlpm.x),MIN(_xlpm.x),"review"))
)</f>
        <v>52</v>
      </c>
    </row>
    <row r="790" spans="1:22" ht="15.75" hidden="1" customHeight="1" x14ac:dyDescent="0.25">
      <c r="A790" s="7" t="s">
        <v>154</v>
      </c>
      <c r="B790" s="8">
        <v>8</v>
      </c>
      <c r="C790" s="8" t="s">
        <v>155</v>
      </c>
      <c r="D790" s="9" t="s">
        <v>66</v>
      </c>
      <c r="E790" s="7" t="s">
        <v>25</v>
      </c>
      <c r="F790" s="7" t="s">
        <v>39</v>
      </c>
      <c r="G790" s="7" t="s">
        <v>85</v>
      </c>
      <c r="H790" s="7">
        <v>1977</v>
      </c>
      <c r="I790" s="7">
        <v>5</v>
      </c>
      <c r="K790" s="7">
        <v>7</v>
      </c>
      <c r="M790" s="7">
        <v>1</v>
      </c>
      <c r="N790" s="7">
        <v>5</v>
      </c>
      <c r="O790" s="7">
        <v>52</v>
      </c>
      <c r="P790" s="7">
        <v>52</v>
      </c>
      <c r="T790" s="12" t="s">
        <v>120</v>
      </c>
      <c r="V790" cm="1">
        <f t="array" ref="V790">_xlfn.LET(
_xlpm.x,_xlfn._xlws.FILTER(O790:S790,(O790:S790&lt;&gt;"R")*(O790:S790&lt;&gt;"NA")*(O790:S790&lt;&gt;"W")*(O790:S790&lt;&gt;"")),
IF(COUNTA(_xlpm.x)=0,"NA",IF(MIN(_xlpm.x)=MAX(_xlpm.x),MIN(_xlpm.x),"review"))
)</f>
        <v>52</v>
      </c>
    </row>
    <row r="791" spans="1:22" ht="15.75" hidden="1" customHeight="1" x14ac:dyDescent="0.25">
      <c r="A791" s="7" t="s">
        <v>154</v>
      </c>
      <c r="B791" s="8">
        <v>8</v>
      </c>
      <c r="C791" s="8" t="s">
        <v>155</v>
      </c>
      <c r="D791" s="9" t="s">
        <v>66</v>
      </c>
      <c r="E791" s="7" t="s">
        <v>25</v>
      </c>
      <c r="F791" s="7" t="s">
        <v>39</v>
      </c>
      <c r="G791" s="7" t="s">
        <v>85</v>
      </c>
      <c r="H791" s="7">
        <v>1977</v>
      </c>
      <c r="I791" s="7">
        <v>5</v>
      </c>
      <c r="K791" s="7">
        <v>7</v>
      </c>
      <c r="M791" s="7">
        <v>1</v>
      </c>
      <c r="N791" s="7">
        <v>6</v>
      </c>
      <c r="O791" s="7">
        <v>42</v>
      </c>
      <c r="P791" s="7">
        <v>42</v>
      </c>
      <c r="T791" s="12" t="s">
        <v>142</v>
      </c>
      <c r="V791" cm="1">
        <f t="array" ref="V791">_xlfn.LET(
_xlpm.x,_xlfn._xlws.FILTER(O791:S791,(O791:S791&lt;&gt;"R")*(O791:S791&lt;&gt;"NA")*(O791:S791&lt;&gt;"W")*(O791:S791&lt;&gt;"")),
IF(COUNTA(_xlpm.x)=0,"NA",IF(MIN(_xlpm.x)=MAX(_xlpm.x),MIN(_xlpm.x),"review"))
)</f>
        <v>42</v>
      </c>
    </row>
    <row r="792" spans="1:22" ht="15.75" hidden="1" customHeight="1" x14ac:dyDescent="0.25">
      <c r="A792" s="7" t="s">
        <v>154</v>
      </c>
      <c r="B792" s="8">
        <v>8</v>
      </c>
      <c r="C792" s="8" t="s">
        <v>155</v>
      </c>
      <c r="D792" s="9" t="s">
        <v>66</v>
      </c>
      <c r="E792" s="7" t="s">
        <v>25</v>
      </c>
      <c r="F792" s="7" t="s">
        <v>39</v>
      </c>
      <c r="G792" s="7" t="s">
        <v>85</v>
      </c>
      <c r="H792" s="7">
        <v>1977</v>
      </c>
      <c r="I792" s="7">
        <v>5</v>
      </c>
      <c r="K792" s="7">
        <v>7</v>
      </c>
      <c r="M792" s="7">
        <v>1</v>
      </c>
      <c r="N792" s="7">
        <v>7</v>
      </c>
      <c r="O792" s="7" t="s">
        <v>28</v>
      </c>
      <c r="P792" s="7">
        <v>42</v>
      </c>
      <c r="T792" s="12" t="s">
        <v>147</v>
      </c>
      <c r="V792" cm="1">
        <f t="array" ref="V792">_xlfn.LET(
_xlpm.x,_xlfn._xlws.FILTER(O792:S792,(O792:S792&lt;&gt;"R")*(O792:S792&lt;&gt;"NA")*(O792:S792&lt;&gt;"W")*(O792:S792&lt;&gt;"")),
IF(COUNTA(_xlpm.x)=0,"NA",IF(MIN(_xlpm.x)=MAX(_xlpm.x),MIN(_xlpm.x),"review"))
)</f>
        <v>42</v>
      </c>
    </row>
    <row r="793" spans="1:22" ht="15.75" hidden="1" customHeight="1" x14ac:dyDescent="0.25">
      <c r="A793" s="7" t="s">
        <v>154</v>
      </c>
      <c r="B793" s="8">
        <v>8</v>
      </c>
      <c r="C793" s="8" t="s">
        <v>155</v>
      </c>
      <c r="D793" s="9" t="s">
        <v>66</v>
      </c>
      <c r="E793" s="7" t="s">
        <v>25</v>
      </c>
      <c r="F793" s="7" t="s">
        <v>39</v>
      </c>
      <c r="G793" s="7" t="s">
        <v>85</v>
      </c>
      <c r="H793" s="7">
        <v>1977</v>
      </c>
      <c r="I793" s="7">
        <v>5</v>
      </c>
      <c r="K793" s="7">
        <v>7</v>
      </c>
      <c r="M793" s="7">
        <v>1</v>
      </c>
      <c r="N793" s="7">
        <v>8</v>
      </c>
      <c r="O793" s="7">
        <v>53</v>
      </c>
      <c r="P793" s="7">
        <v>53</v>
      </c>
      <c r="T793" s="12" t="s">
        <v>157</v>
      </c>
      <c r="V793" cm="1">
        <f t="array" ref="V793">_xlfn.LET(
_xlpm.x,_xlfn._xlws.FILTER(O793:S793,(O793:S793&lt;&gt;"R")*(O793:S793&lt;&gt;"NA")*(O793:S793&lt;&gt;"W")*(O793:S793&lt;&gt;"")),
IF(COUNTA(_xlpm.x)=0,"NA",IF(MIN(_xlpm.x)=MAX(_xlpm.x),MIN(_xlpm.x),"review"))
)</f>
        <v>53</v>
      </c>
    </row>
    <row r="794" spans="1:22" ht="15.75" hidden="1" customHeight="1" x14ac:dyDescent="0.25">
      <c r="A794" s="7" t="s">
        <v>154</v>
      </c>
      <c r="B794" s="8">
        <v>8</v>
      </c>
      <c r="C794" s="8" t="s">
        <v>155</v>
      </c>
      <c r="D794" s="9" t="s">
        <v>66</v>
      </c>
      <c r="E794" s="7" t="s">
        <v>25</v>
      </c>
      <c r="F794" s="7" t="s">
        <v>39</v>
      </c>
      <c r="G794" s="7" t="s">
        <v>85</v>
      </c>
      <c r="H794" s="7">
        <v>1977</v>
      </c>
      <c r="I794" s="7">
        <v>5</v>
      </c>
      <c r="K794" s="7">
        <v>7</v>
      </c>
      <c r="M794" s="7">
        <v>1</v>
      </c>
      <c r="N794" s="7">
        <v>9</v>
      </c>
      <c r="O794" s="7">
        <v>42</v>
      </c>
      <c r="P794" s="7" t="s">
        <v>28</v>
      </c>
      <c r="T794" s="12" t="s">
        <v>158</v>
      </c>
      <c r="V794" cm="1">
        <f t="array" ref="V794">_xlfn.LET(
_xlpm.x,_xlfn._xlws.FILTER(O794:S794,(O794:S794&lt;&gt;"R")*(O794:S794&lt;&gt;"NA")*(O794:S794&lt;&gt;"W")*(O794:S794&lt;&gt;"")),
IF(COUNTA(_xlpm.x)=0,"NA",IF(MIN(_xlpm.x)=MAX(_xlpm.x),MIN(_xlpm.x),"review"))
)</f>
        <v>42</v>
      </c>
    </row>
    <row r="795" spans="1:22" ht="15.75" hidden="1" customHeight="1" x14ac:dyDescent="0.25">
      <c r="A795" s="7" t="s">
        <v>154</v>
      </c>
      <c r="B795" s="8">
        <v>8</v>
      </c>
      <c r="C795" s="8" t="s">
        <v>155</v>
      </c>
      <c r="D795" s="9" t="s">
        <v>66</v>
      </c>
      <c r="E795" s="7" t="s">
        <v>25</v>
      </c>
      <c r="F795" s="7" t="s">
        <v>39</v>
      </c>
      <c r="G795" s="7" t="s">
        <v>85</v>
      </c>
      <c r="H795" s="7">
        <v>1977</v>
      </c>
      <c r="I795" s="7">
        <v>5</v>
      </c>
      <c r="K795" s="7">
        <v>7</v>
      </c>
      <c r="M795" s="7">
        <v>1</v>
      </c>
      <c r="N795" s="7">
        <v>10</v>
      </c>
      <c r="O795" s="7">
        <v>42</v>
      </c>
      <c r="P795" s="7" t="s">
        <v>28</v>
      </c>
      <c r="T795" s="12" t="s">
        <v>137</v>
      </c>
      <c r="V795" cm="1">
        <f t="array" ref="V795">_xlfn.LET(
_xlpm.x,_xlfn._xlws.FILTER(O795:S795,(O795:S795&lt;&gt;"R")*(O795:S795&lt;&gt;"NA")*(O795:S795&lt;&gt;"W")*(O795:S795&lt;&gt;"")),
IF(COUNTA(_xlpm.x)=0,"NA",IF(MIN(_xlpm.x)=MAX(_xlpm.x),MIN(_xlpm.x),"review"))
)</f>
        <v>42</v>
      </c>
    </row>
    <row r="796" spans="1:22" ht="15.75" hidden="1" customHeight="1" x14ac:dyDescent="0.25">
      <c r="A796" s="7" t="s">
        <v>154</v>
      </c>
      <c r="B796" s="8">
        <v>8</v>
      </c>
      <c r="C796" s="8" t="s">
        <v>155</v>
      </c>
      <c r="D796" s="9" t="s">
        <v>66</v>
      </c>
      <c r="E796" s="7" t="s">
        <v>159</v>
      </c>
      <c r="F796" s="7" t="s">
        <v>39</v>
      </c>
      <c r="G796" s="7" t="s">
        <v>85</v>
      </c>
      <c r="H796" s="7">
        <v>1977</v>
      </c>
      <c r="I796" s="7">
        <v>5</v>
      </c>
      <c r="K796" s="7">
        <v>7</v>
      </c>
      <c r="M796" s="7">
        <v>1</v>
      </c>
      <c r="N796" s="7">
        <v>11</v>
      </c>
      <c r="O796" s="7">
        <v>21</v>
      </c>
      <c r="P796" s="7">
        <v>21</v>
      </c>
      <c r="T796" s="12" t="s">
        <v>159</v>
      </c>
      <c r="V796" cm="1">
        <f t="array" ref="V796">_xlfn.LET(
_xlpm.x,_xlfn._xlws.FILTER(O796:S796,(O796:S796&lt;&gt;"R")*(O796:S796&lt;&gt;"NA")*(O796:S796&lt;&gt;"W")*(O796:S796&lt;&gt;"")),
IF(COUNTA(_xlpm.x)=0,"NA",IF(MIN(_xlpm.x)=MAX(_xlpm.x),MIN(_xlpm.x),"review"))
)</f>
        <v>21</v>
      </c>
    </row>
    <row r="797" spans="1:22" ht="15.75" hidden="1" customHeight="1" x14ac:dyDescent="0.25">
      <c r="A797" s="7" t="s">
        <v>154</v>
      </c>
      <c r="B797" s="8">
        <v>8</v>
      </c>
      <c r="C797" s="8" t="s">
        <v>155</v>
      </c>
      <c r="D797" s="9" t="s">
        <v>66</v>
      </c>
      <c r="E797" s="7" t="s">
        <v>25</v>
      </c>
      <c r="F797" s="7" t="s">
        <v>39</v>
      </c>
      <c r="G797" s="7" t="s">
        <v>85</v>
      </c>
      <c r="H797" s="7">
        <v>1977</v>
      </c>
      <c r="I797" s="7">
        <v>5</v>
      </c>
      <c r="K797" s="7">
        <v>7</v>
      </c>
      <c r="M797" s="7">
        <v>1</v>
      </c>
      <c r="N797" s="7">
        <v>12</v>
      </c>
      <c r="O797" s="7">
        <v>42</v>
      </c>
      <c r="P797" s="7">
        <v>42</v>
      </c>
      <c r="T797" s="12" t="s">
        <v>80</v>
      </c>
      <c r="V797" cm="1">
        <f t="array" ref="V797">_xlfn.LET(
_xlpm.x,_xlfn._xlws.FILTER(O797:S797,(O797:S797&lt;&gt;"R")*(O797:S797&lt;&gt;"NA")*(O797:S797&lt;&gt;"W")*(O797:S797&lt;&gt;"")),
IF(COUNTA(_xlpm.x)=0,"NA",IF(MIN(_xlpm.x)=MAX(_xlpm.x),MIN(_xlpm.x),"review"))
)</f>
        <v>42</v>
      </c>
    </row>
    <row r="798" spans="1:22" ht="15.75" hidden="1" customHeight="1" x14ac:dyDescent="0.25">
      <c r="A798" s="7" t="s">
        <v>154</v>
      </c>
      <c r="B798" s="8">
        <v>8</v>
      </c>
      <c r="C798" s="8" t="s">
        <v>155</v>
      </c>
      <c r="D798" s="9" t="s">
        <v>66</v>
      </c>
      <c r="E798" s="7" t="s">
        <v>25</v>
      </c>
      <c r="F798" s="7" t="s">
        <v>39</v>
      </c>
      <c r="G798" s="7" t="s">
        <v>85</v>
      </c>
      <c r="H798" s="7">
        <v>1977</v>
      </c>
      <c r="I798" s="7">
        <v>5</v>
      </c>
      <c r="K798" s="7">
        <v>7</v>
      </c>
      <c r="M798" s="7">
        <v>1</v>
      </c>
      <c r="N798" s="7">
        <v>13</v>
      </c>
      <c r="O798" s="7" t="s">
        <v>29</v>
      </c>
      <c r="P798" s="7">
        <v>42</v>
      </c>
      <c r="T798" s="12" t="s">
        <v>95</v>
      </c>
      <c r="V798" cm="1">
        <f t="array" ref="V798">_xlfn.LET(
_xlpm.x,_xlfn._xlws.FILTER(O798:S798,(O798:S798&lt;&gt;"R")*(O798:S798&lt;&gt;"NA")*(O798:S798&lt;&gt;"W")*(O798:S798&lt;&gt;"")),
IF(COUNTA(_xlpm.x)=0,"NA",IF(MIN(_xlpm.x)=MAX(_xlpm.x),MIN(_xlpm.x),"review"))
)</f>
        <v>42</v>
      </c>
    </row>
    <row r="799" spans="1:22" ht="15.75" hidden="1" customHeight="1" x14ac:dyDescent="0.25">
      <c r="A799" s="7" t="s">
        <v>154</v>
      </c>
      <c r="B799" s="8">
        <v>8</v>
      </c>
      <c r="C799" s="8" t="s">
        <v>155</v>
      </c>
      <c r="D799" s="9" t="s">
        <v>66</v>
      </c>
      <c r="E799" s="7" t="s">
        <v>25</v>
      </c>
      <c r="F799" s="7" t="s">
        <v>39</v>
      </c>
      <c r="G799" s="7" t="s">
        <v>85</v>
      </c>
      <c r="H799" s="7">
        <v>1977</v>
      </c>
      <c r="I799" s="7">
        <v>5</v>
      </c>
      <c r="K799" s="7">
        <v>7</v>
      </c>
      <c r="M799" s="7">
        <v>1</v>
      </c>
      <c r="N799" s="7">
        <v>14</v>
      </c>
      <c r="O799" s="7">
        <v>42</v>
      </c>
      <c r="P799" s="7">
        <v>42</v>
      </c>
      <c r="T799" s="12" t="s">
        <v>125</v>
      </c>
      <c r="V799" cm="1">
        <f t="array" ref="V799">_xlfn.LET(
_xlpm.x,_xlfn._xlws.FILTER(O799:S799,(O799:S799&lt;&gt;"R")*(O799:S799&lt;&gt;"NA")*(O799:S799&lt;&gt;"W")*(O799:S799&lt;&gt;"")),
IF(COUNTA(_xlpm.x)=0,"NA",IF(MIN(_xlpm.x)=MAX(_xlpm.x),MIN(_xlpm.x),"review"))
)</f>
        <v>42</v>
      </c>
    </row>
    <row r="800" spans="1:22" ht="15.75" hidden="1" customHeight="1" x14ac:dyDescent="0.25">
      <c r="A800" s="7" t="s">
        <v>154</v>
      </c>
      <c r="B800" s="8">
        <v>8</v>
      </c>
      <c r="C800" s="8" t="s">
        <v>155</v>
      </c>
      <c r="D800" s="9" t="s">
        <v>66</v>
      </c>
      <c r="E800" s="7" t="s">
        <v>25</v>
      </c>
      <c r="F800" s="7" t="s">
        <v>39</v>
      </c>
      <c r="G800" s="7" t="s">
        <v>85</v>
      </c>
      <c r="H800" s="7">
        <v>1977</v>
      </c>
      <c r="I800" s="7">
        <v>5</v>
      </c>
      <c r="K800" s="7">
        <v>7</v>
      </c>
      <c r="M800" s="7">
        <v>1</v>
      </c>
      <c r="N800" s="7">
        <v>15</v>
      </c>
      <c r="O800" s="7" t="s">
        <v>28</v>
      </c>
      <c r="P800" s="7" t="s">
        <v>29</v>
      </c>
      <c r="T800" s="12"/>
      <c r="V800" t="s">
        <v>29</v>
      </c>
    </row>
    <row r="801" spans="1:22" ht="15.75" hidden="1" customHeight="1" x14ac:dyDescent="0.25">
      <c r="A801" s="7" t="s">
        <v>154</v>
      </c>
      <c r="B801" s="8">
        <v>8</v>
      </c>
      <c r="C801" s="8" t="s">
        <v>155</v>
      </c>
      <c r="D801" s="9" t="s">
        <v>66</v>
      </c>
      <c r="E801" s="7" t="s">
        <v>25</v>
      </c>
      <c r="F801" s="7" t="s">
        <v>39</v>
      </c>
      <c r="G801" s="7" t="s">
        <v>85</v>
      </c>
      <c r="H801" s="7">
        <v>1977</v>
      </c>
      <c r="I801" s="7">
        <v>5</v>
      </c>
      <c r="K801" s="7">
        <v>7</v>
      </c>
      <c r="M801" s="7">
        <v>1</v>
      </c>
      <c r="N801" s="7">
        <v>16</v>
      </c>
      <c r="O801" s="7">
        <v>42</v>
      </c>
      <c r="P801" s="7">
        <v>42</v>
      </c>
      <c r="T801" s="12" t="s">
        <v>160</v>
      </c>
      <c r="V801" cm="1">
        <f t="array" ref="V801">_xlfn.LET(
_xlpm.x,_xlfn._xlws.FILTER(O801:S801,(O801:S801&lt;&gt;"R")*(O801:S801&lt;&gt;"NA")*(O801:S801&lt;&gt;"W")*(O801:S801&lt;&gt;"")),
IF(COUNTA(_xlpm.x)=0,"NA",IF(MIN(_xlpm.x)=MAX(_xlpm.x),MIN(_xlpm.x),"review"))
)</f>
        <v>42</v>
      </c>
    </row>
    <row r="802" spans="1:22" ht="15.75" hidden="1" customHeight="1" x14ac:dyDescent="0.25">
      <c r="A802" s="7" t="s">
        <v>154</v>
      </c>
      <c r="B802" s="8">
        <v>8</v>
      </c>
      <c r="C802" s="8" t="s">
        <v>155</v>
      </c>
      <c r="D802" s="9" t="s">
        <v>66</v>
      </c>
      <c r="E802" s="7" t="s">
        <v>25</v>
      </c>
      <c r="F802" s="7" t="s">
        <v>39</v>
      </c>
      <c r="G802" s="7" t="s">
        <v>85</v>
      </c>
      <c r="H802" s="7">
        <v>1977</v>
      </c>
      <c r="I802" s="7">
        <v>5</v>
      </c>
      <c r="K802" s="7">
        <v>7</v>
      </c>
      <c r="M802" s="7">
        <v>1</v>
      </c>
      <c r="N802" s="7">
        <v>17</v>
      </c>
      <c r="O802" s="7">
        <v>42</v>
      </c>
      <c r="P802" s="7">
        <v>42</v>
      </c>
      <c r="T802" s="12" t="s">
        <v>79</v>
      </c>
      <c r="V802" cm="1">
        <f t="array" ref="V802">_xlfn.LET(
_xlpm.x,_xlfn._xlws.FILTER(O802:S802,(O802:S802&lt;&gt;"R")*(O802:S802&lt;&gt;"NA")*(O802:S802&lt;&gt;"W")*(O802:S802&lt;&gt;"")),
IF(COUNTA(_xlpm.x)=0,"NA",IF(MIN(_xlpm.x)=MAX(_xlpm.x),MIN(_xlpm.x),"review"))
)</f>
        <v>42</v>
      </c>
    </row>
    <row r="803" spans="1:22" ht="15.75" hidden="1" customHeight="1" x14ac:dyDescent="0.25">
      <c r="A803" s="7" t="s">
        <v>154</v>
      </c>
      <c r="B803" s="8">
        <v>8</v>
      </c>
      <c r="C803" s="8" t="s">
        <v>155</v>
      </c>
      <c r="D803" s="9" t="s">
        <v>66</v>
      </c>
      <c r="E803" s="7" t="s">
        <v>25</v>
      </c>
      <c r="F803" s="7" t="s">
        <v>39</v>
      </c>
      <c r="G803" s="7" t="s">
        <v>85</v>
      </c>
      <c r="H803" s="7">
        <v>1977</v>
      </c>
      <c r="I803" s="7">
        <v>5</v>
      </c>
      <c r="K803" s="7">
        <v>7</v>
      </c>
      <c r="M803" s="7">
        <v>1</v>
      </c>
      <c r="N803" s="7">
        <v>18</v>
      </c>
      <c r="O803" s="7">
        <v>42</v>
      </c>
      <c r="P803" s="7">
        <v>42</v>
      </c>
      <c r="T803" s="12" t="s">
        <v>161</v>
      </c>
      <c r="V803" cm="1">
        <f t="array" ref="V803">_xlfn.LET(
_xlpm.x,_xlfn._xlws.FILTER(O803:S803,(O803:S803&lt;&gt;"R")*(O803:S803&lt;&gt;"NA")*(O803:S803&lt;&gt;"W")*(O803:S803&lt;&gt;"")),
IF(COUNTA(_xlpm.x)=0,"NA",IF(MIN(_xlpm.x)=MAX(_xlpm.x),MIN(_xlpm.x),"review"))
)</f>
        <v>42</v>
      </c>
    </row>
    <row r="804" spans="1:22" ht="15.75" hidden="1" customHeight="1" x14ac:dyDescent="0.25">
      <c r="A804" s="7" t="s">
        <v>154</v>
      </c>
      <c r="B804" s="8">
        <v>8</v>
      </c>
      <c r="C804" s="8" t="s">
        <v>155</v>
      </c>
      <c r="D804" s="9" t="s">
        <v>66</v>
      </c>
      <c r="E804" s="7" t="s">
        <v>25</v>
      </c>
      <c r="F804" s="7" t="s">
        <v>39</v>
      </c>
      <c r="G804" s="7" t="s">
        <v>85</v>
      </c>
      <c r="H804" s="7">
        <v>1977</v>
      </c>
      <c r="I804" s="7">
        <v>5</v>
      </c>
      <c r="K804" s="7">
        <v>7</v>
      </c>
      <c r="M804" s="7">
        <v>1</v>
      </c>
      <c r="N804" s="7">
        <v>19</v>
      </c>
      <c r="O804" s="7" t="s">
        <v>28</v>
      </c>
      <c r="P804" s="7">
        <v>52</v>
      </c>
      <c r="T804" s="12" t="s">
        <v>110</v>
      </c>
      <c r="V804" cm="1">
        <f t="array" ref="V804">_xlfn.LET(
_xlpm.x,_xlfn._xlws.FILTER(O804:S804,(O804:S804&lt;&gt;"R")*(O804:S804&lt;&gt;"NA")*(O804:S804&lt;&gt;"W")*(O804:S804&lt;&gt;"")),
IF(COUNTA(_xlpm.x)=0,"NA",IF(MIN(_xlpm.x)=MAX(_xlpm.x),MIN(_xlpm.x),"review"))
)</f>
        <v>52</v>
      </c>
    </row>
    <row r="805" spans="1:22" ht="15.75" hidden="1" customHeight="1" x14ac:dyDescent="0.25">
      <c r="A805" s="7" t="s">
        <v>154</v>
      </c>
      <c r="B805" s="8">
        <v>8</v>
      </c>
      <c r="C805" s="8" t="s">
        <v>155</v>
      </c>
      <c r="D805" s="9" t="s">
        <v>66</v>
      </c>
      <c r="E805" s="7" t="s">
        <v>25</v>
      </c>
      <c r="F805" s="7" t="s">
        <v>39</v>
      </c>
      <c r="G805" s="7" t="s">
        <v>85</v>
      </c>
      <c r="H805" s="7">
        <v>1977</v>
      </c>
      <c r="I805" s="7">
        <v>5</v>
      </c>
      <c r="K805" s="7">
        <v>7</v>
      </c>
      <c r="M805" s="7">
        <v>1</v>
      </c>
      <c r="N805" s="7">
        <v>20</v>
      </c>
      <c r="O805" s="7">
        <v>42</v>
      </c>
      <c r="P805" s="7" t="s">
        <v>29</v>
      </c>
      <c r="T805" s="12" t="s">
        <v>162</v>
      </c>
      <c r="V805" cm="1">
        <f t="array" ref="V805">_xlfn.LET(
_xlpm.x,_xlfn._xlws.FILTER(O805:S805,(O805:S805&lt;&gt;"R")*(O805:S805&lt;&gt;"NA")*(O805:S805&lt;&gt;"W")*(O805:S805&lt;&gt;"")),
IF(COUNTA(_xlpm.x)=0,"NA",IF(MIN(_xlpm.x)=MAX(_xlpm.x),MIN(_xlpm.x),"review"))
)</f>
        <v>42</v>
      </c>
    </row>
    <row r="806" spans="1:22" ht="15.75" hidden="1" customHeight="1" x14ac:dyDescent="0.25">
      <c r="A806" s="7" t="s">
        <v>154</v>
      </c>
      <c r="B806" s="8">
        <v>8</v>
      </c>
      <c r="C806" s="8" t="s">
        <v>155</v>
      </c>
      <c r="D806" s="9" t="s">
        <v>66</v>
      </c>
      <c r="E806" s="7" t="s">
        <v>25</v>
      </c>
      <c r="F806" s="7" t="s">
        <v>39</v>
      </c>
      <c r="G806" s="7" t="s">
        <v>85</v>
      </c>
      <c r="H806" s="7">
        <v>1977</v>
      </c>
      <c r="I806" s="7">
        <v>5</v>
      </c>
      <c r="K806" s="7">
        <v>7</v>
      </c>
      <c r="M806" s="7">
        <v>1</v>
      </c>
      <c r="N806" s="7">
        <v>21</v>
      </c>
      <c r="O806" s="7">
        <v>42</v>
      </c>
      <c r="P806" s="7">
        <v>42</v>
      </c>
      <c r="T806" s="12" t="s">
        <v>109</v>
      </c>
      <c r="V806" cm="1">
        <f t="array" ref="V806">_xlfn.LET(
_xlpm.x,_xlfn._xlws.FILTER(O806:S806,(O806:S806&lt;&gt;"R")*(O806:S806&lt;&gt;"NA")*(O806:S806&lt;&gt;"W")*(O806:S806&lt;&gt;"")),
IF(COUNTA(_xlpm.x)=0,"NA",IF(MIN(_xlpm.x)=MAX(_xlpm.x),MIN(_xlpm.x),"review"))
)</f>
        <v>42</v>
      </c>
    </row>
    <row r="807" spans="1:22" ht="15.75" hidden="1" customHeight="1" x14ac:dyDescent="0.25">
      <c r="A807" s="7" t="s">
        <v>154</v>
      </c>
      <c r="B807" s="8">
        <v>8</v>
      </c>
      <c r="C807" s="8" t="s">
        <v>155</v>
      </c>
      <c r="D807" s="9" t="s">
        <v>66</v>
      </c>
      <c r="E807" s="7" t="s">
        <v>25</v>
      </c>
      <c r="F807" s="7" t="s">
        <v>39</v>
      </c>
      <c r="G807" s="7" t="s">
        <v>85</v>
      </c>
      <c r="H807" s="7">
        <v>1977</v>
      </c>
      <c r="I807" s="7">
        <v>5</v>
      </c>
      <c r="K807" s="7">
        <v>7</v>
      </c>
      <c r="M807" s="7">
        <v>1</v>
      </c>
      <c r="N807" s="7">
        <v>22</v>
      </c>
      <c r="O807" s="7">
        <v>42</v>
      </c>
      <c r="P807" s="7" t="s">
        <v>28</v>
      </c>
      <c r="T807" s="12" t="s">
        <v>161</v>
      </c>
      <c r="V807" cm="1">
        <f t="array" ref="V807">_xlfn.LET(
_xlpm.x,_xlfn._xlws.FILTER(O807:S807,(O807:S807&lt;&gt;"R")*(O807:S807&lt;&gt;"NA")*(O807:S807&lt;&gt;"W")*(O807:S807&lt;&gt;"")),
IF(COUNTA(_xlpm.x)=0,"NA",IF(MIN(_xlpm.x)=MAX(_xlpm.x),MIN(_xlpm.x),"review"))
)</f>
        <v>42</v>
      </c>
    </row>
    <row r="808" spans="1:22" ht="15.75" hidden="1" customHeight="1" x14ac:dyDescent="0.25">
      <c r="A808" s="7" t="s">
        <v>154</v>
      </c>
      <c r="B808" s="8">
        <v>8</v>
      </c>
      <c r="C808" s="8" t="s">
        <v>155</v>
      </c>
      <c r="D808" s="9" t="s">
        <v>66</v>
      </c>
      <c r="E808" s="7" t="s">
        <v>25</v>
      </c>
      <c r="F808" s="7" t="s">
        <v>39</v>
      </c>
      <c r="G808" s="7" t="s">
        <v>85</v>
      </c>
      <c r="H808" s="7">
        <v>1977</v>
      </c>
      <c r="I808" s="7">
        <v>5</v>
      </c>
      <c r="K808" s="7">
        <v>7</v>
      </c>
      <c r="M808" s="7">
        <v>1</v>
      </c>
      <c r="N808" s="7">
        <v>23</v>
      </c>
      <c r="O808" s="7">
        <v>42</v>
      </c>
      <c r="P808" s="7">
        <v>42</v>
      </c>
      <c r="T808" s="12" t="s">
        <v>127</v>
      </c>
      <c r="V808" cm="1">
        <f t="array" ref="V808">_xlfn.LET(
_xlpm.x,_xlfn._xlws.FILTER(O808:S808,(O808:S808&lt;&gt;"R")*(O808:S808&lt;&gt;"NA")*(O808:S808&lt;&gt;"W")*(O808:S808&lt;&gt;"")),
IF(COUNTA(_xlpm.x)=0,"NA",IF(MIN(_xlpm.x)=MAX(_xlpm.x),MIN(_xlpm.x),"review"))
)</f>
        <v>42</v>
      </c>
    </row>
    <row r="809" spans="1:22" ht="15.75" hidden="1" customHeight="1" x14ac:dyDescent="0.25">
      <c r="A809" s="7" t="s">
        <v>154</v>
      </c>
      <c r="B809" s="8">
        <v>8</v>
      </c>
      <c r="C809" s="8" t="s">
        <v>155</v>
      </c>
      <c r="D809" s="9" t="s">
        <v>66</v>
      </c>
      <c r="E809" s="7" t="s">
        <v>25</v>
      </c>
      <c r="F809" s="7" t="s">
        <v>39</v>
      </c>
      <c r="G809" s="7" t="s">
        <v>85</v>
      </c>
      <c r="H809" s="7">
        <v>1977</v>
      </c>
      <c r="I809" s="7">
        <v>5</v>
      </c>
      <c r="K809" s="7">
        <v>7</v>
      </c>
      <c r="M809" s="7">
        <v>1</v>
      </c>
      <c r="N809" s="7">
        <v>24</v>
      </c>
      <c r="O809" s="7" t="s">
        <v>29</v>
      </c>
      <c r="P809" s="7">
        <v>42</v>
      </c>
      <c r="T809" s="12" t="s">
        <v>163</v>
      </c>
      <c r="V809" cm="1">
        <f t="array" ref="V809">_xlfn.LET(
_xlpm.x,_xlfn._xlws.FILTER(O809:S809,(O809:S809&lt;&gt;"R")*(O809:S809&lt;&gt;"NA")*(O809:S809&lt;&gt;"W")*(O809:S809&lt;&gt;"")),
IF(COUNTA(_xlpm.x)=0,"NA",IF(MIN(_xlpm.x)=MAX(_xlpm.x),MIN(_xlpm.x),"review"))
)</f>
        <v>42</v>
      </c>
    </row>
    <row r="810" spans="1:22" ht="15.75" hidden="1" customHeight="1" x14ac:dyDescent="0.25">
      <c r="A810" s="7" t="s">
        <v>154</v>
      </c>
      <c r="B810" s="8">
        <v>8</v>
      </c>
      <c r="C810" s="8" t="s">
        <v>155</v>
      </c>
      <c r="D810" s="9" t="s">
        <v>66</v>
      </c>
      <c r="E810" s="7" t="s">
        <v>25</v>
      </c>
      <c r="F810" s="7" t="s">
        <v>39</v>
      </c>
      <c r="G810" s="7" t="s">
        <v>85</v>
      </c>
      <c r="H810" s="7">
        <v>1977</v>
      </c>
      <c r="I810" s="7">
        <v>5</v>
      </c>
      <c r="K810" s="7">
        <v>7</v>
      </c>
      <c r="M810" s="7">
        <v>1</v>
      </c>
      <c r="N810" s="7">
        <v>25</v>
      </c>
      <c r="O810" s="7">
        <v>42</v>
      </c>
      <c r="P810" s="7">
        <v>42</v>
      </c>
      <c r="T810" s="12" t="s">
        <v>164</v>
      </c>
      <c r="V810" cm="1">
        <f t="array" ref="V810">_xlfn.LET(
_xlpm.x,_xlfn._xlws.FILTER(O810:S810,(O810:S810&lt;&gt;"R")*(O810:S810&lt;&gt;"NA")*(O810:S810&lt;&gt;"W")*(O810:S810&lt;&gt;"")),
IF(COUNTA(_xlpm.x)=0,"NA",IF(MIN(_xlpm.x)=MAX(_xlpm.x),MIN(_xlpm.x),"review"))
)</f>
        <v>42</v>
      </c>
    </row>
    <row r="811" spans="1:22" ht="15.75" hidden="1" customHeight="1" x14ac:dyDescent="0.25">
      <c r="A811" s="7" t="s">
        <v>154</v>
      </c>
      <c r="B811" s="8">
        <v>8</v>
      </c>
      <c r="C811" s="8" t="s">
        <v>155</v>
      </c>
      <c r="D811" s="9" t="s">
        <v>66</v>
      </c>
      <c r="E811" s="7" t="s">
        <v>25</v>
      </c>
      <c r="F811" s="7" t="s">
        <v>39</v>
      </c>
      <c r="G811" s="7" t="s">
        <v>85</v>
      </c>
      <c r="H811" s="7">
        <v>1977</v>
      </c>
      <c r="I811" s="7">
        <v>5</v>
      </c>
      <c r="K811" s="7">
        <v>7</v>
      </c>
      <c r="M811" s="7">
        <v>2</v>
      </c>
      <c r="N811" s="7">
        <v>1</v>
      </c>
      <c r="O811" s="7" t="s">
        <v>29</v>
      </c>
      <c r="P811" s="7">
        <v>42</v>
      </c>
      <c r="T811" s="12" t="s">
        <v>165</v>
      </c>
      <c r="V811" cm="1">
        <f t="array" ref="V811">_xlfn.LET(
_xlpm.x,_xlfn._xlws.FILTER(O811:S811,(O811:S811&lt;&gt;"R")*(O811:S811&lt;&gt;"NA")*(O811:S811&lt;&gt;"W")*(O811:S811&lt;&gt;"")),
IF(COUNTA(_xlpm.x)=0,"NA",IF(MIN(_xlpm.x)=MAX(_xlpm.x),MIN(_xlpm.x),"review"))
)</f>
        <v>42</v>
      </c>
    </row>
    <row r="812" spans="1:22" ht="15.75" hidden="1" customHeight="1" x14ac:dyDescent="0.25">
      <c r="A812" s="7" t="s">
        <v>154</v>
      </c>
      <c r="B812" s="8">
        <v>8</v>
      </c>
      <c r="C812" s="8" t="s">
        <v>155</v>
      </c>
      <c r="D812" s="9" t="s">
        <v>66</v>
      </c>
      <c r="E812" s="7" t="s">
        <v>25</v>
      </c>
      <c r="F812" s="7" t="s">
        <v>39</v>
      </c>
      <c r="G812" s="7" t="s">
        <v>85</v>
      </c>
      <c r="H812" s="7">
        <v>1977</v>
      </c>
      <c r="I812" s="7">
        <v>5</v>
      </c>
      <c r="K812" s="7">
        <v>7</v>
      </c>
      <c r="M812" s="7">
        <v>2</v>
      </c>
      <c r="N812" s="7">
        <v>2</v>
      </c>
      <c r="O812" s="7">
        <v>52</v>
      </c>
      <c r="P812" s="7">
        <v>52</v>
      </c>
      <c r="T812" s="12" t="s">
        <v>140</v>
      </c>
      <c r="V812" cm="1">
        <f t="array" ref="V812">_xlfn.LET(
_xlpm.x,_xlfn._xlws.FILTER(O812:S812,(O812:S812&lt;&gt;"R")*(O812:S812&lt;&gt;"NA")*(O812:S812&lt;&gt;"W")*(O812:S812&lt;&gt;"")),
IF(COUNTA(_xlpm.x)=0,"NA",IF(MIN(_xlpm.x)=MAX(_xlpm.x),MIN(_xlpm.x),"review"))
)</f>
        <v>52</v>
      </c>
    </row>
    <row r="813" spans="1:22" ht="15.75" hidden="1" customHeight="1" x14ac:dyDescent="0.25">
      <c r="A813" s="7" t="s">
        <v>154</v>
      </c>
      <c r="B813" s="8">
        <v>8</v>
      </c>
      <c r="C813" s="8" t="s">
        <v>155</v>
      </c>
      <c r="D813" s="9" t="s">
        <v>66</v>
      </c>
      <c r="E813" s="7" t="s">
        <v>25</v>
      </c>
      <c r="F813" s="7" t="s">
        <v>39</v>
      </c>
      <c r="G813" s="7" t="s">
        <v>85</v>
      </c>
      <c r="H813" s="7">
        <v>1977</v>
      </c>
      <c r="I813" s="7">
        <v>5</v>
      </c>
      <c r="K813" s="7">
        <v>7</v>
      </c>
      <c r="M813" s="7">
        <v>2</v>
      </c>
      <c r="N813" s="7">
        <v>3</v>
      </c>
      <c r="O813" s="7" t="s">
        <v>29</v>
      </c>
      <c r="P813" s="7">
        <v>42</v>
      </c>
      <c r="T813" s="12" t="s">
        <v>166</v>
      </c>
      <c r="V813" cm="1">
        <f t="array" ref="V813">_xlfn.LET(
_xlpm.x,_xlfn._xlws.FILTER(O813:S813,(O813:S813&lt;&gt;"R")*(O813:S813&lt;&gt;"NA")*(O813:S813&lt;&gt;"W")*(O813:S813&lt;&gt;"")),
IF(COUNTA(_xlpm.x)=0,"NA",IF(MIN(_xlpm.x)=MAX(_xlpm.x),MIN(_xlpm.x),"review"))
)</f>
        <v>42</v>
      </c>
    </row>
    <row r="814" spans="1:22" ht="15.75" hidden="1" customHeight="1" x14ac:dyDescent="0.25">
      <c r="A814" s="7" t="s">
        <v>154</v>
      </c>
      <c r="B814" s="8">
        <v>8</v>
      </c>
      <c r="C814" s="8" t="s">
        <v>155</v>
      </c>
      <c r="D814" s="9" t="s">
        <v>66</v>
      </c>
      <c r="E814" s="7" t="s">
        <v>25</v>
      </c>
      <c r="F814" s="7" t="s">
        <v>39</v>
      </c>
      <c r="G814" s="7" t="s">
        <v>85</v>
      </c>
      <c r="H814" s="7">
        <v>1977</v>
      </c>
      <c r="I814" s="7">
        <v>5</v>
      </c>
      <c r="K814" s="7">
        <v>7</v>
      </c>
      <c r="M814" s="7">
        <v>2</v>
      </c>
      <c r="N814" s="7">
        <v>4</v>
      </c>
      <c r="O814" s="7">
        <v>53</v>
      </c>
      <c r="P814" s="7">
        <v>53</v>
      </c>
      <c r="T814" s="12" t="s">
        <v>167</v>
      </c>
      <c r="V814" cm="1">
        <f t="array" ref="V814">_xlfn.LET(
_xlpm.x,_xlfn._xlws.FILTER(O814:S814,(O814:S814&lt;&gt;"R")*(O814:S814&lt;&gt;"NA")*(O814:S814&lt;&gt;"W")*(O814:S814&lt;&gt;"")),
IF(COUNTA(_xlpm.x)=0,"NA",IF(MIN(_xlpm.x)=MAX(_xlpm.x),MIN(_xlpm.x),"review"))
)</f>
        <v>53</v>
      </c>
    </row>
    <row r="815" spans="1:22" ht="15.75" hidden="1" customHeight="1" x14ac:dyDescent="0.25">
      <c r="A815" s="7" t="s">
        <v>154</v>
      </c>
      <c r="B815" s="8">
        <v>8</v>
      </c>
      <c r="C815" s="8" t="s">
        <v>155</v>
      </c>
      <c r="D815" s="9" t="s">
        <v>66</v>
      </c>
      <c r="E815" s="7" t="s">
        <v>25</v>
      </c>
      <c r="F815" s="7" t="s">
        <v>39</v>
      </c>
      <c r="G815" s="7" t="s">
        <v>85</v>
      </c>
      <c r="H815" s="7">
        <v>1977</v>
      </c>
      <c r="I815" s="7">
        <v>5</v>
      </c>
      <c r="K815" s="7">
        <v>7</v>
      </c>
      <c r="M815" s="7">
        <v>2</v>
      </c>
      <c r="N815" s="7">
        <v>5</v>
      </c>
      <c r="O815" s="7">
        <v>42</v>
      </c>
      <c r="P815" s="7">
        <v>42</v>
      </c>
      <c r="T815" s="12" t="s">
        <v>168</v>
      </c>
      <c r="V815" cm="1">
        <f t="array" ref="V815">_xlfn.LET(
_xlpm.x,_xlfn._xlws.FILTER(O815:S815,(O815:S815&lt;&gt;"R")*(O815:S815&lt;&gt;"NA")*(O815:S815&lt;&gt;"W")*(O815:S815&lt;&gt;"")),
IF(COUNTA(_xlpm.x)=0,"NA",IF(MIN(_xlpm.x)=MAX(_xlpm.x),MIN(_xlpm.x),"review"))
)</f>
        <v>42</v>
      </c>
    </row>
    <row r="816" spans="1:22" ht="15.75" hidden="1" customHeight="1" x14ac:dyDescent="0.25">
      <c r="A816" s="7" t="s">
        <v>154</v>
      </c>
      <c r="B816" s="8">
        <v>8</v>
      </c>
      <c r="C816" s="8" t="s">
        <v>155</v>
      </c>
      <c r="D816" s="9" t="s">
        <v>66</v>
      </c>
      <c r="E816" s="7" t="s">
        <v>25</v>
      </c>
      <c r="F816" s="7" t="s">
        <v>39</v>
      </c>
      <c r="G816" s="7" t="s">
        <v>85</v>
      </c>
      <c r="H816" s="7">
        <v>1977</v>
      </c>
      <c r="I816" s="7">
        <v>5</v>
      </c>
      <c r="K816" s="7">
        <v>7</v>
      </c>
      <c r="M816" s="7">
        <v>2</v>
      </c>
      <c r="N816" s="7">
        <v>6</v>
      </c>
      <c r="O816" s="7">
        <v>42</v>
      </c>
      <c r="P816" s="7">
        <v>42</v>
      </c>
      <c r="T816" s="12" t="s">
        <v>169</v>
      </c>
      <c r="V816" cm="1">
        <f t="array" ref="V816">_xlfn.LET(
_xlpm.x,_xlfn._xlws.FILTER(O816:S816,(O816:S816&lt;&gt;"R")*(O816:S816&lt;&gt;"NA")*(O816:S816&lt;&gt;"W")*(O816:S816&lt;&gt;"")),
IF(COUNTA(_xlpm.x)=0,"NA",IF(MIN(_xlpm.x)=MAX(_xlpm.x),MIN(_xlpm.x),"review"))
)</f>
        <v>42</v>
      </c>
    </row>
    <row r="817" spans="1:22" ht="15.75" hidden="1" customHeight="1" x14ac:dyDescent="0.25">
      <c r="A817" s="7" t="s">
        <v>154</v>
      </c>
      <c r="B817" s="8">
        <v>8</v>
      </c>
      <c r="C817" s="8" t="s">
        <v>155</v>
      </c>
      <c r="D817" s="9" t="s">
        <v>66</v>
      </c>
      <c r="E817" s="7" t="s">
        <v>25</v>
      </c>
      <c r="F817" s="7" t="s">
        <v>39</v>
      </c>
      <c r="G817" s="7" t="s">
        <v>85</v>
      </c>
      <c r="H817" s="7">
        <v>1977</v>
      </c>
      <c r="I817" s="7">
        <v>5</v>
      </c>
      <c r="K817" s="7">
        <v>7</v>
      </c>
      <c r="M817" s="7">
        <v>2</v>
      </c>
      <c r="N817" s="7">
        <v>7</v>
      </c>
      <c r="O817" s="7">
        <v>42</v>
      </c>
      <c r="P817" s="7">
        <v>42</v>
      </c>
      <c r="T817" s="12" t="s">
        <v>74</v>
      </c>
      <c r="V817" cm="1">
        <f t="array" ref="V817">_xlfn.LET(
_xlpm.x,_xlfn._xlws.FILTER(O817:S817,(O817:S817&lt;&gt;"R")*(O817:S817&lt;&gt;"NA")*(O817:S817&lt;&gt;"W")*(O817:S817&lt;&gt;"")),
IF(COUNTA(_xlpm.x)=0,"NA",IF(MIN(_xlpm.x)=MAX(_xlpm.x),MIN(_xlpm.x),"review"))
)</f>
        <v>42</v>
      </c>
    </row>
    <row r="818" spans="1:22" ht="15.75" hidden="1" customHeight="1" x14ac:dyDescent="0.25">
      <c r="A818" s="7" t="s">
        <v>154</v>
      </c>
      <c r="B818" s="8">
        <v>8</v>
      </c>
      <c r="C818" s="8" t="s">
        <v>155</v>
      </c>
      <c r="D818" s="9" t="s">
        <v>66</v>
      </c>
      <c r="E818" s="7" t="s">
        <v>25</v>
      </c>
      <c r="F818" s="7" t="s">
        <v>39</v>
      </c>
      <c r="G818" s="7" t="s">
        <v>85</v>
      </c>
      <c r="H818" s="7">
        <v>1977</v>
      </c>
      <c r="I818" s="7">
        <v>5</v>
      </c>
      <c r="K818" s="7">
        <v>7</v>
      </c>
      <c r="M818" s="7">
        <v>2</v>
      </c>
      <c r="N818" s="7">
        <v>8</v>
      </c>
      <c r="O818" s="7" t="s">
        <v>28</v>
      </c>
      <c r="P818" s="7">
        <v>42</v>
      </c>
      <c r="T818" s="12" t="s">
        <v>83</v>
      </c>
      <c r="V818" cm="1">
        <f t="array" ref="V818">_xlfn.LET(
_xlpm.x,_xlfn._xlws.FILTER(O818:S818,(O818:S818&lt;&gt;"R")*(O818:S818&lt;&gt;"NA")*(O818:S818&lt;&gt;"W")*(O818:S818&lt;&gt;"")),
IF(COUNTA(_xlpm.x)=0,"NA",IF(MIN(_xlpm.x)=MAX(_xlpm.x),MIN(_xlpm.x),"review"))
)</f>
        <v>42</v>
      </c>
    </row>
    <row r="819" spans="1:22" ht="15.75" hidden="1" customHeight="1" x14ac:dyDescent="0.25">
      <c r="A819" s="7" t="s">
        <v>154</v>
      </c>
      <c r="B819" s="8">
        <v>8</v>
      </c>
      <c r="C819" s="8" t="s">
        <v>155</v>
      </c>
      <c r="D819" s="9" t="s">
        <v>66</v>
      </c>
      <c r="E819" s="7" t="s">
        <v>25</v>
      </c>
      <c r="F819" s="7" t="s">
        <v>39</v>
      </c>
      <c r="G819" s="7" t="s">
        <v>85</v>
      </c>
      <c r="H819" s="7">
        <v>1977</v>
      </c>
      <c r="I819" s="7">
        <v>5</v>
      </c>
      <c r="K819" s="7">
        <v>7</v>
      </c>
      <c r="M819" s="7">
        <v>2</v>
      </c>
      <c r="N819" s="7">
        <v>9</v>
      </c>
      <c r="O819" s="7">
        <v>42</v>
      </c>
      <c r="P819" s="7">
        <v>42</v>
      </c>
      <c r="T819" s="12" t="s">
        <v>130</v>
      </c>
      <c r="V819" cm="1">
        <f t="array" ref="V819">_xlfn.LET(
_xlpm.x,_xlfn._xlws.FILTER(O819:S819,(O819:S819&lt;&gt;"R")*(O819:S819&lt;&gt;"NA")*(O819:S819&lt;&gt;"W")*(O819:S819&lt;&gt;"")),
IF(COUNTA(_xlpm.x)=0,"NA",IF(MIN(_xlpm.x)=MAX(_xlpm.x),MIN(_xlpm.x),"review"))
)</f>
        <v>42</v>
      </c>
    </row>
    <row r="820" spans="1:22" ht="15.75" hidden="1" customHeight="1" x14ac:dyDescent="0.25">
      <c r="A820" s="7" t="s">
        <v>154</v>
      </c>
      <c r="B820" s="8">
        <v>8</v>
      </c>
      <c r="C820" s="8" t="s">
        <v>155</v>
      </c>
      <c r="D820" s="9" t="s">
        <v>66</v>
      </c>
      <c r="E820" s="7" t="s">
        <v>25</v>
      </c>
      <c r="F820" s="7" t="s">
        <v>39</v>
      </c>
      <c r="G820" s="7" t="s">
        <v>85</v>
      </c>
      <c r="H820" s="7">
        <v>1977</v>
      </c>
      <c r="I820" s="7">
        <v>5</v>
      </c>
      <c r="K820" s="7">
        <v>7</v>
      </c>
      <c r="M820" s="7">
        <v>2</v>
      </c>
      <c r="N820" s="7">
        <v>10</v>
      </c>
      <c r="O820" s="7">
        <v>42</v>
      </c>
      <c r="P820" s="7">
        <v>42</v>
      </c>
      <c r="T820" s="12" t="s">
        <v>94</v>
      </c>
      <c r="V820" cm="1">
        <f t="array" ref="V820">_xlfn.LET(
_xlpm.x,_xlfn._xlws.FILTER(O820:S820,(O820:S820&lt;&gt;"R")*(O820:S820&lt;&gt;"NA")*(O820:S820&lt;&gt;"W")*(O820:S820&lt;&gt;"")),
IF(COUNTA(_xlpm.x)=0,"NA",IF(MIN(_xlpm.x)=MAX(_xlpm.x),MIN(_xlpm.x),"review"))
)</f>
        <v>42</v>
      </c>
    </row>
    <row r="821" spans="1:22" ht="15.75" hidden="1" customHeight="1" x14ac:dyDescent="0.25">
      <c r="A821" s="7" t="s">
        <v>154</v>
      </c>
      <c r="B821" s="8">
        <v>8</v>
      </c>
      <c r="C821" s="8" t="s">
        <v>155</v>
      </c>
      <c r="D821" s="9" t="s">
        <v>66</v>
      </c>
      <c r="E821" s="7" t="s">
        <v>25</v>
      </c>
      <c r="F821" s="7" t="s">
        <v>39</v>
      </c>
      <c r="G821" s="7" t="s">
        <v>85</v>
      </c>
      <c r="H821" s="7">
        <v>1977</v>
      </c>
      <c r="I821" s="7">
        <v>5</v>
      </c>
      <c r="K821" s="7">
        <v>7</v>
      </c>
      <c r="M821" s="7">
        <v>2</v>
      </c>
      <c r="N821" s="7">
        <v>11</v>
      </c>
      <c r="O821" s="7">
        <v>52</v>
      </c>
      <c r="P821" s="7">
        <v>52</v>
      </c>
      <c r="T821" s="12" t="s">
        <v>108</v>
      </c>
      <c r="V821" cm="1">
        <f t="array" ref="V821">_xlfn.LET(
_xlpm.x,_xlfn._xlws.FILTER(O821:S821,(O821:S821&lt;&gt;"R")*(O821:S821&lt;&gt;"NA")*(O821:S821&lt;&gt;"W")*(O821:S821&lt;&gt;"")),
IF(COUNTA(_xlpm.x)=0,"NA",IF(MIN(_xlpm.x)=MAX(_xlpm.x),MIN(_xlpm.x),"review"))
)</f>
        <v>52</v>
      </c>
    </row>
    <row r="822" spans="1:22" ht="15.75" hidden="1" customHeight="1" x14ac:dyDescent="0.25">
      <c r="A822" s="7" t="s">
        <v>154</v>
      </c>
      <c r="B822" s="8">
        <v>8</v>
      </c>
      <c r="C822" s="8" t="s">
        <v>155</v>
      </c>
      <c r="D822" s="9" t="s">
        <v>66</v>
      </c>
      <c r="E822" s="7" t="s">
        <v>25</v>
      </c>
      <c r="F822" s="7" t="s">
        <v>39</v>
      </c>
      <c r="G822" s="7" t="s">
        <v>85</v>
      </c>
      <c r="H822" s="7">
        <v>1977</v>
      </c>
      <c r="I822" s="7">
        <v>5</v>
      </c>
      <c r="K822" s="7">
        <v>7</v>
      </c>
      <c r="M822" s="7">
        <v>2</v>
      </c>
      <c r="N822" s="7">
        <v>12</v>
      </c>
      <c r="O822" s="7">
        <v>42</v>
      </c>
      <c r="P822" s="7" t="s">
        <v>28</v>
      </c>
      <c r="T822" s="12" t="s">
        <v>106</v>
      </c>
      <c r="V822" cm="1">
        <f t="array" ref="V822">_xlfn.LET(
_xlpm.x,_xlfn._xlws.FILTER(O822:S822,(O822:S822&lt;&gt;"R")*(O822:S822&lt;&gt;"NA")*(O822:S822&lt;&gt;"W")*(O822:S822&lt;&gt;"")),
IF(COUNTA(_xlpm.x)=0,"NA",IF(MIN(_xlpm.x)=MAX(_xlpm.x),MIN(_xlpm.x),"review"))
)</f>
        <v>42</v>
      </c>
    </row>
    <row r="823" spans="1:22" ht="15.75" hidden="1" customHeight="1" x14ac:dyDescent="0.25">
      <c r="A823" s="7" t="s">
        <v>154</v>
      </c>
      <c r="B823" s="8">
        <v>8</v>
      </c>
      <c r="C823" s="8" t="s">
        <v>155</v>
      </c>
      <c r="D823" s="9" t="s">
        <v>66</v>
      </c>
      <c r="E823" s="7" t="s">
        <v>25</v>
      </c>
      <c r="F823" s="7" t="s">
        <v>39</v>
      </c>
      <c r="G823" s="7" t="s">
        <v>85</v>
      </c>
      <c r="H823" s="7">
        <v>1977</v>
      </c>
      <c r="I823" s="7">
        <v>5</v>
      </c>
      <c r="K823" s="7">
        <v>7</v>
      </c>
      <c r="M823" s="7">
        <v>2</v>
      </c>
      <c r="N823" s="7">
        <v>13</v>
      </c>
      <c r="O823" s="7">
        <v>52</v>
      </c>
      <c r="P823" s="7">
        <v>52</v>
      </c>
      <c r="T823" s="12" t="s">
        <v>102</v>
      </c>
      <c r="V823" cm="1">
        <f t="array" ref="V823">_xlfn.LET(
_xlpm.x,_xlfn._xlws.FILTER(O823:S823,(O823:S823&lt;&gt;"R")*(O823:S823&lt;&gt;"NA")*(O823:S823&lt;&gt;"W")*(O823:S823&lt;&gt;"")),
IF(COUNTA(_xlpm.x)=0,"NA",IF(MIN(_xlpm.x)=MAX(_xlpm.x),MIN(_xlpm.x),"review"))
)</f>
        <v>52</v>
      </c>
    </row>
    <row r="824" spans="1:22" ht="15.75" hidden="1" customHeight="1" x14ac:dyDescent="0.25">
      <c r="A824" s="7" t="s">
        <v>154</v>
      </c>
      <c r="B824" s="8">
        <v>8</v>
      </c>
      <c r="C824" s="8" t="s">
        <v>155</v>
      </c>
      <c r="D824" s="9" t="s">
        <v>66</v>
      </c>
      <c r="E824" s="7" t="s">
        <v>25</v>
      </c>
      <c r="F824" s="7" t="s">
        <v>39</v>
      </c>
      <c r="G824" s="7" t="s">
        <v>85</v>
      </c>
      <c r="H824" s="7">
        <v>1977</v>
      </c>
      <c r="I824" s="7">
        <v>5</v>
      </c>
      <c r="K824" s="7">
        <v>7</v>
      </c>
      <c r="M824" s="7">
        <v>2</v>
      </c>
      <c r="N824" s="7">
        <v>14</v>
      </c>
      <c r="O824" s="7">
        <v>42</v>
      </c>
      <c r="P824" s="7">
        <v>42</v>
      </c>
      <c r="T824" s="12" t="s">
        <v>73</v>
      </c>
      <c r="V824" cm="1">
        <f t="array" ref="V824">_xlfn.LET(
_xlpm.x,_xlfn._xlws.FILTER(O824:S824,(O824:S824&lt;&gt;"R")*(O824:S824&lt;&gt;"NA")*(O824:S824&lt;&gt;"W")*(O824:S824&lt;&gt;"")),
IF(COUNTA(_xlpm.x)=0,"NA",IF(MIN(_xlpm.x)=MAX(_xlpm.x),MIN(_xlpm.x),"review"))
)</f>
        <v>42</v>
      </c>
    </row>
    <row r="825" spans="1:22" ht="15.75" hidden="1" customHeight="1" x14ac:dyDescent="0.25">
      <c r="A825" s="7" t="s">
        <v>154</v>
      </c>
      <c r="B825" s="8">
        <v>8</v>
      </c>
      <c r="C825" s="8" t="s">
        <v>155</v>
      </c>
      <c r="D825" s="9" t="s">
        <v>66</v>
      </c>
      <c r="E825" s="7" t="s">
        <v>25</v>
      </c>
      <c r="F825" s="7" t="s">
        <v>39</v>
      </c>
      <c r="G825" s="7" t="s">
        <v>85</v>
      </c>
      <c r="H825" s="7">
        <v>1977</v>
      </c>
      <c r="I825" s="7">
        <v>5</v>
      </c>
      <c r="K825" s="7">
        <v>7</v>
      </c>
      <c r="M825" s="7">
        <v>2</v>
      </c>
      <c r="N825" s="7">
        <v>15</v>
      </c>
      <c r="O825" s="7">
        <v>52</v>
      </c>
      <c r="P825" s="7">
        <v>52</v>
      </c>
      <c r="T825" s="12" t="s">
        <v>161</v>
      </c>
      <c r="V825" cm="1">
        <f t="array" ref="V825">_xlfn.LET(
_xlpm.x,_xlfn._xlws.FILTER(O825:S825,(O825:S825&lt;&gt;"R")*(O825:S825&lt;&gt;"NA")*(O825:S825&lt;&gt;"W")*(O825:S825&lt;&gt;"")),
IF(COUNTA(_xlpm.x)=0,"NA",IF(MIN(_xlpm.x)=MAX(_xlpm.x),MIN(_xlpm.x),"review"))
)</f>
        <v>52</v>
      </c>
    </row>
    <row r="826" spans="1:22" ht="15.75" hidden="1" customHeight="1" x14ac:dyDescent="0.25">
      <c r="A826" s="7" t="s">
        <v>154</v>
      </c>
      <c r="B826" s="8">
        <v>8</v>
      </c>
      <c r="C826" s="8" t="s">
        <v>155</v>
      </c>
      <c r="D826" s="9" t="s">
        <v>66</v>
      </c>
      <c r="E826" s="7" t="s">
        <v>25</v>
      </c>
      <c r="F826" s="7" t="s">
        <v>39</v>
      </c>
      <c r="G826" s="7" t="s">
        <v>85</v>
      </c>
      <c r="H826" s="7">
        <v>1977</v>
      </c>
      <c r="I826" s="7">
        <v>5</v>
      </c>
      <c r="K826" s="7">
        <v>7</v>
      </c>
      <c r="M826" s="7">
        <v>2</v>
      </c>
      <c r="N826" s="7">
        <v>16</v>
      </c>
      <c r="O826" s="7">
        <v>42</v>
      </c>
      <c r="P826" s="7">
        <v>42</v>
      </c>
      <c r="T826" s="12" t="s">
        <v>170</v>
      </c>
      <c r="V826" cm="1">
        <f t="array" ref="V826">_xlfn.LET(
_xlpm.x,_xlfn._xlws.FILTER(O826:S826,(O826:S826&lt;&gt;"R")*(O826:S826&lt;&gt;"NA")*(O826:S826&lt;&gt;"W")*(O826:S826&lt;&gt;"")),
IF(COUNTA(_xlpm.x)=0,"NA",IF(MIN(_xlpm.x)=MAX(_xlpm.x),MIN(_xlpm.x),"review"))
)</f>
        <v>42</v>
      </c>
    </row>
    <row r="827" spans="1:22" ht="15.75" hidden="1" customHeight="1" x14ac:dyDescent="0.25">
      <c r="A827" s="7" t="s">
        <v>154</v>
      </c>
      <c r="B827" s="8">
        <v>8</v>
      </c>
      <c r="C827" s="8" t="s">
        <v>155</v>
      </c>
      <c r="D827" s="9" t="s">
        <v>66</v>
      </c>
      <c r="E827" s="7" t="s">
        <v>25</v>
      </c>
      <c r="F827" s="7" t="s">
        <v>39</v>
      </c>
      <c r="G827" s="7" t="s">
        <v>85</v>
      </c>
      <c r="H827" s="7">
        <v>1977</v>
      </c>
      <c r="I827" s="7">
        <v>5</v>
      </c>
      <c r="K827" s="7">
        <v>7</v>
      </c>
      <c r="M827" s="7">
        <v>2</v>
      </c>
      <c r="N827" s="7">
        <v>17</v>
      </c>
      <c r="O827" s="7">
        <v>42</v>
      </c>
      <c r="P827" s="7">
        <v>42</v>
      </c>
      <c r="T827" s="12" t="s">
        <v>74</v>
      </c>
      <c r="V827" cm="1">
        <f t="array" ref="V827">_xlfn.LET(
_xlpm.x,_xlfn._xlws.FILTER(O827:S827,(O827:S827&lt;&gt;"R")*(O827:S827&lt;&gt;"NA")*(O827:S827&lt;&gt;"W")*(O827:S827&lt;&gt;"")),
IF(COUNTA(_xlpm.x)=0,"NA",IF(MIN(_xlpm.x)=MAX(_xlpm.x),MIN(_xlpm.x),"review"))
)</f>
        <v>42</v>
      </c>
    </row>
    <row r="828" spans="1:22" ht="15.75" hidden="1" customHeight="1" x14ac:dyDescent="0.25">
      <c r="A828" s="7" t="s">
        <v>154</v>
      </c>
      <c r="B828" s="8">
        <v>8</v>
      </c>
      <c r="C828" s="8" t="s">
        <v>155</v>
      </c>
      <c r="D828" s="9" t="s">
        <v>66</v>
      </c>
      <c r="E828" s="7" t="s">
        <v>25</v>
      </c>
      <c r="F828" s="7" t="s">
        <v>39</v>
      </c>
      <c r="G828" s="7" t="s">
        <v>85</v>
      </c>
      <c r="H828" s="7">
        <v>1977</v>
      </c>
      <c r="I828" s="7">
        <v>5</v>
      </c>
      <c r="K828" s="7">
        <v>7</v>
      </c>
      <c r="M828" s="7">
        <v>2</v>
      </c>
      <c r="N828" s="7">
        <v>18</v>
      </c>
      <c r="O828" s="7">
        <v>42</v>
      </c>
      <c r="P828" s="7">
        <v>42</v>
      </c>
      <c r="T828" s="12" t="s">
        <v>171</v>
      </c>
      <c r="V828" cm="1">
        <f t="array" ref="V828">_xlfn.LET(
_xlpm.x,_xlfn._xlws.FILTER(O828:S828,(O828:S828&lt;&gt;"R")*(O828:S828&lt;&gt;"NA")*(O828:S828&lt;&gt;"W")*(O828:S828&lt;&gt;"")),
IF(COUNTA(_xlpm.x)=0,"NA",IF(MIN(_xlpm.x)=MAX(_xlpm.x),MIN(_xlpm.x),"review"))
)</f>
        <v>42</v>
      </c>
    </row>
    <row r="829" spans="1:22" ht="15.75" hidden="1" customHeight="1" x14ac:dyDescent="0.25">
      <c r="A829" s="7" t="s">
        <v>154</v>
      </c>
      <c r="B829" s="8">
        <v>8</v>
      </c>
      <c r="C829" s="8" t="s">
        <v>155</v>
      </c>
      <c r="D829" s="9" t="s">
        <v>66</v>
      </c>
      <c r="E829" s="7" t="s">
        <v>25</v>
      </c>
      <c r="F829" s="7" t="s">
        <v>39</v>
      </c>
      <c r="G829" s="7" t="s">
        <v>85</v>
      </c>
      <c r="H829" s="7">
        <v>1977</v>
      </c>
      <c r="I829" s="7">
        <v>5</v>
      </c>
      <c r="K829" s="7">
        <v>7</v>
      </c>
      <c r="M829" s="7">
        <v>2</v>
      </c>
      <c r="N829" s="7">
        <v>19</v>
      </c>
      <c r="O829" s="7">
        <v>42</v>
      </c>
      <c r="P829" s="7">
        <v>42</v>
      </c>
      <c r="T829" s="12" t="s">
        <v>138</v>
      </c>
      <c r="V829" cm="1">
        <f t="array" ref="V829">_xlfn.LET(
_xlpm.x,_xlfn._xlws.FILTER(O829:S829,(O829:S829&lt;&gt;"R")*(O829:S829&lt;&gt;"NA")*(O829:S829&lt;&gt;"W")*(O829:S829&lt;&gt;"")),
IF(COUNTA(_xlpm.x)=0,"NA",IF(MIN(_xlpm.x)=MAX(_xlpm.x),MIN(_xlpm.x),"review"))
)</f>
        <v>42</v>
      </c>
    </row>
    <row r="830" spans="1:22" ht="15.75" hidden="1" customHeight="1" x14ac:dyDescent="0.25">
      <c r="A830" s="7" t="s">
        <v>154</v>
      </c>
      <c r="B830" s="8">
        <v>8</v>
      </c>
      <c r="C830" s="8" t="s">
        <v>155</v>
      </c>
      <c r="D830" s="9" t="s">
        <v>66</v>
      </c>
      <c r="E830" s="7" t="s">
        <v>25</v>
      </c>
      <c r="F830" s="7" t="s">
        <v>39</v>
      </c>
      <c r="G830" s="7" t="s">
        <v>85</v>
      </c>
      <c r="H830" s="7">
        <v>1977</v>
      </c>
      <c r="I830" s="7">
        <v>5</v>
      </c>
      <c r="K830" s="7">
        <v>7</v>
      </c>
      <c r="M830" s="7">
        <v>2</v>
      </c>
      <c r="N830" s="7">
        <v>20</v>
      </c>
      <c r="O830" s="7">
        <v>42</v>
      </c>
      <c r="P830" s="7" t="s">
        <v>28</v>
      </c>
      <c r="T830" s="12" t="s">
        <v>79</v>
      </c>
      <c r="V830" cm="1">
        <f t="array" ref="V830">_xlfn.LET(
_xlpm.x,_xlfn._xlws.FILTER(O830:S830,(O830:S830&lt;&gt;"R")*(O830:S830&lt;&gt;"NA")*(O830:S830&lt;&gt;"W")*(O830:S830&lt;&gt;"")),
IF(COUNTA(_xlpm.x)=0,"NA",IF(MIN(_xlpm.x)=MAX(_xlpm.x),MIN(_xlpm.x),"review"))
)</f>
        <v>42</v>
      </c>
    </row>
    <row r="831" spans="1:22" ht="15.75" hidden="1" customHeight="1" x14ac:dyDescent="0.25">
      <c r="A831" s="7" t="s">
        <v>154</v>
      </c>
      <c r="B831" s="8">
        <v>8</v>
      </c>
      <c r="C831" s="8" t="s">
        <v>155</v>
      </c>
      <c r="D831" s="9" t="s">
        <v>66</v>
      </c>
      <c r="E831" s="7" t="s">
        <v>25</v>
      </c>
      <c r="F831" s="7" t="s">
        <v>39</v>
      </c>
      <c r="G831" s="7" t="s">
        <v>85</v>
      </c>
      <c r="H831" s="7">
        <v>1977</v>
      </c>
      <c r="I831" s="7">
        <v>5</v>
      </c>
      <c r="K831" s="7">
        <v>7</v>
      </c>
      <c r="M831" s="7">
        <v>2</v>
      </c>
      <c r="N831" s="7">
        <v>21</v>
      </c>
      <c r="O831" s="7">
        <v>52</v>
      </c>
      <c r="P831" s="7">
        <v>52</v>
      </c>
      <c r="T831" s="12" t="s">
        <v>172</v>
      </c>
      <c r="V831" cm="1">
        <f t="array" ref="V831">_xlfn.LET(
_xlpm.x,_xlfn._xlws.FILTER(O831:S831,(O831:S831&lt;&gt;"R")*(O831:S831&lt;&gt;"NA")*(O831:S831&lt;&gt;"W")*(O831:S831&lt;&gt;"")),
IF(COUNTA(_xlpm.x)=0,"NA",IF(MIN(_xlpm.x)=MAX(_xlpm.x),MIN(_xlpm.x),"review"))
)</f>
        <v>52</v>
      </c>
    </row>
    <row r="832" spans="1:22" ht="15.75" hidden="1" customHeight="1" x14ac:dyDescent="0.25">
      <c r="A832" s="7" t="s">
        <v>154</v>
      </c>
      <c r="B832" s="8">
        <v>8</v>
      </c>
      <c r="C832" s="8" t="s">
        <v>155</v>
      </c>
      <c r="D832" s="9" t="s">
        <v>66</v>
      </c>
      <c r="E832" s="7" t="s">
        <v>25</v>
      </c>
      <c r="F832" s="7" t="s">
        <v>39</v>
      </c>
      <c r="G832" s="7" t="s">
        <v>85</v>
      </c>
      <c r="H832" s="7">
        <v>1977</v>
      </c>
      <c r="I832" s="7">
        <v>5</v>
      </c>
      <c r="K832" s="7">
        <v>7</v>
      </c>
      <c r="M832" s="7">
        <v>2</v>
      </c>
      <c r="N832" s="7">
        <v>22</v>
      </c>
      <c r="O832" s="7">
        <v>42</v>
      </c>
      <c r="P832" s="7">
        <v>42</v>
      </c>
      <c r="T832" s="12" t="s">
        <v>173</v>
      </c>
      <c r="V832" cm="1">
        <f t="array" ref="V832">_xlfn.LET(
_xlpm.x,_xlfn._xlws.FILTER(O832:S832,(O832:S832&lt;&gt;"R")*(O832:S832&lt;&gt;"NA")*(O832:S832&lt;&gt;"W")*(O832:S832&lt;&gt;"")),
IF(COUNTA(_xlpm.x)=0,"NA",IF(MIN(_xlpm.x)=MAX(_xlpm.x),MIN(_xlpm.x),"review"))
)</f>
        <v>42</v>
      </c>
    </row>
    <row r="833" spans="1:22" ht="15.75" hidden="1" customHeight="1" x14ac:dyDescent="0.25">
      <c r="A833" s="7" t="s">
        <v>154</v>
      </c>
      <c r="B833" s="8">
        <v>8</v>
      </c>
      <c r="C833" s="8" t="s">
        <v>155</v>
      </c>
      <c r="D833" s="9" t="s">
        <v>66</v>
      </c>
      <c r="E833" s="7" t="s">
        <v>25</v>
      </c>
      <c r="F833" s="7" t="s">
        <v>39</v>
      </c>
      <c r="G833" s="7" t="s">
        <v>85</v>
      </c>
      <c r="H833" s="7">
        <v>1977</v>
      </c>
      <c r="I833" s="7">
        <v>5</v>
      </c>
      <c r="K833" s="7">
        <v>7</v>
      </c>
      <c r="M833" s="7">
        <v>2</v>
      </c>
      <c r="N833" s="7">
        <v>23</v>
      </c>
      <c r="O833" s="7">
        <v>52</v>
      </c>
      <c r="P833" s="7">
        <v>52</v>
      </c>
      <c r="T833" s="12" t="s">
        <v>102</v>
      </c>
      <c r="V833" cm="1">
        <f t="array" ref="V833">_xlfn.LET(
_xlpm.x,_xlfn._xlws.FILTER(O833:S833,(O833:S833&lt;&gt;"R")*(O833:S833&lt;&gt;"NA")*(O833:S833&lt;&gt;"W")*(O833:S833&lt;&gt;"")),
IF(COUNTA(_xlpm.x)=0,"NA",IF(MIN(_xlpm.x)=MAX(_xlpm.x),MIN(_xlpm.x),"review"))
)</f>
        <v>52</v>
      </c>
    </row>
    <row r="834" spans="1:22" ht="15.75" hidden="1" customHeight="1" x14ac:dyDescent="0.25">
      <c r="A834" s="7" t="s">
        <v>154</v>
      </c>
      <c r="B834" s="8">
        <v>8</v>
      </c>
      <c r="C834" s="8" t="s">
        <v>155</v>
      </c>
      <c r="D834" s="9" t="s">
        <v>66</v>
      </c>
      <c r="E834" s="7" t="s">
        <v>25</v>
      </c>
      <c r="F834" s="7" t="s">
        <v>39</v>
      </c>
      <c r="G834" s="7" t="s">
        <v>85</v>
      </c>
      <c r="H834" s="7">
        <v>1977</v>
      </c>
      <c r="I834" s="7">
        <v>5</v>
      </c>
      <c r="K834" s="7">
        <v>7</v>
      </c>
      <c r="M834" s="7">
        <v>2</v>
      </c>
      <c r="N834" s="7">
        <v>24</v>
      </c>
      <c r="O834" s="7" t="s">
        <v>28</v>
      </c>
      <c r="P834" s="7" t="s">
        <v>28</v>
      </c>
      <c r="T834" s="12"/>
      <c r="V834" t="s">
        <v>29</v>
      </c>
    </row>
    <row r="835" spans="1:22" ht="15.75" hidden="1" customHeight="1" x14ac:dyDescent="0.25">
      <c r="A835" s="7" t="s">
        <v>154</v>
      </c>
      <c r="B835" s="8">
        <v>8</v>
      </c>
      <c r="C835" s="8" t="s">
        <v>155</v>
      </c>
      <c r="D835" s="9" t="s">
        <v>66</v>
      </c>
      <c r="E835" s="7" t="s">
        <v>25</v>
      </c>
      <c r="F835" s="7" t="s">
        <v>39</v>
      </c>
      <c r="G835" s="7" t="s">
        <v>85</v>
      </c>
      <c r="H835" s="7">
        <v>1977</v>
      </c>
      <c r="I835" s="7">
        <v>5</v>
      </c>
      <c r="K835" s="7">
        <v>7</v>
      </c>
      <c r="M835" s="7">
        <v>2</v>
      </c>
      <c r="N835" s="7">
        <v>25</v>
      </c>
      <c r="O835" s="7">
        <v>53</v>
      </c>
      <c r="P835" s="7">
        <v>53</v>
      </c>
      <c r="T835" s="12" t="s">
        <v>174</v>
      </c>
      <c r="V835" cm="1">
        <f t="array" ref="V835">_xlfn.LET(
_xlpm.x,_xlfn._xlws.FILTER(O835:S835,(O835:S835&lt;&gt;"R")*(O835:S835&lt;&gt;"NA")*(O835:S835&lt;&gt;"W")*(O835:S835&lt;&gt;"")),
IF(COUNTA(_xlpm.x)=0,"NA",IF(MIN(_xlpm.x)=MAX(_xlpm.x),MIN(_xlpm.x),"review"))
)</f>
        <v>53</v>
      </c>
    </row>
    <row r="836" spans="1:22" ht="15.75" hidden="1" customHeight="1" x14ac:dyDescent="0.25">
      <c r="A836" s="7" t="s">
        <v>175</v>
      </c>
      <c r="B836" s="8">
        <v>8</v>
      </c>
      <c r="C836" s="8" t="s">
        <v>176</v>
      </c>
      <c r="D836" s="9" t="s">
        <v>177</v>
      </c>
      <c r="E836" s="7" t="s">
        <v>25</v>
      </c>
      <c r="F836" s="7" t="s">
        <v>39</v>
      </c>
      <c r="G836" s="7" t="s">
        <v>27</v>
      </c>
      <c r="H836" s="7">
        <v>1977</v>
      </c>
      <c r="I836" s="7">
        <v>11</v>
      </c>
      <c r="K836" s="7">
        <v>7</v>
      </c>
      <c r="M836" s="7">
        <v>1</v>
      </c>
      <c r="N836" s="7">
        <v>1</v>
      </c>
      <c r="O836" s="7">
        <v>42</v>
      </c>
      <c r="P836" s="7">
        <v>42</v>
      </c>
      <c r="T836" s="12" t="s">
        <v>178</v>
      </c>
      <c r="V836" cm="1">
        <f t="array" ref="V836">_xlfn.LET(
_xlpm.x,_xlfn._xlws.FILTER(O836:S836,(O836:S836&lt;&gt;"R")*(O836:S836&lt;&gt;"NA")*(O836:S836&lt;&gt;"W")*(O836:S836&lt;&gt;"")),
IF(COUNTA(_xlpm.x)=0,"NA",IF(MIN(_xlpm.x)=MAX(_xlpm.x),MIN(_xlpm.x),"review"))
)</f>
        <v>42</v>
      </c>
    </row>
    <row r="837" spans="1:22" ht="15.75" hidden="1" customHeight="1" x14ac:dyDescent="0.25">
      <c r="A837" s="7" t="s">
        <v>175</v>
      </c>
      <c r="B837" s="8">
        <v>8</v>
      </c>
      <c r="C837" s="8" t="s">
        <v>176</v>
      </c>
      <c r="D837" s="9" t="s">
        <v>177</v>
      </c>
      <c r="E837" s="7" t="s">
        <v>25</v>
      </c>
      <c r="F837" s="7" t="s">
        <v>39</v>
      </c>
      <c r="G837" s="7" t="s">
        <v>27</v>
      </c>
      <c r="H837" s="7">
        <v>1977</v>
      </c>
      <c r="I837" s="7">
        <v>11</v>
      </c>
      <c r="K837" s="7">
        <v>7</v>
      </c>
      <c r="M837" s="7">
        <v>1</v>
      </c>
      <c r="N837" s="7">
        <v>2</v>
      </c>
      <c r="O837" s="7" t="s">
        <v>28</v>
      </c>
      <c r="P837" s="7">
        <v>42</v>
      </c>
      <c r="T837" s="12" t="s">
        <v>179</v>
      </c>
      <c r="V837" cm="1">
        <f t="array" ref="V837">_xlfn.LET(
_xlpm.x,_xlfn._xlws.FILTER(O837:S837,(O837:S837&lt;&gt;"R")*(O837:S837&lt;&gt;"NA")*(O837:S837&lt;&gt;"W")*(O837:S837&lt;&gt;"")),
IF(COUNTA(_xlpm.x)=0,"NA",IF(MIN(_xlpm.x)=MAX(_xlpm.x),MIN(_xlpm.x),"review"))
)</f>
        <v>42</v>
      </c>
    </row>
    <row r="838" spans="1:22" ht="15.75" hidden="1" customHeight="1" x14ac:dyDescent="0.25">
      <c r="A838" s="7" t="s">
        <v>175</v>
      </c>
      <c r="B838" s="8">
        <v>8</v>
      </c>
      <c r="C838" s="8" t="s">
        <v>176</v>
      </c>
      <c r="D838" s="9" t="s">
        <v>177</v>
      </c>
      <c r="E838" s="7" t="s">
        <v>25</v>
      </c>
      <c r="F838" s="7" t="s">
        <v>39</v>
      </c>
      <c r="G838" s="7" t="s">
        <v>27</v>
      </c>
      <c r="H838" s="7">
        <v>1977</v>
      </c>
      <c r="I838" s="7">
        <v>11</v>
      </c>
      <c r="K838" s="7">
        <v>7</v>
      </c>
      <c r="M838" s="7">
        <v>1</v>
      </c>
      <c r="N838" s="7">
        <v>3</v>
      </c>
      <c r="O838" s="7" t="s">
        <v>28</v>
      </c>
      <c r="P838" s="7" t="s">
        <v>28</v>
      </c>
      <c r="T838" s="12"/>
      <c r="V838" t="s">
        <v>29</v>
      </c>
    </row>
    <row r="839" spans="1:22" ht="15.75" hidden="1" customHeight="1" x14ac:dyDescent="0.25">
      <c r="A839" s="7" t="s">
        <v>175</v>
      </c>
      <c r="B839" s="8">
        <v>8</v>
      </c>
      <c r="C839" s="8" t="s">
        <v>176</v>
      </c>
      <c r="D839" s="9" t="s">
        <v>177</v>
      </c>
      <c r="E839" s="7" t="s">
        <v>25</v>
      </c>
      <c r="F839" s="7" t="s">
        <v>39</v>
      </c>
      <c r="G839" s="7" t="s">
        <v>27</v>
      </c>
      <c r="H839" s="7">
        <v>1977</v>
      </c>
      <c r="I839" s="7">
        <v>11</v>
      </c>
      <c r="K839" s="7">
        <v>7</v>
      </c>
      <c r="M839" s="7">
        <v>1</v>
      </c>
      <c r="N839" s="7">
        <v>4</v>
      </c>
      <c r="O839" s="7">
        <v>42</v>
      </c>
      <c r="P839" s="7">
        <v>42</v>
      </c>
      <c r="T839" s="12" t="s">
        <v>81</v>
      </c>
      <c r="V839" cm="1">
        <f t="array" ref="V839">_xlfn.LET(
_xlpm.x,_xlfn._xlws.FILTER(O839:S839,(O839:S839&lt;&gt;"R")*(O839:S839&lt;&gt;"NA")*(O839:S839&lt;&gt;"W")*(O839:S839&lt;&gt;"")),
IF(COUNTA(_xlpm.x)=0,"NA",IF(MIN(_xlpm.x)=MAX(_xlpm.x),MIN(_xlpm.x),"review"))
)</f>
        <v>42</v>
      </c>
    </row>
    <row r="840" spans="1:22" ht="15.75" hidden="1" customHeight="1" x14ac:dyDescent="0.25">
      <c r="A840" s="7" t="s">
        <v>175</v>
      </c>
      <c r="B840" s="8">
        <v>8</v>
      </c>
      <c r="C840" s="8" t="s">
        <v>176</v>
      </c>
      <c r="D840" s="9" t="s">
        <v>177</v>
      </c>
      <c r="E840" s="7" t="s">
        <v>25</v>
      </c>
      <c r="F840" s="7" t="s">
        <v>39</v>
      </c>
      <c r="G840" s="7" t="s">
        <v>27</v>
      </c>
      <c r="H840" s="7">
        <v>1977</v>
      </c>
      <c r="I840" s="7">
        <v>11</v>
      </c>
      <c r="K840" s="7">
        <v>7</v>
      </c>
      <c r="M840" s="7">
        <v>1</v>
      </c>
      <c r="N840" s="7">
        <v>5</v>
      </c>
      <c r="O840" s="7">
        <v>42</v>
      </c>
      <c r="P840" s="7">
        <v>42</v>
      </c>
      <c r="T840" s="12" t="s">
        <v>83</v>
      </c>
      <c r="V840" cm="1">
        <f t="array" ref="V840">_xlfn.LET(
_xlpm.x,_xlfn._xlws.FILTER(O840:S840,(O840:S840&lt;&gt;"R")*(O840:S840&lt;&gt;"NA")*(O840:S840&lt;&gt;"W")*(O840:S840&lt;&gt;"")),
IF(COUNTA(_xlpm.x)=0,"NA",IF(MIN(_xlpm.x)=MAX(_xlpm.x),MIN(_xlpm.x),"review"))
)</f>
        <v>42</v>
      </c>
    </row>
    <row r="841" spans="1:22" ht="15.75" hidden="1" customHeight="1" x14ac:dyDescent="0.25">
      <c r="A841" s="7" t="s">
        <v>175</v>
      </c>
      <c r="B841" s="8">
        <v>8</v>
      </c>
      <c r="C841" s="8" t="s">
        <v>176</v>
      </c>
      <c r="D841" s="9" t="s">
        <v>177</v>
      </c>
      <c r="E841" s="7" t="s">
        <v>25</v>
      </c>
      <c r="F841" s="7" t="s">
        <v>39</v>
      </c>
      <c r="G841" s="7" t="s">
        <v>27</v>
      </c>
      <c r="H841" s="7">
        <v>1977</v>
      </c>
      <c r="I841" s="7">
        <v>11</v>
      </c>
      <c r="K841" s="7">
        <v>7</v>
      </c>
      <c r="M841" s="7">
        <v>1</v>
      </c>
      <c r="N841" s="7">
        <v>6</v>
      </c>
      <c r="O841" s="7">
        <v>42</v>
      </c>
      <c r="P841" s="7">
        <v>42</v>
      </c>
      <c r="T841" s="12" t="s">
        <v>83</v>
      </c>
      <c r="V841" cm="1">
        <f t="array" ref="V841">_xlfn.LET(
_xlpm.x,_xlfn._xlws.FILTER(O841:S841,(O841:S841&lt;&gt;"R")*(O841:S841&lt;&gt;"NA")*(O841:S841&lt;&gt;"W")*(O841:S841&lt;&gt;"")),
IF(COUNTA(_xlpm.x)=0,"NA",IF(MIN(_xlpm.x)=MAX(_xlpm.x),MIN(_xlpm.x),"review"))
)</f>
        <v>42</v>
      </c>
    </row>
    <row r="842" spans="1:22" ht="15.75" hidden="1" customHeight="1" x14ac:dyDescent="0.25">
      <c r="A842" s="7" t="s">
        <v>175</v>
      </c>
      <c r="B842" s="8">
        <v>8</v>
      </c>
      <c r="C842" s="8" t="s">
        <v>176</v>
      </c>
      <c r="D842" s="9" t="s">
        <v>177</v>
      </c>
      <c r="E842" s="7" t="s">
        <v>25</v>
      </c>
      <c r="F842" s="7" t="s">
        <v>39</v>
      </c>
      <c r="G842" s="7" t="s">
        <v>27</v>
      </c>
      <c r="H842" s="7">
        <v>1977</v>
      </c>
      <c r="I842" s="7">
        <v>11</v>
      </c>
      <c r="K842" s="7">
        <v>7</v>
      </c>
      <c r="M842" s="7">
        <v>1</v>
      </c>
      <c r="N842" s="7">
        <v>7</v>
      </c>
      <c r="O842" s="7">
        <v>42</v>
      </c>
      <c r="P842" s="7">
        <v>42</v>
      </c>
      <c r="T842" s="12" t="s">
        <v>76</v>
      </c>
      <c r="V842" cm="1">
        <f t="array" ref="V842">_xlfn.LET(
_xlpm.x,_xlfn._xlws.FILTER(O842:S842,(O842:S842&lt;&gt;"R")*(O842:S842&lt;&gt;"NA")*(O842:S842&lt;&gt;"W")*(O842:S842&lt;&gt;"")),
IF(COUNTA(_xlpm.x)=0,"NA",IF(MIN(_xlpm.x)=MAX(_xlpm.x),MIN(_xlpm.x),"review"))
)</f>
        <v>42</v>
      </c>
    </row>
    <row r="843" spans="1:22" ht="15.75" hidden="1" customHeight="1" x14ac:dyDescent="0.25">
      <c r="A843" s="7" t="s">
        <v>175</v>
      </c>
      <c r="B843" s="8">
        <v>8</v>
      </c>
      <c r="C843" s="8" t="s">
        <v>176</v>
      </c>
      <c r="D843" s="9" t="s">
        <v>177</v>
      </c>
      <c r="E843" s="7" t="s">
        <v>25</v>
      </c>
      <c r="F843" s="7" t="s">
        <v>39</v>
      </c>
      <c r="G843" s="7" t="s">
        <v>27</v>
      </c>
      <c r="H843" s="7">
        <v>1977</v>
      </c>
      <c r="I843" s="7">
        <v>11</v>
      </c>
      <c r="K843" s="7">
        <v>7</v>
      </c>
      <c r="M843" s="7">
        <v>1</v>
      </c>
      <c r="N843" s="7">
        <v>8</v>
      </c>
      <c r="O843" s="7">
        <v>42</v>
      </c>
      <c r="P843" s="7">
        <v>42</v>
      </c>
      <c r="T843" s="12" t="s">
        <v>95</v>
      </c>
      <c r="V843" cm="1">
        <f t="array" ref="V843">_xlfn.LET(
_xlpm.x,_xlfn._xlws.FILTER(O843:S843,(O843:S843&lt;&gt;"R")*(O843:S843&lt;&gt;"NA")*(O843:S843&lt;&gt;"W")*(O843:S843&lt;&gt;"")),
IF(COUNTA(_xlpm.x)=0,"NA",IF(MIN(_xlpm.x)=MAX(_xlpm.x),MIN(_xlpm.x),"review"))
)</f>
        <v>42</v>
      </c>
    </row>
    <row r="844" spans="1:22" ht="15.75" hidden="1" customHeight="1" x14ac:dyDescent="0.25">
      <c r="A844" s="7" t="s">
        <v>175</v>
      </c>
      <c r="B844" s="8">
        <v>8</v>
      </c>
      <c r="C844" s="8" t="s">
        <v>176</v>
      </c>
      <c r="D844" s="9" t="s">
        <v>177</v>
      </c>
      <c r="E844" s="7" t="s">
        <v>25</v>
      </c>
      <c r="F844" s="7" t="s">
        <v>39</v>
      </c>
      <c r="G844" s="7" t="s">
        <v>27</v>
      </c>
      <c r="H844" s="7">
        <v>1977</v>
      </c>
      <c r="I844" s="7">
        <v>11</v>
      </c>
      <c r="K844" s="7">
        <v>7</v>
      </c>
      <c r="M844" s="7">
        <v>1</v>
      </c>
      <c r="N844" s="7">
        <v>9</v>
      </c>
      <c r="O844" s="7">
        <v>42</v>
      </c>
      <c r="P844" s="7">
        <v>42</v>
      </c>
      <c r="T844" s="12" t="s">
        <v>80</v>
      </c>
      <c r="V844" cm="1">
        <f t="array" ref="V844">_xlfn.LET(
_xlpm.x,_xlfn._xlws.FILTER(O844:S844,(O844:S844&lt;&gt;"R")*(O844:S844&lt;&gt;"NA")*(O844:S844&lt;&gt;"W")*(O844:S844&lt;&gt;"")),
IF(COUNTA(_xlpm.x)=0,"NA",IF(MIN(_xlpm.x)=MAX(_xlpm.x),MIN(_xlpm.x),"review"))
)</f>
        <v>42</v>
      </c>
    </row>
    <row r="845" spans="1:22" ht="15.75" hidden="1" customHeight="1" x14ac:dyDescent="0.25">
      <c r="A845" s="7" t="s">
        <v>175</v>
      </c>
      <c r="B845" s="8">
        <v>8</v>
      </c>
      <c r="C845" s="8" t="s">
        <v>176</v>
      </c>
      <c r="D845" s="9" t="s">
        <v>177</v>
      </c>
      <c r="E845" s="7" t="s">
        <v>25</v>
      </c>
      <c r="F845" s="7" t="s">
        <v>39</v>
      </c>
      <c r="G845" s="7" t="s">
        <v>27</v>
      </c>
      <c r="H845" s="7">
        <v>1977</v>
      </c>
      <c r="I845" s="7">
        <v>11</v>
      </c>
      <c r="K845" s="7">
        <v>7</v>
      </c>
      <c r="M845" s="7">
        <v>1</v>
      </c>
      <c r="N845" s="7">
        <v>10</v>
      </c>
      <c r="O845" s="7">
        <v>42</v>
      </c>
      <c r="P845" s="7">
        <v>42</v>
      </c>
      <c r="T845" s="12" t="s">
        <v>83</v>
      </c>
      <c r="V845" cm="1">
        <f t="array" ref="V845">_xlfn.LET(
_xlpm.x,_xlfn._xlws.FILTER(O845:S845,(O845:S845&lt;&gt;"R")*(O845:S845&lt;&gt;"NA")*(O845:S845&lt;&gt;"W")*(O845:S845&lt;&gt;"")),
IF(COUNTA(_xlpm.x)=0,"NA",IF(MIN(_xlpm.x)=MAX(_xlpm.x),MIN(_xlpm.x),"review"))
)</f>
        <v>42</v>
      </c>
    </row>
    <row r="846" spans="1:22" ht="15.75" hidden="1" customHeight="1" x14ac:dyDescent="0.25">
      <c r="A846" s="7" t="s">
        <v>175</v>
      </c>
      <c r="B846" s="8">
        <v>8</v>
      </c>
      <c r="C846" s="8" t="s">
        <v>176</v>
      </c>
      <c r="D846" s="9" t="s">
        <v>177</v>
      </c>
      <c r="E846" s="7" t="s">
        <v>25</v>
      </c>
      <c r="F846" s="7" t="s">
        <v>39</v>
      </c>
      <c r="G846" s="7" t="s">
        <v>27</v>
      </c>
      <c r="H846" s="7">
        <v>1977</v>
      </c>
      <c r="I846" s="7">
        <v>11</v>
      </c>
      <c r="K846" s="7">
        <v>7</v>
      </c>
      <c r="M846" s="7">
        <v>1</v>
      </c>
      <c r="N846" s="7">
        <v>11</v>
      </c>
      <c r="O846" s="7" t="s">
        <v>28</v>
      </c>
      <c r="P846" s="7">
        <v>42</v>
      </c>
      <c r="T846" s="12" t="s">
        <v>83</v>
      </c>
      <c r="V846" cm="1">
        <f t="array" ref="V846">_xlfn.LET(
_xlpm.x,_xlfn._xlws.FILTER(O846:S846,(O846:S846&lt;&gt;"R")*(O846:S846&lt;&gt;"NA")*(O846:S846&lt;&gt;"W")*(O846:S846&lt;&gt;"")),
IF(COUNTA(_xlpm.x)=0,"NA",IF(MIN(_xlpm.x)=MAX(_xlpm.x),MIN(_xlpm.x),"review"))
)</f>
        <v>42</v>
      </c>
    </row>
    <row r="847" spans="1:22" ht="15.75" hidden="1" customHeight="1" x14ac:dyDescent="0.25">
      <c r="A847" s="7" t="s">
        <v>175</v>
      </c>
      <c r="B847" s="8">
        <v>8</v>
      </c>
      <c r="C847" s="8" t="s">
        <v>176</v>
      </c>
      <c r="D847" s="9" t="s">
        <v>177</v>
      </c>
      <c r="E847" s="7" t="s">
        <v>25</v>
      </c>
      <c r="F847" s="7" t="s">
        <v>39</v>
      </c>
      <c r="G847" s="7" t="s">
        <v>27</v>
      </c>
      <c r="H847" s="7">
        <v>1977</v>
      </c>
      <c r="I847" s="7">
        <v>11</v>
      </c>
      <c r="K847" s="7">
        <v>7</v>
      </c>
      <c r="M847" s="7">
        <v>1</v>
      </c>
      <c r="N847" s="7">
        <v>12</v>
      </c>
      <c r="O847" s="7">
        <v>42</v>
      </c>
      <c r="P847" s="7">
        <v>42</v>
      </c>
      <c r="T847" s="12" t="s">
        <v>180</v>
      </c>
      <c r="V847" cm="1">
        <f t="array" ref="V847">_xlfn.LET(
_xlpm.x,_xlfn._xlws.FILTER(O847:S847,(O847:S847&lt;&gt;"R")*(O847:S847&lt;&gt;"NA")*(O847:S847&lt;&gt;"W")*(O847:S847&lt;&gt;"")),
IF(COUNTA(_xlpm.x)=0,"NA",IF(MIN(_xlpm.x)=MAX(_xlpm.x),MIN(_xlpm.x),"review"))
)</f>
        <v>42</v>
      </c>
    </row>
    <row r="848" spans="1:22" ht="15.75" hidden="1" customHeight="1" x14ac:dyDescent="0.25">
      <c r="A848" s="7" t="s">
        <v>175</v>
      </c>
      <c r="B848" s="8">
        <v>8</v>
      </c>
      <c r="C848" s="8" t="s">
        <v>176</v>
      </c>
      <c r="D848" s="9" t="s">
        <v>177</v>
      </c>
      <c r="E848" s="7" t="s">
        <v>25</v>
      </c>
      <c r="F848" s="7" t="s">
        <v>39</v>
      </c>
      <c r="G848" s="7" t="s">
        <v>27</v>
      </c>
      <c r="H848" s="7">
        <v>1977</v>
      </c>
      <c r="I848" s="7">
        <v>11</v>
      </c>
      <c r="K848" s="7">
        <v>7</v>
      </c>
      <c r="M848" s="7">
        <v>1</v>
      </c>
      <c r="N848" s="7">
        <v>13</v>
      </c>
      <c r="O848" s="7">
        <v>42</v>
      </c>
      <c r="P848" s="7" t="s">
        <v>28</v>
      </c>
      <c r="T848" s="12" t="s">
        <v>161</v>
      </c>
      <c r="V848" cm="1">
        <f t="array" ref="V848">_xlfn.LET(
_xlpm.x,_xlfn._xlws.FILTER(O848:S848,(O848:S848&lt;&gt;"R")*(O848:S848&lt;&gt;"NA")*(O848:S848&lt;&gt;"W")*(O848:S848&lt;&gt;"")),
IF(COUNTA(_xlpm.x)=0,"NA",IF(MIN(_xlpm.x)=MAX(_xlpm.x),MIN(_xlpm.x),"review"))
)</f>
        <v>42</v>
      </c>
    </row>
    <row r="849" spans="1:22" ht="15.75" hidden="1" customHeight="1" x14ac:dyDescent="0.25">
      <c r="A849" s="7" t="s">
        <v>175</v>
      </c>
      <c r="B849" s="8">
        <v>8</v>
      </c>
      <c r="C849" s="8" t="s">
        <v>176</v>
      </c>
      <c r="D849" s="9" t="s">
        <v>177</v>
      </c>
      <c r="E849" s="7" t="s">
        <v>25</v>
      </c>
      <c r="F849" s="7" t="s">
        <v>39</v>
      </c>
      <c r="G849" s="7" t="s">
        <v>27</v>
      </c>
      <c r="H849" s="7">
        <v>1977</v>
      </c>
      <c r="I849" s="7">
        <v>11</v>
      </c>
      <c r="K849" s="7">
        <v>7</v>
      </c>
      <c r="M849" s="7">
        <v>1</v>
      </c>
      <c r="N849" s="7">
        <v>14</v>
      </c>
      <c r="O849" s="7">
        <v>42</v>
      </c>
      <c r="P849" s="7">
        <v>42</v>
      </c>
      <c r="T849" s="12" t="s">
        <v>147</v>
      </c>
      <c r="V849" cm="1">
        <f t="array" ref="V849">_xlfn.LET(
_xlpm.x,_xlfn._xlws.FILTER(O849:S849,(O849:S849&lt;&gt;"R")*(O849:S849&lt;&gt;"NA")*(O849:S849&lt;&gt;"W")*(O849:S849&lt;&gt;"")),
IF(COUNTA(_xlpm.x)=0,"NA",IF(MIN(_xlpm.x)=MAX(_xlpm.x),MIN(_xlpm.x),"review"))
)</f>
        <v>42</v>
      </c>
    </row>
    <row r="850" spans="1:22" ht="15.75" hidden="1" customHeight="1" x14ac:dyDescent="0.25">
      <c r="A850" s="7" t="s">
        <v>175</v>
      </c>
      <c r="B850" s="8">
        <v>8</v>
      </c>
      <c r="C850" s="8" t="s">
        <v>176</v>
      </c>
      <c r="D850" s="9" t="s">
        <v>177</v>
      </c>
      <c r="E850" s="7" t="s">
        <v>25</v>
      </c>
      <c r="F850" s="7" t="s">
        <v>39</v>
      </c>
      <c r="G850" s="7" t="s">
        <v>27</v>
      </c>
      <c r="H850" s="7">
        <v>1977</v>
      </c>
      <c r="I850" s="7">
        <v>11</v>
      </c>
      <c r="K850" s="7">
        <v>7</v>
      </c>
      <c r="M850" s="7">
        <v>1</v>
      </c>
      <c r="N850" s="7">
        <v>15</v>
      </c>
      <c r="O850" s="7">
        <v>42</v>
      </c>
      <c r="P850" s="7">
        <v>42</v>
      </c>
      <c r="T850" s="12" t="s">
        <v>181</v>
      </c>
      <c r="V850" cm="1">
        <f t="array" ref="V850">_xlfn.LET(
_xlpm.x,_xlfn._xlws.FILTER(O850:S850,(O850:S850&lt;&gt;"R")*(O850:S850&lt;&gt;"NA")*(O850:S850&lt;&gt;"W")*(O850:S850&lt;&gt;"")),
IF(COUNTA(_xlpm.x)=0,"NA",IF(MIN(_xlpm.x)=MAX(_xlpm.x),MIN(_xlpm.x),"review"))
)</f>
        <v>42</v>
      </c>
    </row>
    <row r="851" spans="1:22" ht="15.75" hidden="1" customHeight="1" x14ac:dyDescent="0.25">
      <c r="A851" s="7" t="s">
        <v>175</v>
      </c>
      <c r="B851" s="8">
        <v>8</v>
      </c>
      <c r="C851" s="8" t="s">
        <v>176</v>
      </c>
      <c r="D851" s="9" t="s">
        <v>177</v>
      </c>
      <c r="E851" s="7" t="s">
        <v>25</v>
      </c>
      <c r="F851" s="7" t="s">
        <v>39</v>
      </c>
      <c r="G851" s="7" t="s">
        <v>27</v>
      </c>
      <c r="H851" s="7">
        <v>1977</v>
      </c>
      <c r="I851" s="7">
        <v>11</v>
      </c>
      <c r="K851" s="7">
        <v>7</v>
      </c>
      <c r="M851" s="7">
        <v>1</v>
      </c>
      <c r="N851" s="7">
        <v>16</v>
      </c>
      <c r="O851" s="7">
        <v>42</v>
      </c>
      <c r="P851" s="7" t="s">
        <v>29</v>
      </c>
      <c r="T851" s="12" t="s">
        <v>161</v>
      </c>
      <c r="V851" cm="1">
        <f t="array" ref="V851">_xlfn.LET(
_xlpm.x,_xlfn._xlws.FILTER(O851:S851,(O851:S851&lt;&gt;"R")*(O851:S851&lt;&gt;"NA")*(O851:S851&lt;&gt;"W")*(O851:S851&lt;&gt;"")),
IF(COUNTA(_xlpm.x)=0,"NA",IF(MIN(_xlpm.x)=MAX(_xlpm.x),MIN(_xlpm.x),"review"))
)</f>
        <v>42</v>
      </c>
    </row>
    <row r="852" spans="1:22" ht="15.75" hidden="1" customHeight="1" x14ac:dyDescent="0.25">
      <c r="A852" s="7" t="s">
        <v>175</v>
      </c>
      <c r="B852" s="8">
        <v>8</v>
      </c>
      <c r="C852" s="8" t="s">
        <v>176</v>
      </c>
      <c r="D852" s="9" t="s">
        <v>177</v>
      </c>
      <c r="E852" s="7" t="s">
        <v>25</v>
      </c>
      <c r="F852" s="7" t="s">
        <v>39</v>
      </c>
      <c r="G852" s="7" t="s">
        <v>27</v>
      </c>
      <c r="H852" s="7">
        <v>1977</v>
      </c>
      <c r="I852" s="7">
        <v>11</v>
      </c>
      <c r="K852" s="7">
        <v>7</v>
      </c>
      <c r="M852" s="7">
        <v>1</v>
      </c>
      <c r="N852" s="7">
        <v>17</v>
      </c>
      <c r="O852" s="7" t="s">
        <v>29</v>
      </c>
      <c r="P852" s="7">
        <v>43</v>
      </c>
      <c r="T852" s="12" t="s">
        <v>182</v>
      </c>
      <c r="V852" cm="1">
        <f t="array" ref="V852">_xlfn.LET(
_xlpm.x,_xlfn._xlws.FILTER(O852:S852,(O852:S852&lt;&gt;"R")*(O852:S852&lt;&gt;"NA")*(O852:S852&lt;&gt;"W")*(O852:S852&lt;&gt;"")),
IF(COUNTA(_xlpm.x)=0,"NA",IF(MIN(_xlpm.x)=MAX(_xlpm.x),MIN(_xlpm.x),"review"))
)</f>
        <v>43</v>
      </c>
    </row>
    <row r="853" spans="1:22" ht="15.75" hidden="1" customHeight="1" x14ac:dyDescent="0.25">
      <c r="A853" s="7" t="s">
        <v>175</v>
      </c>
      <c r="B853" s="8">
        <v>8</v>
      </c>
      <c r="C853" s="8" t="s">
        <v>176</v>
      </c>
      <c r="D853" s="9" t="s">
        <v>177</v>
      </c>
      <c r="E853" s="7" t="s">
        <v>25</v>
      </c>
      <c r="F853" s="7" t="s">
        <v>39</v>
      </c>
      <c r="G853" s="7" t="s">
        <v>27</v>
      </c>
      <c r="H853" s="7">
        <v>1977</v>
      </c>
      <c r="I853" s="7">
        <v>11</v>
      </c>
      <c r="K853" s="7">
        <v>7</v>
      </c>
      <c r="M853" s="7">
        <v>1</v>
      </c>
      <c r="N853" s="7">
        <v>18</v>
      </c>
      <c r="O853" s="7" t="s">
        <v>29</v>
      </c>
      <c r="P853" s="7" t="s">
        <v>28</v>
      </c>
      <c r="T853" s="12"/>
      <c r="V853" t="s">
        <v>29</v>
      </c>
    </row>
    <row r="854" spans="1:22" ht="15.75" hidden="1" customHeight="1" x14ac:dyDescent="0.25">
      <c r="A854" s="7" t="s">
        <v>175</v>
      </c>
      <c r="B854" s="8">
        <v>8</v>
      </c>
      <c r="C854" s="8" t="s">
        <v>176</v>
      </c>
      <c r="D854" s="9" t="s">
        <v>177</v>
      </c>
      <c r="E854" s="7" t="s">
        <v>25</v>
      </c>
      <c r="F854" s="7" t="s">
        <v>39</v>
      </c>
      <c r="G854" s="7" t="s">
        <v>27</v>
      </c>
      <c r="H854" s="7">
        <v>1977</v>
      </c>
      <c r="I854" s="7">
        <v>11</v>
      </c>
      <c r="K854" s="7">
        <v>7</v>
      </c>
      <c r="M854" s="7">
        <v>1</v>
      </c>
      <c r="N854" s="7">
        <v>19</v>
      </c>
      <c r="O854" s="7">
        <v>42</v>
      </c>
      <c r="P854" s="7">
        <v>42</v>
      </c>
      <c r="T854" s="12" t="s">
        <v>84</v>
      </c>
      <c r="V854" cm="1">
        <f t="array" ref="V854">_xlfn.LET(
_xlpm.x,_xlfn._xlws.FILTER(O854:S854,(O854:S854&lt;&gt;"R")*(O854:S854&lt;&gt;"NA")*(O854:S854&lt;&gt;"W")*(O854:S854&lt;&gt;"")),
IF(COUNTA(_xlpm.x)=0,"NA",IF(MIN(_xlpm.x)=MAX(_xlpm.x),MIN(_xlpm.x),"review"))
)</f>
        <v>42</v>
      </c>
    </row>
    <row r="855" spans="1:22" ht="15.75" hidden="1" customHeight="1" x14ac:dyDescent="0.25">
      <c r="A855" s="7" t="s">
        <v>175</v>
      </c>
      <c r="B855" s="8">
        <v>8</v>
      </c>
      <c r="C855" s="8" t="s">
        <v>176</v>
      </c>
      <c r="D855" s="9" t="s">
        <v>177</v>
      </c>
      <c r="E855" s="7" t="s">
        <v>25</v>
      </c>
      <c r="F855" s="7" t="s">
        <v>39</v>
      </c>
      <c r="G855" s="7" t="s">
        <v>27</v>
      </c>
      <c r="H855" s="7">
        <v>1977</v>
      </c>
      <c r="I855" s="7">
        <v>11</v>
      </c>
      <c r="K855" s="7">
        <v>7</v>
      </c>
      <c r="M855" s="7">
        <v>1</v>
      </c>
      <c r="N855" s="7">
        <v>20</v>
      </c>
      <c r="O855" s="7" t="s">
        <v>28</v>
      </c>
      <c r="P855" s="7">
        <v>42</v>
      </c>
      <c r="T855" s="12" t="s">
        <v>183</v>
      </c>
      <c r="V855" cm="1">
        <f t="array" ref="V855">_xlfn.LET(
_xlpm.x,_xlfn._xlws.FILTER(O855:S855,(O855:S855&lt;&gt;"R")*(O855:S855&lt;&gt;"NA")*(O855:S855&lt;&gt;"W")*(O855:S855&lt;&gt;"")),
IF(COUNTA(_xlpm.x)=0,"NA",IF(MIN(_xlpm.x)=MAX(_xlpm.x),MIN(_xlpm.x),"review"))
)</f>
        <v>42</v>
      </c>
    </row>
    <row r="856" spans="1:22" ht="15.75" hidden="1" customHeight="1" x14ac:dyDescent="0.25">
      <c r="A856" s="7" t="s">
        <v>175</v>
      </c>
      <c r="B856" s="8">
        <v>8</v>
      </c>
      <c r="C856" s="8" t="s">
        <v>176</v>
      </c>
      <c r="D856" s="9" t="s">
        <v>177</v>
      </c>
      <c r="E856" s="7" t="s">
        <v>25</v>
      </c>
      <c r="F856" s="7" t="s">
        <v>39</v>
      </c>
      <c r="G856" s="7" t="s">
        <v>27</v>
      </c>
      <c r="H856" s="7">
        <v>1977</v>
      </c>
      <c r="I856" s="7">
        <v>11</v>
      </c>
      <c r="K856" s="7">
        <v>7</v>
      </c>
      <c r="M856" s="7">
        <v>1</v>
      </c>
      <c r="N856" s="7">
        <v>21</v>
      </c>
      <c r="T856" s="12" t="s">
        <v>33</v>
      </c>
      <c r="V856" t="s">
        <v>29</v>
      </c>
    </row>
    <row r="857" spans="1:22" ht="15.75" hidden="1" customHeight="1" x14ac:dyDescent="0.25">
      <c r="A857" s="7" t="s">
        <v>175</v>
      </c>
      <c r="B857" s="8">
        <v>8</v>
      </c>
      <c r="C857" s="8" t="s">
        <v>176</v>
      </c>
      <c r="D857" s="9" t="s">
        <v>177</v>
      </c>
      <c r="E857" s="7" t="s">
        <v>25</v>
      </c>
      <c r="F857" s="7" t="s">
        <v>39</v>
      </c>
      <c r="G857" s="7" t="s">
        <v>27</v>
      </c>
      <c r="H857" s="7">
        <v>1977</v>
      </c>
      <c r="I857" s="7">
        <v>11</v>
      </c>
      <c r="K857" s="7">
        <v>7</v>
      </c>
      <c r="M857" s="7">
        <v>1</v>
      </c>
      <c r="N857" s="7">
        <v>22</v>
      </c>
      <c r="O857" s="7">
        <v>42</v>
      </c>
      <c r="P857" s="7">
        <v>42</v>
      </c>
      <c r="T857" s="12" t="s">
        <v>73</v>
      </c>
      <c r="V857" cm="1">
        <f t="array" ref="V857">_xlfn.LET(
_xlpm.x,_xlfn._xlws.FILTER(O857:S857,(O857:S857&lt;&gt;"R")*(O857:S857&lt;&gt;"NA")*(O857:S857&lt;&gt;"W")*(O857:S857&lt;&gt;"")),
IF(COUNTA(_xlpm.x)=0,"NA",IF(MIN(_xlpm.x)=MAX(_xlpm.x),MIN(_xlpm.x),"review"))
)</f>
        <v>42</v>
      </c>
    </row>
    <row r="858" spans="1:22" ht="15.75" hidden="1" customHeight="1" x14ac:dyDescent="0.25">
      <c r="A858" s="7" t="s">
        <v>175</v>
      </c>
      <c r="B858" s="8">
        <v>8</v>
      </c>
      <c r="C858" s="8" t="s">
        <v>176</v>
      </c>
      <c r="D858" s="9" t="s">
        <v>177</v>
      </c>
      <c r="E858" s="7" t="s">
        <v>25</v>
      </c>
      <c r="F858" s="7" t="s">
        <v>39</v>
      </c>
      <c r="G858" s="7" t="s">
        <v>27</v>
      </c>
      <c r="H858" s="7">
        <v>1977</v>
      </c>
      <c r="I858" s="7">
        <v>11</v>
      </c>
      <c r="K858" s="7">
        <v>7</v>
      </c>
      <c r="M858" s="7">
        <v>1</v>
      </c>
      <c r="N858" s="7">
        <v>23</v>
      </c>
      <c r="O858" s="7" t="s">
        <v>28</v>
      </c>
      <c r="P858" s="7" t="s">
        <v>28</v>
      </c>
      <c r="T858" s="12"/>
      <c r="V858" t="s">
        <v>29</v>
      </c>
    </row>
    <row r="859" spans="1:22" ht="15.75" hidden="1" customHeight="1" x14ac:dyDescent="0.25">
      <c r="A859" s="7" t="s">
        <v>175</v>
      </c>
      <c r="B859" s="8">
        <v>8</v>
      </c>
      <c r="C859" s="8" t="s">
        <v>176</v>
      </c>
      <c r="D859" s="9" t="s">
        <v>177</v>
      </c>
      <c r="E859" s="7" t="s">
        <v>25</v>
      </c>
      <c r="F859" s="7" t="s">
        <v>39</v>
      </c>
      <c r="G859" s="7" t="s">
        <v>27</v>
      </c>
      <c r="H859" s="7">
        <v>1977</v>
      </c>
      <c r="I859" s="7">
        <v>11</v>
      </c>
      <c r="K859" s="7">
        <v>7</v>
      </c>
      <c r="M859" s="7">
        <v>1</v>
      </c>
      <c r="N859" s="7">
        <v>24</v>
      </c>
      <c r="O859" s="7">
        <v>42</v>
      </c>
      <c r="P859" s="7">
        <v>42</v>
      </c>
      <c r="T859" s="12" t="s">
        <v>184</v>
      </c>
      <c r="V859" cm="1">
        <f t="array" ref="V859">_xlfn.LET(
_xlpm.x,_xlfn._xlws.FILTER(O859:S859,(O859:S859&lt;&gt;"R")*(O859:S859&lt;&gt;"NA")*(O859:S859&lt;&gt;"W")*(O859:S859&lt;&gt;"")),
IF(COUNTA(_xlpm.x)=0,"NA",IF(MIN(_xlpm.x)=MAX(_xlpm.x),MIN(_xlpm.x),"review"))
)</f>
        <v>42</v>
      </c>
    </row>
    <row r="860" spans="1:22" ht="15.75" hidden="1" customHeight="1" x14ac:dyDescent="0.25">
      <c r="A860" s="7" t="s">
        <v>175</v>
      </c>
      <c r="B860" s="8">
        <v>8</v>
      </c>
      <c r="C860" s="8" t="s">
        <v>176</v>
      </c>
      <c r="D860" s="9" t="s">
        <v>177</v>
      </c>
      <c r="E860" s="7" t="s">
        <v>25</v>
      </c>
      <c r="F860" s="7" t="s">
        <v>39</v>
      </c>
      <c r="G860" s="7" t="s">
        <v>27</v>
      </c>
      <c r="H860" s="7">
        <v>1977</v>
      </c>
      <c r="I860" s="7">
        <v>11</v>
      </c>
      <c r="K860" s="7">
        <v>7</v>
      </c>
      <c r="M860" s="7">
        <v>1</v>
      </c>
      <c r="N860" s="7">
        <v>25</v>
      </c>
      <c r="O860" s="7">
        <v>42</v>
      </c>
      <c r="P860" s="7">
        <v>42</v>
      </c>
      <c r="T860" s="12" t="s">
        <v>185</v>
      </c>
      <c r="V860" cm="1">
        <f t="array" ref="V860">_xlfn.LET(
_xlpm.x,_xlfn._xlws.FILTER(O860:S860,(O860:S860&lt;&gt;"R")*(O860:S860&lt;&gt;"NA")*(O860:S860&lt;&gt;"W")*(O860:S860&lt;&gt;"")),
IF(COUNTA(_xlpm.x)=0,"NA",IF(MIN(_xlpm.x)=MAX(_xlpm.x),MIN(_xlpm.x),"review"))
)</f>
        <v>42</v>
      </c>
    </row>
    <row r="861" spans="1:22" ht="15.75" hidden="1" customHeight="1" x14ac:dyDescent="0.25">
      <c r="A861" s="7" t="s">
        <v>175</v>
      </c>
      <c r="B861" s="8">
        <v>8</v>
      </c>
      <c r="C861" s="8" t="s">
        <v>176</v>
      </c>
      <c r="D861" s="9" t="s">
        <v>177</v>
      </c>
      <c r="E861" s="7" t="s">
        <v>25</v>
      </c>
      <c r="F861" s="7" t="s">
        <v>39</v>
      </c>
      <c r="G861" s="7" t="s">
        <v>27</v>
      </c>
      <c r="H861" s="7">
        <v>1977</v>
      </c>
      <c r="I861" s="7">
        <v>11</v>
      </c>
      <c r="K861" s="7">
        <v>7</v>
      </c>
      <c r="M861" s="7">
        <v>2</v>
      </c>
      <c r="N861" s="7">
        <v>1</v>
      </c>
      <c r="O861" s="7">
        <v>42</v>
      </c>
      <c r="P861" s="7">
        <v>42</v>
      </c>
      <c r="T861" s="12" t="s">
        <v>186</v>
      </c>
      <c r="V861" cm="1">
        <f t="array" ref="V861">_xlfn.LET(
_xlpm.x,_xlfn._xlws.FILTER(O861:S861,(O861:S861&lt;&gt;"R")*(O861:S861&lt;&gt;"NA")*(O861:S861&lt;&gt;"W")*(O861:S861&lt;&gt;"")),
IF(COUNTA(_xlpm.x)=0,"NA",IF(MIN(_xlpm.x)=MAX(_xlpm.x),MIN(_xlpm.x),"review"))
)</f>
        <v>42</v>
      </c>
    </row>
    <row r="862" spans="1:22" ht="15.75" hidden="1" customHeight="1" x14ac:dyDescent="0.25">
      <c r="A862" s="7" t="s">
        <v>175</v>
      </c>
      <c r="B862" s="8">
        <v>8</v>
      </c>
      <c r="C862" s="8" t="s">
        <v>176</v>
      </c>
      <c r="D862" s="9" t="s">
        <v>177</v>
      </c>
      <c r="E862" s="7" t="s">
        <v>25</v>
      </c>
      <c r="F862" s="7" t="s">
        <v>39</v>
      </c>
      <c r="G862" s="7" t="s">
        <v>27</v>
      </c>
      <c r="H862" s="7">
        <v>1977</v>
      </c>
      <c r="I862" s="7">
        <v>11</v>
      </c>
      <c r="K862" s="7">
        <v>7</v>
      </c>
      <c r="M862" s="7">
        <v>2</v>
      </c>
      <c r="N862" s="7">
        <v>2</v>
      </c>
      <c r="O862" s="7">
        <v>42</v>
      </c>
      <c r="P862" s="7">
        <v>42</v>
      </c>
      <c r="T862" s="12" t="s">
        <v>187</v>
      </c>
      <c r="V862" cm="1">
        <f t="array" ref="V862">_xlfn.LET(
_xlpm.x,_xlfn._xlws.FILTER(O862:S862,(O862:S862&lt;&gt;"R")*(O862:S862&lt;&gt;"NA")*(O862:S862&lt;&gt;"W")*(O862:S862&lt;&gt;"")),
IF(COUNTA(_xlpm.x)=0,"NA",IF(MIN(_xlpm.x)=MAX(_xlpm.x),MIN(_xlpm.x),"review"))
)</f>
        <v>42</v>
      </c>
    </row>
    <row r="863" spans="1:22" ht="15.75" hidden="1" customHeight="1" x14ac:dyDescent="0.25">
      <c r="A863" s="7" t="s">
        <v>175</v>
      </c>
      <c r="B863" s="8">
        <v>8</v>
      </c>
      <c r="C863" s="8" t="s">
        <v>176</v>
      </c>
      <c r="D863" s="9" t="s">
        <v>177</v>
      </c>
      <c r="E863" s="7" t="s">
        <v>25</v>
      </c>
      <c r="F863" s="7" t="s">
        <v>39</v>
      </c>
      <c r="G863" s="7" t="s">
        <v>27</v>
      </c>
      <c r="H863" s="7">
        <v>1977</v>
      </c>
      <c r="I863" s="7">
        <v>11</v>
      </c>
      <c r="K863" s="7">
        <v>7</v>
      </c>
      <c r="M863" s="7">
        <v>2</v>
      </c>
      <c r="N863" s="7">
        <v>3</v>
      </c>
      <c r="O863" s="7">
        <v>42</v>
      </c>
      <c r="P863" s="7" t="s">
        <v>28</v>
      </c>
      <c r="T863" s="12" t="s">
        <v>140</v>
      </c>
      <c r="V863" cm="1">
        <f t="array" ref="V863">_xlfn.LET(
_xlpm.x,_xlfn._xlws.FILTER(O863:S863,(O863:S863&lt;&gt;"R")*(O863:S863&lt;&gt;"NA")*(O863:S863&lt;&gt;"W")*(O863:S863&lt;&gt;"")),
IF(COUNTA(_xlpm.x)=0,"NA",IF(MIN(_xlpm.x)=MAX(_xlpm.x),MIN(_xlpm.x),"review"))
)</f>
        <v>42</v>
      </c>
    </row>
    <row r="864" spans="1:22" ht="15.75" hidden="1" customHeight="1" x14ac:dyDescent="0.25">
      <c r="A864" s="7" t="s">
        <v>175</v>
      </c>
      <c r="B864" s="8">
        <v>8</v>
      </c>
      <c r="C864" s="8" t="s">
        <v>176</v>
      </c>
      <c r="D864" s="9" t="s">
        <v>177</v>
      </c>
      <c r="E864" s="7" t="s">
        <v>25</v>
      </c>
      <c r="F864" s="7" t="s">
        <v>39</v>
      </c>
      <c r="G864" s="7" t="s">
        <v>27</v>
      </c>
      <c r="H864" s="7">
        <v>1977</v>
      </c>
      <c r="I864" s="7">
        <v>11</v>
      </c>
      <c r="K864" s="7">
        <v>7</v>
      </c>
      <c r="M864" s="7">
        <v>2</v>
      </c>
      <c r="N864" s="7">
        <v>4</v>
      </c>
      <c r="O864" s="7">
        <v>42</v>
      </c>
      <c r="P864" s="7">
        <v>42</v>
      </c>
      <c r="T864" s="12" t="s">
        <v>111</v>
      </c>
      <c r="V864" cm="1">
        <f t="array" ref="V864">_xlfn.LET(
_xlpm.x,_xlfn._xlws.FILTER(O864:S864,(O864:S864&lt;&gt;"R")*(O864:S864&lt;&gt;"NA")*(O864:S864&lt;&gt;"W")*(O864:S864&lt;&gt;"")),
IF(COUNTA(_xlpm.x)=0,"NA",IF(MIN(_xlpm.x)=MAX(_xlpm.x),MIN(_xlpm.x),"review"))
)</f>
        <v>42</v>
      </c>
    </row>
    <row r="865" spans="1:22" ht="15.75" hidden="1" customHeight="1" x14ac:dyDescent="0.25">
      <c r="A865" s="7" t="s">
        <v>175</v>
      </c>
      <c r="B865" s="8">
        <v>8</v>
      </c>
      <c r="C865" s="8" t="s">
        <v>176</v>
      </c>
      <c r="D865" s="9" t="s">
        <v>177</v>
      </c>
      <c r="E865" s="7" t="s">
        <v>25</v>
      </c>
      <c r="F865" s="7" t="s">
        <v>39</v>
      </c>
      <c r="G865" s="7" t="s">
        <v>27</v>
      </c>
      <c r="H865" s="7">
        <v>1977</v>
      </c>
      <c r="I865" s="7">
        <v>11</v>
      </c>
      <c r="K865" s="7">
        <v>7</v>
      </c>
      <c r="M865" s="7">
        <v>2</v>
      </c>
      <c r="N865" s="7">
        <v>5</v>
      </c>
      <c r="O865" s="7">
        <v>42</v>
      </c>
      <c r="P865" s="7" t="s">
        <v>29</v>
      </c>
      <c r="T865" s="12" t="s">
        <v>188</v>
      </c>
      <c r="V865" cm="1">
        <f t="array" ref="V865">_xlfn.LET(
_xlpm.x,_xlfn._xlws.FILTER(O865:S865,(O865:S865&lt;&gt;"R")*(O865:S865&lt;&gt;"NA")*(O865:S865&lt;&gt;"W")*(O865:S865&lt;&gt;"")),
IF(COUNTA(_xlpm.x)=0,"NA",IF(MIN(_xlpm.x)=MAX(_xlpm.x),MIN(_xlpm.x),"review"))
)</f>
        <v>42</v>
      </c>
    </row>
    <row r="866" spans="1:22" ht="15.75" hidden="1" customHeight="1" x14ac:dyDescent="0.25">
      <c r="A866" s="7" t="s">
        <v>175</v>
      </c>
      <c r="B866" s="8">
        <v>8</v>
      </c>
      <c r="C866" s="8" t="s">
        <v>176</v>
      </c>
      <c r="D866" s="9" t="s">
        <v>177</v>
      </c>
      <c r="E866" s="7" t="s">
        <v>25</v>
      </c>
      <c r="F866" s="7" t="s">
        <v>39</v>
      </c>
      <c r="G866" s="7" t="s">
        <v>27</v>
      </c>
      <c r="H866" s="7">
        <v>1977</v>
      </c>
      <c r="I866" s="7">
        <v>11</v>
      </c>
      <c r="K866" s="7">
        <v>7</v>
      </c>
      <c r="M866" s="7">
        <v>2</v>
      </c>
      <c r="N866" s="7">
        <v>6</v>
      </c>
      <c r="O866" s="7">
        <v>42</v>
      </c>
      <c r="P866" s="7">
        <v>42</v>
      </c>
      <c r="T866" s="12" t="s">
        <v>161</v>
      </c>
      <c r="V866" cm="1">
        <f t="array" ref="V866">_xlfn.LET(
_xlpm.x,_xlfn._xlws.FILTER(O866:S866,(O866:S866&lt;&gt;"R")*(O866:S866&lt;&gt;"NA")*(O866:S866&lt;&gt;"W")*(O866:S866&lt;&gt;"")),
IF(COUNTA(_xlpm.x)=0,"NA",IF(MIN(_xlpm.x)=MAX(_xlpm.x),MIN(_xlpm.x),"review"))
)</f>
        <v>42</v>
      </c>
    </row>
    <row r="867" spans="1:22" ht="15.75" hidden="1" customHeight="1" x14ac:dyDescent="0.25">
      <c r="A867" s="7" t="s">
        <v>175</v>
      </c>
      <c r="B867" s="8">
        <v>8</v>
      </c>
      <c r="C867" s="8" t="s">
        <v>176</v>
      </c>
      <c r="D867" s="9" t="s">
        <v>177</v>
      </c>
      <c r="E867" s="7" t="s">
        <v>25</v>
      </c>
      <c r="F867" s="7" t="s">
        <v>39</v>
      </c>
      <c r="G867" s="7" t="s">
        <v>27</v>
      </c>
      <c r="H867" s="7">
        <v>1977</v>
      </c>
      <c r="I867" s="7">
        <v>11</v>
      </c>
      <c r="K867" s="7">
        <v>7</v>
      </c>
      <c r="M867" s="7">
        <v>2</v>
      </c>
      <c r="N867" s="7">
        <v>7</v>
      </c>
      <c r="O867" s="7">
        <v>42</v>
      </c>
      <c r="P867" s="7">
        <v>42</v>
      </c>
      <c r="T867" s="12" t="s">
        <v>160</v>
      </c>
      <c r="V867" cm="1">
        <f t="array" ref="V867">_xlfn.LET(
_xlpm.x,_xlfn._xlws.FILTER(O867:S867,(O867:S867&lt;&gt;"R")*(O867:S867&lt;&gt;"NA")*(O867:S867&lt;&gt;"W")*(O867:S867&lt;&gt;"")),
IF(COUNTA(_xlpm.x)=0,"NA",IF(MIN(_xlpm.x)=MAX(_xlpm.x),MIN(_xlpm.x),"review"))
)</f>
        <v>42</v>
      </c>
    </row>
    <row r="868" spans="1:22" ht="15.75" hidden="1" customHeight="1" x14ac:dyDescent="0.25">
      <c r="A868" s="7" t="s">
        <v>175</v>
      </c>
      <c r="B868" s="8">
        <v>8</v>
      </c>
      <c r="C868" s="8" t="s">
        <v>176</v>
      </c>
      <c r="D868" s="9" t="s">
        <v>177</v>
      </c>
      <c r="E868" s="7" t="s">
        <v>25</v>
      </c>
      <c r="F868" s="7" t="s">
        <v>39</v>
      </c>
      <c r="G868" s="7" t="s">
        <v>27</v>
      </c>
      <c r="H868" s="7">
        <v>1977</v>
      </c>
      <c r="I868" s="7">
        <v>11</v>
      </c>
      <c r="K868" s="7">
        <v>7</v>
      </c>
      <c r="M868" s="7">
        <v>2</v>
      </c>
      <c r="N868" s="7">
        <v>8</v>
      </c>
      <c r="O868" s="7">
        <v>42</v>
      </c>
      <c r="P868" s="7">
        <v>42</v>
      </c>
      <c r="T868" s="12" t="s">
        <v>189</v>
      </c>
      <c r="V868" cm="1">
        <f t="array" ref="V868">_xlfn.LET(
_xlpm.x,_xlfn._xlws.FILTER(O868:S868,(O868:S868&lt;&gt;"R")*(O868:S868&lt;&gt;"NA")*(O868:S868&lt;&gt;"W")*(O868:S868&lt;&gt;"")),
IF(COUNTA(_xlpm.x)=0,"NA",IF(MIN(_xlpm.x)=MAX(_xlpm.x),MIN(_xlpm.x),"review"))
)</f>
        <v>42</v>
      </c>
    </row>
    <row r="869" spans="1:22" ht="15.75" hidden="1" customHeight="1" x14ac:dyDescent="0.25">
      <c r="A869" s="7" t="s">
        <v>175</v>
      </c>
      <c r="B869" s="8">
        <v>8</v>
      </c>
      <c r="C869" s="8" t="s">
        <v>176</v>
      </c>
      <c r="D869" s="9" t="s">
        <v>177</v>
      </c>
      <c r="E869" s="7" t="s">
        <v>25</v>
      </c>
      <c r="F869" s="7" t="s">
        <v>39</v>
      </c>
      <c r="G869" s="7" t="s">
        <v>27</v>
      </c>
      <c r="H869" s="7">
        <v>1977</v>
      </c>
      <c r="I869" s="7">
        <v>11</v>
      </c>
      <c r="K869" s="7">
        <v>7</v>
      </c>
      <c r="M869" s="7">
        <v>2</v>
      </c>
      <c r="N869" s="7">
        <v>9</v>
      </c>
      <c r="O869" s="7">
        <v>42</v>
      </c>
      <c r="P869" s="7">
        <v>42</v>
      </c>
      <c r="T869" s="12" t="s">
        <v>190</v>
      </c>
      <c r="V869" cm="1">
        <f t="array" ref="V869">_xlfn.LET(
_xlpm.x,_xlfn._xlws.FILTER(O869:S869,(O869:S869&lt;&gt;"R")*(O869:S869&lt;&gt;"NA")*(O869:S869&lt;&gt;"W")*(O869:S869&lt;&gt;"")),
IF(COUNTA(_xlpm.x)=0,"NA",IF(MIN(_xlpm.x)=MAX(_xlpm.x),MIN(_xlpm.x),"review"))
)</f>
        <v>42</v>
      </c>
    </row>
    <row r="870" spans="1:22" ht="15.75" hidden="1" customHeight="1" x14ac:dyDescent="0.25">
      <c r="A870" s="7" t="s">
        <v>175</v>
      </c>
      <c r="B870" s="8">
        <v>8</v>
      </c>
      <c r="C870" s="8" t="s">
        <v>176</v>
      </c>
      <c r="D870" s="9" t="s">
        <v>177</v>
      </c>
      <c r="E870" s="7" t="s">
        <v>25</v>
      </c>
      <c r="F870" s="7" t="s">
        <v>39</v>
      </c>
      <c r="G870" s="7" t="s">
        <v>27</v>
      </c>
      <c r="H870" s="7">
        <v>1977</v>
      </c>
      <c r="I870" s="7">
        <v>11</v>
      </c>
      <c r="K870" s="7">
        <v>7</v>
      </c>
      <c r="M870" s="7">
        <v>2</v>
      </c>
      <c r="N870" s="7">
        <v>10</v>
      </c>
      <c r="O870" s="7">
        <v>42</v>
      </c>
      <c r="P870" s="7" t="s">
        <v>28</v>
      </c>
      <c r="T870" s="12" t="s">
        <v>191</v>
      </c>
      <c r="V870" cm="1">
        <f t="array" ref="V870">_xlfn.LET(
_xlpm.x,_xlfn._xlws.FILTER(O870:S870,(O870:S870&lt;&gt;"R")*(O870:S870&lt;&gt;"NA")*(O870:S870&lt;&gt;"W")*(O870:S870&lt;&gt;"")),
IF(COUNTA(_xlpm.x)=0,"NA",IF(MIN(_xlpm.x)=MAX(_xlpm.x),MIN(_xlpm.x),"review"))
)</f>
        <v>42</v>
      </c>
    </row>
    <row r="871" spans="1:22" ht="15.75" hidden="1" customHeight="1" x14ac:dyDescent="0.25">
      <c r="A871" s="7" t="s">
        <v>175</v>
      </c>
      <c r="B871" s="8">
        <v>8</v>
      </c>
      <c r="C871" s="8" t="s">
        <v>176</v>
      </c>
      <c r="D871" s="9" t="s">
        <v>177</v>
      </c>
      <c r="E871" s="7" t="s">
        <v>25</v>
      </c>
      <c r="F871" s="7" t="s">
        <v>39</v>
      </c>
      <c r="G871" s="7" t="s">
        <v>27</v>
      </c>
      <c r="H871" s="7">
        <v>1977</v>
      </c>
      <c r="I871" s="7">
        <v>11</v>
      </c>
      <c r="K871" s="7">
        <v>7</v>
      </c>
      <c r="M871" s="7">
        <v>2</v>
      </c>
      <c r="N871" s="7">
        <v>11</v>
      </c>
      <c r="O871" s="7">
        <v>42</v>
      </c>
      <c r="P871" s="7">
        <v>42</v>
      </c>
      <c r="T871" s="12" t="s">
        <v>73</v>
      </c>
      <c r="V871" cm="1">
        <f t="array" ref="V871">_xlfn.LET(
_xlpm.x,_xlfn._xlws.FILTER(O871:S871,(O871:S871&lt;&gt;"R")*(O871:S871&lt;&gt;"NA")*(O871:S871&lt;&gt;"W")*(O871:S871&lt;&gt;"")),
IF(COUNTA(_xlpm.x)=0,"NA",IF(MIN(_xlpm.x)=MAX(_xlpm.x),MIN(_xlpm.x),"review"))
)</f>
        <v>42</v>
      </c>
    </row>
    <row r="872" spans="1:22" ht="15.75" hidden="1" customHeight="1" x14ac:dyDescent="0.25">
      <c r="A872" s="7" t="s">
        <v>175</v>
      </c>
      <c r="B872" s="8">
        <v>8</v>
      </c>
      <c r="C872" s="8" t="s">
        <v>176</v>
      </c>
      <c r="D872" s="9" t="s">
        <v>177</v>
      </c>
      <c r="E872" s="7" t="s">
        <v>25</v>
      </c>
      <c r="F872" s="7" t="s">
        <v>39</v>
      </c>
      <c r="G872" s="7" t="s">
        <v>27</v>
      </c>
      <c r="H872" s="7">
        <v>1977</v>
      </c>
      <c r="I872" s="7">
        <v>11</v>
      </c>
      <c r="K872" s="7">
        <v>7</v>
      </c>
      <c r="M872" s="7">
        <v>2</v>
      </c>
      <c r="N872" s="7">
        <v>12</v>
      </c>
      <c r="O872" s="7">
        <v>42</v>
      </c>
      <c r="P872" s="7">
        <v>42</v>
      </c>
      <c r="T872" s="12" t="s">
        <v>72</v>
      </c>
      <c r="V872" cm="1">
        <f t="array" ref="V872">_xlfn.LET(
_xlpm.x,_xlfn._xlws.FILTER(O872:S872,(O872:S872&lt;&gt;"R")*(O872:S872&lt;&gt;"NA")*(O872:S872&lt;&gt;"W")*(O872:S872&lt;&gt;"")),
IF(COUNTA(_xlpm.x)=0,"NA",IF(MIN(_xlpm.x)=MAX(_xlpm.x),MIN(_xlpm.x),"review"))
)</f>
        <v>42</v>
      </c>
    </row>
    <row r="873" spans="1:22" ht="15.75" hidden="1" customHeight="1" x14ac:dyDescent="0.25">
      <c r="A873" s="7" t="s">
        <v>175</v>
      </c>
      <c r="B873" s="8">
        <v>8</v>
      </c>
      <c r="C873" s="8" t="s">
        <v>176</v>
      </c>
      <c r="D873" s="9" t="s">
        <v>177</v>
      </c>
      <c r="E873" s="7" t="s">
        <v>25</v>
      </c>
      <c r="F873" s="7" t="s">
        <v>39</v>
      </c>
      <c r="G873" s="7" t="s">
        <v>27</v>
      </c>
      <c r="H873" s="7">
        <v>1977</v>
      </c>
      <c r="I873" s="7">
        <v>11</v>
      </c>
      <c r="K873" s="7">
        <v>7</v>
      </c>
      <c r="M873" s="7">
        <v>2</v>
      </c>
      <c r="N873" s="7">
        <v>13</v>
      </c>
      <c r="O873" s="7">
        <v>42</v>
      </c>
      <c r="P873" s="7">
        <v>42</v>
      </c>
      <c r="T873" s="12" t="s">
        <v>161</v>
      </c>
      <c r="V873" cm="1">
        <f t="array" ref="V873">_xlfn.LET(
_xlpm.x,_xlfn._xlws.FILTER(O873:S873,(O873:S873&lt;&gt;"R")*(O873:S873&lt;&gt;"NA")*(O873:S873&lt;&gt;"W")*(O873:S873&lt;&gt;"")),
IF(COUNTA(_xlpm.x)=0,"NA",IF(MIN(_xlpm.x)=MAX(_xlpm.x),MIN(_xlpm.x),"review"))
)</f>
        <v>42</v>
      </c>
    </row>
    <row r="874" spans="1:22" ht="15.75" hidden="1" customHeight="1" x14ac:dyDescent="0.25">
      <c r="A874" s="7" t="s">
        <v>175</v>
      </c>
      <c r="B874" s="8">
        <v>8</v>
      </c>
      <c r="C874" s="8" t="s">
        <v>176</v>
      </c>
      <c r="D874" s="9" t="s">
        <v>177</v>
      </c>
      <c r="E874" s="7" t="s">
        <v>25</v>
      </c>
      <c r="F874" s="7" t="s">
        <v>39</v>
      </c>
      <c r="G874" s="7" t="s">
        <v>27</v>
      </c>
      <c r="H874" s="7">
        <v>1977</v>
      </c>
      <c r="I874" s="7">
        <v>11</v>
      </c>
      <c r="K874" s="7">
        <v>7</v>
      </c>
      <c r="M874" s="7">
        <v>2</v>
      </c>
      <c r="N874" s="7">
        <v>14</v>
      </c>
      <c r="O874" s="7">
        <v>42</v>
      </c>
      <c r="P874" s="7">
        <v>42</v>
      </c>
      <c r="T874" s="12" t="s">
        <v>192</v>
      </c>
      <c r="V874" cm="1">
        <f t="array" ref="V874">_xlfn.LET(
_xlpm.x,_xlfn._xlws.FILTER(O874:S874,(O874:S874&lt;&gt;"R")*(O874:S874&lt;&gt;"NA")*(O874:S874&lt;&gt;"W")*(O874:S874&lt;&gt;"")),
IF(COUNTA(_xlpm.x)=0,"NA",IF(MIN(_xlpm.x)=MAX(_xlpm.x),MIN(_xlpm.x),"review"))
)</f>
        <v>42</v>
      </c>
    </row>
    <row r="875" spans="1:22" ht="15.75" hidden="1" customHeight="1" x14ac:dyDescent="0.25">
      <c r="A875" s="7" t="s">
        <v>175</v>
      </c>
      <c r="B875" s="8">
        <v>8</v>
      </c>
      <c r="C875" s="8" t="s">
        <v>176</v>
      </c>
      <c r="D875" s="9" t="s">
        <v>177</v>
      </c>
      <c r="E875" s="7" t="s">
        <v>25</v>
      </c>
      <c r="F875" s="7" t="s">
        <v>39</v>
      </c>
      <c r="G875" s="7" t="s">
        <v>27</v>
      </c>
      <c r="H875" s="7">
        <v>1977</v>
      </c>
      <c r="I875" s="7">
        <v>11</v>
      </c>
      <c r="K875" s="7">
        <v>7</v>
      </c>
      <c r="M875" s="7">
        <v>2</v>
      </c>
      <c r="N875" s="7">
        <v>15</v>
      </c>
      <c r="O875" s="7">
        <v>42</v>
      </c>
      <c r="P875" s="7">
        <v>42</v>
      </c>
      <c r="T875" s="12" t="s">
        <v>94</v>
      </c>
      <c r="V875" cm="1">
        <f t="array" ref="V875">_xlfn.LET(
_xlpm.x,_xlfn._xlws.FILTER(O875:S875,(O875:S875&lt;&gt;"R")*(O875:S875&lt;&gt;"NA")*(O875:S875&lt;&gt;"W")*(O875:S875&lt;&gt;"")),
IF(COUNTA(_xlpm.x)=0,"NA",IF(MIN(_xlpm.x)=MAX(_xlpm.x),MIN(_xlpm.x),"review"))
)</f>
        <v>42</v>
      </c>
    </row>
    <row r="876" spans="1:22" ht="15.75" hidden="1" customHeight="1" x14ac:dyDescent="0.25">
      <c r="A876" s="7" t="s">
        <v>175</v>
      </c>
      <c r="B876" s="8">
        <v>8</v>
      </c>
      <c r="C876" s="8" t="s">
        <v>176</v>
      </c>
      <c r="D876" s="9" t="s">
        <v>177</v>
      </c>
      <c r="E876" s="7" t="s">
        <v>25</v>
      </c>
      <c r="F876" s="7" t="s">
        <v>39</v>
      </c>
      <c r="G876" s="7" t="s">
        <v>27</v>
      </c>
      <c r="H876" s="7">
        <v>1977</v>
      </c>
      <c r="I876" s="7">
        <v>11</v>
      </c>
      <c r="K876" s="7">
        <v>7</v>
      </c>
      <c r="M876" s="7">
        <v>2</v>
      </c>
      <c r="N876" s="7">
        <v>16</v>
      </c>
      <c r="O876" s="7" t="s">
        <v>29</v>
      </c>
      <c r="P876" s="7">
        <v>52</v>
      </c>
      <c r="T876" s="12" t="s">
        <v>102</v>
      </c>
      <c r="V876" cm="1">
        <f t="array" ref="V876">_xlfn.LET(
_xlpm.x,_xlfn._xlws.FILTER(O876:S876,(O876:S876&lt;&gt;"R")*(O876:S876&lt;&gt;"NA")*(O876:S876&lt;&gt;"W")*(O876:S876&lt;&gt;"")),
IF(COUNTA(_xlpm.x)=0,"NA",IF(MIN(_xlpm.x)=MAX(_xlpm.x),MIN(_xlpm.x),"review"))
)</f>
        <v>52</v>
      </c>
    </row>
    <row r="877" spans="1:22" ht="15.75" hidden="1" customHeight="1" x14ac:dyDescent="0.25">
      <c r="A877" s="7" t="s">
        <v>175</v>
      </c>
      <c r="B877" s="8">
        <v>8</v>
      </c>
      <c r="C877" s="8" t="s">
        <v>176</v>
      </c>
      <c r="D877" s="9" t="s">
        <v>177</v>
      </c>
      <c r="E877" s="7" t="s">
        <v>25</v>
      </c>
      <c r="F877" s="7" t="s">
        <v>39</v>
      </c>
      <c r="G877" s="7" t="s">
        <v>27</v>
      </c>
      <c r="H877" s="7">
        <v>1977</v>
      </c>
      <c r="I877" s="7">
        <v>11</v>
      </c>
      <c r="K877" s="7">
        <v>7</v>
      </c>
      <c r="M877" s="7">
        <v>2</v>
      </c>
      <c r="N877" s="7">
        <v>17</v>
      </c>
      <c r="O877" s="7">
        <v>42</v>
      </c>
      <c r="P877" s="7">
        <v>42</v>
      </c>
      <c r="T877" s="12" t="s">
        <v>94</v>
      </c>
      <c r="V877" cm="1">
        <f t="array" ref="V877">_xlfn.LET(
_xlpm.x,_xlfn._xlws.FILTER(O877:S877,(O877:S877&lt;&gt;"R")*(O877:S877&lt;&gt;"NA")*(O877:S877&lt;&gt;"W")*(O877:S877&lt;&gt;"")),
IF(COUNTA(_xlpm.x)=0,"NA",IF(MIN(_xlpm.x)=MAX(_xlpm.x),MIN(_xlpm.x),"review"))
)</f>
        <v>42</v>
      </c>
    </row>
    <row r="878" spans="1:22" ht="15.75" hidden="1" customHeight="1" x14ac:dyDescent="0.25">
      <c r="A878" s="7" t="s">
        <v>175</v>
      </c>
      <c r="B878" s="8">
        <v>8</v>
      </c>
      <c r="C878" s="8" t="s">
        <v>176</v>
      </c>
      <c r="D878" s="9" t="s">
        <v>177</v>
      </c>
      <c r="E878" s="7" t="s">
        <v>25</v>
      </c>
      <c r="F878" s="7" t="s">
        <v>39</v>
      </c>
      <c r="G878" s="7" t="s">
        <v>27</v>
      </c>
      <c r="H878" s="7">
        <v>1977</v>
      </c>
      <c r="I878" s="7">
        <v>11</v>
      </c>
      <c r="K878" s="7">
        <v>7</v>
      </c>
      <c r="M878" s="7">
        <v>2</v>
      </c>
      <c r="N878" s="7">
        <v>18</v>
      </c>
      <c r="O878" s="7">
        <v>42</v>
      </c>
      <c r="P878" s="7">
        <v>42</v>
      </c>
      <c r="T878" s="12" t="s">
        <v>94</v>
      </c>
      <c r="V878" cm="1">
        <f t="array" ref="V878">_xlfn.LET(
_xlpm.x,_xlfn._xlws.FILTER(O878:S878,(O878:S878&lt;&gt;"R")*(O878:S878&lt;&gt;"NA")*(O878:S878&lt;&gt;"W")*(O878:S878&lt;&gt;"")),
IF(COUNTA(_xlpm.x)=0,"NA",IF(MIN(_xlpm.x)=MAX(_xlpm.x),MIN(_xlpm.x),"review"))
)</f>
        <v>42</v>
      </c>
    </row>
    <row r="879" spans="1:22" ht="15.75" hidden="1" customHeight="1" x14ac:dyDescent="0.25">
      <c r="A879" s="7" t="s">
        <v>175</v>
      </c>
      <c r="B879" s="8">
        <v>8</v>
      </c>
      <c r="C879" s="8" t="s">
        <v>176</v>
      </c>
      <c r="D879" s="9" t="s">
        <v>177</v>
      </c>
      <c r="E879" s="7" t="s">
        <v>25</v>
      </c>
      <c r="F879" s="7" t="s">
        <v>39</v>
      </c>
      <c r="G879" s="7" t="s">
        <v>27</v>
      </c>
      <c r="H879" s="7">
        <v>1977</v>
      </c>
      <c r="I879" s="7">
        <v>11</v>
      </c>
      <c r="K879" s="7">
        <v>7</v>
      </c>
      <c r="M879" s="7">
        <v>2</v>
      </c>
      <c r="N879" s="7">
        <v>19</v>
      </c>
      <c r="O879" s="7">
        <v>42</v>
      </c>
      <c r="P879" s="7">
        <v>42</v>
      </c>
      <c r="T879" s="12" t="s">
        <v>79</v>
      </c>
      <c r="V879" cm="1">
        <f t="array" ref="V879">_xlfn.LET(
_xlpm.x,_xlfn._xlws.FILTER(O879:S879,(O879:S879&lt;&gt;"R")*(O879:S879&lt;&gt;"NA")*(O879:S879&lt;&gt;"W")*(O879:S879&lt;&gt;"")),
IF(COUNTA(_xlpm.x)=0,"NA",IF(MIN(_xlpm.x)=MAX(_xlpm.x),MIN(_xlpm.x),"review"))
)</f>
        <v>42</v>
      </c>
    </row>
    <row r="880" spans="1:22" ht="15.75" hidden="1" customHeight="1" x14ac:dyDescent="0.25">
      <c r="A880" s="7" t="s">
        <v>175</v>
      </c>
      <c r="B880" s="8">
        <v>8</v>
      </c>
      <c r="C880" s="8" t="s">
        <v>176</v>
      </c>
      <c r="D880" s="9" t="s">
        <v>177</v>
      </c>
      <c r="E880" s="7" t="s">
        <v>25</v>
      </c>
      <c r="F880" s="7" t="s">
        <v>39</v>
      </c>
      <c r="G880" s="7" t="s">
        <v>27</v>
      </c>
      <c r="H880" s="7">
        <v>1977</v>
      </c>
      <c r="I880" s="7">
        <v>11</v>
      </c>
      <c r="K880" s="7">
        <v>7</v>
      </c>
      <c r="M880" s="7">
        <v>2</v>
      </c>
      <c r="N880" s="7">
        <v>20</v>
      </c>
      <c r="O880" s="7">
        <v>42</v>
      </c>
      <c r="P880" s="7">
        <v>42</v>
      </c>
      <c r="T880" s="12" t="s">
        <v>73</v>
      </c>
      <c r="V880" cm="1">
        <f t="array" ref="V880">_xlfn.LET(
_xlpm.x,_xlfn._xlws.FILTER(O880:S880,(O880:S880&lt;&gt;"R")*(O880:S880&lt;&gt;"NA")*(O880:S880&lt;&gt;"W")*(O880:S880&lt;&gt;"")),
IF(COUNTA(_xlpm.x)=0,"NA",IF(MIN(_xlpm.x)=MAX(_xlpm.x),MIN(_xlpm.x),"review"))
)</f>
        <v>42</v>
      </c>
    </row>
    <row r="881" spans="1:22" ht="15.75" hidden="1" customHeight="1" x14ac:dyDescent="0.25">
      <c r="A881" s="7" t="s">
        <v>175</v>
      </c>
      <c r="B881" s="8">
        <v>8</v>
      </c>
      <c r="C881" s="8" t="s">
        <v>176</v>
      </c>
      <c r="D881" s="9" t="s">
        <v>177</v>
      </c>
      <c r="E881" s="7" t="s">
        <v>25</v>
      </c>
      <c r="F881" s="7" t="s">
        <v>39</v>
      </c>
      <c r="G881" s="7" t="s">
        <v>27</v>
      </c>
      <c r="H881" s="7">
        <v>1977</v>
      </c>
      <c r="I881" s="7">
        <v>11</v>
      </c>
      <c r="K881" s="7">
        <v>7</v>
      </c>
      <c r="M881" s="7">
        <v>2</v>
      </c>
      <c r="N881" s="7">
        <v>21</v>
      </c>
      <c r="O881" s="7">
        <v>42</v>
      </c>
      <c r="P881" s="7">
        <v>42</v>
      </c>
      <c r="T881" s="12" t="s">
        <v>106</v>
      </c>
      <c r="V881" cm="1">
        <f t="array" ref="V881">_xlfn.LET(
_xlpm.x,_xlfn._xlws.FILTER(O881:S881,(O881:S881&lt;&gt;"R")*(O881:S881&lt;&gt;"NA")*(O881:S881&lt;&gt;"W")*(O881:S881&lt;&gt;"")),
IF(COUNTA(_xlpm.x)=0,"NA",IF(MIN(_xlpm.x)=MAX(_xlpm.x),MIN(_xlpm.x),"review"))
)</f>
        <v>42</v>
      </c>
    </row>
    <row r="882" spans="1:22" ht="15.75" hidden="1" customHeight="1" x14ac:dyDescent="0.25">
      <c r="A882" s="7" t="s">
        <v>175</v>
      </c>
      <c r="B882" s="8">
        <v>8</v>
      </c>
      <c r="C882" s="8" t="s">
        <v>176</v>
      </c>
      <c r="D882" s="9" t="s">
        <v>177</v>
      </c>
      <c r="E882" s="7" t="s">
        <v>25</v>
      </c>
      <c r="F882" s="7" t="s">
        <v>39</v>
      </c>
      <c r="G882" s="7" t="s">
        <v>27</v>
      </c>
      <c r="H882" s="7">
        <v>1977</v>
      </c>
      <c r="I882" s="7">
        <v>11</v>
      </c>
      <c r="K882" s="7">
        <v>7</v>
      </c>
      <c r="M882" s="7">
        <v>2</v>
      </c>
      <c r="N882" s="7">
        <v>22</v>
      </c>
      <c r="O882" s="7">
        <v>42</v>
      </c>
      <c r="P882" s="7">
        <v>42</v>
      </c>
      <c r="T882" s="12" t="s">
        <v>73</v>
      </c>
      <c r="V882" cm="1">
        <f t="array" ref="V882">_xlfn.LET(
_xlpm.x,_xlfn._xlws.FILTER(O882:S882,(O882:S882&lt;&gt;"R")*(O882:S882&lt;&gt;"NA")*(O882:S882&lt;&gt;"W")*(O882:S882&lt;&gt;"")),
IF(COUNTA(_xlpm.x)=0,"NA",IF(MIN(_xlpm.x)=MAX(_xlpm.x),MIN(_xlpm.x),"review"))
)</f>
        <v>42</v>
      </c>
    </row>
    <row r="883" spans="1:22" ht="15.75" hidden="1" customHeight="1" x14ac:dyDescent="0.25">
      <c r="A883" s="7" t="s">
        <v>175</v>
      </c>
      <c r="B883" s="8">
        <v>8</v>
      </c>
      <c r="C883" s="8" t="s">
        <v>176</v>
      </c>
      <c r="D883" s="9" t="s">
        <v>177</v>
      </c>
      <c r="E883" s="7" t="s">
        <v>25</v>
      </c>
      <c r="F883" s="7" t="s">
        <v>39</v>
      </c>
      <c r="G883" s="7" t="s">
        <v>27</v>
      </c>
      <c r="H883" s="7">
        <v>1977</v>
      </c>
      <c r="I883" s="7">
        <v>11</v>
      </c>
      <c r="K883" s="7">
        <v>7</v>
      </c>
      <c r="M883" s="7">
        <v>2</v>
      </c>
      <c r="N883" s="7">
        <v>23</v>
      </c>
      <c r="O883" s="7">
        <v>42</v>
      </c>
      <c r="P883" s="7">
        <v>42</v>
      </c>
      <c r="T883" s="12" t="s">
        <v>193</v>
      </c>
      <c r="V883" cm="1">
        <f t="array" ref="V883">_xlfn.LET(
_xlpm.x,_xlfn._xlws.FILTER(O883:S883,(O883:S883&lt;&gt;"R")*(O883:S883&lt;&gt;"NA")*(O883:S883&lt;&gt;"W")*(O883:S883&lt;&gt;"")),
IF(COUNTA(_xlpm.x)=0,"NA",IF(MIN(_xlpm.x)=MAX(_xlpm.x),MIN(_xlpm.x),"review"))
)</f>
        <v>42</v>
      </c>
    </row>
    <row r="884" spans="1:22" ht="15.75" hidden="1" customHeight="1" x14ac:dyDescent="0.25">
      <c r="A884" s="7" t="s">
        <v>175</v>
      </c>
      <c r="B884" s="8">
        <v>8</v>
      </c>
      <c r="C884" s="8" t="s">
        <v>176</v>
      </c>
      <c r="D884" s="9" t="s">
        <v>177</v>
      </c>
      <c r="E884" s="7" t="s">
        <v>25</v>
      </c>
      <c r="F884" s="7" t="s">
        <v>39</v>
      </c>
      <c r="G884" s="7" t="s">
        <v>27</v>
      </c>
      <c r="H884" s="7">
        <v>1977</v>
      </c>
      <c r="I884" s="7">
        <v>11</v>
      </c>
      <c r="K884" s="7">
        <v>7</v>
      </c>
      <c r="M884" s="7">
        <v>2</v>
      </c>
      <c r="N884" s="7">
        <v>24</v>
      </c>
      <c r="O884" s="7">
        <v>42</v>
      </c>
      <c r="P884" s="7">
        <v>42</v>
      </c>
      <c r="T884" s="12" t="s">
        <v>74</v>
      </c>
      <c r="V884" cm="1">
        <f t="array" ref="V884">_xlfn.LET(
_xlpm.x,_xlfn._xlws.FILTER(O884:S884,(O884:S884&lt;&gt;"R")*(O884:S884&lt;&gt;"NA")*(O884:S884&lt;&gt;"W")*(O884:S884&lt;&gt;"")),
IF(COUNTA(_xlpm.x)=0,"NA",IF(MIN(_xlpm.x)=MAX(_xlpm.x),MIN(_xlpm.x),"review"))
)</f>
        <v>42</v>
      </c>
    </row>
    <row r="885" spans="1:22" ht="15.75" hidden="1" customHeight="1" x14ac:dyDescent="0.25">
      <c r="A885" s="7" t="s">
        <v>175</v>
      </c>
      <c r="B885" s="8">
        <v>8</v>
      </c>
      <c r="C885" s="8" t="s">
        <v>176</v>
      </c>
      <c r="D885" s="9" t="s">
        <v>177</v>
      </c>
      <c r="E885" s="7" t="s">
        <v>25</v>
      </c>
      <c r="F885" s="7" t="s">
        <v>39</v>
      </c>
      <c r="G885" s="7" t="s">
        <v>27</v>
      </c>
      <c r="H885" s="7">
        <v>1977</v>
      </c>
      <c r="I885" s="7">
        <v>11</v>
      </c>
      <c r="K885" s="7">
        <v>7</v>
      </c>
      <c r="M885" s="7">
        <v>2</v>
      </c>
      <c r="N885" s="7">
        <v>25</v>
      </c>
      <c r="O885" s="7">
        <v>42</v>
      </c>
      <c r="P885" s="7">
        <v>42</v>
      </c>
      <c r="T885" s="12" t="s">
        <v>180</v>
      </c>
      <c r="V885" cm="1">
        <f t="array" ref="V885">_xlfn.LET(
_xlpm.x,_xlfn._xlws.FILTER(O885:S885,(O885:S885&lt;&gt;"R")*(O885:S885&lt;&gt;"NA")*(O885:S885&lt;&gt;"W")*(O885:S885&lt;&gt;"")),
IF(COUNTA(_xlpm.x)=0,"NA",IF(MIN(_xlpm.x)=MAX(_xlpm.x),MIN(_xlpm.x),"review"))
)</f>
        <v>42</v>
      </c>
    </row>
    <row r="886" spans="1:22" ht="15.75" hidden="1" customHeight="1" x14ac:dyDescent="0.25">
      <c r="A886" s="7" t="s">
        <v>194</v>
      </c>
      <c r="B886" s="8">
        <v>8</v>
      </c>
      <c r="C886" s="8" t="s">
        <v>195</v>
      </c>
      <c r="D886" s="9"/>
      <c r="E886" s="7" t="s">
        <v>25</v>
      </c>
      <c r="F886" s="7" t="s">
        <v>196</v>
      </c>
      <c r="G886" s="7" t="s">
        <v>197</v>
      </c>
      <c r="H886" s="7">
        <v>1980</v>
      </c>
      <c r="I886" s="7">
        <v>10</v>
      </c>
      <c r="K886" s="7">
        <v>7</v>
      </c>
      <c r="M886" s="7">
        <v>1</v>
      </c>
      <c r="N886" s="7">
        <v>1</v>
      </c>
      <c r="O886" s="7" t="s">
        <v>28</v>
      </c>
      <c r="T886" s="12"/>
      <c r="V886" t="s">
        <v>29</v>
      </c>
    </row>
    <row r="887" spans="1:22" ht="15.75" hidden="1" customHeight="1" x14ac:dyDescent="0.25">
      <c r="A887" s="7" t="s">
        <v>194</v>
      </c>
      <c r="B887" s="8">
        <v>8</v>
      </c>
      <c r="C887" s="8" t="s">
        <v>195</v>
      </c>
      <c r="D887" s="9"/>
      <c r="E887" s="7" t="s">
        <v>25</v>
      </c>
      <c r="F887" s="7" t="s">
        <v>196</v>
      </c>
      <c r="G887" s="7" t="s">
        <v>197</v>
      </c>
      <c r="H887" s="7">
        <v>1980</v>
      </c>
      <c r="I887" s="7">
        <v>10</v>
      </c>
      <c r="K887" s="7">
        <v>7</v>
      </c>
      <c r="M887" s="7">
        <v>1</v>
      </c>
      <c r="N887" s="7">
        <v>2</v>
      </c>
      <c r="O887" s="7">
        <v>42</v>
      </c>
      <c r="T887" s="12" t="s">
        <v>198</v>
      </c>
      <c r="V887" cm="1">
        <f t="array" ref="V887">_xlfn.LET(
_xlpm.x,_xlfn._xlws.FILTER(O887:S887,(O887:S887&lt;&gt;"R")*(O887:S887&lt;&gt;"NA")*(O887:S887&lt;&gt;"W")*(O887:S887&lt;&gt;"")),
IF(COUNTA(_xlpm.x)=0,"NA",IF(MIN(_xlpm.x)=MAX(_xlpm.x),MIN(_xlpm.x),"review"))
)</f>
        <v>42</v>
      </c>
    </row>
    <row r="888" spans="1:22" ht="15.75" hidden="1" customHeight="1" x14ac:dyDescent="0.25">
      <c r="A888" s="7" t="s">
        <v>194</v>
      </c>
      <c r="B888" s="8">
        <v>8</v>
      </c>
      <c r="C888" s="8" t="s">
        <v>195</v>
      </c>
      <c r="D888" s="9"/>
      <c r="E888" s="7" t="s">
        <v>25</v>
      </c>
      <c r="F888" s="7" t="s">
        <v>196</v>
      </c>
      <c r="G888" s="7" t="s">
        <v>197</v>
      </c>
      <c r="H888" s="7">
        <v>1980</v>
      </c>
      <c r="I888" s="7">
        <v>10</v>
      </c>
      <c r="K888" s="7">
        <v>7</v>
      </c>
      <c r="M888" s="7">
        <v>1</v>
      </c>
      <c r="N888" s="7">
        <v>3</v>
      </c>
      <c r="O888" s="7">
        <v>42</v>
      </c>
      <c r="T888" s="12" t="s">
        <v>199</v>
      </c>
      <c r="V888" cm="1">
        <f t="array" ref="V888">_xlfn.LET(
_xlpm.x,_xlfn._xlws.FILTER(O888:S888,(O888:S888&lt;&gt;"R")*(O888:S888&lt;&gt;"NA")*(O888:S888&lt;&gt;"W")*(O888:S888&lt;&gt;"")),
IF(COUNTA(_xlpm.x)=0,"NA",IF(MIN(_xlpm.x)=MAX(_xlpm.x),MIN(_xlpm.x),"review"))
)</f>
        <v>42</v>
      </c>
    </row>
    <row r="889" spans="1:22" ht="15.75" hidden="1" customHeight="1" x14ac:dyDescent="0.25">
      <c r="A889" s="7" t="s">
        <v>194</v>
      </c>
      <c r="B889" s="8">
        <v>8</v>
      </c>
      <c r="C889" s="8" t="s">
        <v>195</v>
      </c>
      <c r="D889" s="9"/>
      <c r="E889" s="7" t="s">
        <v>25</v>
      </c>
      <c r="F889" s="7" t="s">
        <v>196</v>
      </c>
      <c r="G889" s="7" t="s">
        <v>197</v>
      </c>
      <c r="H889" s="7">
        <v>1980</v>
      </c>
      <c r="I889" s="7">
        <v>10</v>
      </c>
      <c r="K889" s="7">
        <v>7</v>
      </c>
      <c r="M889" s="7">
        <v>1</v>
      </c>
      <c r="N889" s="7">
        <v>4</v>
      </c>
      <c r="O889" s="7" t="s">
        <v>28</v>
      </c>
      <c r="T889" s="12"/>
      <c r="V889" t="s">
        <v>29</v>
      </c>
    </row>
    <row r="890" spans="1:22" ht="15.75" hidden="1" customHeight="1" x14ac:dyDescent="0.25">
      <c r="A890" s="7" t="s">
        <v>194</v>
      </c>
      <c r="B890" s="8">
        <v>8</v>
      </c>
      <c r="C890" s="8" t="s">
        <v>195</v>
      </c>
      <c r="D890" s="9"/>
      <c r="E890" s="7" t="s">
        <v>25</v>
      </c>
      <c r="F890" s="7" t="s">
        <v>196</v>
      </c>
      <c r="G890" s="7" t="s">
        <v>197</v>
      </c>
      <c r="H890" s="7">
        <v>1980</v>
      </c>
      <c r="I890" s="7">
        <v>10</v>
      </c>
      <c r="K890" s="7">
        <v>7</v>
      </c>
      <c r="M890" s="7">
        <v>1</v>
      </c>
      <c r="N890" s="7">
        <v>5</v>
      </c>
      <c r="O890" s="7">
        <v>42</v>
      </c>
      <c r="T890" s="12" t="s">
        <v>198</v>
      </c>
      <c r="V890" cm="1">
        <f t="array" ref="V890">_xlfn.LET(
_xlpm.x,_xlfn._xlws.FILTER(O890:S890,(O890:S890&lt;&gt;"R")*(O890:S890&lt;&gt;"NA")*(O890:S890&lt;&gt;"W")*(O890:S890&lt;&gt;"")),
IF(COUNTA(_xlpm.x)=0,"NA",IF(MIN(_xlpm.x)=MAX(_xlpm.x),MIN(_xlpm.x),"review"))
)</f>
        <v>42</v>
      </c>
    </row>
    <row r="891" spans="1:22" ht="15.75" hidden="1" customHeight="1" x14ac:dyDescent="0.25">
      <c r="A891" s="7" t="s">
        <v>194</v>
      </c>
      <c r="B891" s="8">
        <v>8</v>
      </c>
      <c r="C891" s="8" t="s">
        <v>195</v>
      </c>
      <c r="D891" s="9"/>
      <c r="E891" s="7" t="s">
        <v>25</v>
      </c>
      <c r="F891" s="7" t="s">
        <v>196</v>
      </c>
      <c r="G891" s="7" t="s">
        <v>197</v>
      </c>
      <c r="H891" s="7">
        <v>1980</v>
      </c>
      <c r="I891" s="7">
        <v>10</v>
      </c>
      <c r="K891" s="7">
        <v>7</v>
      </c>
      <c r="M891" s="7">
        <v>1</v>
      </c>
      <c r="N891" s="7">
        <v>6</v>
      </c>
      <c r="O891" s="7">
        <v>42</v>
      </c>
      <c r="T891" s="12" t="s">
        <v>198</v>
      </c>
      <c r="U891" s="7" t="s">
        <v>200</v>
      </c>
      <c r="V891" cm="1">
        <f t="array" ref="V891">_xlfn.LET(
_xlpm.x,_xlfn._xlws.FILTER(O891:S891,(O891:S891&lt;&gt;"R")*(O891:S891&lt;&gt;"NA")*(O891:S891&lt;&gt;"W")*(O891:S891&lt;&gt;"")),
IF(COUNTA(_xlpm.x)=0,"NA",IF(MIN(_xlpm.x)=MAX(_xlpm.x),MIN(_xlpm.x),"review"))
)</f>
        <v>42</v>
      </c>
    </row>
    <row r="892" spans="1:22" ht="15.75" hidden="1" customHeight="1" x14ac:dyDescent="0.25">
      <c r="A892" s="7" t="s">
        <v>194</v>
      </c>
      <c r="B892" s="8">
        <v>8</v>
      </c>
      <c r="C892" s="8" t="s">
        <v>195</v>
      </c>
      <c r="D892" s="9"/>
      <c r="E892" s="7" t="s">
        <v>25</v>
      </c>
      <c r="F892" s="7" t="s">
        <v>196</v>
      </c>
      <c r="G892" s="7" t="s">
        <v>197</v>
      </c>
      <c r="H892" s="7">
        <v>1980</v>
      </c>
      <c r="I892" s="7">
        <v>10</v>
      </c>
      <c r="K892" s="7">
        <v>7</v>
      </c>
      <c r="M892" s="7">
        <v>1</v>
      </c>
      <c r="N892" s="7">
        <v>7</v>
      </c>
      <c r="O892" s="7">
        <v>52</v>
      </c>
      <c r="T892" s="12" t="s">
        <v>201</v>
      </c>
      <c r="V892" cm="1">
        <f t="array" ref="V892">_xlfn.LET(
_xlpm.x,_xlfn._xlws.FILTER(O892:S892,(O892:S892&lt;&gt;"R")*(O892:S892&lt;&gt;"NA")*(O892:S892&lt;&gt;"W")*(O892:S892&lt;&gt;"")),
IF(COUNTA(_xlpm.x)=0,"NA",IF(MIN(_xlpm.x)=MAX(_xlpm.x),MIN(_xlpm.x),"review"))
)</f>
        <v>52</v>
      </c>
    </row>
    <row r="893" spans="1:22" ht="15.75" hidden="1" customHeight="1" x14ac:dyDescent="0.25">
      <c r="A893" s="7" t="s">
        <v>194</v>
      </c>
      <c r="B893" s="8">
        <v>8</v>
      </c>
      <c r="C893" s="8" t="s">
        <v>195</v>
      </c>
      <c r="D893" s="9"/>
      <c r="E893" s="7" t="s">
        <v>25</v>
      </c>
      <c r="F893" s="7" t="s">
        <v>196</v>
      </c>
      <c r="G893" s="7" t="s">
        <v>197</v>
      </c>
      <c r="H893" s="7">
        <v>1980</v>
      </c>
      <c r="I893" s="7">
        <v>10</v>
      </c>
      <c r="K893" s="7">
        <v>7</v>
      </c>
      <c r="M893" s="7">
        <v>1</v>
      </c>
      <c r="N893" s="7">
        <v>8</v>
      </c>
      <c r="O893" s="7">
        <v>52</v>
      </c>
      <c r="T893" s="12" t="s">
        <v>202</v>
      </c>
      <c r="U893" s="7" t="s">
        <v>200</v>
      </c>
      <c r="V893" cm="1">
        <f t="array" ref="V893">_xlfn.LET(
_xlpm.x,_xlfn._xlws.FILTER(O893:S893,(O893:S893&lt;&gt;"R")*(O893:S893&lt;&gt;"NA")*(O893:S893&lt;&gt;"W")*(O893:S893&lt;&gt;"")),
IF(COUNTA(_xlpm.x)=0,"NA",IF(MIN(_xlpm.x)=MAX(_xlpm.x),MIN(_xlpm.x),"review"))
)</f>
        <v>52</v>
      </c>
    </row>
    <row r="894" spans="1:22" ht="15.75" hidden="1" customHeight="1" x14ac:dyDescent="0.25">
      <c r="A894" s="7" t="s">
        <v>194</v>
      </c>
      <c r="B894" s="8">
        <v>8</v>
      </c>
      <c r="C894" s="8" t="s">
        <v>195</v>
      </c>
      <c r="D894" s="9"/>
      <c r="E894" s="7" t="s">
        <v>25</v>
      </c>
      <c r="F894" s="7" t="s">
        <v>196</v>
      </c>
      <c r="G894" s="7" t="s">
        <v>197</v>
      </c>
      <c r="H894" s="7">
        <v>1980</v>
      </c>
      <c r="I894" s="7">
        <v>10</v>
      </c>
      <c r="K894" s="7">
        <v>7</v>
      </c>
      <c r="M894" s="7">
        <v>1</v>
      </c>
      <c r="N894" s="7">
        <v>9</v>
      </c>
      <c r="O894" s="7">
        <v>52</v>
      </c>
      <c r="T894" s="12" t="s">
        <v>203</v>
      </c>
      <c r="V894" cm="1">
        <f t="array" ref="V894">_xlfn.LET(
_xlpm.x,_xlfn._xlws.FILTER(O894:S894,(O894:S894&lt;&gt;"R")*(O894:S894&lt;&gt;"NA")*(O894:S894&lt;&gt;"W")*(O894:S894&lt;&gt;"")),
IF(COUNTA(_xlpm.x)=0,"NA",IF(MIN(_xlpm.x)=MAX(_xlpm.x),MIN(_xlpm.x),"review"))
)</f>
        <v>52</v>
      </c>
    </row>
    <row r="895" spans="1:22" ht="15.75" hidden="1" customHeight="1" x14ac:dyDescent="0.25">
      <c r="A895" s="7" t="s">
        <v>194</v>
      </c>
      <c r="B895" s="8">
        <v>8</v>
      </c>
      <c r="C895" s="8" t="s">
        <v>195</v>
      </c>
      <c r="D895" s="9"/>
      <c r="E895" s="7" t="s">
        <v>25</v>
      </c>
      <c r="F895" s="7" t="s">
        <v>196</v>
      </c>
      <c r="G895" s="7" t="s">
        <v>197</v>
      </c>
      <c r="H895" s="7">
        <v>1980</v>
      </c>
      <c r="I895" s="7">
        <v>10</v>
      </c>
      <c r="K895" s="7">
        <v>7</v>
      </c>
      <c r="M895" s="7">
        <v>1</v>
      </c>
      <c r="N895" s="7">
        <v>10</v>
      </c>
      <c r="O895" s="7">
        <v>42</v>
      </c>
      <c r="T895" s="12" t="s">
        <v>204</v>
      </c>
      <c r="U895" s="7" t="s">
        <v>200</v>
      </c>
      <c r="V895" cm="1">
        <f t="array" ref="V895">_xlfn.LET(
_xlpm.x,_xlfn._xlws.FILTER(O895:S895,(O895:S895&lt;&gt;"R")*(O895:S895&lt;&gt;"NA")*(O895:S895&lt;&gt;"W")*(O895:S895&lt;&gt;"")),
IF(COUNTA(_xlpm.x)=0,"NA",IF(MIN(_xlpm.x)=MAX(_xlpm.x),MIN(_xlpm.x),"review"))
)</f>
        <v>42</v>
      </c>
    </row>
    <row r="896" spans="1:22" ht="15.75" hidden="1" customHeight="1" x14ac:dyDescent="0.25">
      <c r="A896" s="7" t="s">
        <v>194</v>
      </c>
      <c r="B896" s="8">
        <v>8</v>
      </c>
      <c r="C896" s="8" t="s">
        <v>195</v>
      </c>
      <c r="D896" s="9"/>
      <c r="E896" s="7" t="s">
        <v>25</v>
      </c>
      <c r="F896" s="7" t="s">
        <v>196</v>
      </c>
      <c r="G896" s="7" t="s">
        <v>197</v>
      </c>
      <c r="H896" s="7">
        <v>1980</v>
      </c>
      <c r="I896" s="7">
        <v>10</v>
      </c>
      <c r="K896" s="7">
        <v>7</v>
      </c>
      <c r="M896" s="7">
        <v>1</v>
      </c>
      <c r="N896" s="7">
        <v>11</v>
      </c>
      <c r="O896" s="7" t="s">
        <v>28</v>
      </c>
      <c r="T896" s="12"/>
      <c r="V896" t="s">
        <v>29</v>
      </c>
    </row>
    <row r="897" spans="1:22" ht="15.75" hidden="1" customHeight="1" x14ac:dyDescent="0.25">
      <c r="A897" s="7" t="s">
        <v>194</v>
      </c>
      <c r="B897" s="8">
        <v>8</v>
      </c>
      <c r="C897" s="8" t="s">
        <v>195</v>
      </c>
      <c r="D897" s="9"/>
      <c r="E897" s="7" t="s">
        <v>25</v>
      </c>
      <c r="F897" s="7" t="s">
        <v>196</v>
      </c>
      <c r="G897" s="7" t="s">
        <v>197</v>
      </c>
      <c r="H897" s="7">
        <v>1980</v>
      </c>
      <c r="I897" s="7">
        <v>10</v>
      </c>
      <c r="K897" s="7">
        <v>7</v>
      </c>
      <c r="M897" s="7">
        <v>1</v>
      </c>
      <c r="N897" s="7">
        <v>12</v>
      </c>
      <c r="O897" s="7" t="s">
        <v>28</v>
      </c>
      <c r="T897" s="12"/>
      <c r="V897" t="s">
        <v>29</v>
      </c>
    </row>
    <row r="898" spans="1:22" ht="15.75" hidden="1" customHeight="1" x14ac:dyDescent="0.25">
      <c r="A898" s="7" t="s">
        <v>194</v>
      </c>
      <c r="B898" s="8">
        <v>8</v>
      </c>
      <c r="C898" s="8" t="s">
        <v>195</v>
      </c>
      <c r="D898" s="9"/>
      <c r="E898" s="7" t="s">
        <v>25</v>
      </c>
      <c r="F898" s="7" t="s">
        <v>196</v>
      </c>
      <c r="G898" s="7" t="s">
        <v>197</v>
      </c>
      <c r="H898" s="7">
        <v>1980</v>
      </c>
      <c r="I898" s="7">
        <v>10</v>
      </c>
      <c r="K898" s="7">
        <v>7</v>
      </c>
      <c r="M898" s="7">
        <v>1</v>
      </c>
      <c r="N898" s="7">
        <v>13</v>
      </c>
      <c r="O898" s="7">
        <v>31</v>
      </c>
      <c r="T898" s="12"/>
      <c r="V898" cm="1">
        <f t="array" ref="V898">_xlfn.LET(
_xlpm.x,_xlfn._xlws.FILTER(O898:S898,(O898:S898&lt;&gt;"R")*(O898:S898&lt;&gt;"NA")*(O898:S898&lt;&gt;"W")*(O898:S898&lt;&gt;"")),
IF(COUNTA(_xlpm.x)=0,"NA",IF(MIN(_xlpm.x)=MAX(_xlpm.x),MIN(_xlpm.x),"review"))
)</f>
        <v>31</v>
      </c>
    </row>
    <row r="899" spans="1:22" ht="15.75" hidden="1" customHeight="1" x14ac:dyDescent="0.25">
      <c r="A899" s="7" t="s">
        <v>194</v>
      </c>
      <c r="B899" s="8">
        <v>8</v>
      </c>
      <c r="C899" s="8" t="s">
        <v>195</v>
      </c>
      <c r="D899" s="9"/>
      <c r="E899" s="7" t="s">
        <v>25</v>
      </c>
      <c r="F899" s="7" t="s">
        <v>196</v>
      </c>
      <c r="G899" s="7" t="s">
        <v>197</v>
      </c>
      <c r="H899" s="7">
        <v>1980</v>
      </c>
      <c r="I899" s="7">
        <v>10</v>
      </c>
      <c r="K899" s="7">
        <v>7</v>
      </c>
      <c r="M899" s="7">
        <v>1</v>
      </c>
      <c r="N899" s="7">
        <v>14</v>
      </c>
      <c r="O899" s="7">
        <v>42</v>
      </c>
      <c r="T899" s="12" t="s">
        <v>205</v>
      </c>
      <c r="U899" s="7" t="s">
        <v>200</v>
      </c>
      <c r="V899" cm="1">
        <f t="array" ref="V899">_xlfn.LET(
_xlpm.x,_xlfn._xlws.FILTER(O899:S899,(O899:S899&lt;&gt;"R")*(O899:S899&lt;&gt;"NA")*(O899:S899&lt;&gt;"W")*(O899:S899&lt;&gt;"")),
IF(COUNTA(_xlpm.x)=0,"NA",IF(MIN(_xlpm.x)=MAX(_xlpm.x),MIN(_xlpm.x),"review"))
)</f>
        <v>42</v>
      </c>
    </row>
    <row r="900" spans="1:22" ht="15.75" hidden="1" customHeight="1" x14ac:dyDescent="0.25">
      <c r="A900" s="7" t="s">
        <v>194</v>
      </c>
      <c r="B900" s="8">
        <v>8</v>
      </c>
      <c r="C900" s="8" t="s">
        <v>195</v>
      </c>
      <c r="D900" s="9"/>
      <c r="E900" s="7" t="s">
        <v>25</v>
      </c>
      <c r="F900" s="7" t="s">
        <v>196</v>
      </c>
      <c r="G900" s="7" t="s">
        <v>197</v>
      </c>
      <c r="H900" s="7">
        <v>1980</v>
      </c>
      <c r="I900" s="7">
        <v>10</v>
      </c>
      <c r="K900" s="7">
        <v>7</v>
      </c>
      <c r="M900" s="7">
        <v>1</v>
      </c>
      <c r="N900" s="7">
        <v>15</v>
      </c>
      <c r="O900" s="7">
        <v>52</v>
      </c>
      <c r="T900" s="12" t="s">
        <v>206</v>
      </c>
      <c r="U900" s="7" t="s">
        <v>200</v>
      </c>
      <c r="V900" cm="1">
        <f t="array" ref="V900">_xlfn.LET(
_xlpm.x,_xlfn._xlws.FILTER(O900:S900,(O900:S900&lt;&gt;"R")*(O900:S900&lt;&gt;"NA")*(O900:S900&lt;&gt;"W")*(O900:S900&lt;&gt;"")),
IF(COUNTA(_xlpm.x)=0,"NA",IF(MIN(_xlpm.x)=MAX(_xlpm.x),MIN(_xlpm.x),"review"))
)</f>
        <v>52</v>
      </c>
    </row>
    <row r="901" spans="1:22" ht="15.75" hidden="1" customHeight="1" x14ac:dyDescent="0.25">
      <c r="A901" s="7" t="s">
        <v>194</v>
      </c>
      <c r="B901" s="8">
        <v>8</v>
      </c>
      <c r="C901" s="8" t="s">
        <v>195</v>
      </c>
      <c r="D901" s="9"/>
      <c r="E901" s="7" t="s">
        <v>25</v>
      </c>
      <c r="F901" s="7" t="s">
        <v>196</v>
      </c>
      <c r="G901" s="7" t="s">
        <v>197</v>
      </c>
      <c r="H901" s="7">
        <v>1980</v>
      </c>
      <c r="I901" s="7">
        <v>10</v>
      </c>
      <c r="K901" s="7">
        <v>7</v>
      </c>
      <c r="M901" s="7">
        <v>1</v>
      </c>
      <c r="N901" s="7">
        <v>16</v>
      </c>
      <c r="O901" s="7">
        <v>52</v>
      </c>
      <c r="T901" s="12" t="s">
        <v>198</v>
      </c>
      <c r="V901" cm="1">
        <f t="array" ref="V901">_xlfn.LET(
_xlpm.x,_xlfn._xlws.FILTER(O901:S901,(O901:S901&lt;&gt;"R")*(O901:S901&lt;&gt;"NA")*(O901:S901&lt;&gt;"W")*(O901:S901&lt;&gt;"")),
IF(COUNTA(_xlpm.x)=0,"NA",IF(MIN(_xlpm.x)=MAX(_xlpm.x),MIN(_xlpm.x),"review"))
)</f>
        <v>52</v>
      </c>
    </row>
    <row r="902" spans="1:22" ht="15.75" hidden="1" customHeight="1" x14ac:dyDescent="0.25">
      <c r="A902" s="7" t="s">
        <v>194</v>
      </c>
      <c r="B902" s="8">
        <v>8</v>
      </c>
      <c r="C902" s="8" t="s">
        <v>195</v>
      </c>
      <c r="D902" s="9"/>
      <c r="E902" s="7" t="s">
        <v>25</v>
      </c>
      <c r="F902" s="7" t="s">
        <v>196</v>
      </c>
      <c r="G902" s="7" t="s">
        <v>197</v>
      </c>
      <c r="H902" s="7">
        <v>1980</v>
      </c>
      <c r="I902" s="7">
        <v>10</v>
      </c>
      <c r="K902" s="7">
        <v>7</v>
      </c>
      <c r="M902" s="7">
        <v>1</v>
      </c>
      <c r="N902" s="7">
        <v>17</v>
      </c>
      <c r="O902" s="7">
        <v>52</v>
      </c>
      <c r="T902" s="12" t="s">
        <v>198</v>
      </c>
      <c r="V902" cm="1">
        <f t="array" ref="V902">_xlfn.LET(
_xlpm.x,_xlfn._xlws.FILTER(O902:S902,(O902:S902&lt;&gt;"R")*(O902:S902&lt;&gt;"NA")*(O902:S902&lt;&gt;"W")*(O902:S902&lt;&gt;"")),
IF(COUNTA(_xlpm.x)=0,"NA",IF(MIN(_xlpm.x)=MAX(_xlpm.x),MIN(_xlpm.x),"review"))
)</f>
        <v>52</v>
      </c>
    </row>
    <row r="903" spans="1:22" ht="15.75" hidden="1" customHeight="1" x14ac:dyDescent="0.25">
      <c r="A903" s="7" t="s">
        <v>194</v>
      </c>
      <c r="B903" s="8">
        <v>8</v>
      </c>
      <c r="C903" s="8" t="s">
        <v>195</v>
      </c>
      <c r="D903" s="9"/>
      <c r="E903" s="7" t="s">
        <v>25</v>
      </c>
      <c r="F903" s="7" t="s">
        <v>196</v>
      </c>
      <c r="G903" s="7" t="s">
        <v>197</v>
      </c>
      <c r="H903" s="7">
        <v>1980</v>
      </c>
      <c r="I903" s="7">
        <v>10</v>
      </c>
      <c r="K903" s="7">
        <v>7</v>
      </c>
      <c r="M903" s="7">
        <v>1</v>
      </c>
      <c r="N903" s="7">
        <v>18</v>
      </c>
      <c r="O903" s="7">
        <v>52</v>
      </c>
      <c r="T903" s="12" t="s">
        <v>201</v>
      </c>
      <c r="U903" s="7" t="s">
        <v>200</v>
      </c>
      <c r="V903" cm="1">
        <f t="array" ref="V903">_xlfn.LET(
_xlpm.x,_xlfn._xlws.FILTER(O903:S903,(O903:S903&lt;&gt;"R")*(O903:S903&lt;&gt;"NA")*(O903:S903&lt;&gt;"W")*(O903:S903&lt;&gt;"")),
IF(COUNTA(_xlpm.x)=0,"NA",IF(MIN(_xlpm.x)=MAX(_xlpm.x),MIN(_xlpm.x),"review"))
)</f>
        <v>52</v>
      </c>
    </row>
    <row r="904" spans="1:22" ht="15.75" hidden="1" customHeight="1" x14ac:dyDescent="0.25">
      <c r="A904" s="7" t="s">
        <v>194</v>
      </c>
      <c r="B904" s="8">
        <v>8</v>
      </c>
      <c r="C904" s="8" t="s">
        <v>195</v>
      </c>
      <c r="D904" s="9"/>
      <c r="E904" s="7" t="s">
        <v>25</v>
      </c>
      <c r="F904" s="7" t="s">
        <v>196</v>
      </c>
      <c r="G904" s="7" t="s">
        <v>197</v>
      </c>
      <c r="H904" s="7">
        <v>1980</v>
      </c>
      <c r="I904" s="7">
        <v>10</v>
      </c>
      <c r="K904" s="7">
        <v>7</v>
      </c>
      <c r="M904" s="7">
        <v>1</v>
      </c>
      <c r="N904" s="7">
        <v>19</v>
      </c>
      <c r="O904" s="7">
        <v>52</v>
      </c>
      <c r="T904" s="12" t="s">
        <v>33</v>
      </c>
      <c r="U904" s="7" t="s">
        <v>200</v>
      </c>
      <c r="V904" cm="1">
        <f t="array" ref="V904">_xlfn.LET(
_xlpm.x,_xlfn._xlws.FILTER(O904:S904,(O904:S904&lt;&gt;"R")*(O904:S904&lt;&gt;"NA")*(O904:S904&lt;&gt;"W")*(O904:S904&lt;&gt;"")),
IF(COUNTA(_xlpm.x)=0,"NA",IF(MIN(_xlpm.x)=MAX(_xlpm.x),MIN(_xlpm.x),"review"))
)</f>
        <v>52</v>
      </c>
    </row>
    <row r="905" spans="1:22" ht="15.75" hidden="1" customHeight="1" x14ac:dyDescent="0.25">
      <c r="A905" s="7" t="s">
        <v>194</v>
      </c>
      <c r="B905" s="8">
        <v>8</v>
      </c>
      <c r="C905" s="8" t="s">
        <v>195</v>
      </c>
      <c r="D905" s="9"/>
      <c r="E905" s="7" t="s">
        <v>25</v>
      </c>
      <c r="F905" s="7" t="s">
        <v>196</v>
      </c>
      <c r="G905" s="7" t="s">
        <v>197</v>
      </c>
      <c r="H905" s="7">
        <v>1980</v>
      </c>
      <c r="I905" s="7">
        <v>10</v>
      </c>
      <c r="K905" s="7">
        <v>7</v>
      </c>
      <c r="M905" s="7">
        <v>1</v>
      </c>
      <c r="N905" s="7">
        <v>20</v>
      </c>
      <c r="O905" s="7">
        <v>52</v>
      </c>
      <c r="T905" s="12" t="s">
        <v>207</v>
      </c>
      <c r="U905" s="7" t="s">
        <v>200</v>
      </c>
      <c r="V905" cm="1">
        <f t="array" ref="V905">_xlfn.LET(
_xlpm.x,_xlfn._xlws.FILTER(O905:S905,(O905:S905&lt;&gt;"R")*(O905:S905&lt;&gt;"NA")*(O905:S905&lt;&gt;"W")*(O905:S905&lt;&gt;"")),
IF(COUNTA(_xlpm.x)=0,"NA",IF(MIN(_xlpm.x)=MAX(_xlpm.x),MIN(_xlpm.x),"review"))
)</f>
        <v>52</v>
      </c>
    </row>
    <row r="906" spans="1:22" ht="15.75" hidden="1" customHeight="1" x14ac:dyDescent="0.25">
      <c r="A906" s="7" t="s">
        <v>194</v>
      </c>
      <c r="B906" s="8">
        <v>8</v>
      </c>
      <c r="C906" s="8" t="s">
        <v>195</v>
      </c>
      <c r="D906" s="9"/>
      <c r="E906" s="7" t="s">
        <v>25</v>
      </c>
      <c r="F906" s="7" t="s">
        <v>196</v>
      </c>
      <c r="G906" s="7" t="s">
        <v>197</v>
      </c>
      <c r="H906" s="7">
        <v>1980</v>
      </c>
      <c r="I906" s="7">
        <v>10</v>
      </c>
      <c r="K906" s="7">
        <v>7</v>
      </c>
      <c r="M906" s="7">
        <v>1</v>
      </c>
      <c r="N906" s="7">
        <v>21</v>
      </c>
      <c r="O906" s="7">
        <v>53</v>
      </c>
      <c r="T906" s="12" t="s">
        <v>208</v>
      </c>
      <c r="U906" s="7" t="s">
        <v>200</v>
      </c>
      <c r="V906" cm="1">
        <f t="array" ref="V906">_xlfn.LET(
_xlpm.x,_xlfn._xlws.FILTER(O906:S906,(O906:S906&lt;&gt;"R")*(O906:S906&lt;&gt;"NA")*(O906:S906&lt;&gt;"W")*(O906:S906&lt;&gt;"")),
IF(COUNTA(_xlpm.x)=0,"NA",IF(MIN(_xlpm.x)=MAX(_xlpm.x),MIN(_xlpm.x),"review"))
)</f>
        <v>53</v>
      </c>
    </row>
    <row r="907" spans="1:22" ht="15.75" hidden="1" customHeight="1" x14ac:dyDescent="0.25">
      <c r="A907" s="7" t="s">
        <v>194</v>
      </c>
      <c r="B907" s="8">
        <v>8</v>
      </c>
      <c r="C907" s="8" t="s">
        <v>195</v>
      </c>
      <c r="D907" s="9"/>
      <c r="E907" s="7" t="s">
        <v>25</v>
      </c>
      <c r="F907" s="7" t="s">
        <v>196</v>
      </c>
      <c r="G907" s="7" t="s">
        <v>197</v>
      </c>
      <c r="H907" s="7">
        <v>1980</v>
      </c>
      <c r="I907" s="7">
        <v>10</v>
      </c>
      <c r="K907" s="7">
        <v>7</v>
      </c>
      <c r="M907" s="7">
        <v>1</v>
      </c>
      <c r="N907" s="7">
        <v>22</v>
      </c>
      <c r="O907" s="7" t="s">
        <v>28</v>
      </c>
      <c r="T907" s="12"/>
      <c r="V907" t="s">
        <v>29</v>
      </c>
    </row>
    <row r="908" spans="1:22" ht="15.75" hidden="1" customHeight="1" x14ac:dyDescent="0.25">
      <c r="A908" s="7" t="s">
        <v>194</v>
      </c>
      <c r="B908" s="8">
        <v>8</v>
      </c>
      <c r="C908" s="8" t="s">
        <v>195</v>
      </c>
      <c r="D908" s="9"/>
      <c r="E908" s="7" t="s">
        <v>25</v>
      </c>
      <c r="F908" s="7" t="s">
        <v>196</v>
      </c>
      <c r="G908" s="7" t="s">
        <v>197</v>
      </c>
      <c r="H908" s="7">
        <v>1980</v>
      </c>
      <c r="I908" s="7">
        <v>10</v>
      </c>
      <c r="K908" s="7">
        <v>7</v>
      </c>
      <c r="M908" s="7">
        <v>1</v>
      </c>
      <c r="N908" s="7">
        <v>23</v>
      </c>
      <c r="O908" s="7">
        <v>53</v>
      </c>
      <c r="T908" s="12" t="s">
        <v>209</v>
      </c>
      <c r="V908" cm="1">
        <f t="array" ref="V908">_xlfn.LET(
_xlpm.x,_xlfn._xlws.FILTER(O908:S908,(O908:S908&lt;&gt;"R")*(O908:S908&lt;&gt;"NA")*(O908:S908&lt;&gt;"W")*(O908:S908&lt;&gt;"")),
IF(COUNTA(_xlpm.x)=0,"NA",IF(MIN(_xlpm.x)=MAX(_xlpm.x),MIN(_xlpm.x),"review"))
)</f>
        <v>53</v>
      </c>
    </row>
    <row r="909" spans="1:22" ht="15.75" hidden="1" customHeight="1" x14ac:dyDescent="0.25">
      <c r="A909" s="7" t="s">
        <v>194</v>
      </c>
      <c r="B909" s="8">
        <v>8</v>
      </c>
      <c r="C909" s="8" t="s">
        <v>195</v>
      </c>
      <c r="D909" s="9"/>
      <c r="E909" s="7" t="s">
        <v>25</v>
      </c>
      <c r="F909" s="7" t="s">
        <v>196</v>
      </c>
      <c r="G909" s="7" t="s">
        <v>197</v>
      </c>
      <c r="H909" s="7">
        <v>1980</v>
      </c>
      <c r="I909" s="7">
        <v>10</v>
      </c>
      <c r="K909" s="7">
        <v>7</v>
      </c>
      <c r="M909" s="7">
        <v>1</v>
      </c>
      <c r="N909" s="7">
        <v>24</v>
      </c>
      <c r="O909" s="7">
        <v>52</v>
      </c>
      <c r="T909" s="12" t="s">
        <v>210</v>
      </c>
      <c r="V909" cm="1">
        <f t="array" ref="V909">_xlfn.LET(
_xlpm.x,_xlfn._xlws.FILTER(O909:S909,(O909:S909&lt;&gt;"R")*(O909:S909&lt;&gt;"NA")*(O909:S909&lt;&gt;"W")*(O909:S909&lt;&gt;"")),
IF(COUNTA(_xlpm.x)=0,"NA",IF(MIN(_xlpm.x)=MAX(_xlpm.x),MIN(_xlpm.x),"review"))
)</f>
        <v>52</v>
      </c>
    </row>
    <row r="910" spans="1:22" ht="15.75" hidden="1" customHeight="1" x14ac:dyDescent="0.25">
      <c r="A910" s="7" t="s">
        <v>194</v>
      </c>
      <c r="B910" s="8">
        <v>8</v>
      </c>
      <c r="C910" s="8" t="s">
        <v>195</v>
      </c>
      <c r="D910" s="9"/>
      <c r="E910" s="7" t="s">
        <v>25</v>
      </c>
      <c r="F910" s="7" t="s">
        <v>196</v>
      </c>
      <c r="G910" s="7" t="s">
        <v>197</v>
      </c>
      <c r="H910" s="7">
        <v>1980</v>
      </c>
      <c r="I910" s="7">
        <v>10</v>
      </c>
      <c r="K910" s="7">
        <v>7</v>
      </c>
      <c r="M910" s="7">
        <v>1</v>
      </c>
      <c r="N910" s="7">
        <v>25</v>
      </c>
      <c r="O910" s="7">
        <v>52</v>
      </c>
      <c r="T910" s="12" t="s">
        <v>201</v>
      </c>
      <c r="V910" cm="1">
        <f t="array" ref="V910">_xlfn.LET(
_xlpm.x,_xlfn._xlws.FILTER(O910:S910,(O910:S910&lt;&gt;"R")*(O910:S910&lt;&gt;"NA")*(O910:S910&lt;&gt;"W")*(O910:S910&lt;&gt;"")),
IF(COUNTA(_xlpm.x)=0,"NA",IF(MIN(_xlpm.x)=MAX(_xlpm.x),MIN(_xlpm.x),"review"))
)</f>
        <v>52</v>
      </c>
    </row>
    <row r="911" spans="1:22" ht="15.75" hidden="1" customHeight="1" x14ac:dyDescent="0.25">
      <c r="A911" s="7" t="s">
        <v>194</v>
      </c>
      <c r="B911" s="8">
        <v>8</v>
      </c>
      <c r="C911" s="8" t="s">
        <v>195</v>
      </c>
      <c r="D911" s="9"/>
      <c r="E911" s="7" t="s">
        <v>25</v>
      </c>
      <c r="F911" s="7" t="s">
        <v>196</v>
      </c>
      <c r="G911" s="7" t="s">
        <v>197</v>
      </c>
      <c r="H911" s="7">
        <v>1980</v>
      </c>
      <c r="I911" s="7">
        <v>10</v>
      </c>
      <c r="K911" s="7">
        <v>7</v>
      </c>
      <c r="M911" s="7">
        <v>1</v>
      </c>
      <c r="N911" s="7">
        <v>26</v>
      </c>
      <c r="O911" s="7">
        <v>52</v>
      </c>
      <c r="T911" s="12" t="s">
        <v>211</v>
      </c>
      <c r="V911" cm="1">
        <f t="array" ref="V911">_xlfn.LET(
_xlpm.x,_xlfn._xlws.FILTER(O911:S911,(O911:S911&lt;&gt;"R")*(O911:S911&lt;&gt;"NA")*(O911:S911&lt;&gt;"W")*(O911:S911&lt;&gt;"")),
IF(COUNTA(_xlpm.x)=0,"NA",IF(MIN(_xlpm.x)=MAX(_xlpm.x),MIN(_xlpm.x),"review"))
)</f>
        <v>52</v>
      </c>
    </row>
    <row r="912" spans="1:22" ht="15.75" hidden="1" customHeight="1" x14ac:dyDescent="0.25">
      <c r="A912" s="7" t="s">
        <v>194</v>
      </c>
      <c r="B912" s="8">
        <v>8</v>
      </c>
      <c r="C912" s="8" t="s">
        <v>195</v>
      </c>
      <c r="D912" s="9"/>
      <c r="E912" s="7" t="s">
        <v>25</v>
      </c>
      <c r="F912" s="7" t="s">
        <v>196</v>
      </c>
      <c r="G912" s="7" t="s">
        <v>197</v>
      </c>
      <c r="H912" s="7">
        <v>1980</v>
      </c>
      <c r="I912" s="7">
        <v>10</v>
      </c>
      <c r="K912" s="7">
        <v>7</v>
      </c>
      <c r="M912" s="7">
        <v>1</v>
      </c>
      <c r="N912" s="7">
        <v>27</v>
      </c>
      <c r="O912" s="7">
        <v>42</v>
      </c>
      <c r="T912" s="12" t="s">
        <v>212</v>
      </c>
      <c r="U912" s="7" t="s">
        <v>200</v>
      </c>
      <c r="V912" cm="1">
        <f t="array" ref="V912">_xlfn.LET(
_xlpm.x,_xlfn._xlws.FILTER(O912:S912,(O912:S912&lt;&gt;"R")*(O912:S912&lt;&gt;"NA")*(O912:S912&lt;&gt;"W")*(O912:S912&lt;&gt;"")),
IF(COUNTA(_xlpm.x)=0,"NA",IF(MIN(_xlpm.x)=MAX(_xlpm.x),MIN(_xlpm.x),"review"))
)</f>
        <v>42</v>
      </c>
    </row>
    <row r="913" spans="1:22" ht="15.75" hidden="1" customHeight="1" x14ac:dyDescent="0.25">
      <c r="A913" s="7" t="s">
        <v>194</v>
      </c>
      <c r="B913" s="8">
        <v>8</v>
      </c>
      <c r="C913" s="8" t="s">
        <v>195</v>
      </c>
      <c r="D913" s="9"/>
      <c r="E913" s="7" t="s">
        <v>25</v>
      </c>
      <c r="F913" s="7" t="s">
        <v>196</v>
      </c>
      <c r="G913" s="7" t="s">
        <v>197</v>
      </c>
      <c r="H913" s="7">
        <v>1980</v>
      </c>
      <c r="I913" s="7">
        <v>10</v>
      </c>
      <c r="K913" s="7">
        <v>7</v>
      </c>
      <c r="M913" s="7">
        <v>1</v>
      </c>
      <c r="N913" s="7">
        <v>28</v>
      </c>
      <c r="O913" s="7">
        <v>53</v>
      </c>
      <c r="T913" s="12" t="s">
        <v>213</v>
      </c>
      <c r="V913" cm="1">
        <f t="array" ref="V913">_xlfn.LET(
_xlpm.x,_xlfn._xlws.FILTER(O913:S913,(O913:S913&lt;&gt;"R")*(O913:S913&lt;&gt;"NA")*(O913:S913&lt;&gt;"W")*(O913:S913&lt;&gt;"")),
IF(COUNTA(_xlpm.x)=0,"NA",IF(MIN(_xlpm.x)=MAX(_xlpm.x),MIN(_xlpm.x),"review"))
)</f>
        <v>53</v>
      </c>
    </row>
    <row r="914" spans="1:22" ht="15.75" hidden="1" customHeight="1" x14ac:dyDescent="0.25">
      <c r="A914" s="7" t="s">
        <v>194</v>
      </c>
      <c r="B914" s="8">
        <v>8</v>
      </c>
      <c r="C914" s="8" t="s">
        <v>195</v>
      </c>
      <c r="D914" s="9"/>
      <c r="E914" s="7" t="s">
        <v>25</v>
      </c>
      <c r="F914" s="7" t="s">
        <v>196</v>
      </c>
      <c r="G914" s="7" t="s">
        <v>197</v>
      </c>
      <c r="H914" s="7">
        <v>1980</v>
      </c>
      <c r="I914" s="7">
        <v>10</v>
      </c>
      <c r="K914" s="7">
        <v>7</v>
      </c>
      <c r="M914" s="7">
        <v>1</v>
      </c>
      <c r="N914" s="7">
        <v>29</v>
      </c>
      <c r="O914" s="7">
        <v>52</v>
      </c>
      <c r="T914" s="12" t="s">
        <v>203</v>
      </c>
      <c r="V914" cm="1">
        <f t="array" ref="V914">_xlfn.LET(
_xlpm.x,_xlfn._xlws.FILTER(O914:S914,(O914:S914&lt;&gt;"R")*(O914:S914&lt;&gt;"NA")*(O914:S914&lt;&gt;"W")*(O914:S914&lt;&gt;"")),
IF(COUNTA(_xlpm.x)=0,"NA",IF(MIN(_xlpm.x)=MAX(_xlpm.x),MIN(_xlpm.x),"review"))
)</f>
        <v>52</v>
      </c>
    </row>
    <row r="915" spans="1:22" ht="15.75" hidden="1" customHeight="1" x14ac:dyDescent="0.25">
      <c r="A915" s="7" t="s">
        <v>194</v>
      </c>
      <c r="B915" s="8">
        <v>8</v>
      </c>
      <c r="C915" s="8" t="s">
        <v>195</v>
      </c>
      <c r="D915" s="9"/>
      <c r="E915" s="7" t="s">
        <v>25</v>
      </c>
      <c r="F915" s="7" t="s">
        <v>196</v>
      </c>
      <c r="G915" s="7" t="s">
        <v>197</v>
      </c>
      <c r="H915" s="7">
        <v>1980</v>
      </c>
      <c r="I915" s="7">
        <v>10</v>
      </c>
      <c r="K915" s="7">
        <v>7</v>
      </c>
      <c r="M915" s="7">
        <v>1</v>
      </c>
      <c r="N915" s="7">
        <v>30</v>
      </c>
      <c r="O915" s="7">
        <v>52</v>
      </c>
      <c r="T915" s="12" t="s">
        <v>214</v>
      </c>
      <c r="U915" s="7" t="s">
        <v>200</v>
      </c>
      <c r="V915" cm="1">
        <f t="array" ref="V915">_xlfn.LET(
_xlpm.x,_xlfn._xlws.FILTER(O915:S915,(O915:S915&lt;&gt;"R")*(O915:S915&lt;&gt;"NA")*(O915:S915&lt;&gt;"W")*(O915:S915&lt;&gt;"")),
IF(COUNTA(_xlpm.x)=0,"NA",IF(MIN(_xlpm.x)=MAX(_xlpm.x),MIN(_xlpm.x),"review"))
)</f>
        <v>52</v>
      </c>
    </row>
    <row r="916" spans="1:22" ht="15.75" hidden="1" customHeight="1" x14ac:dyDescent="0.25">
      <c r="A916" s="7" t="s">
        <v>194</v>
      </c>
      <c r="B916" s="8">
        <v>8</v>
      </c>
      <c r="C916" s="8" t="s">
        <v>195</v>
      </c>
      <c r="D916" s="9"/>
      <c r="E916" s="7" t="s">
        <v>25</v>
      </c>
      <c r="F916" s="7" t="s">
        <v>196</v>
      </c>
      <c r="G916" s="7" t="s">
        <v>197</v>
      </c>
      <c r="H916" s="7">
        <v>1980</v>
      </c>
      <c r="I916" s="7">
        <v>10</v>
      </c>
      <c r="K916" s="7">
        <v>7</v>
      </c>
      <c r="M916" s="7">
        <v>1</v>
      </c>
      <c r="N916" s="7">
        <v>31</v>
      </c>
      <c r="O916" s="7">
        <v>42</v>
      </c>
      <c r="T916" s="12" t="s">
        <v>198</v>
      </c>
      <c r="U916" s="7" t="s">
        <v>200</v>
      </c>
      <c r="V916" cm="1">
        <f t="array" ref="V916">_xlfn.LET(
_xlpm.x,_xlfn._xlws.FILTER(O916:S916,(O916:S916&lt;&gt;"R")*(O916:S916&lt;&gt;"NA")*(O916:S916&lt;&gt;"W")*(O916:S916&lt;&gt;"")),
IF(COUNTA(_xlpm.x)=0,"NA",IF(MIN(_xlpm.x)=MAX(_xlpm.x),MIN(_xlpm.x),"review"))
)</f>
        <v>42</v>
      </c>
    </row>
    <row r="917" spans="1:22" ht="15.75" hidden="1" customHeight="1" x14ac:dyDescent="0.25">
      <c r="A917" s="7" t="s">
        <v>194</v>
      </c>
      <c r="B917" s="8">
        <v>8</v>
      </c>
      <c r="C917" s="8" t="s">
        <v>195</v>
      </c>
      <c r="D917" s="9"/>
      <c r="E917" s="7" t="s">
        <v>25</v>
      </c>
      <c r="F917" s="7" t="s">
        <v>196</v>
      </c>
      <c r="G917" s="7" t="s">
        <v>197</v>
      </c>
      <c r="H917" s="7">
        <v>1980</v>
      </c>
      <c r="I917" s="7">
        <v>10</v>
      </c>
      <c r="K917" s="7">
        <v>7</v>
      </c>
      <c r="M917" s="7">
        <v>1</v>
      </c>
      <c r="N917" s="7">
        <v>32</v>
      </c>
      <c r="O917" s="7">
        <v>42</v>
      </c>
      <c r="T917" s="12" t="s">
        <v>210</v>
      </c>
      <c r="U917" s="7" t="s">
        <v>200</v>
      </c>
      <c r="V917" cm="1">
        <f t="array" ref="V917">_xlfn.LET(
_xlpm.x,_xlfn._xlws.FILTER(O917:S917,(O917:S917&lt;&gt;"R")*(O917:S917&lt;&gt;"NA")*(O917:S917&lt;&gt;"W")*(O917:S917&lt;&gt;"")),
IF(COUNTA(_xlpm.x)=0,"NA",IF(MIN(_xlpm.x)=MAX(_xlpm.x),MIN(_xlpm.x),"review"))
)</f>
        <v>42</v>
      </c>
    </row>
    <row r="918" spans="1:22" ht="15.75" hidden="1" customHeight="1" x14ac:dyDescent="0.25">
      <c r="A918" s="7" t="s">
        <v>194</v>
      </c>
      <c r="B918" s="8">
        <v>8</v>
      </c>
      <c r="C918" s="8" t="s">
        <v>195</v>
      </c>
      <c r="D918" s="9"/>
      <c r="E918" s="7" t="s">
        <v>25</v>
      </c>
      <c r="F918" s="7" t="s">
        <v>196</v>
      </c>
      <c r="G918" s="7" t="s">
        <v>197</v>
      </c>
      <c r="H918" s="7">
        <v>1980</v>
      </c>
      <c r="I918" s="7">
        <v>10</v>
      </c>
      <c r="K918" s="7">
        <v>7</v>
      </c>
      <c r="M918" s="7">
        <v>1</v>
      </c>
      <c r="N918" s="7">
        <v>33</v>
      </c>
      <c r="O918" s="7">
        <v>42</v>
      </c>
      <c r="T918" s="12" t="s">
        <v>214</v>
      </c>
      <c r="V918" cm="1">
        <f t="array" ref="V918">_xlfn.LET(
_xlpm.x,_xlfn._xlws.FILTER(O918:S918,(O918:S918&lt;&gt;"R")*(O918:S918&lt;&gt;"NA")*(O918:S918&lt;&gt;"W")*(O918:S918&lt;&gt;"")),
IF(COUNTA(_xlpm.x)=0,"NA",IF(MIN(_xlpm.x)=MAX(_xlpm.x),MIN(_xlpm.x),"review"))
)</f>
        <v>42</v>
      </c>
    </row>
    <row r="919" spans="1:22" ht="15.75" hidden="1" customHeight="1" x14ac:dyDescent="0.25">
      <c r="A919" s="7" t="s">
        <v>194</v>
      </c>
      <c r="B919" s="8">
        <v>8</v>
      </c>
      <c r="C919" s="8" t="s">
        <v>195</v>
      </c>
      <c r="D919" s="9"/>
      <c r="E919" s="7" t="s">
        <v>25</v>
      </c>
      <c r="F919" s="7" t="s">
        <v>196</v>
      </c>
      <c r="G919" s="7" t="s">
        <v>197</v>
      </c>
      <c r="H919" s="7">
        <v>1980</v>
      </c>
      <c r="I919" s="7">
        <v>10</v>
      </c>
      <c r="K919" s="7">
        <v>7</v>
      </c>
      <c r="M919" s="7">
        <v>1</v>
      </c>
      <c r="N919" s="7">
        <v>34</v>
      </c>
      <c r="O919" s="7">
        <v>42</v>
      </c>
      <c r="T919" s="12" t="s">
        <v>210</v>
      </c>
      <c r="U919" s="7" t="s">
        <v>200</v>
      </c>
      <c r="V919" cm="1">
        <f t="array" ref="V919">_xlfn.LET(
_xlpm.x,_xlfn._xlws.FILTER(O919:S919,(O919:S919&lt;&gt;"R")*(O919:S919&lt;&gt;"NA")*(O919:S919&lt;&gt;"W")*(O919:S919&lt;&gt;"")),
IF(COUNTA(_xlpm.x)=0,"NA",IF(MIN(_xlpm.x)=MAX(_xlpm.x),MIN(_xlpm.x),"review"))
)</f>
        <v>42</v>
      </c>
    </row>
    <row r="920" spans="1:22" ht="15.75" hidden="1" customHeight="1" x14ac:dyDescent="0.25">
      <c r="A920" s="7" t="s">
        <v>194</v>
      </c>
      <c r="B920" s="8">
        <v>8</v>
      </c>
      <c r="C920" s="8" t="s">
        <v>195</v>
      </c>
      <c r="D920" s="9"/>
      <c r="E920" s="7" t="s">
        <v>25</v>
      </c>
      <c r="F920" s="7" t="s">
        <v>196</v>
      </c>
      <c r="G920" s="7" t="s">
        <v>197</v>
      </c>
      <c r="H920" s="7">
        <v>1980</v>
      </c>
      <c r="I920" s="7">
        <v>10</v>
      </c>
      <c r="K920" s="7">
        <v>7</v>
      </c>
      <c r="M920" s="7">
        <v>1</v>
      </c>
      <c r="N920" s="7">
        <v>35</v>
      </c>
      <c r="T920" s="12" t="s">
        <v>33</v>
      </c>
      <c r="V920" t="s">
        <v>29</v>
      </c>
    </row>
    <row r="921" spans="1:22" ht="15.75" hidden="1" customHeight="1" x14ac:dyDescent="0.25">
      <c r="A921" s="7" t="s">
        <v>194</v>
      </c>
      <c r="B921" s="8">
        <v>8</v>
      </c>
      <c r="C921" s="8" t="s">
        <v>195</v>
      </c>
      <c r="D921" s="9"/>
      <c r="E921" s="7" t="s">
        <v>25</v>
      </c>
      <c r="F921" s="7" t="s">
        <v>196</v>
      </c>
      <c r="G921" s="7" t="s">
        <v>197</v>
      </c>
      <c r="H921" s="7">
        <v>1980</v>
      </c>
      <c r="I921" s="7">
        <v>10</v>
      </c>
      <c r="K921" s="7">
        <v>7</v>
      </c>
      <c r="M921" s="7">
        <v>1</v>
      </c>
      <c r="N921" s="7">
        <v>36</v>
      </c>
      <c r="O921" s="7">
        <v>42</v>
      </c>
      <c r="T921" s="12" t="s">
        <v>214</v>
      </c>
      <c r="V921" cm="1">
        <f t="array" ref="V921">_xlfn.LET(
_xlpm.x,_xlfn._xlws.FILTER(O921:S921,(O921:S921&lt;&gt;"R")*(O921:S921&lt;&gt;"NA")*(O921:S921&lt;&gt;"W")*(O921:S921&lt;&gt;"")),
IF(COUNTA(_xlpm.x)=0,"NA",IF(MIN(_xlpm.x)=MAX(_xlpm.x),MIN(_xlpm.x),"review"))
)</f>
        <v>42</v>
      </c>
    </row>
    <row r="922" spans="1:22" ht="15.75" hidden="1" customHeight="1" x14ac:dyDescent="0.25">
      <c r="A922" s="7" t="s">
        <v>194</v>
      </c>
      <c r="B922" s="8">
        <v>8</v>
      </c>
      <c r="C922" s="8" t="s">
        <v>195</v>
      </c>
      <c r="D922" s="9"/>
      <c r="E922" s="7" t="s">
        <v>25</v>
      </c>
      <c r="F922" s="7" t="s">
        <v>196</v>
      </c>
      <c r="G922" s="7" t="s">
        <v>197</v>
      </c>
      <c r="H922" s="7">
        <v>1980</v>
      </c>
      <c r="I922" s="7">
        <v>10</v>
      </c>
      <c r="K922" s="7">
        <v>7</v>
      </c>
      <c r="M922" s="7">
        <v>1</v>
      </c>
      <c r="N922" s="7">
        <v>37</v>
      </c>
      <c r="O922" s="7">
        <v>42</v>
      </c>
      <c r="T922" s="12" t="s">
        <v>33</v>
      </c>
      <c r="U922" s="7" t="s">
        <v>200</v>
      </c>
      <c r="V922" cm="1">
        <f t="array" ref="V922">_xlfn.LET(
_xlpm.x,_xlfn._xlws.FILTER(O922:S922,(O922:S922&lt;&gt;"R")*(O922:S922&lt;&gt;"NA")*(O922:S922&lt;&gt;"W")*(O922:S922&lt;&gt;"")),
IF(COUNTA(_xlpm.x)=0,"NA",IF(MIN(_xlpm.x)=MAX(_xlpm.x),MIN(_xlpm.x),"review"))
)</f>
        <v>42</v>
      </c>
    </row>
    <row r="923" spans="1:22" ht="15.75" hidden="1" customHeight="1" x14ac:dyDescent="0.25">
      <c r="A923" s="7" t="s">
        <v>194</v>
      </c>
      <c r="B923" s="8">
        <v>8</v>
      </c>
      <c r="C923" s="8" t="s">
        <v>195</v>
      </c>
      <c r="D923" s="9"/>
      <c r="E923" s="7" t="s">
        <v>25</v>
      </c>
      <c r="F923" s="7" t="s">
        <v>196</v>
      </c>
      <c r="G923" s="7" t="s">
        <v>197</v>
      </c>
      <c r="H923" s="7">
        <v>1980</v>
      </c>
      <c r="I923" s="7">
        <v>10</v>
      </c>
      <c r="K923" s="7">
        <v>7</v>
      </c>
      <c r="M923" s="7">
        <v>1</v>
      </c>
      <c r="N923" s="7">
        <v>38</v>
      </c>
      <c r="O923" s="7">
        <v>52</v>
      </c>
      <c r="T923" s="12" t="s">
        <v>215</v>
      </c>
      <c r="V923" cm="1">
        <f t="array" ref="V923">_xlfn.LET(
_xlpm.x,_xlfn._xlws.FILTER(O923:S923,(O923:S923&lt;&gt;"R")*(O923:S923&lt;&gt;"NA")*(O923:S923&lt;&gt;"W")*(O923:S923&lt;&gt;"")),
IF(COUNTA(_xlpm.x)=0,"NA",IF(MIN(_xlpm.x)=MAX(_xlpm.x),MIN(_xlpm.x),"review"))
)</f>
        <v>52</v>
      </c>
    </row>
    <row r="924" spans="1:22" ht="15.75" hidden="1" customHeight="1" x14ac:dyDescent="0.25">
      <c r="A924" s="7" t="s">
        <v>194</v>
      </c>
      <c r="B924" s="8">
        <v>8</v>
      </c>
      <c r="C924" s="8" t="s">
        <v>195</v>
      </c>
      <c r="D924" s="9"/>
      <c r="E924" s="7" t="s">
        <v>25</v>
      </c>
      <c r="F924" s="7" t="s">
        <v>196</v>
      </c>
      <c r="G924" s="7" t="s">
        <v>197</v>
      </c>
      <c r="H924" s="7">
        <v>1980</v>
      </c>
      <c r="I924" s="7">
        <v>10</v>
      </c>
      <c r="K924" s="7">
        <v>7</v>
      </c>
      <c r="M924" s="7">
        <v>1</v>
      </c>
      <c r="N924" s="7">
        <v>39</v>
      </c>
      <c r="O924" s="7">
        <v>52</v>
      </c>
      <c r="T924" s="12" t="s">
        <v>216</v>
      </c>
      <c r="V924" cm="1">
        <f t="array" ref="V924">_xlfn.LET(
_xlpm.x,_xlfn._xlws.FILTER(O924:S924,(O924:S924&lt;&gt;"R")*(O924:S924&lt;&gt;"NA")*(O924:S924&lt;&gt;"W")*(O924:S924&lt;&gt;"")),
IF(COUNTA(_xlpm.x)=0,"NA",IF(MIN(_xlpm.x)=MAX(_xlpm.x),MIN(_xlpm.x),"review"))
)</f>
        <v>52</v>
      </c>
    </row>
    <row r="925" spans="1:22" ht="15.75" hidden="1" customHeight="1" x14ac:dyDescent="0.25">
      <c r="A925" s="7" t="s">
        <v>194</v>
      </c>
      <c r="B925" s="8">
        <v>8</v>
      </c>
      <c r="C925" s="8" t="s">
        <v>195</v>
      </c>
      <c r="D925" s="9"/>
      <c r="E925" s="7" t="s">
        <v>25</v>
      </c>
      <c r="F925" s="7" t="s">
        <v>196</v>
      </c>
      <c r="G925" s="7" t="s">
        <v>197</v>
      </c>
      <c r="H925" s="7">
        <v>1980</v>
      </c>
      <c r="I925" s="7">
        <v>10</v>
      </c>
      <c r="K925" s="7">
        <v>7</v>
      </c>
      <c r="M925" s="7">
        <v>1</v>
      </c>
      <c r="N925" s="7">
        <v>40</v>
      </c>
      <c r="O925" s="7">
        <v>52</v>
      </c>
      <c r="T925" s="12" t="s">
        <v>28</v>
      </c>
      <c r="U925" s="7" t="s">
        <v>217</v>
      </c>
      <c r="V925" cm="1">
        <f t="array" ref="V925">_xlfn.LET(
_xlpm.x,_xlfn._xlws.FILTER(O925:S925,(O925:S925&lt;&gt;"R")*(O925:S925&lt;&gt;"NA")*(O925:S925&lt;&gt;"W")*(O925:S925&lt;&gt;"")),
IF(COUNTA(_xlpm.x)=0,"NA",IF(MIN(_xlpm.x)=MAX(_xlpm.x),MIN(_xlpm.x),"review"))
)</f>
        <v>52</v>
      </c>
    </row>
    <row r="926" spans="1:22" ht="15.75" hidden="1" customHeight="1" x14ac:dyDescent="0.25">
      <c r="A926" s="7" t="s">
        <v>194</v>
      </c>
      <c r="B926" s="8">
        <v>8</v>
      </c>
      <c r="C926" s="8" t="s">
        <v>195</v>
      </c>
      <c r="D926" s="9"/>
      <c r="E926" s="7" t="s">
        <v>25</v>
      </c>
      <c r="F926" s="7" t="s">
        <v>196</v>
      </c>
      <c r="G926" s="7" t="s">
        <v>197</v>
      </c>
      <c r="H926" s="7">
        <v>1980</v>
      </c>
      <c r="I926" s="7">
        <v>10</v>
      </c>
      <c r="K926" s="7">
        <v>7</v>
      </c>
      <c r="M926" s="7">
        <v>1</v>
      </c>
      <c r="N926" s="7">
        <v>41</v>
      </c>
      <c r="O926" s="7">
        <v>52</v>
      </c>
      <c r="T926" s="12" t="s">
        <v>201</v>
      </c>
      <c r="U926" s="7" t="s">
        <v>200</v>
      </c>
      <c r="V926" cm="1">
        <f t="array" ref="V926">_xlfn.LET(
_xlpm.x,_xlfn._xlws.FILTER(O926:S926,(O926:S926&lt;&gt;"R")*(O926:S926&lt;&gt;"NA")*(O926:S926&lt;&gt;"W")*(O926:S926&lt;&gt;"")),
IF(COUNTA(_xlpm.x)=0,"NA",IF(MIN(_xlpm.x)=MAX(_xlpm.x),MIN(_xlpm.x),"review"))
)</f>
        <v>52</v>
      </c>
    </row>
    <row r="927" spans="1:22" ht="15.75" hidden="1" customHeight="1" x14ac:dyDescent="0.25">
      <c r="A927" s="7" t="s">
        <v>194</v>
      </c>
      <c r="B927" s="8">
        <v>8</v>
      </c>
      <c r="C927" s="8" t="s">
        <v>195</v>
      </c>
      <c r="D927" s="9"/>
      <c r="E927" s="7" t="s">
        <v>25</v>
      </c>
      <c r="F927" s="7" t="s">
        <v>196</v>
      </c>
      <c r="G927" s="7" t="s">
        <v>197</v>
      </c>
      <c r="H927" s="7">
        <v>1980</v>
      </c>
      <c r="I927" s="7">
        <v>10</v>
      </c>
      <c r="K927" s="7">
        <v>7</v>
      </c>
      <c r="M927" s="7">
        <v>1</v>
      </c>
      <c r="N927" s="7">
        <v>42</v>
      </c>
      <c r="O927" s="7">
        <v>52</v>
      </c>
      <c r="T927" s="12" t="s">
        <v>206</v>
      </c>
      <c r="V927" cm="1">
        <f t="array" ref="V927">_xlfn.LET(
_xlpm.x,_xlfn._xlws.FILTER(O927:S927,(O927:S927&lt;&gt;"R")*(O927:S927&lt;&gt;"NA")*(O927:S927&lt;&gt;"W")*(O927:S927&lt;&gt;"")),
IF(COUNTA(_xlpm.x)=0,"NA",IF(MIN(_xlpm.x)=MAX(_xlpm.x),MIN(_xlpm.x),"review"))
)</f>
        <v>52</v>
      </c>
    </row>
    <row r="928" spans="1:22" ht="15.75" hidden="1" customHeight="1" x14ac:dyDescent="0.25">
      <c r="A928" s="7" t="s">
        <v>194</v>
      </c>
      <c r="B928" s="8">
        <v>8</v>
      </c>
      <c r="C928" s="8" t="s">
        <v>195</v>
      </c>
      <c r="D928" s="9"/>
      <c r="E928" s="7" t="s">
        <v>25</v>
      </c>
      <c r="F928" s="7" t="s">
        <v>196</v>
      </c>
      <c r="G928" s="7" t="s">
        <v>197</v>
      </c>
      <c r="H928" s="7">
        <v>1980</v>
      </c>
      <c r="I928" s="7">
        <v>10</v>
      </c>
      <c r="K928" s="7">
        <v>7</v>
      </c>
      <c r="M928" s="7">
        <v>1</v>
      </c>
      <c r="N928" s="7">
        <v>43</v>
      </c>
      <c r="O928" s="7" t="s">
        <v>28</v>
      </c>
      <c r="T928" s="12"/>
      <c r="V928" t="s">
        <v>29</v>
      </c>
    </row>
    <row r="929" spans="1:22" ht="15.75" hidden="1" customHeight="1" x14ac:dyDescent="0.25">
      <c r="A929" s="7" t="s">
        <v>194</v>
      </c>
      <c r="B929" s="8">
        <v>8</v>
      </c>
      <c r="C929" s="8" t="s">
        <v>195</v>
      </c>
      <c r="D929" s="9"/>
      <c r="E929" s="7" t="s">
        <v>25</v>
      </c>
      <c r="F929" s="7" t="s">
        <v>196</v>
      </c>
      <c r="G929" s="7" t="s">
        <v>197</v>
      </c>
      <c r="H929" s="7">
        <v>1980</v>
      </c>
      <c r="I929" s="7">
        <v>10</v>
      </c>
      <c r="K929" s="7">
        <v>7</v>
      </c>
      <c r="M929" s="7">
        <v>1</v>
      </c>
      <c r="N929" s="7">
        <v>44</v>
      </c>
      <c r="O929" s="7">
        <v>52</v>
      </c>
      <c r="T929" s="12" t="s">
        <v>205</v>
      </c>
      <c r="U929" s="7" t="s">
        <v>200</v>
      </c>
      <c r="V929" cm="1">
        <f t="array" ref="V929">_xlfn.LET(
_xlpm.x,_xlfn._xlws.FILTER(O929:S929,(O929:S929&lt;&gt;"R")*(O929:S929&lt;&gt;"NA")*(O929:S929&lt;&gt;"W")*(O929:S929&lt;&gt;"")),
IF(COUNTA(_xlpm.x)=0,"NA",IF(MIN(_xlpm.x)=MAX(_xlpm.x),MIN(_xlpm.x),"review"))
)</f>
        <v>52</v>
      </c>
    </row>
    <row r="930" spans="1:22" ht="15.75" hidden="1" customHeight="1" x14ac:dyDescent="0.25">
      <c r="A930" s="7" t="s">
        <v>194</v>
      </c>
      <c r="B930" s="8">
        <v>8</v>
      </c>
      <c r="C930" s="8" t="s">
        <v>195</v>
      </c>
      <c r="D930" s="9"/>
      <c r="E930" s="7" t="s">
        <v>25</v>
      </c>
      <c r="F930" s="7" t="s">
        <v>196</v>
      </c>
      <c r="G930" s="7" t="s">
        <v>197</v>
      </c>
      <c r="H930" s="7">
        <v>1980</v>
      </c>
      <c r="I930" s="7">
        <v>10</v>
      </c>
      <c r="K930" s="7">
        <v>7</v>
      </c>
      <c r="M930" s="7">
        <v>1</v>
      </c>
      <c r="N930" s="7">
        <v>45</v>
      </c>
      <c r="O930" s="7">
        <v>52</v>
      </c>
      <c r="T930" s="12" t="s">
        <v>206</v>
      </c>
      <c r="V930" cm="1">
        <f t="array" ref="V930">_xlfn.LET(
_xlpm.x,_xlfn._xlws.FILTER(O930:S930,(O930:S930&lt;&gt;"R")*(O930:S930&lt;&gt;"NA")*(O930:S930&lt;&gt;"W")*(O930:S930&lt;&gt;"")),
IF(COUNTA(_xlpm.x)=0,"NA",IF(MIN(_xlpm.x)=MAX(_xlpm.x),MIN(_xlpm.x),"review"))
)</f>
        <v>52</v>
      </c>
    </row>
    <row r="931" spans="1:22" ht="15.75" hidden="1" customHeight="1" x14ac:dyDescent="0.25">
      <c r="A931" s="7" t="s">
        <v>194</v>
      </c>
      <c r="B931" s="8">
        <v>8</v>
      </c>
      <c r="C931" s="8" t="s">
        <v>195</v>
      </c>
      <c r="D931" s="9"/>
      <c r="E931" s="7" t="s">
        <v>25</v>
      </c>
      <c r="F931" s="7" t="s">
        <v>196</v>
      </c>
      <c r="G931" s="7" t="s">
        <v>197</v>
      </c>
      <c r="H931" s="7">
        <v>1980</v>
      </c>
      <c r="I931" s="7">
        <v>10</v>
      </c>
      <c r="K931" s="7">
        <v>7</v>
      </c>
      <c r="M931" s="7">
        <v>1</v>
      </c>
      <c r="N931" s="7">
        <v>46</v>
      </c>
      <c r="O931" s="7" t="s">
        <v>28</v>
      </c>
      <c r="T931" s="12"/>
      <c r="V931" t="s">
        <v>29</v>
      </c>
    </row>
    <row r="932" spans="1:22" ht="15.75" hidden="1" customHeight="1" x14ac:dyDescent="0.25">
      <c r="A932" s="7" t="s">
        <v>194</v>
      </c>
      <c r="B932" s="8">
        <v>8</v>
      </c>
      <c r="C932" s="8" t="s">
        <v>195</v>
      </c>
      <c r="D932" s="9"/>
      <c r="E932" s="7" t="s">
        <v>25</v>
      </c>
      <c r="F932" s="7" t="s">
        <v>196</v>
      </c>
      <c r="G932" s="7" t="s">
        <v>197</v>
      </c>
      <c r="H932" s="7">
        <v>1980</v>
      </c>
      <c r="I932" s="7">
        <v>10</v>
      </c>
      <c r="K932" s="7">
        <v>7</v>
      </c>
      <c r="M932" s="7">
        <v>1</v>
      </c>
      <c r="N932" s="7">
        <v>47</v>
      </c>
      <c r="T932" s="12"/>
      <c r="V932" t="s">
        <v>29</v>
      </c>
    </row>
    <row r="933" spans="1:22" ht="15.75" hidden="1" customHeight="1" x14ac:dyDescent="0.25">
      <c r="A933" s="7" t="s">
        <v>194</v>
      </c>
      <c r="B933" s="8">
        <v>8</v>
      </c>
      <c r="C933" s="8" t="s">
        <v>195</v>
      </c>
      <c r="D933" s="9"/>
      <c r="E933" s="7" t="s">
        <v>25</v>
      </c>
      <c r="F933" s="7" t="s">
        <v>196</v>
      </c>
      <c r="G933" s="7" t="s">
        <v>197</v>
      </c>
      <c r="H933" s="7">
        <v>1980</v>
      </c>
      <c r="I933" s="7">
        <v>10</v>
      </c>
      <c r="K933" s="7">
        <v>7</v>
      </c>
      <c r="M933" s="7">
        <v>1</v>
      </c>
      <c r="N933" s="7">
        <v>48</v>
      </c>
      <c r="O933" s="7">
        <v>52</v>
      </c>
      <c r="T933" s="12" t="s">
        <v>206</v>
      </c>
      <c r="V933" cm="1">
        <f t="array" ref="V933">_xlfn.LET(
_xlpm.x,_xlfn._xlws.FILTER(O933:S933,(O933:S933&lt;&gt;"R")*(O933:S933&lt;&gt;"NA")*(O933:S933&lt;&gt;"W")*(O933:S933&lt;&gt;"")),
IF(COUNTA(_xlpm.x)=0,"NA",IF(MIN(_xlpm.x)=MAX(_xlpm.x),MIN(_xlpm.x),"review"))
)</f>
        <v>52</v>
      </c>
    </row>
    <row r="934" spans="1:22" ht="15.75" hidden="1" customHeight="1" x14ac:dyDescent="0.25">
      <c r="A934" s="7" t="s">
        <v>194</v>
      </c>
      <c r="B934" s="8">
        <v>8</v>
      </c>
      <c r="C934" s="8" t="s">
        <v>195</v>
      </c>
      <c r="D934" s="9"/>
      <c r="E934" s="7" t="s">
        <v>25</v>
      </c>
      <c r="F934" s="7" t="s">
        <v>196</v>
      </c>
      <c r="G934" s="7" t="s">
        <v>197</v>
      </c>
      <c r="H934" s="7">
        <v>1980</v>
      </c>
      <c r="I934" s="7">
        <v>10</v>
      </c>
      <c r="K934" s="7">
        <v>7</v>
      </c>
      <c r="M934" s="7">
        <v>1</v>
      </c>
      <c r="N934" s="7">
        <v>49</v>
      </c>
      <c r="O934" s="7">
        <v>52</v>
      </c>
      <c r="T934" s="12" t="s">
        <v>211</v>
      </c>
      <c r="V934" cm="1">
        <f t="array" ref="V934">_xlfn.LET(
_xlpm.x,_xlfn._xlws.FILTER(O934:S934,(O934:S934&lt;&gt;"R")*(O934:S934&lt;&gt;"NA")*(O934:S934&lt;&gt;"W")*(O934:S934&lt;&gt;"")),
IF(COUNTA(_xlpm.x)=0,"NA",IF(MIN(_xlpm.x)=MAX(_xlpm.x),MIN(_xlpm.x),"review"))
)</f>
        <v>52</v>
      </c>
    </row>
    <row r="935" spans="1:22" ht="15.75" hidden="1" customHeight="1" x14ac:dyDescent="0.25">
      <c r="A935" s="7" t="s">
        <v>194</v>
      </c>
      <c r="B935" s="8">
        <v>8</v>
      </c>
      <c r="C935" s="8" t="s">
        <v>195</v>
      </c>
      <c r="D935" s="9"/>
      <c r="E935" s="7" t="s">
        <v>25</v>
      </c>
      <c r="F935" s="7" t="s">
        <v>196</v>
      </c>
      <c r="G935" s="7" t="s">
        <v>197</v>
      </c>
      <c r="H935" s="7">
        <v>1980</v>
      </c>
      <c r="I935" s="7">
        <v>10</v>
      </c>
      <c r="K935" s="7">
        <v>7</v>
      </c>
      <c r="M935" s="7">
        <v>1</v>
      </c>
      <c r="N935" s="7">
        <v>50</v>
      </c>
      <c r="O935" s="7">
        <v>42</v>
      </c>
      <c r="T935" s="12" t="s">
        <v>205</v>
      </c>
      <c r="U935" s="7" t="s">
        <v>200</v>
      </c>
      <c r="V935" cm="1">
        <f t="array" ref="V935">_xlfn.LET(
_xlpm.x,_xlfn._xlws.FILTER(O935:S935,(O935:S935&lt;&gt;"R")*(O935:S935&lt;&gt;"NA")*(O935:S935&lt;&gt;"W")*(O935:S935&lt;&gt;"")),
IF(COUNTA(_xlpm.x)=0,"NA",IF(MIN(_xlpm.x)=MAX(_xlpm.x),MIN(_xlpm.x),"review"))
)</f>
        <v>42</v>
      </c>
    </row>
    <row r="936" spans="1:22" ht="15.75" hidden="1" customHeight="1" x14ac:dyDescent="0.25">
      <c r="A936" s="7" t="s">
        <v>194</v>
      </c>
      <c r="B936" s="8">
        <v>8</v>
      </c>
      <c r="C936" s="8" t="s">
        <v>195</v>
      </c>
      <c r="D936" s="9"/>
      <c r="E936" s="7" t="s">
        <v>25</v>
      </c>
      <c r="F936" s="7" t="s">
        <v>196</v>
      </c>
      <c r="G936" s="7" t="s">
        <v>197</v>
      </c>
      <c r="H936" s="7">
        <v>1980</v>
      </c>
      <c r="I936" s="7">
        <v>10</v>
      </c>
      <c r="K936" s="7">
        <v>7</v>
      </c>
      <c r="M936" s="7">
        <v>2</v>
      </c>
      <c r="N936" s="7">
        <v>1</v>
      </c>
      <c r="O936" s="7">
        <v>52</v>
      </c>
      <c r="T936" s="12"/>
      <c r="V936" cm="1">
        <f t="array" ref="V936">_xlfn.LET(
_xlpm.x,_xlfn._xlws.FILTER(O936:S936,(O936:S936&lt;&gt;"R")*(O936:S936&lt;&gt;"NA")*(O936:S936&lt;&gt;"W")*(O936:S936&lt;&gt;"")),
IF(COUNTA(_xlpm.x)=0,"NA",IF(MIN(_xlpm.x)=MAX(_xlpm.x),MIN(_xlpm.x),"review"))
)</f>
        <v>52</v>
      </c>
    </row>
    <row r="937" spans="1:22" ht="15.75" hidden="1" customHeight="1" x14ac:dyDescent="0.25">
      <c r="A937" s="7" t="s">
        <v>194</v>
      </c>
      <c r="B937" s="8">
        <v>8</v>
      </c>
      <c r="C937" s="8" t="s">
        <v>195</v>
      </c>
      <c r="D937" s="9"/>
      <c r="E937" s="7" t="s">
        <v>25</v>
      </c>
      <c r="F937" s="7" t="s">
        <v>196</v>
      </c>
      <c r="G937" s="7" t="s">
        <v>197</v>
      </c>
      <c r="H937" s="7">
        <v>1980</v>
      </c>
      <c r="I937" s="7">
        <v>10</v>
      </c>
      <c r="K937" s="7">
        <v>7</v>
      </c>
      <c r="M937" s="7">
        <v>2</v>
      </c>
      <c r="N937" s="7">
        <v>2</v>
      </c>
      <c r="O937" s="7">
        <v>42</v>
      </c>
      <c r="T937" s="12"/>
      <c r="V937" cm="1">
        <f t="array" ref="V937">_xlfn.LET(
_xlpm.x,_xlfn._xlws.FILTER(O937:S937,(O937:S937&lt;&gt;"R")*(O937:S937&lt;&gt;"NA")*(O937:S937&lt;&gt;"W")*(O937:S937&lt;&gt;"")),
IF(COUNTA(_xlpm.x)=0,"NA",IF(MIN(_xlpm.x)=MAX(_xlpm.x),MIN(_xlpm.x),"review"))
)</f>
        <v>42</v>
      </c>
    </row>
    <row r="938" spans="1:22" ht="15.75" hidden="1" customHeight="1" x14ac:dyDescent="0.25">
      <c r="A938" s="7" t="s">
        <v>194</v>
      </c>
      <c r="B938" s="8">
        <v>8</v>
      </c>
      <c r="C938" s="8" t="s">
        <v>195</v>
      </c>
      <c r="D938" s="9"/>
      <c r="E938" s="7" t="s">
        <v>25</v>
      </c>
      <c r="F938" s="7" t="s">
        <v>196</v>
      </c>
      <c r="G938" s="7" t="s">
        <v>197</v>
      </c>
      <c r="H938" s="7">
        <v>1980</v>
      </c>
      <c r="I938" s="7">
        <v>10</v>
      </c>
      <c r="K938" s="7">
        <v>7</v>
      </c>
      <c r="M938" s="7">
        <v>2</v>
      </c>
      <c r="N938" s="7">
        <v>3</v>
      </c>
      <c r="O938" s="7" t="s">
        <v>29</v>
      </c>
      <c r="T938" s="12"/>
      <c r="V938" t="s">
        <v>29</v>
      </c>
    </row>
    <row r="939" spans="1:22" ht="15.75" hidden="1" customHeight="1" x14ac:dyDescent="0.25">
      <c r="A939" s="7" t="s">
        <v>194</v>
      </c>
      <c r="B939" s="8">
        <v>8</v>
      </c>
      <c r="C939" s="8" t="s">
        <v>195</v>
      </c>
      <c r="D939" s="9"/>
      <c r="E939" s="7" t="s">
        <v>25</v>
      </c>
      <c r="F939" s="7" t="s">
        <v>196</v>
      </c>
      <c r="G939" s="7" t="s">
        <v>197</v>
      </c>
      <c r="H939" s="7">
        <v>1980</v>
      </c>
      <c r="I939" s="7">
        <v>10</v>
      </c>
      <c r="K939" s="7">
        <v>7</v>
      </c>
      <c r="M939" s="7">
        <v>2</v>
      </c>
      <c r="N939" s="7">
        <v>4</v>
      </c>
      <c r="O939" s="7">
        <v>42</v>
      </c>
      <c r="T939" s="12"/>
      <c r="V939" cm="1">
        <f t="array" ref="V939">_xlfn.LET(
_xlpm.x,_xlfn._xlws.FILTER(O939:S939,(O939:S939&lt;&gt;"R")*(O939:S939&lt;&gt;"NA")*(O939:S939&lt;&gt;"W")*(O939:S939&lt;&gt;"")),
IF(COUNTA(_xlpm.x)=0,"NA",IF(MIN(_xlpm.x)=MAX(_xlpm.x),MIN(_xlpm.x),"review"))
)</f>
        <v>42</v>
      </c>
    </row>
    <row r="940" spans="1:22" ht="15.75" hidden="1" customHeight="1" x14ac:dyDescent="0.25">
      <c r="A940" s="7" t="s">
        <v>194</v>
      </c>
      <c r="B940" s="8">
        <v>8</v>
      </c>
      <c r="C940" s="8" t="s">
        <v>195</v>
      </c>
      <c r="D940" s="9"/>
      <c r="E940" s="7" t="s">
        <v>25</v>
      </c>
      <c r="F940" s="7" t="s">
        <v>196</v>
      </c>
      <c r="G940" s="7" t="s">
        <v>197</v>
      </c>
      <c r="H940" s="7">
        <v>1980</v>
      </c>
      <c r="I940" s="7">
        <v>10</v>
      </c>
      <c r="K940" s="7">
        <v>7</v>
      </c>
      <c r="M940" s="7">
        <v>2</v>
      </c>
      <c r="N940" s="7">
        <v>5</v>
      </c>
      <c r="O940" s="7">
        <v>52</v>
      </c>
      <c r="T940" s="12"/>
      <c r="V940" cm="1">
        <f t="array" ref="V940">_xlfn.LET(
_xlpm.x,_xlfn._xlws.FILTER(O940:S940,(O940:S940&lt;&gt;"R")*(O940:S940&lt;&gt;"NA")*(O940:S940&lt;&gt;"W")*(O940:S940&lt;&gt;"")),
IF(COUNTA(_xlpm.x)=0,"NA",IF(MIN(_xlpm.x)=MAX(_xlpm.x),MIN(_xlpm.x),"review"))
)</f>
        <v>52</v>
      </c>
    </row>
    <row r="941" spans="1:22" ht="15.75" hidden="1" customHeight="1" x14ac:dyDescent="0.25">
      <c r="A941" s="7" t="s">
        <v>194</v>
      </c>
      <c r="B941" s="8">
        <v>8</v>
      </c>
      <c r="C941" s="8" t="s">
        <v>195</v>
      </c>
      <c r="D941" s="9"/>
      <c r="E941" s="7" t="s">
        <v>25</v>
      </c>
      <c r="F941" s="7" t="s">
        <v>196</v>
      </c>
      <c r="G941" s="7" t="s">
        <v>197</v>
      </c>
      <c r="H941" s="7">
        <v>1980</v>
      </c>
      <c r="I941" s="7">
        <v>10</v>
      </c>
      <c r="K941" s="7">
        <v>7</v>
      </c>
      <c r="M941" s="7">
        <v>2</v>
      </c>
      <c r="N941" s="7">
        <v>6</v>
      </c>
      <c r="O941" s="7">
        <v>52</v>
      </c>
      <c r="T941" s="12"/>
      <c r="V941" cm="1">
        <f t="array" ref="V941">_xlfn.LET(
_xlpm.x,_xlfn._xlws.FILTER(O941:S941,(O941:S941&lt;&gt;"R")*(O941:S941&lt;&gt;"NA")*(O941:S941&lt;&gt;"W")*(O941:S941&lt;&gt;"")),
IF(COUNTA(_xlpm.x)=0,"NA",IF(MIN(_xlpm.x)=MAX(_xlpm.x),MIN(_xlpm.x),"review"))
)</f>
        <v>52</v>
      </c>
    </row>
    <row r="942" spans="1:22" ht="15.75" hidden="1" customHeight="1" x14ac:dyDescent="0.25">
      <c r="A942" s="7" t="s">
        <v>194</v>
      </c>
      <c r="B942" s="8">
        <v>8</v>
      </c>
      <c r="C942" s="8" t="s">
        <v>195</v>
      </c>
      <c r="D942" s="9"/>
      <c r="E942" s="7" t="s">
        <v>25</v>
      </c>
      <c r="F942" s="7" t="s">
        <v>196</v>
      </c>
      <c r="G942" s="7" t="s">
        <v>197</v>
      </c>
      <c r="H942" s="7">
        <v>1980</v>
      </c>
      <c r="I942" s="7">
        <v>10</v>
      </c>
      <c r="K942" s="7">
        <v>7</v>
      </c>
      <c r="M942" s="7">
        <v>2</v>
      </c>
      <c r="N942" s="7">
        <v>7</v>
      </c>
      <c r="O942" s="7">
        <v>52</v>
      </c>
      <c r="T942" s="12"/>
      <c r="V942" cm="1">
        <f t="array" ref="V942">_xlfn.LET(
_xlpm.x,_xlfn._xlws.FILTER(O942:S942,(O942:S942&lt;&gt;"R")*(O942:S942&lt;&gt;"NA")*(O942:S942&lt;&gt;"W")*(O942:S942&lt;&gt;"")),
IF(COUNTA(_xlpm.x)=0,"NA",IF(MIN(_xlpm.x)=MAX(_xlpm.x),MIN(_xlpm.x),"review"))
)</f>
        <v>52</v>
      </c>
    </row>
    <row r="943" spans="1:22" ht="15.75" hidden="1" customHeight="1" x14ac:dyDescent="0.25">
      <c r="A943" s="7" t="s">
        <v>194</v>
      </c>
      <c r="B943" s="8">
        <v>8</v>
      </c>
      <c r="C943" s="8" t="s">
        <v>195</v>
      </c>
      <c r="D943" s="9"/>
      <c r="E943" s="7" t="s">
        <v>25</v>
      </c>
      <c r="F943" s="7" t="s">
        <v>196</v>
      </c>
      <c r="G943" s="7" t="s">
        <v>197</v>
      </c>
      <c r="H943" s="7">
        <v>1980</v>
      </c>
      <c r="I943" s="7">
        <v>10</v>
      </c>
      <c r="K943" s="7">
        <v>7</v>
      </c>
      <c r="M943" s="7">
        <v>2</v>
      </c>
      <c r="N943" s="7">
        <v>8</v>
      </c>
      <c r="O943" s="7">
        <v>42</v>
      </c>
      <c r="T943" s="12"/>
      <c r="V943" cm="1">
        <f t="array" ref="V943">_xlfn.LET(
_xlpm.x,_xlfn._xlws.FILTER(O943:S943,(O943:S943&lt;&gt;"R")*(O943:S943&lt;&gt;"NA")*(O943:S943&lt;&gt;"W")*(O943:S943&lt;&gt;"")),
IF(COUNTA(_xlpm.x)=0,"NA",IF(MIN(_xlpm.x)=MAX(_xlpm.x),MIN(_xlpm.x),"review"))
)</f>
        <v>42</v>
      </c>
    </row>
    <row r="944" spans="1:22" ht="15.75" hidden="1" customHeight="1" x14ac:dyDescent="0.25">
      <c r="A944" s="7" t="s">
        <v>194</v>
      </c>
      <c r="B944" s="8">
        <v>8</v>
      </c>
      <c r="C944" s="8" t="s">
        <v>195</v>
      </c>
      <c r="D944" s="9"/>
      <c r="E944" s="7" t="s">
        <v>25</v>
      </c>
      <c r="F944" s="7" t="s">
        <v>196</v>
      </c>
      <c r="G944" s="7" t="s">
        <v>197</v>
      </c>
      <c r="H944" s="7">
        <v>1980</v>
      </c>
      <c r="I944" s="7">
        <v>10</v>
      </c>
      <c r="K944" s="7">
        <v>7</v>
      </c>
      <c r="M944" s="7">
        <v>2</v>
      </c>
      <c r="N944" s="7">
        <v>9</v>
      </c>
      <c r="O944" s="7">
        <v>52</v>
      </c>
      <c r="T944" s="12"/>
      <c r="V944" cm="1">
        <f t="array" ref="V944">_xlfn.LET(
_xlpm.x,_xlfn._xlws.FILTER(O944:S944,(O944:S944&lt;&gt;"R")*(O944:S944&lt;&gt;"NA")*(O944:S944&lt;&gt;"W")*(O944:S944&lt;&gt;"")),
IF(COUNTA(_xlpm.x)=0,"NA",IF(MIN(_xlpm.x)=MAX(_xlpm.x),MIN(_xlpm.x),"review"))
)</f>
        <v>52</v>
      </c>
    </row>
    <row r="945" spans="1:22" ht="15.75" hidden="1" customHeight="1" x14ac:dyDescent="0.25">
      <c r="A945" s="7" t="s">
        <v>194</v>
      </c>
      <c r="B945" s="8">
        <v>8</v>
      </c>
      <c r="C945" s="8" t="s">
        <v>195</v>
      </c>
      <c r="D945" s="9"/>
      <c r="E945" s="7" t="s">
        <v>25</v>
      </c>
      <c r="F945" s="7" t="s">
        <v>196</v>
      </c>
      <c r="G945" s="7" t="s">
        <v>197</v>
      </c>
      <c r="H945" s="7">
        <v>1980</v>
      </c>
      <c r="I945" s="7">
        <v>10</v>
      </c>
      <c r="K945" s="7">
        <v>7</v>
      </c>
      <c r="M945" s="7">
        <v>2</v>
      </c>
      <c r="N945" s="7">
        <v>10</v>
      </c>
      <c r="O945" s="7">
        <v>42</v>
      </c>
      <c r="T945" s="12"/>
      <c r="V945" cm="1">
        <f t="array" ref="V945">_xlfn.LET(
_xlpm.x,_xlfn._xlws.FILTER(O945:S945,(O945:S945&lt;&gt;"R")*(O945:S945&lt;&gt;"NA")*(O945:S945&lt;&gt;"W")*(O945:S945&lt;&gt;"")),
IF(COUNTA(_xlpm.x)=0,"NA",IF(MIN(_xlpm.x)=MAX(_xlpm.x),MIN(_xlpm.x),"review"))
)</f>
        <v>42</v>
      </c>
    </row>
    <row r="946" spans="1:22" ht="15.75" hidden="1" customHeight="1" x14ac:dyDescent="0.25">
      <c r="A946" s="7" t="s">
        <v>194</v>
      </c>
      <c r="B946" s="8">
        <v>8</v>
      </c>
      <c r="C946" s="8" t="s">
        <v>195</v>
      </c>
      <c r="D946" s="9"/>
      <c r="E946" s="7" t="s">
        <v>25</v>
      </c>
      <c r="F946" s="7" t="s">
        <v>196</v>
      </c>
      <c r="G946" s="7" t="s">
        <v>197</v>
      </c>
      <c r="H946" s="7">
        <v>1980</v>
      </c>
      <c r="I946" s="7">
        <v>10</v>
      </c>
      <c r="K946" s="7">
        <v>7</v>
      </c>
      <c r="M946" s="7">
        <v>2</v>
      </c>
      <c r="N946" s="7">
        <v>11</v>
      </c>
      <c r="O946" s="7">
        <v>52</v>
      </c>
      <c r="T946" s="12"/>
      <c r="V946" cm="1">
        <f t="array" ref="V946">_xlfn.LET(
_xlpm.x,_xlfn._xlws.FILTER(O946:S946,(O946:S946&lt;&gt;"R")*(O946:S946&lt;&gt;"NA")*(O946:S946&lt;&gt;"W")*(O946:S946&lt;&gt;"")),
IF(COUNTA(_xlpm.x)=0,"NA",IF(MIN(_xlpm.x)=MAX(_xlpm.x),MIN(_xlpm.x),"review"))
)</f>
        <v>52</v>
      </c>
    </row>
    <row r="947" spans="1:22" ht="15.75" hidden="1" customHeight="1" x14ac:dyDescent="0.25">
      <c r="A947" s="7" t="s">
        <v>194</v>
      </c>
      <c r="B947" s="8">
        <v>8</v>
      </c>
      <c r="C947" s="8" t="s">
        <v>195</v>
      </c>
      <c r="D947" s="9"/>
      <c r="E947" s="7" t="s">
        <v>25</v>
      </c>
      <c r="F947" s="7" t="s">
        <v>196</v>
      </c>
      <c r="G947" s="7" t="s">
        <v>197</v>
      </c>
      <c r="H947" s="7">
        <v>1980</v>
      </c>
      <c r="I947" s="7">
        <v>10</v>
      </c>
      <c r="K947" s="7">
        <v>7</v>
      </c>
      <c r="M947" s="7">
        <v>2</v>
      </c>
      <c r="N947" s="7">
        <v>12</v>
      </c>
      <c r="O947" s="7">
        <v>52</v>
      </c>
      <c r="T947" s="12"/>
      <c r="V947" cm="1">
        <f t="array" ref="V947">_xlfn.LET(
_xlpm.x,_xlfn._xlws.FILTER(O947:S947,(O947:S947&lt;&gt;"R")*(O947:S947&lt;&gt;"NA")*(O947:S947&lt;&gt;"W")*(O947:S947&lt;&gt;"")),
IF(COUNTA(_xlpm.x)=0,"NA",IF(MIN(_xlpm.x)=MAX(_xlpm.x),MIN(_xlpm.x),"review"))
)</f>
        <v>52</v>
      </c>
    </row>
    <row r="948" spans="1:22" ht="15.75" hidden="1" customHeight="1" x14ac:dyDescent="0.25">
      <c r="A948" s="7" t="s">
        <v>194</v>
      </c>
      <c r="B948" s="8">
        <v>8</v>
      </c>
      <c r="C948" s="8" t="s">
        <v>195</v>
      </c>
      <c r="D948" s="9"/>
      <c r="E948" s="7" t="s">
        <v>25</v>
      </c>
      <c r="F948" s="7" t="s">
        <v>196</v>
      </c>
      <c r="G948" s="7" t="s">
        <v>197</v>
      </c>
      <c r="H948" s="7">
        <v>1980</v>
      </c>
      <c r="I948" s="7">
        <v>10</v>
      </c>
      <c r="K948" s="7">
        <v>7</v>
      </c>
      <c r="M948" s="7">
        <v>2</v>
      </c>
      <c r="N948" s="7">
        <v>13</v>
      </c>
      <c r="O948" s="7">
        <v>42</v>
      </c>
      <c r="T948" s="12"/>
      <c r="V948" cm="1">
        <f t="array" ref="V948">_xlfn.LET(
_xlpm.x,_xlfn._xlws.FILTER(O948:S948,(O948:S948&lt;&gt;"R")*(O948:S948&lt;&gt;"NA")*(O948:S948&lt;&gt;"W")*(O948:S948&lt;&gt;"")),
IF(COUNTA(_xlpm.x)=0,"NA",IF(MIN(_xlpm.x)=MAX(_xlpm.x),MIN(_xlpm.x),"review"))
)</f>
        <v>42</v>
      </c>
    </row>
    <row r="949" spans="1:22" ht="15.75" hidden="1" customHeight="1" x14ac:dyDescent="0.25">
      <c r="A949" s="7" t="s">
        <v>194</v>
      </c>
      <c r="B949" s="8">
        <v>8</v>
      </c>
      <c r="C949" s="8" t="s">
        <v>195</v>
      </c>
      <c r="D949" s="9"/>
      <c r="E949" s="7" t="s">
        <v>25</v>
      </c>
      <c r="F949" s="7" t="s">
        <v>196</v>
      </c>
      <c r="G949" s="7" t="s">
        <v>197</v>
      </c>
      <c r="H949" s="7">
        <v>1980</v>
      </c>
      <c r="I949" s="7">
        <v>10</v>
      </c>
      <c r="K949" s="7">
        <v>7</v>
      </c>
      <c r="M949" s="7">
        <v>2</v>
      </c>
      <c r="N949" s="7">
        <v>14</v>
      </c>
      <c r="O949" s="7">
        <v>42</v>
      </c>
      <c r="T949" s="12"/>
      <c r="V949" cm="1">
        <f t="array" ref="V949">_xlfn.LET(
_xlpm.x,_xlfn._xlws.FILTER(O949:S949,(O949:S949&lt;&gt;"R")*(O949:S949&lt;&gt;"NA")*(O949:S949&lt;&gt;"W")*(O949:S949&lt;&gt;"")),
IF(COUNTA(_xlpm.x)=0,"NA",IF(MIN(_xlpm.x)=MAX(_xlpm.x),MIN(_xlpm.x),"review"))
)</f>
        <v>42</v>
      </c>
    </row>
    <row r="950" spans="1:22" ht="15.75" hidden="1" customHeight="1" x14ac:dyDescent="0.25">
      <c r="A950" s="7" t="s">
        <v>194</v>
      </c>
      <c r="B950" s="8">
        <v>8</v>
      </c>
      <c r="C950" s="8" t="s">
        <v>195</v>
      </c>
      <c r="D950" s="9"/>
      <c r="E950" s="7" t="s">
        <v>25</v>
      </c>
      <c r="F950" s="7" t="s">
        <v>196</v>
      </c>
      <c r="G950" s="7" t="s">
        <v>197</v>
      </c>
      <c r="H950" s="7">
        <v>1980</v>
      </c>
      <c r="I950" s="7">
        <v>10</v>
      </c>
      <c r="K950" s="7">
        <v>7</v>
      </c>
      <c r="M950" s="7">
        <v>2</v>
      </c>
      <c r="N950" s="7">
        <v>15</v>
      </c>
      <c r="O950" s="7" t="s">
        <v>28</v>
      </c>
      <c r="T950" s="12"/>
      <c r="V950" t="s">
        <v>29</v>
      </c>
    </row>
    <row r="951" spans="1:22" ht="15.75" hidden="1" customHeight="1" x14ac:dyDescent="0.25">
      <c r="A951" s="7" t="s">
        <v>194</v>
      </c>
      <c r="B951" s="8">
        <v>8</v>
      </c>
      <c r="C951" s="8" t="s">
        <v>195</v>
      </c>
      <c r="D951" s="9"/>
      <c r="E951" s="7" t="s">
        <v>25</v>
      </c>
      <c r="F951" s="7" t="s">
        <v>196</v>
      </c>
      <c r="G951" s="7" t="s">
        <v>197</v>
      </c>
      <c r="H951" s="7">
        <v>1980</v>
      </c>
      <c r="I951" s="7">
        <v>10</v>
      </c>
      <c r="K951" s="7">
        <v>7</v>
      </c>
      <c r="M951" s="7">
        <v>2</v>
      </c>
      <c r="N951" s="7">
        <v>16</v>
      </c>
      <c r="O951" s="7">
        <v>42</v>
      </c>
      <c r="T951" s="12"/>
      <c r="V951" cm="1">
        <f t="array" ref="V951">_xlfn.LET(
_xlpm.x,_xlfn._xlws.FILTER(O951:S951,(O951:S951&lt;&gt;"R")*(O951:S951&lt;&gt;"NA")*(O951:S951&lt;&gt;"W")*(O951:S951&lt;&gt;"")),
IF(COUNTA(_xlpm.x)=0,"NA",IF(MIN(_xlpm.x)=MAX(_xlpm.x),MIN(_xlpm.x),"review"))
)</f>
        <v>42</v>
      </c>
    </row>
    <row r="952" spans="1:22" ht="15.75" hidden="1" customHeight="1" x14ac:dyDescent="0.25">
      <c r="A952" s="7" t="s">
        <v>194</v>
      </c>
      <c r="B952" s="8">
        <v>8</v>
      </c>
      <c r="C952" s="8" t="s">
        <v>195</v>
      </c>
      <c r="D952" s="9"/>
      <c r="E952" s="7" t="s">
        <v>25</v>
      </c>
      <c r="F952" s="7" t="s">
        <v>196</v>
      </c>
      <c r="G952" s="7" t="s">
        <v>197</v>
      </c>
      <c r="H952" s="7">
        <v>1980</v>
      </c>
      <c r="I952" s="7">
        <v>10</v>
      </c>
      <c r="K952" s="7">
        <v>7</v>
      </c>
      <c r="M952" s="7">
        <v>2</v>
      </c>
      <c r="N952" s="7">
        <v>17</v>
      </c>
      <c r="O952" s="7" t="s">
        <v>28</v>
      </c>
      <c r="T952" s="12"/>
      <c r="V952" t="s">
        <v>29</v>
      </c>
    </row>
    <row r="953" spans="1:22" ht="15.75" hidden="1" customHeight="1" x14ac:dyDescent="0.25">
      <c r="A953" s="7" t="s">
        <v>194</v>
      </c>
      <c r="B953" s="8">
        <v>8</v>
      </c>
      <c r="C953" s="8" t="s">
        <v>195</v>
      </c>
      <c r="D953" s="9"/>
      <c r="E953" s="7" t="s">
        <v>25</v>
      </c>
      <c r="F953" s="7" t="s">
        <v>196</v>
      </c>
      <c r="G953" s="7" t="s">
        <v>197</v>
      </c>
      <c r="H953" s="7">
        <v>1980</v>
      </c>
      <c r="I953" s="7">
        <v>10</v>
      </c>
      <c r="K953" s="7">
        <v>7</v>
      </c>
      <c r="M953" s="7">
        <v>2</v>
      </c>
      <c r="N953" s="7">
        <v>18</v>
      </c>
      <c r="O953" s="7">
        <v>52</v>
      </c>
      <c r="T953" s="12"/>
      <c r="V953" cm="1">
        <f t="array" ref="V953">_xlfn.LET(
_xlpm.x,_xlfn._xlws.FILTER(O953:S953,(O953:S953&lt;&gt;"R")*(O953:S953&lt;&gt;"NA")*(O953:S953&lt;&gt;"W")*(O953:S953&lt;&gt;"")),
IF(COUNTA(_xlpm.x)=0,"NA",IF(MIN(_xlpm.x)=MAX(_xlpm.x),MIN(_xlpm.x),"review"))
)</f>
        <v>52</v>
      </c>
    </row>
    <row r="954" spans="1:22" ht="15.75" hidden="1" customHeight="1" x14ac:dyDescent="0.25">
      <c r="A954" s="7" t="s">
        <v>194</v>
      </c>
      <c r="B954" s="8">
        <v>8</v>
      </c>
      <c r="C954" s="8" t="s">
        <v>195</v>
      </c>
      <c r="D954" s="9"/>
      <c r="E954" s="7" t="s">
        <v>25</v>
      </c>
      <c r="F954" s="7" t="s">
        <v>196</v>
      </c>
      <c r="G954" s="7" t="s">
        <v>197</v>
      </c>
      <c r="H954" s="7">
        <v>1980</v>
      </c>
      <c r="I954" s="7">
        <v>10</v>
      </c>
      <c r="K954" s="7">
        <v>7</v>
      </c>
      <c r="M954" s="7">
        <v>2</v>
      </c>
      <c r="N954" s="7">
        <v>19</v>
      </c>
      <c r="O954" s="7" t="s">
        <v>28</v>
      </c>
      <c r="T954" s="12"/>
      <c r="V954" t="s">
        <v>29</v>
      </c>
    </row>
    <row r="955" spans="1:22" ht="15.75" hidden="1" customHeight="1" x14ac:dyDescent="0.25">
      <c r="A955" s="7" t="s">
        <v>194</v>
      </c>
      <c r="B955" s="8">
        <v>8</v>
      </c>
      <c r="C955" s="8" t="s">
        <v>195</v>
      </c>
      <c r="D955" s="9"/>
      <c r="E955" s="7" t="s">
        <v>25</v>
      </c>
      <c r="F955" s="7" t="s">
        <v>196</v>
      </c>
      <c r="G955" s="7" t="s">
        <v>197</v>
      </c>
      <c r="H955" s="7">
        <v>1980</v>
      </c>
      <c r="I955" s="7">
        <v>10</v>
      </c>
      <c r="K955" s="7">
        <v>7</v>
      </c>
      <c r="M955" s="7">
        <v>2</v>
      </c>
      <c r="N955" s="7">
        <v>20</v>
      </c>
      <c r="O955" s="7">
        <v>52</v>
      </c>
      <c r="T955" s="12"/>
      <c r="V955" cm="1">
        <f t="array" ref="V955">_xlfn.LET(
_xlpm.x,_xlfn._xlws.FILTER(O955:S955,(O955:S955&lt;&gt;"R")*(O955:S955&lt;&gt;"NA")*(O955:S955&lt;&gt;"W")*(O955:S955&lt;&gt;"")),
IF(COUNTA(_xlpm.x)=0,"NA",IF(MIN(_xlpm.x)=MAX(_xlpm.x),MIN(_xlpm.x),"review"))
)</f>
        <v>52</v>
      </c>
    </row>
    <row r="956" spans="1:22" ht="15.75" hidden="1" customHeight="1" x14ac:dyDescent="0.25">
      <c r="A956" s="7" t="s">
        <v>194</v>
      </c>
      <c r="B956" s="8">
        <v>8</v>
      </c>
      <c r="C956" s="8" t="s">
        <v>195</v>
      </c>
      <c r="D956" s="9"/>
      <c r="E956" s="7" t="s">
        <v>25</v>
      </c>
      <c r="F956" s="7" t="s">
        <v>196</v>
      </c>
      <c r="G956" s="7" t="s">
        <v>197</v>
      </c>
      <c r="H956" s="7">
        <v>1980</v>
      </c>
      <c r="I956" s="7">
        <v>10</v>
      </c>
      <c r="K956" s="7">
        <v>7</v>
      </c>
      <c r="M956" s="7">
        <v>2</v>
      </c>
      <c r="N956" s="7">
        <v>21</v>
      </c>
      <c r="O956" s="7">
        <v>52</v>
      </c>
      <c r="T956" s="12"/>
      <c r="V956" cm="1">
        <f t="array" ref="V956">_xlfn.LET(
_xlpm.x,_xlfn._xlws.FILTER(O956:S956,(O956:S956&lt;&gt;"R")*(O956:S956&lt;&gt;"NA")*(O956:S956&lt;&gt;"W")*(O956:S956&lt;&gt;"")),
IF(COUNTA(_xlpm.x)=0,"NA",IF(MIN(_xlpm.x)=MAX(_xlpm.x),MIN(_xlpm.x),"review"))
)</f>
        <v>52</v>
      </c>
    </row>
    <row r="957" spans="1:22" ht="15.75" hidden="1" customHeight="1" x14ac:dyDescent="0.25">
      <c r="A957" s="7" t="s">
        <v>194</v>
      </c>
      <c r="B957" s="8">
        <v>8</v>
      </c>
      <c r="C957" s="8" t="s">
        <v>195</v>
      </c>
      <c r="D957" s="9"/>
      <c r="E957" s="7" t="s">
        <v>25</v>
      </c>
      <c r="F957" s="7" t="s">
        <v>196</v>
      </c>
      <c r="G957" s="7" t="s">
        <v>197</v>
      </c>
      <c r="H957" s="7">
        <v>1980</v>
      </c>
      <c r="I957" s="7">
        <v>10</v>
      </c>
      <c r="K957" s="7">
        <v>7</v>
      </c>
      <c r="M957" s="7">
        <v>2</v>
      </c>
      <c r="N957" s="7">
        <v>22</v>
      </c>
      <c r="O957" s="7">
        <v>52</v>
      </c>
      <c r="T957" s="12"/>
      <c r="V957" cm="1">
        <f t="array" ref="V957">_xlfn.LET(
_xlpm.x,_xlfn._xlws.FILTER(O957:S957,(O957:S957&lt;&gt;"R")*(O957:S957&lt;&gt;"NA")*(O957:S957&lt;&gt;"W")*(O957:S957&lt;&gt;"")),
IF(COUNTA(_xlpm.x)=0,"NA",IF(MIN(_xlpm.x)=MAX(_xlpm.x),MIN(_xlpm.x),"review"))
)</f>
        <v>52</v>
      </c>
    </row>
    <row r="958" spans="1:22" ht="15.75" hidden="1" customHeight="1" x14ac:dyDescent="0.25">
      <c r="A958" s="7" t="s">
        <v>194</v>
      </c>
      <c r="B958" s="8">
        <v>8</v>
      </c>
      <c r="C958" s="8" t="s">
        <v>195</v>
      </c>
      <c r="D958" s="9"/>
      <c r="E958" s="7" t="s">
        <v>25</v>
      </c>
      <c r="F958" s="7" t="s">
        <v>196</v>
      </c>
      <c r="G958" s="7" t="s">
        <v>197</v>
      </c>
      <c r="H958" s="7">
        <v>1980</v>
      </c>
      <c r="I958" s="7">
        <v>10</v>
      </c>
      <c r="K958" s="7">
        <v>7</v>
      </c>
      <c r="M958" s="7">
        <v>2</v>
      </c>
      <c r="N958" s="7">
        <v>23</v>
      </c>
      <c r="O958" s="7">
        <v>52</v>
      </c>
      <c r="T958" s="12"/>
      <c r="V958" cm="1">
        <f t="array" ref="V958">_xlfn.LET(
_xlpm.x,_xlfn._xlws.FILTER(O958:S958,(O958:S958&lt;&gt;"R")*(O958:S958&lt;&gt;"NA")*(O958:S958&lt;&gt;"W")*(O958:S958&lt;&gt;"")),
IF(COUNTA(_xlpm.x)=0,"NA",IF(MIN(_xlpm.x)=MAX(_xlpm.x),MIN(_xlpm.x),"review"))
)</f>
        <v>52</v>
      </c>
    </row>
    <row r="959" spans="1:22" ht="15.75" hidden="1" customHeight="1" x14ac:dyDescent="0.25">
      <c r="A959" s="7" t="s">
        <v>194</v>
      </c>
      <c r="B959" s="8">
        <v>8</v>
      </c>
      <c r="C959" s="8" t="s">
        <v>195</v>
      </c>
      <c r="D959" s="9"/>
      <c r="E959" s="7" t="s">
        <v>25</v>
      </c>
      <c r="F959" s="7" t="s">
        <v>196</v>
      </c>
      <c r="G959" s="7" t="s">
        <v>197</v>
      </c>
      <c r="H959" s="7">
        <v>1980</v>
      </c>
      <c r="I959" s="7">
        <v>10</v>
      </c>
      <c r="K959" s="7">
        <v>7</v>
      </c>
      <c r="M959" s="7">
        <v>2</v>
      </c>
      <c r="N959" s="7">
        <v>24</v>
      </c>
      <c r="O959" s="7">
        <v>52</v>
      </c>
      <c r="T959" s="12"/>
      <c r="V959" cm="1">
        <f t="array" ref="V959">_xlfn.LET(
_xlpm.x,_xlfn._xlws.FILTER(O959:S959,(O959:S959&lt;&gt;"R")*(O959:S959&lt;&gt;"NA")*(O959:S959&lt;&gt;"W")*(O959:S959&lt;&gt;"")),
IF(COUNTA(_xlpm.x)=0,"NA",IF(MIN(_xlpm.x)=MAX(_xlpm.x),MIN(_xlpm.x),"review"))
)</f>
        <v>52</v>
      </c>
    </row>
    <row r="960" spans="1:22" ht="15.75" hidden="1" customHeight="1" x14ac:dyDescent="0.25">
      <c r="A960" s="7" t="s">
        <v>194</v>
      </c>
      <c r="B960" s="8">
        <v>8</v>
      </c>
      <c r="C960" s="8" t="s">
        <v>195</v>
      </c>
      <c r="D960" s="9"/>
      <c r="E960" s="7" t="s">
        <v>25</v>
      </c>
      <c r="F960" s="7" t="s">
        <v>196</v>
      </c>
      <c r="G960" s="7" t="s">
        <v>197</v>
      </c>
      <c r="H960" s="7">
        <v>1980</v>
      </c>
      <c r="I960" s="7">
        <v>10</v>
      </c>
      <c r="K960" s="7">
        <v>7</v>
      </c>
      <c r="M960" s="7">
        <v>2</v>
      </c>
      <c r="N960" s="7">
        <v>25</v>
      </c>
      <c r="O960" s="7">
        <v>52</v>
      </c>
      <c r="T960" s="12"/>
      <c r="V960" cm="1">
        <f t="array" ref="V960">_xlfn.LET(
_xlpm.x,_xlfn._xlws.FILTER(O960:S960,(O960:S960&lt;&gt;"R")*(O960:S960&lt;&gt;"NA")*(O960:S960&lt;&gt;"W")*(O960:S960&lt;&gt;"")),
IF(COUNTA(_xlpm.x)=0,"NA",IF(MIN(_xlpm.x)=MAX(_xlpm.x),MIN(_xlpm.x),"review"))
)</f>
        <v>52</v>
      </c>
    </row>
    <row r="961" spans="1:22" ht="15.75" hidden="1" customHeight="1" x14ac:dyDescent="0.25">
      <c r="A961" s="7" t="s">
        <v>194</v>
      </c>
      <c r="B961" s="8">
        <v>8</v>
      </c>
      <c r="C961" s="8" t="s">
        <v>195</v>
      </c>
      <c r="D961" s="9"/>
      <c r="E961" s="7" t="s">
        <v>25</v>
      </c>
      <c r="F961" s="7" t="s">
        <v>196</v>
      </c>
      <c r="G961" s="7" t="s">
        <v>197</v>
      </c>
      <c r="H961" s="7">
        <v>1980</v>
      </c>
      <c r="I961" s="7">
        <v>10</v>
      </c>
      <c r="K961" s="7">
        <v>7</v>
      </c>
      <c r="M961" s="7">
        <v>2</v>
      </c>
      <c r="N961" s="7">
        <v>26</v>
      </c>
      <c r="O961" s="7">
        <v>42</v>
      </c>
      <c r="T961" s="12"/>
      <c r="V961" cm="1">
        <f t="array" ref="V961">_xlfn.LET(
_xlpm.x,_xlfn._xlws.FILTER(O961:S961,(O961:S961&lt;&gt;"R")*(O961:S961&lt;&gt;"NA")*(O961:S961&lt;&gt;"W")*(O961:S961&lt;&gt;"")),
IF(COUNTA(_xlpm.x)=0,"NA",IF(MIN(_xlpm.x)=MAX(_xlpm.x),MIN(_xlpm.x),"review"))
)</f>
        <v>42</v>
      </c>
    </row>
    <row r="962" spans="1:22" ht="15.75" hidden="1" customHeight="1" x14ac:dyDescent="0.25">
      <c r="A962" s="7" t="s">
        <v>194</v>
      </c>
      <c r="B962" s="8">
        <v>8</v>
      </c>
      <c r="C962" s="8" t="s">
        <v>195</v>
      </c>
      <c r="D962" s="9"/>
      <c r="E962" s="7" t="s">
        <v>25</v>
      </c>
      <c r="F962" s="7" t="s">
        <v>196</v>
      </c>
      <c r="G962" s="7" t="s">
        <v>197</v>
      </c>
      <c r="H962" s="7">
        <v>1980</v>
      </c>
      <c r="I962" s="7">
        <v>10</v>
      </c>
      <c r="K962" s="7">
        <v>7</v>
      </c>
      <c r="M962" s="7">
        <v>2</v>
      </c>
      <c r="N962" s="7">
        <v>27</v>
      </c>
      <c r="O962" s="7" t="s">
        <v>28</v>
      </c>
      <c r="T962" s="12"/>
      <c r="V962" t="s">
        <v>29</v>
      </c>
    </row>
    <row r="963" spans="1:22" ht="15.75" hidden="1" customHeight="1" x14ac:dyDescent="0.25">
      <c r="A963" s="7" t="s">
        <v>194</v>
      </c>
      <c r="B963" s="8">
        <v>8</v>
      </c>
      <c r="C963" s="8" t="s">
        <v>195</v>
      </c>
      <c r="D963" s="9"/>
      <c r="E963" s="7" t="s">
        <v>25</v>
      </c>
      <c r="F963" s="7" t="s">
        <v>196</v>
      </c>
      <c r="G963" s="7" t="s">
        <v>197</v>
      </c>
      <c r="H963" s="7">
        <v>1980</v>
      </c>
      <c r="I963" s="7">
        <v>10</v>
      </c>
      <c r="K963" s="7">
        <v>7</v>
      </c>
      <c r="M963" s="7">
        <v>2</v>
      </c>
      <c r="N963" s="7">
        <v>28</v>
      </c>
      <c r="O963" s="7">
        <v>42</v>
      </c>
      <c r="T963" s="12"/>
      <c r="V963" cm="1">
        <f t="array" ref="V963">_xlfn.LET(
_xlpm.x,_xlfn._xlws.FILTER(O963:S963,(O963:S963&lt;&gt;"R")*(O963:S963&lt;&gt;"NA")*(O963:S963&lt;&gt;"W")*(O963:S963&lt;&gt;"")),
IF(COUNTA(_xlpm.x)=0,"NA",IF(MIN(_xlpm.x)=MAX(_xlpm.x),MIN(_xlpm.x),"review"))
)</f>
        <v>42</v>
      </c>
    </row>
    <row r="964" spans="1:22" ht="15.75" hidden="1" customHeight="1" x14ac:dyDescent="0.25">
      <c r="A964" s="7" t="s">
        <v>194</v>
      </c>
      <c r="B964" s="8">
        <v>8</v>
      </c>
      <c r="C964" s="8" t="s">
        <v>195</v>
      </c>
      <c r="D964" s="9"/>
      <c r="E964" s="7" t="s">
        <v>25</v>
      </c>
      <c r="F964" s="7" t="s">
        <v>196</v>
      </c>
      <c r="G964" s="7" t="s">
        <v>197</v>
      </c>
      <c r="H964" s="7">
        <v>1980</v>
      </c>
      <c r="I964" s="7">
        <v>10</v>
      </c>
      <c r="K964" s="7">
        <v>7</v>
      </c>
      <c r="M964" s="7">
        <v>2</v>
      </c>
      <c r="N964" s="7">
        <v>29</v>
      </c>
      <c r="O964" s="7">
        <v>52</v>
      </c>
      <c r="T964" s="12"/>
      <c r="V964" cm="1">
        <f t="array" ref="V964">_xlfn.LET(
_xlpm.x,_xlfn._xlws.FILTER(O964:S964,(O964:S964&lt;&gt;"R")*(O964:S964&lt;&gt;"NA")*(O964:S964&lt;&gt;"W")*(O964:S964&lt;&gt;"")),
IF(COUNTA(_xlpm.x)=0,"NA",IF(MIN(_xlpm.x)=MAX(_xlpm.x),MIN(_xlpm.x),"review"))
)</f>
        <v>52</v>
      </c>
    </row>
    <row r="965" spans="1:22" ht="15.75" hidden="1" customHeight="1" x14ac:dyDescent="0.25">
      <c r="A965" s="7" t="s">
        <v>194</v>
      </c>
      <c r="B965" s="8">
        <v>8</v>
      </c>
      <c r="C965" s="8" t="s">
        <v>195</v>
      </c>
      <c r="D965" s="9"/>
      <c r="E965" s="7" t="s">
        <v>25</v>
      </c>
      <c r="F965" s="7" t="s">
        <v>196</v>
      </c>
      <c r="G965" s="7" t="s">
        <v>197</v>
      </c>
      <c r="H965" s="7">
        <v>1980</v>
      </c>
      <c r="I965" s="7">
        <v>10</v>
      </c>
      <c r="K965" s="7">
        <v>7</v>
      </c>
      <c r="M965" s="7">
        <v>2</v>
      </c>
      <c r="N965" s="7">
        <v>30</v>
      </c>
      <c r="O965" s="7" t="s">
        <v>28</v>
      </c>
      <c r="T965" s="12"/>
      <c r="V965" t="s">
        <v>29</v>
      </c>
    </row>
    <row r="966" spans="1:22" ht="15.75" hidden="1" customHeight="1" x14ac:dyDescent="0.25">
      <c r="A966" s="7" t="s">
        <v>194</v>
      </c>
      <c r="B966" s="8">
        <v>8</v>
      </c>
      <c r="C966" s="8" t="s">
        <v>195</v>
      </c>
      <c r="D966" s="9"/>
      <c r="E966" s="7" t="s">
        <v>25</v>
      </c>
      <c r="F966" s="7" t="s">
        <v>196</v>
      </c>
      <c r="G966" s="7" t="s">
        <v>197</v>
      </c>
      <c r="H966" s="7">
        <v>1980</v>
      </c>
      <c r="I966" s="7">
        <v>10</v>
      </c>
      <c r="K966" s="7">
        <v>7</v>
      </c>
      <c r="M966" s="7">
        <v>2</v>
      </c>
      <c r="N966" s="7">
        <v>31</v>
      </c>
      <c r="O966" s="7">
        <v>42</v>
      </c>
      <c r="T966" s="12"/>
      <c r="V966" cm="1">
        <f t="array" ref="V966">_xlfn.LET(
_xlpm.x,_xlfn._xlws.FILTER(O966:S966,(O966:S966&lt;&gt;"R")*(O966:S966&lt;&gt;"NA")*(O966:S966&lt;&gt;"W")*(O966:S966&lt;&gt;"")),
IF(COUNTA(_xlpm.x)=0,"NA",IF(MIN(_xlpm.x)=MAX(_xlpm.x),MIN(_xlpm.x),"review"))
)</f>
        <v>42</v>
      </c>
    </row>
    <row r="967" spans="1:22" ht="15.75" hidden="1" customHeight="1" x14ac:dyDescent="0.25">
      <c r="A967" s="7" t="s">
        <v>194</v>
      </c>
      <c r="B967" s="8">
        <v>8</v>
      </c>
      <c r="C967" s="8" t="s">
        <v>195</v>
      </c>
      <c r="D967" s="9"/>
      <c r="E967" s="7" t="s">
        <v>25</v>
      </c>
      <c r="F967" s="7" t="s">
        <v>196</v>
      </c>
      <c r="G967" s="7" t="s">
        <v>197</v>
      </c>
      <c r="H967" s="7">
        <v>1980</v>
      </c>
      <c r="I967" s="7">
        <v>10</v>
      </c>
      <c r="K967" s="7">
        <v>7</v>
      </c>
      <c r="M967" s="7">
        <v>2</v>
      </c>
      <c r="N967" s="7">
        <v>32</v>
      </c>
      <c r="O967" s="7">
        <v>42</v>
      </c>
      <c r="T967" s="12"/>
      <c r="V967" cm="1">
        <f t="array" ref="V967">_xlfn.LET(
_xlpm.x,_xlfn._xlws.FILTER(O967:S967,(O967:S967&lt;&gt;"R")*(O967:S967&lt;&gt;"NA")*(O967:S967&lt;&gt;"W")*(O967:S967&lt;&gt;"")),
IF(COUNTA(_xlpm.x)=0,"NA",IF(MIN(_xlpm.x)=MAX(_xlpm.x),MIN(_xlpm.x),"review"))
)</f>
        <v>42</v>
      </c>
    </row>
    <row r="968" spans="1:22" ht="15.75" hidden="1" customHeight="1" x14ac:dyDescent="0.25">
      <c r="A968" s="7" t="s">
        <v>194</v>
      </c>
      <c r="B968" s="8">
        <v>8</v>
      </c>
      <c r="C968" s="8" t="s">
        <v>195</v>
      </c>
      <c r="D968" s="9"/>
      <c r="E968" s="7" t="s">
        <v>25</v>
      </c>
      <c r="F968" s="7" t="s">
        <v>196</v>
      </c>
      <c r="G968" s="7" t="s">
        <v>197</v>
      </c>
      <c r="H968" s="7">
        <v>1980</v>
      </c>
      <c r="I968" s="7">
        <v>10</v>
      </c>
      <c r="K968" s="7">
        <v>7</v>
      </c>
      <c r="M968" s="7">
        <v>2</v>
      </c>
      <c r="N968" s="7">
        <v>33</v>
      </c>
      <c r="O968" s="7">
        <v>52</v>
      </c>
      <c r="T968" s="12"/>
      <c r="V968" cm="1">
        <f t="array" ref="V968">_xlfn.LET(
_xlpm.x,_xlfn._xlws.FILTER(O968:S968,(O968:S968&lt;&gt;"R")*(O968:S968&lt;&gt;"NA")*(O968:S968&lt;&gt;"W")*(O968:S968&lt;&gt;"")),
IF(COUNTA(_xlpm.x)=0,"NA",IF(MIN(_xlpm.x)=MAX(_xlpm.x),MIN(_xlpm.x),"review"))
)</f>
        <v>52</v>
      </c>
    </row>
    <row r="969" spans="1:22" ht="15.75" hidden="1" customHeight="1" x14ac:dyDescent="0.25">
      <c r="A969" s="7" t="s">
        <v>194</v>
      </c>
      <c r="B969" s="8">
        <v>8</v>
      </c>
      <c r="C969" s="8" t="s">
        <v>195</v>
      </c>
      <c r="D969" s="9"/>
      <c r="E969" s="7" t="s">
        <v>25</v>
      </c>
      <c r="F969" s="7" t="s">
        <v>196</v>
      </c>
      <c r="G969" s="7" t="s">
        <v>197</v>
      </c>
      <c r="H969" s="7">
        <v>1980</v>
      </c>
      <c r="I969" s="7">
        <v>10</v>
      </c>
      <c r="K969" s="7">
        <v>7</v>
      </c>
      <c r="M969" s="7">
        <v>2</v>
      </c>
      <c r="N969" s="7">
        <v>34</v>
      </c>
      <c r="O969" s="7">
        <v>42</v>
      </c>
      <c r="T969" s="12"/>
      <c r="V969" cm="1">
        <f t="array" ref="V969">_xlfn.LET(
_xlpm.x,_xlfn._xlws.FILTER(O969:S969,(O969:S969&lt;&gt;"R")*(O969:S969&lt;&gt;"NA")*(O969:S969&lt;&gt;"W")*(O969:S969&lt;&gt;"")),
IF(COUNTA(_xlpm.x)=0,"NA",IF(MIN(_xlpm.x)=MAX(_xlpm.x),MIN(_xlpm.x),"review"))
)</f>
        <v>42</v>
      </c>
    </row>
    <row r="970" spans="1:22" ht="15.75" hidden="1" customHeight="1" x14ac:dyDescent="0.25">
      <c r="A970" s="7" t="s">
        <v>194</v>
      </c>
      <c r="B970" s="8">
        <v>8</v>
      </c>
      <c r="C970" s="8" t="s">
        <v>195</v>
      </c>
      <c r="D970" s="9"/>
      <c r="E970" s="7" t="s">
        <v>25</v>
      </c>
      <c r="F970" s="7" t="s">
        <v>196</v>
      </c>
      <c r="G970" s="7" t="s">
        <v>197</v>
      </c>
      <c r="H970" s="7">
        <v>1980</v>
      </c>
      <c r="I970" s="7">
        <v>10</v>
      </c>
      <c r="K970" s="7">
        <v>7</v>
      </c>
      <c r="M970" s="7">
        <v>2</v>
      </c>
      <c r="N970" s="7">
        <v>35</v>
      </c>
      <c r="O970" s="7">
        <v>52</v>
      </c>
      <c r="T970" s="12"/>
      <c r="V970" cm="1">
        <f t="array" ref="V970">_xlfn.LET(
_xlpm.x,_xlfn._xlws.FILTER(O970:S970,(O970:S970&lt;&gt;"R")*(O970:S970&lt;&gt;"NA")*(O970:S970&lt;&gt;"W")*(O970:S970&lt;&gt;"")),
IF(COUNTA(_xlpm.x)=0,"NA",IF(MIN(_xlpm.x)=MAX(_xlpm.x),MIN(_xlpm.x),"review"))
)</f>
        <v>52</v>
      </c>
    </row>
    <row r="971" spans="1:22" ht="15.75" hidden="1" customHeight="1" x14ac:dyDescent="0.25">
      <c r="A971" s="7" t="s">
        <v>194</v>
      </c>
      <c r="B971" s="8">
        <v>8</v>
      </c>
      <c r="C971" s="8" t="s">
        <v>195</v>
      </c>
      <c r="D971" s="9"/>
      <c r="E971" s="7" t="s">
        <v>25</v>
      </c>
      <c r="F971" s="7" t="s">
        <v>196</v>
      </c>
      <c r="G971" s="7" t="s">
        <v>197</v>
      </c>
      <c r="H971" s="7">
        <v>1980</v>
      </c>
      <c r="I971" s="7">
        <v>10</v>
      </c>
      <c r="K971" s="7">
        <v>7</v>
      </c>
      <c r="M971" s="7">
        <v>2</v>
      </c>
      <c r="N971" s="7">
        <v>36</v>
      </c>
      <c r="O971" s="7">
        <v>52</v>
      </c>
      <c r="T971" s="12"/>
      <c r="V971" cm="1">
        <f t="array" ref="V971">_xlfn.LET(
_xlpm.x,_xlfn._xlws.FILTER(O971:S971,(O971:S971&lt;&gt;"R")*(O971:S971&lt;&gt;"NA")*(O971:S971&lt;&gt;"W")*(O971:S971&lt;&gt;"")),
IF(COUNTA(_xlpm.x)=0,"NA",IF(MIN(_xlpm.x)=MAX(_xlpm.x),MIN(_xlpm.x),"review"))
)</f>
        <v>52</v>
      </c>
    </row>
    <row r="972" spans="1:22" ht="15.75" hidden="1" customHeight="1" x14ac:dyDescent="0.25">
      <c r="A972" s="7" t="s">
        <v>194</v>
      </c>
      <c r="B972" s="8">
        <v>8</v>
      </c>
      <c r="C972" s="8" t="s">
        <v>195</v>
      </c>
      <c r="D972" s="9"/>
      <c r="E972" s="7" t="s">
        <v>25</v>
      </c>
      <c r="F972" s="7" t="s">
        <v>196</v>
      </c>
      <c r="G972" s="7" t="s">
        <v>197</v>
      </c>
      <c r="H972" s="7">
        <v>1980</v>
      </c>
      <c r="I972" s="7">
        <v>10</v>
      </c>
      <c r="K972" s="7">
        <v>7</v>
      </c>
      <c r="M972" s="7">
        <v>2</v>
      </c>
      <c r="N972" s="7">
        <v>37</v>
      </c>
      <c r="O972" s="7">
        <v>42</v>
      </c>
      <c r="T972" s="12"/>
      <c r="V972" cm="1">
        <f t="array" ref="V972">_xlfn.LET(
_xlpm.x,_xlfn._xlws.FILTER(O972:S972,(O972:S972&lt;&gt;"R")*(O972:S972&lt;&gt;"NA")*(O972:S972&lt;&gt;"W")*(O972:S972&lt;&gt;"")),
IF(COUNTA(_xlpm.x)=0,"NA",IF(MIN(_xlpm.x)=MAX(_xlpm.x),MIN(_xlpm.x),"review"))
)</f>
        <v>42</v>
      </c>
    </row>
    <row r="973" spans="1:22" ht="15.75" hidden="1" customHeight="1" x14ac:dyDescent="0.25">
      <c r="A973" s="7" t="s">
        <v>194</v>
      </c>
      <c r="B973" s="8">
        <v>8</v>
      </c>
      <c r="C973" s="8" t="s">
        <v>195</v>
      </c>
      <c r="D973" s="9"/>
      <c r="E973" s="7" t="s">
        <v>25</v>
      </c>
      <c r="F973" s="7" t="s">
        <v>196</v>
      </c>
      <c r="G973" s="7" t="s">
        <v>197</v>
      </c>
      <c r="H973" s="7">
        <v>1980</v>
      </c>
      <c r="I973" s="7">
        <v>10</v>
      </c>
      <c r="K973" s="7">
        <v>7</v>
      </c>
      <c r="M973" s="7">
        <v>2</v>
      </c>
      <c r="N973" s="7">
        <v>38</v>
      </c>
      <c r="O973" s="7">
        <v>52</v>
      </c>
      <c r="T973" s="12"/>
      <c r="V973" cm="1">
        <f t="array" ref="V973">_xlfn.LET(
_xlpm.x,_xlfn._xlws.FILTER(O973:S973,(O973:S973&lt;&gt;"R")*(O973:S973&lt;&gt;"NA")*(O973:S973&lt;&gt;"W")*(O973:S973&lt;&gt;"")),
IF(COUNTA(_xlpm.x)=0,"NA",IF(MIN(_xlpm.x)=MAX(_xlpm.x),MIN(_xlpm.x),"review"))
)</f>
        <v>52</v>
      </c>
    </row>
    <row r="974" spans="1:22" ht="15.75" hidden="1" customHeight="1" x14ac:dyDescent="0.25">
      <c r="A974" s="7" t="s">
        <v>194</v>
      </c>
      <c r="B974" s="8">
        <v>8</v>
      </c>
      <c r="C974" s="8" t="s">
        <v>195</v>
      </c>
      <c r="D974" s="9"/>
      <c r="E974" s="7" t="s">
        <v>25</v>
      </c>
      <c r="F974" s="7" t="s">
        <v>196</v>
      </c>
      <c r="G974" s="7" t="s">
        <v>197</v>
      </c>
      <c r="H974" s="7">
        <v>1980</v>
      </c>
      <c r="I974" s="7">
        <v>10</v>
      </c>
      <c r="K974" s="7">
        <v>7</v>
      </c>
      <c r="M974" s="7">
        <v>2</v>
      </c>
      <c r="N974" s="7">
        <v>39</v>
      </c>
      <c r="O974" s="7">
        <v>42</v>
      </c>
      <c r="T974" s="12"/>
      <c r="V974" cm="1">
        <f t="array" ref="V974">_xlfn.LET(
_xlpm.x,_xlfn._xlws.FILTER(O974:S974,(O974:S974&lt;&gt;"R")*(O974:S974&lt;&gt;"NA")*(O974:S974&lt;&gt;"W")*(O974:S974&lt;&gt;"")),
IF(COUNTA(_xlpm.x)=0,"NA",IF(MIN(_xlpm.x)=MAX(_xlpm.x),MIN(_xlpm.x),"review"))
)</f>
        <v>42</v>
      </c>
    </row>
    <row r="975" spans="1:22" ht="15.75" hidden="1" customHeight="1" x14ac:dyDescent="0.25">
      <c r="A975" s="7" t="s">
        <v>194</v>
      </c>
      <c r="B975" s="8">
        <v>8</v>
      </c>
      <c r="C975" s="8" t="s">
        <v>195</v>
      </c>
      <c r="D975" s="9"/>
      <c r="E975" s="7" t="s">
        <v>25</v>
      </c>
      <c r="F975" s="7" t="s">
        <v>196</v>
      </c>
      <c r="G975" s="7" t="s">
        <v>197</v>
      </c>
      <c r="H975" s="7">
        <v>1980</v>
      </c>
      <c r="I975" s="7">
        <v>10</v>
      </c>
      <c r="K975" s="7">
        <v>7</v>
      </c>
      <c r="M975" s="7">
        <v>2</v>
      </c>
      <c r="N975" s="7">
        <v>40</v>
      </c>
      <c r="O975" s="7">
        <v>52</v>
      </c>
      <c r="T975" s="12"/>
      <c r="V975" cm="1">
        <f t="array" ref="V975">_xlfn.LET(
_xlpm.x,_xlfn._xlws.FILTER(O975:S975,(O975:S975&lt;&gt;"R")*(O975:S975&lt;&gt;"NA")*(O975:S975&lt;&gt;"W")*(O975:S975&lt;&gt;"")),
IF(COUNTA(_xlpm.x)=0,"NA",IF(MIN(_xlpm.x)=MAX(_xlpm.x),MIN(_xlpm.x),"review"))
)</f>
        <v>52</v>
      </c>
    </row>
    <row r="976" spans="1:22" ht="15.75" hidden="1" customHeight="1" x14ac:dyDescent="0.25">
      <c r="A976" s="7" t="s">
        <v>194</v>
      </c>
      <c r="B976" s="8">
        <v>8</v>
      </c>
      <c r="C976" s="8" t="s">
        <v>195</v>
      </c>
      <c r="D976" s="9"/>
      <c r="E976" s="7" t="s">
        <v>25</v>
      </c>
      <c r="F976" s="7" t="s">
        <v>196</v>
      </c>
      <c r="G976" s="7" t="s">
        <v>197</v>
      </c>
      <c r="H976" s="7">
        <v>1980</v>
      </c>
      <c r="I976" s="7">
        <v>10</v>
      </c>
      <c r="K976" s="7">
        <v>7</v>
      </c>
      <c r="M976" s="7">
        <v>2</v>
      </c>
      <c r="N976" s="7">
        <v>41</v>
      </c>
      <c r="O976" s="7">
        <v>42</v>
      </c>
      <c r="T976" s="12"/>
      <c r="V976" cm="1">
        <f t="array" ref="V976">_xlfn.LET(
_xlpm.x,_xlfn._xlws.FILTER(O976:S976,(O976:S976&lt;&gt;"R")*(O976:S976&lt;&gt;"NA")*(O976:S976&lt;&gt;"W")*(O976:S976&lt;&gt;"")),
IF(COUNTA(_xlpm.x)=0,"NA",IF(MIN(_xlpm.x)=MAX(_xlpm.x),MIN(_xlpm.x),"review"))
)</f>
        <v>42</v>
      </c>
    </row>
    <row r="977" spans="1:22" ht="15.75" hidden="1" customHeight="1" x14ac:dyDescent="0.25">
      <c r="A977" s="7" t="s">
        <v>194</v>
      </c>
      <c r="B977" s="8">
        <v>8</v>
      </c>
      <c r="C977" s="8" t="s">
        <v>195</v>
      </c>
      <c r="D977" s="9"/>
      <c r="E977" s="7" t="s">
        <v>25</v>
      </c>
      <c r="F977" s="7" t="s">
        <v>196</v>
      </c>
      <c r="G977" s="7" t="s">
        <v>197</v>
      </c>
      <c r="H977" s="7">
        <v>1980</v>
      </c>
      <c r="I977" s="7">
        <v>10</v>
      </c>
      <c r="K977" s="7">
        <v>7</v>
      </c>
      <c r="M977" s="7">
        <v>2</v>
      </c>
      <c r="N977" s="7">
        <v>42</v>
      </c>
      <c r="O977" s="7">
        <v>42</v>
      </c>
      <c r="T977" s="12"/>
      <c r="V977" cm="1">
        <f t="array" ref="V977">_xlfn.LET(
_xlpm.x,_xlfn._xlws.FILTER(O977:S977,(O977:S977&lt;&gt;"R")*(O977:S977&lt;&gt;"NA")*(O977:S977&lt;&gt;"W")*(O977:S977&lt;&gt;"")),
IF(COUNTA(_xlpm.x)=0,"NA",IF(MIN(_xlpm.x)=MAX(_xlpm.x),MIN(_xlpm.x),"review"))
)</f>
        <v>42</v>
      </c>
    </row>
    <row r="978" spans="1:22" ht="15.75" hidden="1" customHeight="1" x14ac:dyDescent="0.25">
      <c r="A978" s="7" t="s">
        <v>194</v>
      </c>
      <c r="B978" s="8">
        <v>8</v>
      </c>
      <c r="C978" s="8" t="s">
        <v>195</v>
      </c>
      <c r="D978" s="9"/>
      <c r="E978" s="7" t="s">
        <v>25</v>
      </c>
      <c r="F978" s="7" t="s">
        <v>196</v>
      </c>
      <c r="G978" s="7" t="s">
        <v>197</v>
      </c>
      <c r="H978" s="7">
        <v>1980</v>
      </c>
      <c r="I978" s="7">
        <v>10</v>
      </c>
      <c r="K978" s="7">
        <v>7</v>
      </c>
      <c r="M978" s="7">
        <v>2</v>
      </c>
      <c r="N978" s="7">
        <v>43</v>
      </c>
      <c r="O978" s="7">
        <v>52</v>
      </c>
      <c r="T978" s="12"/>
      <c r="V978" cm="1">
        <f t="array" ref="V978">_xlfn.LET(
_xlpm.x,_xlfn._xlws.FILTER(O978:S978,(O978:S978&lt;&gt;"R")*(O978:S978&lt;&gt;"NA")*(O978:S978&lt;&gt;"W")*(O978:S978&lt;&gt;"")),
IF(COUNTA(_xlpm.x)=0,"NA",IF(MIN(_xlpm.x)=MAX(_xlpm.x),MIN(_xlpm.x),"review"))
)</f>
        <v>52</v>
      </c>
    </row>
    <row r="979" spans="1:22" ht="15.75" hidden="1" customHeight="1" x14ac:dyDescent="0.25">
      <c r="A979" s="7" t="s">
        <v>194</v>
      </c>
      <c r="B979" s="8">
        <v>8</v>
      </c>
      <c r="C979" s="8" t="s">
        <v>195</v>
      </c>
      <c r="D979" s="9"/>
      <c r="E979" s="7" t="s">
        <v>25</v>
      </c>
      <c r="F979" s="7" t="s">
        <v>196</v>
      </c>
      <c r="G979" s="7" t="s">
        <v>197</v>
      </c>
      <c r="H979" s="7">
        <v>1980</v>
      </c>
      <c r="I979" s="7">
        <v>10</v>
      </c>
      <c r="K979" s="7">
        <v>7</v>
      </c>
      <c r="M979" s="7">
        <v>2</v>
      </c>
      <c r="N979" s="7">
        <v>44</v>
      </c>
      <c r="O979" s="7">
        <v>42</v>
      </c>
      <c r="T979" s="12"/>
      <c r="V979" cm="1">
        <f t="array" ref="V979">_xlfn.LET(
_xlpm.x,_xlfn._xlws.FILTER(O979:S979,(O979:S979&lt;&gt;"R")*(O979:S979&lt;&gt;"NA")*(O979:S979&lt;&gt;"W")*(O979:S979&lt;&gt;"")),
IF(COUNTA(_xlpm.x)=0,"NA",IF(MIN(_xlpm.x)=MAX(_xlpm.x),MIN(_xlpm.x),"review"))
)</f>
        <v>42</v>
      </c>
    </row>
    <row r="980" spans="1:22" ht="15.75" hidden="1" customHeight="1" x14ac:dyDescent="0.25">
      <c r="A980" s="7" t="s">
        <v>194</v>
      </c>
      <c r="B980" s="8">
        <v>8</v>
      </c>
      <c r="C980" s="8" t="s">
        <v>195</v>
      </c>
      <c r="D980" s="9"/>
      <c r="E980" s="7" t="s">
        <v>25</v>
      </c>
      <c r="F980" s="7" t="s">
        <v>196</v>
      </c>
      <c r="G980" s="7" t="s">
        <v>197</v>
      </c>
      <c r="H980" s="7">
        <v>1980</v>
      </c>
      <c r="I980" s="7">
        <v>10</v>
      </c>
      <c r="K980" s="7">
        <v>7</v>
      </c>
      <c r="M980" s="7">
        <v>2</v>
      </c>
      <c r="N980" s="7">
        <v>45</v>
      </c>
      <c r="O980" s="7">
        <v>42</v>
      </c>
      <c r="T980" s="12"/>
      <c r="V980" cm="1">
        <f t="array" ref="V980">_xlfn.LET(
_xlpm.x,_xlfn._xlws.FILTER(O980:S980,(O980:S980&lt;&gt;"R")*(O980:S980&lt;&gt;"NA")*(O980:S980&lt;&gt;"W")*(O980:S980&lt;&gt;"")),
IF(COUNTA(_xlpm.x)=0,"NA",IF(MIN(_xlpm.x)=MAX(_xlpm.x),MIN(_xlpm.x),"review"))
)</f>
        <v>42</v>
      </c>
    </row>
    <row r="981" spans="1:22" ht="15.75" hidden="1" customHeight="1" x14ac:dyDescent="0.25">
      <c r="A981" s="7" t="s">
        <v>194</v>
      </c>
      <c r="B981" s="8">
        <v>8</v>
      </c>
      <c r="C981" s="8" t="s">
        <v>195</v>
      </c>
      <c r="D981" s="9"/>
      <c r="E981" s="7" t="s">
        <v>25</v>
      </c>
      <c r="F981" s="7" t="s">
        <v>196</v>
      </c>
      <c r="G981" s="7" t="s">
        <v>197</v>
      </c>
      <c r="H981" s="7">
        <v>1980</v>
      </c>
      <c r="I981" s="7">
        <v>10</v>
      </c>
      <c r="K981" s="7">
        <v>7</v>
      </c>
      <c r="M981" s="7">
        <v>2</v>
      </c>
      <c r="N981" s="7">
        <v>46</v>
      </c>
      <c r="O981" s="7">
        <v>52</v>
      </c>
      <c r="T981" s="12"/>
      <c r="V981" cm="1">
        <f t="array" ref="V981">_xlfn.LET(
_xlpm.x,_xlfn._xlws.FILTER(O981:S981,(O981:S981&lt;&gt;"R")*(O981:S981&lt;&gt;"NA")*(O981:S981&lt;&gt;"W")*(O981:S981&lt;&gt;"")),
IF(COUNTA(_xlpm.x)=0,"NA",IF(MIN(_xlpm.x)=MAX(_xlpm.x),MIN(_xlpm.x),"review"))
)</f>
        <v>52</v>
      </c>
    </row>
    <row r="982" spans="1:22" ht="15.75" hidden="1" customHeight="1" x14ac:dyDescent="0.25">
      <c r="A982" s="7" t="s">
        <v>194</v>
      </c>
      <c r="B982" s="8">
        <v>8</v>
      </c>
      <c r="C982" s="8" t="s">
        <v>195</v>
      </c>
      <c r="D982" s="9"/>
      <c r="E982" s="7" t="s">
        <v>25</v>
      </c>
      <c r="F982" s="7" t="s">
        <v>196</v>
      </c>
      <c r="G982" s="7" t="s">
        <v>197</v>
      </c>
      <c r="H982" s="7">
        <v>1980</v>
      </c>
      <c r="I982" s="7">
        <v>10</v>
      </c>
      <c r="K982" s="7">
        <v>7</v>
      </c>
      <c r="M982" s="7">
        <v>2</v>
      </c>
      <c r="N982" s="7">
        <v>47</v>
      </c>
      <c r="O982" s="7" t="s">
        <v>28</v>
      </c>
      <c r="T982" s="12"/>
      <c r="V982" t="s">
        <v>29</v>
      </c>
    </row>
    <row r="983" spans="1:22" ht="15.75" hidden="1" customHeight="1" x14ac:dyDescent="0.25">
      <c r="A983" s="7" t="s">
        <v>194</v>
      </c>
      <c r="B983" s="8">
        <v>8</v>
      </c>
      <c r="C983" s="8" t="s">
        <v>195</v>
      </c>
      <c r="D983" s="9"/>
      <c r="E983" s="7" t="s">
        <v>25</v>
      </c>
      <c r="F983" s="7" t="s">
        <v>196</v>
      </c>
      <c r="G983" s="7" t="s">
        <v>197</v>
      </c>
      <c r="H983" s="7">
        <v>1980</v>
      </c>
      <c r="I983" s="7">
        <v>10</v>
      </c>
      <c r="K983" s="7">
        <v>7</v>
      </c>
      <c r="M983" s="7">
        <v>2</v>
      </c>
      <c r="N983" s="7">
        <v>48</v>
      </c>
      <c r="O983" s="7">
        <v>52</v>
      </c>
      <c r="T983" s="12"/>
      <c r="V983" cm="1">
        <f t="array" ref="V983">_xlfn.LET(
_xlpm.x,_xlfn._xlws.FILTER(O983:S983,(O983:S983&lt;&gt;"R")*(O983:S983&lt;&gt;"NA")*(O983:S983&lt;&gt;"W")*(O983:S983&lt;&gt;"")),
IF(COUNTA(_xlpm.x)=0,"NA",IF(MIN(_xlpm.x)=MAX(_xlpm.x),MIN(_xlpm.x),"review"))
)</f>
        <v>52</v>
      </c>
    </row>
    <row r="984" spans="1:22" ht="15.75" hidden="1" customHeight="1" x14ac:dyDescent="0.25">
      <c r="A984" s="7" t="s">
        <v>194</v>
      </c>
      <c r="B984" s="8">
        <v>8</v>
      </c>
      <c r="C984" s="8" t="s">
        <v>195</v>
      </c>
      <c r="D984" s="9"/>
      <c r="E984" s="7" t="s">
        <v>25</v>
      </c>
      <c r="F984" s="7" t="s">
        <v>196</v>
      </c>
      <c r="G984" s="7" t="s">
        <v>197</v>
      </c>
      <c r="H984" s="7">
        <v>1980</v>
      </c>
      <c r="I984" s="7">
        <v>10</v>
      </c>
      <c r="K984" s="7">
        <v>7</v>
      </c>
      <c r="M984" s="7">
        <v>2</v>
      </c>
      <c r="N984" s="7">
        <v>49</v>
      </c>
      <c r="O984" s="7">
        <v>53</v>
      </c>
      <c r="T984" s="12"/>
      <c r="V984" cm="1">
        <f t="array" ref="V984">_xlfn.LET(
_xlpm.x,_xlfn._xlws.FILTER(O984:S984,(O984:S984&lt;&gt;"R")*(O984:S984&lt;&gt;"NA")*(O984:S984&lt;&gt;"W")*(O984:S984&lt;&gt;"")),
IF(COUNTA(_xlpm.x)=0,"NA",IF(MIN(_xlpm.x)=MAX(_xlpm.x),MIN(_xlpm.x),"review"))
)</f>
        <v>53</v>
      </c>
    </row>
    <row r="985" spans="1:22" ht="15.75" hidden="1" customHeight="1" x14ac:dyDescent="0.25">
      <c r="A985" s="7" t="s">
        <v>194</v>
      </c>
      <c r="B985" s="8">
        <v>8</v>
      </c>
      <c r="C985" s="8" t="s">
        <v>195</v>
      </c>
      <c r="D985" s="9"/>
      <c r="E985" s="7" t="s">
        <v>25</v>
      </c>
      <c r="F985" s="7" t="s">
        <v>196</v>
      </c>
      <c r="G985" s="7" t="s">
        <v>197</v>
      </c>
      <c r="H985" s="7">
        <v>1980</v>
      </c>
      <c r="I985" s="7">
        <v>10</v>
      </c>
      <c r="K985" s="7">
        <v>7</v>
      </c>
      <c r="M985" s="7">
        <v>2</v>
      </c>
      <c r="N985" s="7">
        <v>50</v>
      </c>
      <c r="O985" s="7">
        <v>42</v>
      </c>
      <c r="T985" s="12"/>
      <c r="V985" cm="1">
        <f t="array" ref="V985">_xlfn.LET(
_xlpm.x,_xlfn._xlws.FILTER(O985:S985,(O985:S985&lt;&gt;"R")*(O985:S985&lt;&gt;"NA")*(O985:S985&lt;&gt;"W")*(O985:S985&lt;&gt;"")),
IF(COUNTA(_xlpm.x)=0,"NA",IF(MIN(_xlpm.x)=MAX(_xlpm.x),MIN(_xlpm.x),"review"))
)</f>
        <v>42</v>
      </c>
    </row>
    <row r="986" spans="1:22" ht="15.75" hidden="1" customHeight="1" x14ac:dyDescent="0.25">
      <c r="A986" s="7" t="s">
        <v>194</v>
      </c>
      <c r="B986" s="8">
        <v>8</v>
      </c>
      <c r="C986" s="8" t="s">
        <v>195</v>
      </c>
      <c r="D986" s="9"/>
      <c r="E986" s="7" t="s">
        <v>25</v>
      </c>
      <c r="F986" s="7" t="s">
        <v>196</v>
      </c>
      <c r="G986" s="7" t="s">
        <v>197</v>
      </c>
      <c r="H986" s="7">
        <v>1980</v>
      </c>
      <c r="I986" s="7">
        <v>10</v>
      </c>
      <c r="K986" s="7">
        <v>7</v>
      </c>
      <c r="M986" s="7">
        <v>3</v>
      </c>
      <c r="N986" s="7">
        <v>1</v>
      </c>
      <c r="O986" s="7" t="s">
        <v>28</v>
      </c>
      <c r="T986" s="12"/>
      <c r="V986" t="s">
        <v>29</v>
      </c>
    </row>
    <row r="987" spans="1:22" ht="15.75" hidden="1" customHeight="1" x14ac:dyDescent="0.25">
      <c r="A987" s="7" t="s">
        <v>194</v>
      </c>
      <c r="B987" s="8">
        <v>8</v>
      </c>
      <c r="C987" s="8" t="s">
        <v>195</v>
      </c>
      <c r="D987" s="9"/>
      <c r="E987" s="7" t="s">
        <v>25</v>
      </c>
      <c r="F987" s="7" t="s">
        <v>196</v>
      </c>
      <c r="G987" s="7" t="s">
        <v>197</v>
      </c>
      <c r="H987" s="7">
        <v>1980</v>
      </c>
      <c r="I987" s="7">
        <v>10</v>
      </c>
      <c r="K987" s="7">
        <v>7</v>
      </c>
      <c r="M987" s="7">
        <v>3</v>
      </c>
      <c r="N987" s="7">
        <v>2</v>
      </c>
      <c r="O987" s="7">
        <v>52</v>
      </c>
      <c r="T987" s="12"/>
      <c r="V987" cm="1">
        <f t="array" ref="V987">_xlfn.LET(
_xlpm.x,_xlfn._xlws.FILTER(O987:S987,(O987:S987&lt;&gt;"R")*(O987:S987&lt;&gt;"NA")*(O987:S987&lt;&gt;"W")*(O987:S987&lt;&gt;"")),
IF(COUNTA(_xlpm.x)=0,"NA",IF(MIN(_xlpm.x)=MAX(_xlpm.x),MIN(_xlpm.x),"review"))
)</f>
        <v>52</v>
      </c>
    </row>
    <row r="988" spans="1:22" ht="15.75" hidden="1" customHeight="1" x14ac:dyDescent="0.25">
      <c r="A988" s="7" t="s">
        <v>194</v>
      </c>
      <c r="B988" s="8">
        <v>8</v>
      </c>
      <c r="C988" s="8" t="s">
        <v>195</v>
      </c>
      <c r="D988" s="9"/>
      <c r="E988" s="7" t="s">
        <v>25</v>
      </c>
      <c r="F988" s="7" t="s">
        <v>196</v>
      </c>
      <c r="G988" s="7" t="s">
        <v>197</v>
      </c>
      <c r="H988" s="7">
        <v>1980</v>
      </c>
      <c r="I988" s="7">
        <v>10</v>
      </c>
      <c r="K988" s="7">
        <v>7</v>
      </c>
      <c r="M988" s="7">
        <v>3</v>
      </c>
      <c r="N988" s="7">
        <v>3</v>
      </c>
      <c r="O988" s="7">
        <v>42</v>
      </c>
      <c r="T988" s="12"/>
      <c r="V988" cm="1">
        <f t="array" ref="V988">_xlfn.LET(
_xlpm.x,_xlfn._xlws.FILTER(O988:S988,(O988:S988&lt;&gt;"R")*(O988:S988&lt;&gt;"NA")*(O988:S988&lt;&gt;"W")*(O988:S988&lt;&gt;"")),
IF(COUNTA(_xlpm.x)=0,"NA",IF(MIN(_xlpm.x)=MAX(_xlpm.x),MIN(_xlpm.x),"review"))
)</f>
        <v>42</v>
      </c>
    </row>
    <row r="989" spans="1:22" ht="15.75" hidden="1" customHeight="1" x14ac:dyDescent="0.25">
      <c r="A989" s="7" t="s">
        <v>194</v>
      </c>
      <c r="B989" s="8">
        <v>8</v>
      </c>
      <c r="C989" s="8" t="s">
        <v>195</v>
      </c>
      <c r="D989" s="9"/>
      <c r="E989" s="7" t="s">
        <v>25</v>
      </c>
      <c r="F989" s="7" t="s">
        <v>196</v>
      </c>
      <c r="G989" s="7" t="s">
        <v>197</v>
      </c>
      <c r="H989" s="7">
        <v>1980</v>
      </c>
      <c r="I989" s="7">
        <v>10</v>
      </c>
      <c r="K989" s="7">
        <v>7</v>
      </c>
      <c r="M989" s="7">
        <v>3</v>
      </c>
      <c r="N989" s="7">
        <v>4</v>
      </c>
      <c r="O989" s="7">
        <v>52</v>
      </c>
      <c r="T989" s="12"/>
      <c r="V989" cm="1">
        <f t="array" ref="V989">_xlfn.LET(
_xlpm.x,_xlfn._xlws.FILTER(O989:S989,(O989:S989&lt;&gt;"R")*(O989:S989&lt;&gt;"NA")*(O989:S989&lt;&gt;"W")*(O989:S989&lt;&gt;"")),
IF(COUNTA(_xlpm.x)=0,"NA",IF(MIN(_xlpm.x)=MAX(_xlpm.x),MIN(_xlpm.x),"review"))
)</f>
        <v>52</v>
      </c>
    </row>
    <row r="990" spans="1:22" ht="15.75" hidden="1" customHeight="1" x14ac:dyDescent="0.25">
      <c r="A990" s="7" t="s">
        <v>194</v>
      </c>
      <c r="B990" s="8">
        <v>8</v>
      </c>
      <c r="C990" s="8" t="s">
        <v>195</v>
      </c>
      <c r="D990" s="9"/>
      <c r="E990" s="7" t="s">
        <v>25</v>
      </c>
      <c r="F990" s="7" t="s">
        <v>196</v>
      </c>
      <c r="G990" s="7" t="s">
        <v>197</v>
      </c>
      <c r="H990" s="7">
        <v>1980</v>
      </c>
      <c r="I990" s="7">
        <v>10</v>
      </c>
      <c r="K990" s="7">
        <v>7</v>
      </c>
      <c r="M990" s="7">
        <v>3</v>
      </c>
      <c r="N990" s="7">
        <v>5</v>
      </c>
      <c r="O990" s="7">
        <v>42</v>
      </c>
      <c r="T990" s="12"/>
      <c r="V990" cm="1">
        <f t="array" ref="V990">_xlfn.LET(
_xlpm.x,_xlfn._xlws.FILTER(O990:S990,(O990:S990&lt;&gt;"R")*(O990:S990&lt;&gt;"NA")*(O990:S990&lt;&gt;"W")*(O990:S990&lt;&gt;"")),
IF(COUNTA(_xlpm.x)=0,"NA",IF(MIN(_xlpm.x)=MAX(_xlpm.x),MIN(_xlpm.x),"review"))
)</f>
        <v>42</v>
      </c>
    </row>
    <row r="991" spans="1:22" ht="15.75" hidden="1" customHeight="1" x14ac:dyDescent="0.25">
      <c r="A991" s="7" t="s">
        <v>194</v>
      </c>
      <c r="B991" s="8">
        <v>8</v>
      </c>
      <c r="C991" s="8" t="s">
        <v>195</v>
      </c>
      <c r="D991" s="9"/>
      <c r="E991" s="7" t="s">
        <v>25</v>
      </c>
      <c r="F991" s="7" t="s">
        <v>196</v>
      </c>
      <c r="G991" s="7" t="s">
        <v>197</v>
      </c>
      <c r="H991" s="7">
        <v>1980</v>
      </c>
      <c r="I991" s="7">
        <v>10</v>
      </c>
      <c r="K991" s="7">
        <v>7</v>
      </c>
      <c r="M991" s="7">
        <v>3</v>
      </c>
      <c r="N991" s="7">
        <v>6</v>
      </c>
      <c r="O991" s="7" t="s">
        <v>28</v>
      </c>
      <c r="T991" s="12"/>
      <c r="V991" t="s">
        <v>29</v>
      </c>
    </row>
    <row r="992" spans="1:22" ht="15.75" hidden="1" customHeight="1" x14ac:dyDescent="0.25">
      <c r="A992" s="7" t="s">
        <v>194</v>
      </c>
      <c r="B992" s="8">
        <v>8</v>
      </c>
      <c r="C992" s="8" t="s">
        <v>195</v>
      </c>
      <c r="D992" s="9"/>
      <c r="E992" s="7" t="s">
        <v>25</v>
      </c>
      <c r="F992" s="7" t="s">
        <v>196</v>
      </c>
      <c r="G992" s="7" t="s">
        <v>197</v>
      </c>
      <c r="H992" s="7">
        <v>1980</v>
      </c>
      <c r="I992" s="7">
        <v>10</v>
      </c>
      <c r="K992" s="7">
        <v>7</v>
      </c>
      <c r="M992" s="7">
        <v>3</v>
      </c>
      <c r="N992" s="7">
        <v>7</v>
      </c>
      <c r="O992" s="7">
        <v>52</v>
      </c>
      <c r="T992" s="12"/>
      <c r="V992" cm="1">
        <f t="array" ref="V992">_xlfn.LET(
_xlpm.x,_xlfn._xlws.FILTER(O992:S992,(O992:S992&lt;&gt;"R")*(O992:S992&lt;&gt;"NA")*(O992:S992&lt;&gt;"W")*(O992:S992&lt;&gt;"")),
IF(COUNTA(_xlpm.x)=0,"NA",IF(MIN(_xlpm.x)=MAX(_xlpm.x),MIN(_xlpm.x),"review"))
)</f>
        <v>52</v>
      </c>
    </row>
    <row r="993" spans="1:22" ht="15.75" hidden="1" customHeight="1" x14ac:dyDescent="0.25">
      <c r="A993" s="7" t="s">
        <v>194</v>
      </c>
      <c r="B993" s="8">
        <v>8</v>
      </c>
      <c r="C993" s="8" t="s">
        <v>195</v>
      </c>
      <c r="D993" s="9"/>
      <c r="E993" s="7" t="s">
        <v>25</v>
      </c>
      <c r="F993" s="7" t="s">
        <v>196</v>
      </c>
      <c r="G993" s="7" t="s">
        <v>197</v>
      </c>
      <c r="H993" s="7">
        <v>1980</v>
      </c>
      <c r="I993" s="7">
        <v>10</v>
      </c>
      <c r="K993" s="7">
        <v>7</v>
      </c>
      <c r="M993" s="7">
        <v>3</v>
      </c>
      <c r="N993" s="7">
        <v>8</v>
      </c>
      <c r="O993" s="7">
        <v>52</v>
      </c>
      <c r="T993" s="12"/>
      <c r="V993" cm="1">
        <f t="array" ref="V993">_xlfn.LET(
_xlpm.x,_xlfn._xlws.FILTER(O993:S993,(O993:S993&lt;&gt;"R")*(O993:S993&lt;&gt;"NA")*(O993:S993&lt;&gt;"W")*(O993:S993&lt;&gt;"")),
IF(COUNTA(_xlpm.x)=0,"NA",IF(MIN(_xlpm.x)=MAX(_xlpm.x),MIN(_xlpm.x),"review"))
)</f>
        <v>52</v>
      </c>
    </row>
    <row r="994" spans="1:22" ht="15.75" hidden="1" customHeight="1" x14ac:dyDescent="0.25">
      <c r="A994" s="7" t="s">
        <v>194</v>
      </c>
      <c r="B994" s="8">
        <v>8</v>
      </c>
      <c r="C994" s="8" t="s">
        <v>195</v>
      </c>
      <c r="D994" s="9"/>
      <c r="E994" s="7" t="s">
        <v>25</v>
      </c>
      <c r="F994" s="7" t="s">
        <v>196</v>
      </c>
      <c r="G994" s="7" t="s">
        <v>197</v>
      </c>
      <c r="H994" s="7">
        <v>1980</v>
      </c>
      <c r="I994" s="7">
        <v>10</v>
      </c>
      <c r="K994" s="7">
        <v>7</v>
      </c>
      <c r="M994" s="7">
        <v>3</v>
      </c>
      <c r="N994" s="7">
        <v>9</v>
      </c>
      <c r="O994" s="7">
        <v>52</v>
      </c>
      <c r="T994" s="12"/>
      <c r="V994" cm="1">
        <f t="array" ref="V994">_xlfn.LET(
_xlpm.x,_xlfn._xlws.FILTER(O994:S994,(O994:S994&lt;&gt;"R")*(O994:S994&lt;&gt;"NA")*(O994:S994&lt;&gt;"W")*(O994:S994&lt;&gt;"")),
IF(COUNTA(_xlpm.x)=0,"NA",IF(MIN(_xlpm.x)=MAX(_xlpm.x),MIN(_xlpm.x),"review"))
)</f>
        <v>52</v>
      </c>
    </row>
    <row r="995" spans="1:22" ht="15.75" hidden="1" customHeight="1" x14ac:dyDescent="0.25">
      <c r="A995" s="7" t="s">
        <v>194</v>
      </c>
      <c r="B995" s="8">
        <v>8</v>
      </c>
      <c r="C995" s="8" t="s">
        <v>195</v>
      </c>
      <c r="D995" s="9"/>
      <c r="E995" s="7" t="s">
        <v>25</v>
      </c>
      <c r="F995" s="7" t="s">
        <v>196</v>
      </c>
      <c r="G995" s="7" t="s">
        <v>197</v>
      </c>
      <c r="H995" s="7">
        <v>1980</v>
      </c>
      <c r="I995" s="7">
        <v>10</v>
      </c>
      <c r="K995" s="7">
        <v>7</v>
      </c>
      <c r="M995" s="7">
        <v>3</v>
      </c>
      <c r="N995" s="7">
        <v>10</v>
      </c>
      <c r="O995" s="7">
        <v>52</v>
      </c>
      <c r="T995" s="12"/>
      <c r="V995" cm="1">
        <f t="array" ref="V995">_xlfn.LET(
_xlpm.x,_xlfn._xlws.FILTER(O995:S995,(O995:S995&lt;&gt;"R")*(O995:S995&lt;&gt;"NA")*(O995:S995&lt;&gt;"W")*(O995:S995&lt;&gt;"")),
IF(COUNTA(_xlpm.x)=0,"NA",IF(MIN(_xlpm.x)=MAX(_xlpm.x),MIN(_xlpm.x),"review"))
)</f>
        <v>52</v>
      </c>
    </row>
    <row r="996" spans="1:22" ht="15.75" hidden="1" customHeight="1" x14ac:dyDescent="0.25">
      <c r="A996" s="7" t="s">
        <v>194</v>
      </c>
      <c r="B996" s="8">
        <v>8</v>
      </c>
      <c r="C996" s="8" t="s">
        <v>195</v>
      </c>
      <c r="D996" s="9"/>
      <c r="E996" s="7" t="s">
        <v>25</v>
      </c>
      <c r="F996" s="7" t="s">
        <v>196</v>
      </c>
      <c r="G996" s="7" t="s">
        <v>197</v>
      </c>
      <c r="H996" s="7">
        <v>1980</v>
      </c>
      <c r="I996" s="7">
        <v>10</v>
      </c>
      <c r="K996" s="7">
        <v>7</v>
      </c>
      <c r="M996" s="7">
        <v>3</v>
      </c>
      <c r="N996" s="7">
        <v>11</v>
      </c>
      <c r="O996" s="7">
        <v>42</v>
      </c>
      <c r="T996" s="12"/>
      <c r="V996" cm="1">
        <f t="array" ref="V996">_xlfn.LET(
_xlpm.x,_xlfn._xlws.FILTER(O996:S996,(O996:S996&lt;&gt;"R")*(O996:S996&lt;&gt;"NA")*(O996:S996&lt;&gt;"W")*(O996:S996&lt;&gt;"")),
IF(COUNTA(_xlpm.x)=0,"NA",IF(MIN(_xlpm.x)=MAX(_xlpm.x),MIN(_xlpm.x),"review"))
)</f>
        <v>42</v>
      </c>
    </row>
    <row r="997" spans="1:22" ht="15.75" hidden="1" customHeight="1" x14ac:dyDescent="0.25">
      <c r="A997" s="7" t="s">
        <v>194</v>
      </c>
      <c r="B997" s="8">
        <v>8</v>
      </c>
      <c r="C997" s="8" t="s">
        <v>195</v>
      </c>
      <c r="D997" s="9"/>
      <c r="E997" s="7" t="s">
        <v>25</v>
      </c>
      <c r="F997" s="7" t="s">
        <v>196</v>
      </c>
      <c r="G997" s="7" t="s">
        <v>197</v>
      </c>
      <c r="H997" s="7">
        <v>1980</v>
      </c>
      <c r="I997" s="7">
        <v>10</v>
      </c>
      <c r="K997" s="7">
        <v>7</v>
      </c>
      <c r="M997" s="7">
        <v>3</v>
      </c>
      <c r="N997" s="7">
        <v>12</v>
      </c>
      <c r="T997" s="12" t="s">
        <v>33</v>
      </c>
      <c r="V997" t="s">
        <v>29</v>
      </c>
    </row>
    <row r="998" spans="1:22" ht="15.75" hidden="1" customHeight="1" x14ac:dyDescent="0.25">
      <c r="A998" s="7" t="s">
        <v>194</v>
      </c>
      <c r="B998" s="8">
        <v>8</v>
      </c>
      <c r="C998" s="8" t="s">
        <v>195</v>
      </c>
      <c r="D998" s="9"/>
      <c r="E998" s="7" t="s">
        <v>25</v>
      </c>
      <c r="F998" s="7" t="s">
        <v>196</v>
      </c>
      <c r="G998" s="7" t="s">
        <v>197</v>
      </c>
      <c r="H998" s="7">
        <v>1980</v>
      </c>
      <c r="I998" s="7">
        <v>10</v>
      </c>
      <c r="K998" s="7">
        <v>7</v>
      </c>
      <c r="M998" s="7">
        <v>3</v>
      </c>
      <c r="N998" s="7">
        <v>13</v>
      </c>
      <c r="O998" s="7">
        <v>52</v>
      </c>
      <c r="T998" s="12"/>
      <c r="V998" cm="1">
        <f t="array" ref="V998">_xlfn.LET(
_xlpm.x,_xlfn._xlws.FILTER(O998:S998,(O998:S998&lt;&gt;"R")*(O998:S998&lt;&gt;"NA")*(O998:S998&lt;&gt;"W")*(O998:S998&lt;&gt;"")),
IF(COUNTA(_xlpm.x)=0,"NA",IF(MIN(_xlpm.x)=MAX(_xlpm.x),MIN(_xlpm.x),"review"))
)</f>
        <v>52</v>
      </c>
    </row>
    <row r="999" spans="1:22" ht="15.75" hidden="1" customHeight="1" x14ac:dyDescent="0.25">
      <c r="A999" s="7" t="s">
        <v>194</v>
      </c>
      <c r="B999" s="8">
        <v>8</v>
      </c>
      <c r="C999" s="8" t="s">
        <v>195</v>
      </c>
      <c r="D999" s="9"/>
      <c r="E999" s="7" t="s">
        <v>25</v>
      </c>
      <c r="F999" s="7" t="s">
        <v>196</v>
      </c>
      <c r="G999" s="7" t="s">
        <v>197</v>
      </c>
      <c r="H999" s="7">
        <v>1980</v>
      </c>
      <c r="I999" s="7">
        <v>10</v>
      </c>
      <c r="K999" s="7">
        <v>7</v>
      </c>
      <c r="M999" s="7">
        <v>3</v>
      </c>
      <c r="N999" s="7">
        <v>14</v>
      </c>
      <c r="O999" s="7">
        <v>42</v>
      </c>
      <c r="T999" s="12"/>
      <c r="V999" cm="1">
        <f t="array" ref="V999">_xlfn.LET(
_xlpm.x,_xlfn._xlws.FILTER(O999:S999,(O999:S999&lt;&gt;"R")*(O999:S999&lt;&gt;"NA")*(O999:S999&lt;&gt;"W")*(O999:S999&lt;&gt;"")),
IF(COUNTA(_xlpm.x)=0,"NA",IF(MIN(_xlpm.x)=MAX(_xlpm.x),MIN(_xlpm.x),"review"))
)</f>
        <v>42</v>
      </c>
    </row>
    <row r="1000" spans="1:22" ht="15.75" hidden="1" customHeight="1" x14ac:dyDescent="0.25">
      <c r="A1000" s="7" t="s">
        <v>194</v>
      </c>
      <c r="B1000" s="8">
        <v>8</v>
      </c>
      <c r="C1000" s="8" t="s">
        <v>195</v>
      </c>
      <c r="D1000" s="9"/>
      <c r="E1000" s="7" t="s">
        <v>25</v>
      </c>
      <c r="F1000" s="7" t="s">
        <v>196</v>
      </c>
      <c r="G1000" s="7" t="s">
        <v>197</v>
      </c>
      <c r="H1000" s="7">
        <v>1980</v>
      </c>
      <c r="I1000" s="7">
        <v>10</v>
      </c>
      <c r="K1000" s="7">
        <v>7</v>
      </c>
      <c r="M1000" s="7">
        <v>3</v>
      </c>
      <c r="N1000" s="7">
        <v>15</v>
      </c>
      <c r="O1000" s="7">
        <v>42</v>
      </c>
      <c r="T1000" s="12"/>
      <c r="V1000" cm="1">
        <f t="array" ref="V1000">_xlfn.LET(
_xlpm.x,_xlfn._xlws.FILTER(O1000:S1000,(O1000:S1000&lt;&gt;"R")*(O1000:S1000&lt;&gt;"NA")*(O1000:S1000&lt;&gt;"W")*(O1000:S1000&lt;&gt;"")),
IF(COUNTA(_xlpm.x)=0,"NA",IF(MIN(_xlpm.x)=MAX(_xlpm.x),MIN(_xlpm.x),"review"))
)</f>
        <v>42</v>
      </c>
    </row>
    <row r="1001" spans="1:22" ht="15.75" hidden="1" customHeight="1" x14ac:dyDescent="0.25">
      <c r="A1001" s="7" t="s">
        <v>194</v>
      </c>
      <c r="B1001" s="8">
        <v>8</v>
      </c>
      <c r="C1001" s="8" t="s">
        <v>195</v>
      </c>
      <c r="D1001" s="9"/>
      <c r="E1001" s="7" t="s">
        <v>25</v>
      </c>
      <c r="F1001" s="7" t="s">
        <v>196</v>
      </c>
      <c r="G1001" s="7" t="s">
        <v>197</v>
      </c>
      <c r="H1001" s="7">
        <v>1980</v>
      </c>
      <c r="I1001" s="7">
        <v>10</v>
      </c>
      <c r="K1001" s="7">
        <v>7</v>
      </c>
      <c r="M1001" s="7">
        <v>3</v>
      </c>
      <c r="N1001" s="7">
        <v>16</v>
      </c>
      <c r="O1001" s="7">
        <v>52</v>
      </c>
      <c r="T1001" s="12"/>
      <c r="V1001" cm="1">
        <f t="array" ref="V1001">_xlfn.LET(
_xlpm.x,_xlfn._xlws.FILTER(O1001:S1001,(O1001:S1001&lt;&gt;"R")*(O1001:S1001&lt;&gt;"NA")*(O1001:S1001&lt;&gt;"W")*(O1001:S1001&lt;&gt;"")),
IF(COUNTA(_xlpm.x)=0,"NA",IF(MIN(_xlpm.x)=MAX(_xlpm.x),MIN(_xlpm.x),"review"))
)</f>
        <v>52</v>
      </c>
    </row>
    <row r="1002" spans="1:22" ht="15.75" hidden="1" customHeight="1" x14ac:dyDescent="0.25">
      <c r="A1002" s="7" t="s">
        <v>194</v>
      </c>
      <c r="B1002" s="8">
        <v>8</v>
      </c>
      <c r="C1002" s="8" t="s">
        <v>195</v>
      </c>
      <c r="D1002" s="9"/>
      <c r="E1002" s="7" t="s">
        <v>25</v>
      </c>
      <c r="F1002" s="7" t="s">
        <v>196</v>
      </c>
      <c r="G1002" s="7" t="s">
        <v>197</v>
      </c>
      <c r="H1002" s="7">
        <v>1980</v>
      </c>
      <c r="I1002" s="7">
        <v>10</v>
      </c>
      <c r="K1002" s="7">
        <v>7</v>
      </c>
      <c r="M1002" s="7">
        <v>3</v>
      </c>
      <c r="N1002" s="7">
        <v>17</v>
      </c>
      <c r="O1002" s="7">
        <v>63</v>
      </c>
      <c r="T1002" s="12"/>
      <c r="V1002" cm="1">
        <f t="array" ref="V1002">_xlfn.LET(
_xlpm.x,_xlfn._xlws.FILTER(O1002:S1002,(O1002:S1002&lt;&gt;"R")*(O1002:S1002&lt;&gt;"NA")*(O1002:S1002&lt;&gt;"W")*(O1002:S1002&lt;&gt;"")),
IF(COUNTA(_xlpm.x)=0,"NA",IF(MIN(_xlpm.x)=MAX(_xlpm.x),MIN(_xlpm.x),"review"))
)</f>
        <v>63</v>
      </c>
    </row>
    <row r="1003" spans="1:22" ht="15.75" hidden="1" customHeight="1" x14ac:dyDescent="0.25">
      <c r="A1003" s="7" t="s">
        <v>194</v>
      </c>
      <c r="B1003" s="8">
        <v>8</v>
      </c>
      <c r="C1003" s="8" t="s">
        <v>195</v>
      </c>
      <c r="D1003" s="9"/>
      <c r="E1003" s="7" t="s">
        <v>25</v>
      </c>
      <c r="F1003" s="7" t="s">
        <v>196</v>
      </c>
      <c r="G1003" s="7" t="s">
        <v>197</v>
      </c>
      <c r="H1003" s="7">
        <v>1980</v>
      </c>
      <c r="I1003" s="7">
        <v>10</v>
      </c>
      <c r="K1003" s="7">
        <v>7</v>
      </c>
      <c r="M1003" s="7">
        <v>3</v>
      </c>
      <c r="N1003" s="7">
        <v>18</v>
      </c>
      <c r="O1003" s="7">
        <v>52</v>
      </c>
      <c r="T1003" s="12"/>
      <c r="V1003" cm="1">
        <f t="array" ref="V1003">_xlfn.LET(
_xlpm.x,_xlfn._xlws.FILTER(O1003:S1003,(O1003:S1003&lt;&gt;"R")*(O1003:S1003&lt;&gt;"NA")*(O1003:S1003&lt;&gt;"W")*(O1003:S1003&lt;&gt;"")),
IF(COUNTA(_xlpm.x)=0,"NA",IF(MIN(_xlpm.x)=MAX(_xlpm.x),MIN(_xlpm.x),"review"))
)</f>
        <v>52</v>
      </c>
    </row>
    <row r="1004" spans="1:22" ht="15.75" hidden="1" customHeight="1" x14ac:dyDescent="0.25">
      <c r="A1004" s="7" t="s">
        <v>194</v>
      </c>
      <c r="B1004" s="8">
        <v>8</v>
      </c>
      <c r="C1004" s="8" t="s">
        <v>195</v>
      </c>
      <c r="D1004" s="9"/>
      <c r="E1004" s="7" t="s">
        <v>25</v>
      </c>
      <c r="F1004" s="7" t="s">
        <v>196</v>
      </c>
      <c r="G1004" s="7" t="s">
        <v>197</v>
      </c>
      <c r="H1004" s="7">
        <v>1980</v>
      </c>
      <c r="I1004" s="7">
        <v>10</v>
      </c>
      <c r="K1004" s="7">
        <v>7</v>
      </c>
      <c r="M1004" s="7">
        <v>3</v>
      </c>
      <c r="N1004" s="7">
        <v>19</v>
      </c>
      <c r="T1004" s="12" t="s">
        <v>218</v>
      </c>
      <c r="V1004" t="s">
        <v>29</v>
      </c>
    </row>
    <row r="1005" spans="1:22" ht="15.75" hidden="1" customHeight="1" x14ac:dyDescent="0.25">
      <c r="A1005" s="7" t="s">
        <v>194</v>
      </c>
      <c r="B1005" s="8">
        <v>8</v>
      </c>
      <c r="C1005" s="8" t="s">
        <v>195</v>
      </c>
      <c r="D1005" s="9"/>
      <c r="E1005" s="7" t="s">
        <v>25</v>
      </c>
      <c r="F1005" s="7" t="s">
        <v>196</v>
      </c>
      <c r="G1005" s="7" t="s">
        <v>197</v>
      </c>
      <c r="H1005" s="7">
        <v>1980</v>
      </c>
      <c r="I1005" s="7">
        <v>10</v>
      </c>
      <c r="K1005" s="7">
        <v>7</v>
      </c>
      <c r="M1005" s="7">
        <v>3</v>
      </c>
      <c r="N1005" s="7">
        <v>20</v>
      </c>
      <c r="O1005" s="7">
        <v>52</v>
      </c>
      <c r="T1005" s="12"/>
      <c r="U1005" s="7" t="s">
        <v>219</v>
      </c>
      <c r="V1005" cm="1">
        <f t="array" ref="V1005">_xlfn.LET(
_xlpm.x,_xlfn._xlws.FILTER(O1005:S1005,(O1005:S1005&lt;&gt;"R")*(O1005:S1005&lt;&gt;"NA")*(O1005:S1005&lt;&gt;"W")*(O1005:S1005&lt;&gt;"")),
IF(COUNTA(_xlpm.x)=0,"NA",IF(MIN(_xlpm.x)=MAX(_xlpm.x),MIN(_xlpm.x),"review"))
)</f>
        <v>52</v>
      </c>
    </row>
    <row r="1006" spans="1:22" ht="15.75" hidden="1" customHeight="1" x14ac:dyDescent="0.25">
      <c r="A1006" s="7" t="s">
        <v>194</v>
      </c>
      <c r="B1006" s="8">
        <v>8</v>
      </c>
      <c r="C1006" s="8" t="s">
        <v>195</v>
      </c>
      <c r="D1006" s="9"/>
      <c r="E1006" s="7" t="s">
        <v>25</v>
      </c>
      <c r="F1006" s="7" t="s">
        <v>196</v>
      </c>
      <c r="G1006" s="7" t="s">
        <v>197</v>
      </c>
      <c r="H1006" s="7">
        <v>1980</v>
      </c>
      <c r="I1006" s="7">
        <v>10</v>
      </c>
      <c r="K1006" s="7">
        <v>7</v>
      </c>
      <c r="M1006" s="7">
        <v>3</v>
      </c>
      <c r="N1006" s="7">
        <v>21</v>
      </c>
      <c r="O1006" s="7">
        <v>52</v>
      </c>
      <c r="T1006" s="12"/>
      <c r="V1006" cm="1">
        <f t="array" ref="V1006">_xlfn.LET(
_xlpm.x,_xlfn._xlws.FILTER(O1006:S1006,(O1006:S1006&lt;&gt;"R")*(O1006:S1006&lt;&gt;"NA")*(O1006:S1006&lt;&gt;"W")*(O1006:S1006&lt;&gt;"")),
IF(COUNTA(_xlpm.x)=0,"NA",IF(MIN(_xlpm.x)=MAX(_xlpm.x),MIN(_xlpm.x),"review"))
)</f>
        <v>52</v>
      </c>
    </row>
    <row r="1007" spans="1:22" ht="15.75" hidden="1" customHeight="1" x14ac:dyDescent="0.25">
      <c r="A1007" s="7" t="s">
        <v>194</v>
      </c>
      <c r="B1007" s="8">
        <v>8</v>
      </c>
      <c r="C1007" s="8" t="s">
        <v>195</v>
      </c>
      <c r="D1007" s="9"/>
      <c r="E1007" s="7" t="s">
        <v>25</v>
      </c>
      <c r="F1007" s="7" t="s">
        <v>196</v>
      </c>
      <c r="G1007" s="7" t="s">
        <v>197</v>
      </c>
      <c r="H1007" s="7">
        <v>1980</v>
      </c>
      <c r="I1007" s="7">
        <v>10</v>
      </c>
      <c r="K1007" s="7">
        <v>7</v>
      </c>
      <c r="M1007" s="7">
        <v>3</v>
      </c>
      <c r="N1007" s="7">
        <v>22</v>
      </c>
      <c r="O1007" s="7" t="s">
        <v>28</v>
      </c>
      <c r="T1007" s="12"/>
      <c r="V1007" t="s">
        <v>29</v>
      </c>
    </row>
    <row r="1008" spans="1:22" ht="15.75" hidden="1" customHeight="1" x14ac:dyDescent="0.25">
      <c r="A1008" s="7" t="s">
        <v>194</v>
      </c>
      <c r="B1008" s="8">
        <v>8</v>
      </c>
      <c r="C1008" s="8" t="s">
        <v>195</v>
      </c>
      <c r="D1008" s="9"/>
      <c r="E1008" s="7" t="s">
        <v>25</v>
      </c>
      <c r="F1008" s="7" t="s">
        <v>196</v>
      </c>
      <c r="G1008" s="7" t="s">
        <v>197</v>
      </c>
      <c r="H1008" s="7">
        <v>1980</v>
      </c>
      <c r="I1008" s="7">
        <v>10</v>
      </c>
      <c r="K1008" s="7">
        <v>7</v>
      </c>
      <c r="M1008" s="7">
        <v>3</v>
      </c>
      <c r="N1008" s="7">
        <v>23</v>
      </c>
      <c r="O1008" s="7" t="s">
        <v>28</v>
      </c>
      <c r="T1008" s="12"/>
      <c r="V1008" t="s">
        <v>29</v>
      </c>
    </row>
    <row r="1009" spans="1:22" ht="15.75" hidden="1" customHeight="1" x14ac:dyDescent="0.25">
      <c r="A1009" s="7" t="s">
        <v>194</v>
      </c>
      <c r="B1009" s="8">
        <v>8</v>
      </c>
      <c r="C1009" s="8" t="s">
        <v>195</v>
      </c>
      <c r="D1009" s="9"/>
      <c r="E1009" s="7" t="s">
        <v>25</v>
      </c>
      <c r="F1009" s="7" t="s">
        <v>196</v>
      </c>
      <c r="G1009" s="7" t="s">
        <v>197</v>
      </c>
      <c r="H1009" s="7">
        <v>1980</v>
      </c>
      <c r="I1009" s="7">
        <v>10</v>
      </c>
      <c r="K1009" s="7">
        <v>7</v>
      </c>
      <c r="M1009" s="7">
        <v>3</v>
      </c>
      <c r="N1009" s="7">
        <v>24</v>
      </c>
      <c r="O1009" s="7">
        <v>42</v>
      </c>
      <c r="T1009" s="12"/>
      <c r="V1009" cm="1">
        <f t="array" ref="V1009">_xlfn.LET(
_xlpm.x,_xlfn._xlws.FILTER(O1009:S1009,(O1009:S1009&lt;&gt;"R")*(O1009:S1009&lt;&gt;"NA")*(O1009:S1009&lt;&gt;"W")*(O1009:S1009&lt;&gt;"")),
IF(COUNTA(_xlpm.x)=0,"NA",IF(MIN(_xlpm.x)=MAX(_xlpm.x),MIN(_xlpm.x),"review"))
)</f>
        <v>42</v>
      </c>
    </row>
    <row r="1010" spans="1:22" ht="15.75" hidden="1" customHeight="1" x14ac:dyDescent="0.25">
      <c r="A1010" s="7" t="s">
        <v>194</v>
      </c>
      <c r="B1010" s="8">
        <v>8</v>
      </c>
      <c r="C1010" s="8" t="s">
        <v>195</v>
      </c>
      <c r="D1010" s="9"/>
      <c r="E1010" s="7" t="s">
        <v>25</v>
      </c>
      <c r="F1010" s="7" t="s">
        <v>196</v>
      </c>
      <c r="G1010" s="7" t="s">
        <v>197</v>
      </c>
      <c r="H1010" s="7">
        <v>1980</v>
      </c>
      <c r="I1010" s="7">
        <v>10</v>
      </c>
      <c r="K1010" s="7">
        <v>7</v>
      </c>
      <c r="M1010" s="7">
        <v>3</v>
      </c>
      <c r="N1010" s="7">
        <v>25</v>
      </c>
      <c r="O1010" s="7">
        <v>42</v>
      </c>
      <c r="T1010" s="12"/>
      <c r="V1010" cm="1">
        <f t="array" ref="V1010">_xlfn.LET(
_xlpm.x,_xlfn._xlws.FILTER(O1010:S1010,(O1010:S1010&lt;&gt;"R")*(O1010:S1010&lt;&gt;"NA")*(O1010:S1010&lt;&gt;"W")*(O1010:S1010&lt;&gt;"")),
IF(COUNTA(_xlpm.x)=0,"NA",IF(MIN(_xlpm.x)=MAX(_xlpm.x),MIN(_xlpm.x),"review"))
)</f>
        <v>42</v>
      </c>
    </row>
    <row r="1011" spans="1:22" ht="15.75" hidden="1" customHeight="1" x14ac:dyDescent="0.25">
      <c r="A1011" s="7" t="s">
        <v>194</v>
      </c>
      <c r="B1011" s="8">
        <v>8</v>
      </c>
      <c r="C1011" s="8" t="s">
        <v>195</v>
      </c>
      <c r="D1011" s="9"/>
      <c r="E1011" s="7" t="s">
        <v>25</v>
      </c>
      <c r="F1011" s="7" t="s">
        <v>196</v>
      </c>
      <c r="G1011" s="7" t="s">
        <v>197</v>
      </c>
      <c r="H1011" s="7">
        <v>1980</v>
      </c>
      <c r="I1011" s="7">
        <v>10</v>
      </c>
      <c r="K1011" s="7">
        <v>7</v>
      </c>
      <c r="M1011" s="7">
        <v>3</v>
      </c>
      <c r="N1011" s="7">
        <v>26</v>
      </c>
      <c r="O1011" s="7">
        <v>42</v>
      </c>
      <c r="T1011" s="12"/>
      <c r="V1011" cm="1">
        <f t="array" ref="V1011">_xlfn.LET(
_xlpm.x,_xlfn._xlws.FILTER(O1011:S1011,(O1011:S1011&lt;&gt;"R")*(O1011:S1011&lt;&gt;"NA")*(O1011:S1011&lt;&gt;"W")*(O1011:S1011&lt;&gt;"")),
IF(COUNTA(_xlpm.x)=0,"NA",IF(MIN(_xlpm.x)=MAX(_xlpm.x),MIN(_xlpm.x),"review"))
)</f>
        <v>42</v>
      </c>
    </row>
    <row r="1012" spans="1:22" ht="15.75" hidden="1" customHeight="1" x14ac:dyDescent="0.25">
      <c r="A1012" s="7" t="s">
        <v>194</v>
      </c>
      <c r="B1012" s="8">
        <v>8</v>
      </c>
      <c r="C1012" s="8" t="s">
        <v>195</v>
      </c>
      <c r="D1012" s="9"/>
      <c r="E1012" s="7" t="s">
        <v>25</v>
      </c>
      <c r="F1012" s="7" t="s">
        <v>196</v>
      </c>
      <c r="G1012" s="7" t="s">
        <v>197</v>
      </c>
      <c r="H1012" s="7">
        <v>1980</v>
      </c>
      <c r="I1012" s="7">
        <v>10</v>
      </c>
      <c r="K1012" s="7">
        <v>7</v>
      </c>
      <c r="M1012" s="7">
        <v>3</v>
      </c>
      <c r="N1012" s="7">
        <v>27</v>
      </c>
      <c r="O1012" s="7">
        <v>52</v>
      </c>
      <c r="T1012" s="12"/>
      <c r="V1012" cm="1">
        <f t="array" ref="V1012">_xlfn.LET(
_xlpm.x,_xlfn._xlws.FILTER(O1012:S1012,(O1012:S1012&lt;&gt;"R")*(O1012:S1012&lt;&gt;"NA")*(O1012:S1012&lt;&gt;"W")*(O1012:S1012&lt;&gt;"")),
IF(COUNTA(_xlpm.x)=0,"NA",IF(MIN(_xlpm.x)=MAX(_xlpm.x),MIN(_xlpm.x),"review"))
)</f>
        <v>52</v>
      </c>
    </row>
    <row r="1013" spans="1:22" ht="15.75" hidden="1" customHeight="1" x14ac:dyDescent="0.25">
      <c r="A1013" s="7" t="s">
        <v>194</v>
      </c>
      <c r="B1013" s="8">
        <v>8</v>
      </c>
      <c r="C1013" s="8" t="s">
        <v>195</v>
      </c>
      <c r="D1013" s="9"/>
      <c r="E1013" s="7" t="s">
        <v>25</v>
      </c>
      <c r="F1013" s="7" t="s">
        <v>196</v>
      </c>
      <c r="G1013" s="7" t="s">
        <v>197</v>
      </c>
      <c r="H1013" s="7">
        <v>1980</v>
      </c>
      <c r="I1013" s="7">
        <v>10</v>
      </c>
      <c r="K1013" s="7">
        <v>7</v>
      </c>
      <c r="M1013" s="7">
        <v>3</v>
      </c>
      <c r="N1013" s="7">
        <v>28</v>
      </c>
      <c r="O1013" s="7">
        <v>52</v>
      </c>
      <c r="T1013" s="12"/>
      <c r="V1013" cm="1">
        <f t="array" ref="V1013">_xlfn.LET(
_xlpm.x,_xlfn._xlws.FILTER(O1013:S1013,(O1013:S1013&lt;&gt;"R")*(O1013:S1013&lt;&gt;"NA")*(O1013:S1013&lt;&gt;"W")*(O1013:S1013&lt;&gt;"")),
IF(COUNTA(_xlpm.x)=0,"NA",IF(MIN(_xlpm.x)=MAX(_xlpm.x),MIN(_xlpm.x),"review"))
)</f>
        <v>52</v>
      </c>
    </row>
    <row r="1014" spans="1:22" ht="15.75" hidden="1" customHeight="1" x14ac:dyDescent="0.25">
      <c r="A1014" s="7" t="s">
        <v>194</v>
      </c>
      <c r="B1014" s="8">
        <v>8</v>
      </c>
      <c r="C1014" s="8" t="s">
        <v>195</v>
      </c>
      <c r="D1014" s="9"/>
      <c r="E1014" s="7" t="s">
        <v>25</v>
      </c>
      <c r="F1014" s="7" t="s">
        <v>196</v>
      </c>
      <c r="G1014" s="7" t="s">
        <v>197</v>
      </c>
      <c r="H1014" s="7">
        <v>1980</v>
      </c>
      <c r="I1014" s="7">
        <v>10</v>
      </c>
      <c r="K1014" s="7">
        <v>7</v>
      </c>
      <c r="M1014" s="7">
        <v>3</v>
      </c>
      <c r="N1014" s="7">
        <v>29</v>
      </c>
      <c r="O1014" s="7" t="s">
        <v>28</v>
      </c>
      <c r="T1014" s="12"/>
      <c r="V1014" t="s">
        <v>29</v>
      </c>
    </row>
    <row r="1015" spans="1:22" ht="15.75" hidden="1" customHeight="1" x14ac:dyDescent="0.25">
      <c r="A1015" s="7" t="s">
        <v>194</v>
      </c>
      <c r="B1015" s="8">
        <v>8</v>
      </c>
      <c r="C1015" s="8" t="s">
        <v>195</v>
      </c>
      <c r="D1015" s="9"/>
      <c r="E1015" s="7" t="s">
        <v>25</v>
      </c>
      <c r="F1015" s="7" t="s">
        <v>196</v>
      </c>
      <c r="G1015" s="7" t="s">
        <v>197</v>
      </c>
      <c r="H1015" s="7">
        <v>1980</v>
      </c>
      <c r="I1015" s="7">
        <v>10</v>
      </c>
      <c r="K1015" s="7">
        <v>7</v>
      </c>
      <c r="M1015" s="7">
        <v>3</v>
      </c>
      <c r="N1015" s="7">
        <v>30</v>
      </c>
      <c r="O1015" s="7">
        <v>42</v>
      </c>
      <c r="T1015" s="12"/>
      <c r="V1015" cm="1">
        <f t="array" ref="V1015">_xlfn.LET(
_xlpm.x,_xlfn._xlws.FILTER(O1015:S1015,(O1015:S1015&lt;&gt;"R")*(O1015:S1015&lt;&gt;"NA")*(O1015:S1015&lt;&gt;"W")*(O1015:S1015&lt;&gt;"")),
IF(COUNTA(_xlpm.x)=0,"NA",IF(MIN(_xlpm.x)=MAX(_xlpm.x),MIN(_xlpm.x),"review"))
)</f>
        <v>42</v>
      </c>
    </row>
    <row r="1016" spans="1:22" ht="15.75" hidden="1" customHeight="1" x14ac:dyDescent="0.25">
      <c r="A1016" s="7" t="s">
        <v>194</v>
      </c>
      <c r="B1016" s="8">
        <v>8</v>
      </c>
      <c r="C1016" s="8" t="s">
        <v>195</v>
      </c>
      <c r="D1016" s="9"/>
      <c r="E1016" s="7" t="s">
        <v>25</v>
      </c>
      <c r="F1016" s="7" t="s">
        <v>196</v>
      </c>
      <c r="G1016" s="7" t="s">
        <v>197</v>
      </c>
      <c r="H1016" s="7">
        <v>1980</v>
      </c>
      <c r="I1016" s="7">
        <v>10</v>
      </c>
      <c r="K1016" s="7">
        <v>7</v>
      </c>
      <c r="M1016" s="7">
        <v>3</v>
      </c>
      <c r="N1016" s="7">
        <v>31</v>
      </c>
      <c r="O1016" s="7">
        <v>42</v>
      </c>
      <c r="T1016" s="12"/>
      <c r="V1016" cm="1">
        <f t="array" ref="V1016">_xlfn.LET(
_xlpm.x,_xlfn._xlws.FILTER(O1016:S1016,(O1016:S1016&lt;&gt;"R")*(O1016:S1016&lt;&gt;"NA")*(O1016:S1016&lt;&gt;"W")*(O1016:S1016&lt;&gt;"")),
IF(COUNTA(_xlpm.x)=0,"NA",IF(MIN(_xlpm.x)=MAX(_xlpm.x),MIN(_xlpm.x),"review"))
)</f>
        <v>42</v>
      </c>
    </row>
    <row r="1017" spans="1:22" ht="15.75" hidden="1" customHeight="1" x14ac:dyDescent="0.25">
      <c r="A1017" s="7" t="s">
        <v>194</v>
      </c>
      <c r="B1017" s="8">
        <v>8</v>
      </c>
      <c r="C1017" s="8" t="s">
        <v>195</v>
      </c>
      <c r="D1017" s="9"/>
      <c r="E1017" s="7" t="s">
        <v>25</v>
      </c>
      <c r="F1017" s="7" t="s">
        <v>196</v>
      </c>
      <c r="G1017" s="7" t="s">
        <v>197</v>
      </c>
      <c r="H1017" s="7">
        <v>1980</v>
      </c>
      <c r="I1017" s="7">
        <v>10</v>
      </c>
      <c r="K1017" s="7">
        <v>7</v>
      </c>
      <c r="M1017" s="7">
        <v>3</v>
      </c>
      <c r="N1017" s="7">
        <v>32</v>
      </c>
      <c r="O1017" s="7">
        <v>42</v>
      </c>
      <c r="T1017" s="12"/>
      <c r="V1017" cm="1">
        <f t="array" ref="V1017">_xlfn.LET(
_xlpm.x,_xlfn._xlws.FILTER(O1017:S1017,(O1017:S1017&lt;&gt;"R")*(O1017:S1017&lt;&gt;"NA")*(O1017:S1017&lt;&gt;"W")*(O1017:S1017&lt;&gt;"")),
IF(COUNTA(_xlpm.x)=0,"NA",IF(MIN(_xlpm.x)=MAX(_xlpm.x),MIN(_xlpm.x),"review"))
)</f>
        <v>42</v>
      </c>
    </row>
    <row r="1018" spans="1:22" ht="15.75" hidden="1" customHeight="1" x14ac:dyDescent="0.25">
      <c r="A1018" s="7" t="s">
        <v>194</v>
      </c>
      <c r="B1018" s="8">
        <v>8</v>
      </c>
      <c r="C1018" s="8" t="s">
        <v>195</v>
      </c>
      <c r="D1018" s="9"/>
      <c r="E1018" s="7" t="s">
        <v>25</v>
      </c>
      <c r="F1018" s="7" t="s">
        <v>196</v>
      </c>
      <c r="G1018" s="7" t="s">
        <v>197</v>
      </c>
      <c r="H1018" s="7">
        <v>1980</v>
      </c>
      <c r="I1018" s="7">
        <v>10</v>
      </c>
      <c r="K1018" s="7">
        <v>7</v>
      </c>
      <c r="M1018" s="7">
        <v>3</v>
      </c>
      <c r="N1018" s="7">
        <v>33</v>
      </c>
      <c r="O1018" s="7">
        <v>42</v>
      </c>
      <c r="T1018" s="12"/>
      <c r="V1018" cm="1">
        <f t="array" ref="V1018">_xlfn.LET(
_xlpm.x,_xlfn._xlws.FILTER(O1018:S1018,(O1018:S1018&lt;&gt;"R")*(O1018:S1018&lt;&gt;"NA")*(O1018:S1018&lt;&gt;"W")*(O1018:S1018&lt;&gt;"")),
IF(COUNTA(_xlpm.x)=0,"NA",IF(MIN(_xlpm.x)=MAX(_xlpm.x),MIN(_xlpm.x),"review"))
)</f>
        <v>42</v>
      </c>
    </row>
    <row r="1019" spans="1:22" ht="15.75" hidden="1" customHeight="1" x14ac:dyDescent="0.25">
      <c r="A1019" s="7" t="s">
        <v>194</v>
      </c>
      <c r="B1019" s="8">
        <v>8</v>
      </c>
      <c r="C1019" s="8" t="s">
        <v>195</v>
      </c>
      <c r="D1019" s="9"/>
      <c r="E1019" s="7" t="s">
        <v>25</v>
      </c>
      <c r="F1019" s="7" t="s">
        <v>196</v>
      </c>
      <c r="G1019" s="7" t="s">
        <v>197</v>
      </c>
      <c r="H1019" s="7">
        <v>1980</v>
      </c>
      <c r="I1019" s="7">
        <v>10</v>
      </c>
      <c r="K1019" s="7">
        <v>7</v>
      </c>
      <c r="M1019" s="7">
        <v>3</v>
      </c>
      <c r="N1019" s="7">
        <v>34</v>
      </c>
      <c r="O1019" s="7">
        <v>42</v>
      </c>
      <c r="T1019" s="12"/>
      <c r="V1019" cm="1">
        <f t="array" ref="V1019">_xlfn.LET(
_xlpm.x,_xlfn._xlws.FILTER(O1019:S1019,(O1019:S1019&lt;&gt;"R")*(O1019:S1019&lt;&gt;"NA")*(O1019:S1019&lt;&gt;"W")*(O1019:S1019&lt;&gt;"")),
IF(COUNTA(_xlpm.x)=0,"NA",IF(MIN(_xlpm.x)=MAX(_xlpm.x),MIN(_xlpm.x),"review"))
)</f>
        <v>42</v>
      </c>
    </row>
    <row r="1020" spans="1:22" ht="15.75" hidden="1" customHeight="1" x14ac:dyDescent="0.25">
      <c r="A1020" s="7" t="s">
        <v>194</v>
      </c>
      <c r="B1020" s="8">
        <v>8</v>
      </c>
      <c r="C1020" s="8" t="s">
        <v>195</v>
      </c>
      <c r="D1020" s="9"/>
      <c r="E1020" s="7" t="s">
        <v>25</v>
      </c>
      <c r="F1020" s="7" t="s">
        <v>196</v>
      </c>
      <c r="G1020" s="7" t="s">
        <v>197</v>
      </c>
      <c r="H1020" s="7">
        <v>1980</v>
      </c>
      <c r="I1020" s="7">
        <v>10</v>
      </c>
      <c r="K1020" s="7">
        <v>7</v>
      </c>
      <c r="M1020" s="7">
        <v>3</v>
      </c>
      <c r="N1020" s="7">
        <v>35</v>
      </c>
      <c r="O1020" s="7" t="s">
        <v>28</v>
      </c>
      <c r="T1020" s="12"/>
      <c r="V1020" t="s">
        <v>29</v>
      </c>
    </row>
    <row r="1021" spans="1:22" ht="15.75" hidden="1" customHeight="1" x14ac:dyDescent="0.25">
      <c r="A1021" s="7" t="s">
        <v>194</v>
      </c>
      <c r="B1021" s="8">
        <v>8</v>
      </c>
      <c r="C1021" s="8" t="s">
        <v>195</v>
      </c>
      <c r="D1021" s="9"/>
      <c r="E1021" s="7" t="s">
        <v>25</v>
      </c>
      <c r="F1021" s="7" t="s">
        <v>196</v>
      </c>
      <c r="G1021" s="7" t="s">
        <v>197</v>
      </c>
      <c r="H1021" s="7">
        <v>1980</v>
      </c>
      <c r="I1021" s="7">
        <v>10</v>
      </c>
      <c r="K1021" s="7">
        <v>7</v>
      </c>
      <c r="M1021" s="7">
        <v>3</v>
      </c>
      <c r="N1021" s="7">
        <v>36</v>
      </c>
      <c r="O1021" s="7">
        <v>42</v>
      </c>
      <c r="T1021" s="12"/>
      <c r="V1021" cm="1">
        <f t="array" ref="V1021">_xlfn.LET(
_xlpm.x,_xlfn._xlws.FILTER(O1021:S1021,(O1021:S1021&lt;&gt;"R")*(O1021:S1021&lt;&gt;"NA")*(O1021:S1021&lt;&gt;"W")*(O1021:S1021&lt;&gt;"")),
IF(COUNTA(_xlpm.x)=0,"NA",IF(MIN(_xlpm.x)=MAX(_xlpm.x),MIN(_xlpm.x),"review"))
)</f>
        <v>42</v>
      </c>
    </row>
    <row r="1022" spans="1:22" ht="15.75" hidden="1" customHeight="1" x14ac:dyDescent="0.25">
      <c r="A1022" s="7" t="s">
        <v>194</v>
      </c>
      <c r="B1022" s="8">
        <v>8</v>
      </c>
      <c r="C1022" s="8" t="s">
        <v>195</v>
      </c>
      <c r="D1022" s="9"/>
      <c r="E1022" s="7" t="s">
        <v>25</v>
      </c>
      <c r="F1022" s="7" t="s">
        <v>196</v>
      </c>
      <c r="G1022" s="7" t="s">
        <v>197</v>
      </c>
      <c r="H1022" s="7">
        <v>1980</v>
      </c>
      <c r="I1022" s="7">
        <v>10</v>
      </c>
      <c r="K1022" s="7">
        <v>7</v>
      </c>
      <c r="M1022" s="7">
        <v>3</v>
      </c>
      <c r="N1022" s="7">
        <v>37</v>
      </c>
      <c r="O1022" s="7">
        <v>52</v>
      </c>
      <c r="T1022" s="12"/>
      <c r="V1022" cm="1">
        <f t="array" ref="V1022">_xlfn.LET(
_xlpm.x,_xlfn._xlws.FILTER(O1022:S1022,(O1022:S1022&lt;&gt;"R")*(O1022:S1022&lt;&gt;"NA")*(O1022:S1022&lt;&gt;"W")*(O1022:S1022&lt;&gt;"")),
IF(COUNTA(_xlpm.x)=0,"NA",IF(MIN(_xlpm.x)=MAX(_xlpm.x),MIN(_xlpm.x),"review"))
)</f>
        <v>52</v>
      </c>
    </row>
    <row r="1023" spans="1:22" ht="15.75" hidden="1" customHeight="1" x14ac:dyDescent="0.25">
      <c r="A1023" s="7" t="s">
        <v>194</v>
      </c>
      <c r="B1023" s="8">
        <v>8</v>
      </c>
      <c r="C1023" s="8" t="s">
        <v>195</v>
      </c>
      <c r="D1023" s="9"/>
      <c r="E1023" s="7" t="s">
        <v>25</v>
      </c>
      <c r="F1023" s="7" t="s">
        <v>196</v>
      </c>
      <c r="G1023" s="7" t="s">
        <v>197</v>
      </c>
      <c r="H1023" s="7">
        <v>1980</v>
      </c>
      <c r="I1023" s="7">
        <v>10</v>
      </c>
      <c r="K1023" s="7">
        <v>7</v>
      </c>
      <c r="M1023" s="7">
        <v>3</v>
      </c>
      <c r="N1023" s="7">
        <v>38</v>
      </c>
      <c r="O1023" s="7">
        <v>52</v>
      </c>
      <c r="T1023" s="12"/>
      <c r="V1023" cm="1">
        <f t="array" ref="V1023">_xlfn.LET(
_xlpm.x,_xlfn._xlws.FILTER(O1023:S1023,(O1023:S1023&lt;&gt;"R")*(O1023:S1023&lt;&gt;"NA")*(O1023:S1023&lt;&gt;"W")*(O1023:S1023&lt;&gt;"")),
IF(COUNTA(_xlpm.x)=0,"NA",IF(MIN(_xlpm.x)=MAX(_xlpm.x),MIN(_xlpm.x),"review"))
)</f>
        <v>52</v>
      </c>
    </row>
    <row r="1024" spans="1:22" ht="15.75" hidden="1" customHeight="1" x14ac:dyDescent="0.25">
      <c r="A1024" s="7" t="s">
        <v>194</v>
      </c>
      <c r="B1024" s="8">
        <v>8</v>
      </c>
      <c r="C1024" s="8" t="s">
        <v>195</v>
      </c>
      <c r="D1024" s="9"/>
      <c r="E1024" s="7" t="s">
        <v>25</v>
      </c>
      <c r="F1024" s="7" t="s">
        <v>196</v>
      </c>
      <c r="G1024" s="7" t="s">
        <v>197</v>
      </c>
      <c r="H1024" s="7">
        <v>1980</v>
      </c>
      <c r="I1024" s="7">
        <v>10</v>
      </c>
      <c r="K1024" s="7">
        <v>7</v>
      </c>
      <c r="M1024" s="7">
        <v>3</v>
      </c>
      <c r="N1024" s="7">
        <v>39</v>
      </c>
      <c r="O1024" s="7">
        <v>52</v>
      </c>
      <c r="T1024" s="12"/>
      <c r="V1024" cm="1">
        <f t="array" ref="V1024">_xlfn.LET(
_xlpm.x,_xlfn._xlws.FILTER(O1024:S1024,(O1024:S1024&lt;&gt;"R")*(O1024:S1024&lt;&gt;"NA")*(O1024:S1024&lt;&gt;"W")*(O1024:S1024&lt;&gt;"")),
IF(COUNTA(_xlpm.x)=0,"NA",IF(MIN(_xlpm.x)=MAX(_xlpm.x),MIN(_xlpm.x),"review"))
)</f>
        <v>52</v>
      </c>
    </row>
    <row r="1025" spans="1:22" ht="15.75" hidden="1" customHeight="1" x14ac:dyDescent="0.25">
      <c r="A1025" s="7" t="s">
        <v>194</v>
      </c>
      <c r="B1025" s="8">
        <v>8</v>
      </c>
      <c r="C1025" s="8" t="s">
        <v>195</v>
      </c>
      <c r="D1025" s="9"/>
      <c r="E1025" s="7" t="s">
        <v>25</v>
      </c>
      <c r="F1025" s="7" t="s">
        <v>196</v>
      </c>
      <c r="G1025" s="7" t="s">
        <v>197</v>
      </c>
      <c r="H1025" s="7">
        <v>1980</v>
      </c>
      <c r="I1025" s="7">
        <v>10</v>
      </c>
      <c r="K1025" s="7">
        <v>7</v>
      </c>
      <c r="M1025" s="7">
        <v>3</v>
      </c>
      <c r="N1025" s="7">
        <v>40</v>
      </c>
      <c r="O1025" s="7">
        <v>42</v>
      </c>
      <c r="T1025" s="12"/>
      <c r="V1025" cm="1">
        <f t="array" ref="V1025">_xlfn.LET(
_xlpm.x,_xlfn._xlws.FILTER(O1025:S1025,(O1025:S1025&lt;&gt;"R")*(O1025:S1025&lt;&gt;"NA")*(O1025:S1025&lt;&gt;"W")*(O1025:S1025&lt;&gt;"")),
IF(COUNTA(_xlpm.x)=0,"NA",IF(MIN(_xlpm.x)=MAX(_xlpm.x),MIN(_xlpm.x),"review"))
)</f>
        <v>42</v>
      </c>
    </row>
    <row r="1026" spans="1:22" ht="15.75" hidden="1" customHeight="1" x14ac:dyDescent="0.25">
      <c r="A1026" s="7" t="s">
        <v>194</v>
      </c>
      <c r="B1026" s="8">
        <v>8</v>
      </c>
      <c r="C1026" s="8" t="s">
        <v>195</v>
      </c>
      <c r="D1026" s="9"/>
      <c r="E1026" s="7" t="s">
        <v>25</v>
      </c>
      <c r="F1026" s="7" t="s">
        <v>196</v>
      </c>
      <c r="G1026" s="7" t="s">
        <v>197</v>
      </c>
      <c r="H1026" s="7">
        <v>1980</v>
      </c>
      <c r="I1026" s="7">
        <v>10</v>
      </c>
      <c r="K1026" s="7">
        <v>7</v>
      </c>
      <c r="M1026" s="7">
        <v>3</v>
      </c>
      <c r="N1026" s="7">
        <v>41</v>
      </c>
      <c r="O1026" s="7">
        <v>42</v>
      </c>
      <c r="T1026" s="12"/>
      <c r="V1026" cm="1">
        <f t="array" ref="V1026">_xlfn.LET(
_xlpm.x,_xlfn._xlws.FILTER(O1026:S1026,(O1026:S1026&lt;&gt;"R")*(O1026:S1026&lt;&gt;"NA")*(O1026:S1026&lt;&gt;"W")*(O1026:S1026&lt;&gt;"")),
IF(COUNTA(_xlpm.x)=0,"NA",IF(MIN(_xlpm.x)=MAX(_xlpm.x),MIN(_xlpm.x),"review"))
)</f>
        <v>42</v>
      </c>
    </row>
    <row r="1027" spans="1:22" ht="15.75" hidden="1" customHeight="1" x14ac:dyDescent="0.25">
      <c r="A1027" s="7" t="s">
        <v>194</v>
      </c>
      <c r="B1027" s="8">
        <v>8</v>
      </c>
      <c r="C1027" s="8" t="s">
        <v>195</v>
      </c>
      <c r="D1027" s="9"/>
      <c r="E1027" s="7" t="s">
        <v>25</v>
      </c>
      <c r="F1027" s="7" t="s">
        <v>196</v>
      </c>
      <c r="G1027" s="7" t="s">
        <v>197</v>
      </c>
      <c r="H1027" s="7">
        <v>1980</v>
      </c>
      <c r="I1027" s="7">
        <v>10</v>
      </c>
      <c r="K1027" s="7">
        <v>7</v>
      </c>
      <c r="M1027" s="7">
        <v>3</v>
      </c>
      <c r="N1027" s="7">
        <v>42</v>
      </c>
      <c r="O1027" s="7">
        <v>52</v>
      </c>
      <c r="T1027" s="12"/>
      <c r="V1027" cm="1">
        <f t="array" ref="V1027">_xlfn.LET(
_xlpm.x,_xlfn._xlws.FILTER(O1027:S1027,(O1027:S1027&lt;&gt;"R")*(O1027:S1027&lt;&gt;"NA")*(O1027:S1027&lt;&gt;"W")*(O1027:S1027&lt;&gt;"")),
IF(COUNTA(_xlpm.x)=0,"NA",IF(MIN(_xlpm.x)=MAX(_xlpm.x),MIN(_xlpm.x),"review"))
)</f>
        <v>52</v>
      </c>
    </row>
    <row r="1028" spans="1:22" ht="15.75" hidden="1" customHeight="1" x14ac:dyDescent="0.25">
      <c r="A1028" s="7" t="s">
        <v>194</v>
      </c>
      <c r="B1028" s="8">
        <v>8</v>
      </c>
      <c r="C1028" s="8" t="s">
        <v>195</v>
      </c>
      <c r="D1028" s="9"/>
      <c r="E1028" s="7" t="s">
        <v>25</v>
      </c>
      <c r="F1028" s="7" t="s">
        <v>196</v>
      </c>
      <c r="G1028" s="7" t="s">
        <v>197</v>
      </c>
      <c r="H1028" s="7">
        <v>1980</v>
      </c>
      <c r="I1028" s="7">
        <v>10</v>
      </c>
      <c r="K1028" s="7">
        <v>7</v>
      </c>
      <c r="M1028" s="7">
        <v>3</v>
      </c>
      <c r="N1028" s="7">
        <v>43</v>
      </c>
      <c r="O1028" s="7">
        <v>42</v>
      </c>
      <c r="T1028" s="12"/>
      <c r="V1028" cm="1">
        <f t="array" ref="V1028">_xlfn.LET(
_xlpm.x,_xlfn._xlws.FILTER(O1028:S1028,(O1028:S1028&lt;&gt;"R")*(O1028:S1028&lt;&gt;"NA")*(O1028:S1028&lt;&gt;"W")*(O1028:S1028&lt;&gt;"")),
IF(COUNTA(_xlpm.x)=0,"NA",IF(MIN(_xlpm.x)=MAX(_xlpm.x),MIN(_xlpm.x),"review"))
)</f>
        <v>42</v>
      </c>
    </row>
    <row r="1029" spans="1:22" ht="15.75" hidden="1" customHeight="1" x14ac:dyDescent="0.25">
      <c r="A1029" s="7" t="s">
        <v>194</v>
      </c>
      <c r="B1029" s="8">
        <v>8</v>
      </c>
      <c r="C1029" s="8" t="s">
        <v>195</v>
      </c>
      <c r="D1029" s="9"/>
      <c r="E1029" s="7" t="s">
        <v>25</v>
      </c>
      <c r="F1029" s="7" t="s">
        <v>196</v>
      </c>
      <c r="G1029" s="7" t="s">
        <v>197</v>
      </c>
      <c r="H1029" s="7">
        <v>1980</v>
      </c>
      <c r="I1029" s="7">
        <v>10</v>
      </c>
      <c r="K1029" s="7">
        <v>7</v>
      </c>
      <c r="M1029" s="7">
        <v>3</v>
      </c>
      <c r="N1029" s="7">
        <v>44</v>
      </c>
      <c r="O1029" s="7">
        <v>42</v>
      </c>
      <c r="T1029" s="12"/>
      <c r="V1029" cm="1">
        <f t="array" ref="V1029">_xlfn.LET(
_xlpm.x,_xlfn._xlws.FILTER(O1029:S1029,(O1029:S1029&lt;&gt;"R")*(O1029:S1029&lt;&gt;"NA")*(O1029:S1029&lt;&gt;"W")*(O1029:S1029&lt;&gt;"")),
IF(COUNTA(_xlpm.x)=0,"NA",IF(MIN(_xlpm.x)=MAX(_xlpm.x),MIN(_xlpm.x),"review"))
)</f>
        <v>42</v>
      </c>
    </row>
    <row r="1030" spans="1:22" ht="15.75" hidden="1" customHeight="1" x14ac:dyDescent="0.25">
      <c r="A1030" s="7" t="s">
        <v>194</v>
      </c>
      <c r="B1030" s="8">
        <v>8</v>
      </c>
      <c r="C1030" s="8" t="s">
        <v>195</v>
      </c>
      <c r="D1030" s="9"/>
      <c r="E1030" s="7" t="s">
        <v>25</v>
      </c>
      <c r="F1030" s="7" t="s">
        <v>196</v>
      </c>
      <c r="G1030" s="7" t="s">
        <v>197</v>
      </c>
      <c r="H1030" s="7">
        <v>1980</v>
      </c>
      <c r="I1030" s="7">
        <v>10</v>
      </c>
      <c r="K1030" s="7">
        <v>7</v>
      </c>
      <c r="M1030" s="7">
        <v>3</v>
      </c>
      <c r="N1030" s="7">
        <v>45</v>
      </c>
      <c r="O1030" s="7">
        <v>52</v>
      </c>
      <c r="T1030" s="12"/>
      <c r="V1030" cm="1">
        <f t="array" ref="V1030">_xlfn.LET(
_xlpm.x,_xlfn._xlws.FILTER(O1030:S1030,(O1030:S1030&lt;&gt;"R")*(O1030:S1030&lt;&gt;"NA")*(O1030:S1030&lt;&gt;"W")*(O1030:S1030&lt;&gt;"")),
IF(COUNTA(_xlpm.x)=0,"NA",IF(MIN(_xlpm.x)=MAX(_xlpm.x),MIN(_xlpm.x),"review"))
)</f>
        <v>52</v>
      </c>
    </row>
    <row r="1031" spans="1:22" ht="15.75" hidden="1" customHeight="1" x14ac:dyDescent="0.25">
      <c r="A1031" s="7" t="s">
        <v>194</v>
      </c>
      <c r="B1031" s="8">
        <v>8</v>
      </c>
      <c r="C1031" s="8" t="s">
        <v>195</v>
      </c>
      <c r="D1031" s="9"/>
      <c r="E1031" s="7" t="s">
        <v>25</v>
      </c>
      <c r="F1031" s="7" t="s">
        <v>196</v>
      </c>
      <c r="G1031" s="7" t="s">
        <v>197</v>
      </c>
      <c r="H1031" s="7">
        <v>1980</v>
      </c>
      <c r="I1031" s="7">
        <v>10</v>
      </c>
      <c r="K1031" s="7">
        <v>7</v>
      </c>
      <c r="M1031" s="7">
        <v>3</v>
      </c>
      <c r="N1031" s="7">
        <v>46</v>
      </c>
      <c r="O1031" s="7">
        <v>52</v>
      </c>
      <c r="T1031" s="12"/>
      <c r="V1031" cm="1">
        <f t="array" ref="V1031">_xlfn.LET(
_xlpm.x,_xlfn._xlws.FILTER(O1031:S1031,(O1031:S1031&lt;&gt;"R")*(O1031:S1031&lt;&gt;"NA")*(O1031:S1031&lt;&gt;"W")*(O1031:S1031&lt;&gt;"")),
IF(COUNTA(_xlpm.x)=0,"NA",IF(MIN(_xlpm.x)=MAX(_xlpm.x),MIN(_xlpm.x),"review"))
)</f>
        <v>52</v>
      </c>
    </row>
    <row r="1032" spans="1:22" ht="15.75" hidden="1" customHeight="1" x14ac:dyDescent="0.25">
      <c r="A1032" s="7" t="s">
        <v>194</v>
      </c>
      <c r="B1032" s="8">
        <v>8</v>
      </c>
      <c r="C1032" s="8" t="s">
        <v>195</v>
      </c>
      <c r="D1032" s="9"/>
      <c r="E1032" s="7" t="s">
        <v>25</v>
      </c>
      <c r="F1032" s="7" t="s">
        <v>196</v>
      </c>
      <c r="G1032" s="7" t="s">
        <v>197</v>
      </c>
      <c r="H1032" s="7">
        <v>1980</v>
      </c>
      <c r="I1032" s="7">
        <v>10</v>
      </c>
      <c r="K1032" s="7">
        <v>7</v>
      </c>
      <c r="M1032" s="7">
        <v>3</v>
      </c>
      <c r="N1032" s="7">
        <v>47</v>
      </c>
      <c r="O1032" s="7">
        <v>52</v>
      </c>
      <c r="T1032" s="12"/>
      <c r="V1032" cm="1">
        <f t="array" ref="V1032">_xlfn.LET(
_xlpm.x,_xlfn._xlws.FILTER(O1032:S1032,(O1032:S1032&lt;&gt;"R")*(O1032:S1032&lt;&gt;"NA")*(O1032:S1032&lt;&gt;"W")*(O1032:S1032&lt;&gt;"")),
IF(COUNTA(_xlpm.x)=0,"NA",IF(MIN(_xlpm.x)=MAX(_xlpm.x),MIN(_xlpm.x),"review"))
)</f>
        <v>52</v>
      </c>
    </row>
    <row r="1033" spans="1:22" ht="15.75" hidden="1" customHeight="1" x14ac:dyDescent="0.25">
      <c r="A1033" s="7" t="s">
        <v>194</v>
      </c>
      <c r="B1033" s="8">
        <v>8</v>
      </c>
      <c r="C1033" s="8" t="s">
        <v>195</v>
      </c>
      <c r="D1033" s="9"/>
      <c r="E1033" s="7" t="s">
        <v>25</v>
      </c>
      <c r="F1033" s="7" t="s">
        <v>196</v>
      </c>
      <c r="G1033" s="7" t="s">
        <v>197</v>
      </c>
      <c r="H1033" s="7">
        <v>1980</v>
      </c>
      <c r="I1033" s="7">
        <v>10</v>
      </c>
      <c r="K1033" s="7">
        <v>7</v>
      </c>
      <c r="M1033" s="7">
        <v>3</v>
      </c>
      <c r="N1033" s="7">
        <v>48</v>
      </c>
      <c r="O1033" s="7">
        <v>42</v>
      </c>
      <c r="T1033" s="12"/>
      <c r="V1033" cm="1">
        <f t="array" ref="V1033">_xlfn.LET(
_xlpm.x,_xlfn._xlws.FILTER(O1033:S1033,(O1033:S1033&lt;&gt;"R")*(O1033:S1033&lt;&gt;"NA")*(O1033:S1033&lt;&gt;"W")*(O1033:S1033&lt;&gt;"")),
IF(COUNTA(_xlpm.x)=0,"NA",IF(MIN(_xlpm.x)=MAX(_xlpm.x),MIN(_xlpm.x),"review"))
)</f>
        <v>42</v>
      </c>
    </row>
    <row r="1034" spans="1:22" ht="15.75" hidden="1" customHeight="1" x14ac:dyDescent="0.25">
      <c r="A1034" s="7" t="s">
        <v>194</v>
      </c>
      <c r="B1034" s="8">
        <v>8</v>
      </c>
      <c r="C1034" s="8" t="s">
        <v>195</v>
      </c>
      <c r="D1034" s="9"/>
      <c r="E1034" s="7" t="s">
        <v>25</v>
      </c>
      <c r="F1034" s="7" t="s">
        <v>196</v>
      </c>
      <c r="G1034" s="7" t="s">
        <v>197</v>
      </c>
      <c r="H1034" s="7">
        <v>1980</v>
      </c>
      <c r="I1034" s="7">
        <v>10</v>
      </c>
      <c r="K1034" s="7">
        <v>7</v>
      </c>
      <c r="M1034" s="7">
        <v>3</v>
      </c>
      <c r="N1034" s="7">
        <v>49</v>
      </c>
      <c r="O1034" s="7">
        <v>53</v>
      </c>
      <c r="T1034" s="12"/>
      <c r="V1034" cm="1">
        <f t="array" ref="V1034">_xlfn.LET(
_xlpm.x,_xlfn._xlws.FILTER(O1034:S1034,(O1034:S1034&lt;&gt;"R")*(O1034:S1034&lt;&gt;"NA")*(O1034:S1034&lt;&gt;"W")*(O1034:S1034&lt;&gt;"")),
IF(COUNTA(_xlpm.x)=0,"NA",IF(MIN(_xlpm.x)=MAX(_xlpm.x),MIN(_xlpm.x),"review"))
)</f>
        <v>53</v>
      </c>
    </row>
    <row r="1035" spans="1:22" ht="15.75" hidden="1" customHeight="1" x14ac:dyDescent="0.25">
      <c r="A1035" s="7" t="s">
        <v>194</v>
      </c>
      <c r="B1035" s="8">
        <v>8</v>
      </c>
      <c r="C1035" s="8" t="s">
        <v>195</v>
      </c>
      <c r="D1035" s="9"/>
      <c r="E1035" s="7" t="s">
        <v>25</v>
      </c>
      <c r="F1035" s="7" t="s">
        <v>196</v>
      </c>
      <c r="G1035" s="7" t="s">
        <v>197</v>
      </c>
      <c r="H1035" s="7">
        <v>1980</v>
      </c>
      <c r="I1035" s="7">
        <v>10</v>
      </c>
      <c r="K1035" s="7">
        <v>7</v>
      </c>
      <c r="M1035" s="7">
        <v>3</v>
      </c>
      <c r="N1035" s="7">
        <v>50</v>
      </c>
      <c r="O1035" s="7" t="s">
        <v>28</v>
      </c>
      <c r="T1035" s="12"/>
      <c r="V1035" t="s">
        <v>29</v>
      </c>
    </row>
    <row r="1036" spans="1:22" ht="15.75" hidden="1" customHeight="1" x14ac:dyDescent="0.25">
      <c r="A1036" s="7" t="s">
        <v>194</v>
      </c>
      <c r="B1036" s="8">
        <v>8</v>
      </c>
      <c r="C1036" s="8" t="s">
        <v>195</v>
      </c>
      <c r="D1036" s="9"/>
      <c r="E1036" s="7" t="s">
        <v>25</v>
      </c>
      <c r="F1036" s="7" t="s">
        <v>196</v>
      </c>
      <c r="G1036" s="7" t="s">
        <v>197</v>
      </c>
      <c r="H1036" s="7">
        <v>1980</v>
      </c>
      <c r="I1036" s="7">
        <v>10</v>
      </c>
      <c r="K1036" s="7">
        <v>7</v>
      </c>
      <c r="M1036" s="7">
        <v>4</v>
      </c>
      <c r="N1036" s="7">
        <v>1</v>
      </c>
      <c r="O1036" s="7">
        <v>52</v>
      </c>
      <c r="T1036" s="12"/>
      <c r="U1036" s="7" t="s">
        <v>28</v>
      </c>
      <c r="V1036" cm="1">
        <f t="array" ref="V1036">_xlfn.LET(
_xlpm.x,_xlfn._xlws.FILTER(O1036:S1036,(O1036:S1036&lt;&gt;"R")*(O1036:S1036&lt;&gt;"NA")*(O1036:S1036&lt;&gt;"W")*(O1036:S1036&lt;&gt;"")),
IF(COUNTA(_xlpm.x)=0,"NA",IF(MIN(_xlpm.x)=MAX(_xlpm.x),MIN(_xlpm.x),"review"))
)</f>
        <v>52</v>
      </c>
    </row>
    <row r="1037" spans="1:22" ht="15.75" hidden="1" customHeight="1" x14ac:dyDescent="0.25">
      <c r="A1037" s="7" t="s">
        <v>194</v>
      </c>
      <c r="B1037" s="8">
        <v>8</v>
      </c>
      <c r="C1037" s="8" t="s">
        <v>195</v>
      </c>
      <c r="D1037" s="9"/>
      <c r="E1037" s="7" t="s">
        <v>25</v>
      </c>
      <c r="F1037" s="7" t="s">
        <v>196</v>
      </c>
      <c r="G1037" s="7" t="s">
        <v>197</v>
      </c>
      <c r="H1037" s="7">
        <v>1980</v>
      </c>
      <c r="I1037" s="7">
        <v>10</v>
      </c>
      <c r="K1037" s="7">
        <v>7</v>
      </c>
      <c r="M1037" s="7">
        <v>4</v>
      </c>
      <c r="N1037" s="7">
        <v>2</v>
      </c>
      <c r="O1037" s="7">
        <v>42</v>
      </c>
      <c r="T1037" s="12"/>
      <c r="V1037" cm="1">
        <f t="array" ref="V1037">_xlfn.LET(
_xlpm.x,_xlfn._xlws.FILTER(O1037:S1037,(O1037:S1037&lt;&gt;"R")*(O1037:S1037&lt;&gt;"NA")*(O1037:S1037&lt;&gt;"W")*(O1037:S1037&lt;&gt;"")),
IF(COUNTA(_xlpm.x)=0,"NA",IF(MIN(_xlpm.x)=MAX(_xlpm.x),MIN(_xlpm.x),"review"))
)</f>
        <v>42</v>
      </c>
    </row>
    <row r="1038" spans="1:22" ht="15.75" hidden="1" customHeight="1" x14ac:dyDescent="0.25">
      <c r="A1038" s="7" t="s">
        <v>194</v>
      </c>
      <c r="B1038" s="8">
        <v>8</v>
      </c>
      <c r="C1038" s="8" t="s">
        <v>195</v>
      </c>
      <c r="D1038" s="9"/>
      <c r="E1038" s="7" t="s">
        <v>25</v>
      </c>
      <c r="F1038" s="7" t="s">
        <v>196</v>
      </c>
      <c r="G1038" s="7" t="s">
        <v>197</v>
      </c>
      <c r="H1038" s="7">
        <v>1980</v>
      </c>
      <c r="I1038" s="7">
        <v>10</v>
      </c>
      <c r="K1038" s="7">
        <v>7</v>
      </c>
      <c r="M1038" s="7">
        <v>4</v>
      </c>
      <c r="N1038" s="7">
        <v>3</v>
      </c>
      <c r="O1038" s="7">
        <v>52</v>
      </c>
      <c r="T1038" s="12"/>
      <c r="V1038" cm="1">
        <f t="array" ref="V1038">_xlfn.LET(
_xlpm.x,_xlfn._xlws.FILTER(O1038:S1038,(O1038:S1038&lt;&gt;"R")*(O1038:S1038&lt;&gt;"NA")*(O1038:S1038&lt;&gt;"W")*(O1038:S1038&lt;&gt;"")),
IF(COUNTA(_xlpm.x)=0,"NA",IF(MIN(_xlpm.x)=MAX(_xlpm.x),MIN(_xlpm.x),"review"))
)</f>
        <v>52</v>
      </c>
    </row>
    <row r="1039" spans="1:22" ht="15.75" hidden="1" customHeight="1" x14ac:dyDescent="0.25">
      <c r="A1039" s="7" t="s">
        <v>194</v>
      </c>
      <c r="B1039" s="8">
        <v>8</v>
      </c>
      <c r="C1039" s="8" t="s">
        <v>195</v>
      </c>
      <c r="D1039" s="9"/>
      <c r="E1039" s="7" t="s">
        <v>25</v>
      </c>
      <c r="F1039" s="7" t="s">
        <v>196</v>
      </c>
      <c r="G1039" s="7" t="s">
        <v>197</v>
      </c>
      <c r="H1039" s="7">
        <v>1980</v>
      </c>
      <c r="I1039" s="7">
        <v>10</v>
      </c>
      <c r="K1039" s="7">
        <v>7</v>
      </c>
      <c r="M1039" s="7">
        <v>4</v>
      </c>
      <c r="N1039" s="7">
        <v>4</v>
      </c>
      <c r="O1039" s="7">
        <v>42</v>
      </c>
      <c r="T1039" s="12"/>
      <c r="V1039" cm="1">
        <f t="array" ref="V1039">_xlfn.LET(
_xlpm.x,_xlfn._xlws.FILTER(O1039:S1039,(O1039:S1039&lt;&gt;"R")*(O1039:S1039&lt;&gt;"NA")*(O1039:S1039&lt;&gt;"W")*(O1039:S1039&lt;&gt;"")),
IF(COUNTA(_xlpm.x)=0,"NA",IF(MIN(_xlpm.x)=MAX(_xlpm.x),MIN(_xlpm.x),"review"))
)</f>
        <v>42</v>
      </c>
    </row>
    <row r="1040" spans="1:22" ht="15.75" hidden="1" customHeight="1" x14ac:dyDescent="0.25">
      <c r="A1040" s="7" t="s">
        <v>194</v>
      </c>
      <c r="B1040" s="8">
        <v>8</v>
      </c>
      <c r="C1040" s="8" t="s">
        <v>195</v>
      </c>
      <c r="D1040" s="9"/>
      <c r="E1040" s="7" t="s">
        <v>25</v>
      </c>
      <c r="F1040" s="7" t="s">
        <v>196</v>
      </c>
      <c r="G1040" s="7" t="s">
        <v>197</v>
      </c>
      <c r="H1040" s="7">
        <v>1980</v>
      </c>
      <c r="I1040" s="7">
        <v>10</v>
      </c>
      <c r="K1040" s="7">
        <v>7</v>
      </c>
      <c r="M1040" s="7">
        <v>4</v>
      </c>
      <c r="N1040" s="7">
        <v>5</v>
      </c>
      <c r="O1040" s="7">
        <v>42</v>
      </c>
      <c r="T1040" s="12"/>
      <c r="V1040" cm="1">
        <f t="array" ref="V1040">_xlfn.LET(
_xlpm.x,_xlfn._xlws.FILTER(O1040:S1040,(O1040:S1040&lt;&gt;"R")*(O1040:S1040&lt;&gt;"NA")*(O1040:S1040&lt;&gt;"W")*(O1040:S1040&lt;&gt;"")),
IF(COUNTA(_xlpm.x)=0,"NA",IF(MIN(_xlpm.x)=MAX(_xlpm.x),MIN(_xlpm.x),"review"))
)</f>
        <v>42</v>
      </c>
    </row>
    <row r="1041" spans="1:22" ht="15.75" hidden="1" customHeight="1" x14ac:dyDescent="0.25">
      <c r="A1041" s="7" t="s">
        <v>194</v>
      </c>
      <c r="B1041" s="8">
        <v>8</v>
      </c>
      <c r="C1041" s="8" t="s">
        <v>195</v>
      </c>
      <c r="D1041" s="9"/>
      <c r="E1041" s="7" t="s">
        <v>25</v>
      </c>
      <c r="F1041" s="7" t="s">
        <v>196</v>
      </c>
      <c r="G1041" s="7" t="s">
        <v>197</v>
      </c>
      <c r="H1041" s="7">
        <v>1980</v>
      </c>
      <c r="I1041" s="7">
        <v>10</v>
      </c>
      <c r="K1041" s="7">
        <v>7</v>
      </c>
      <c r="M1041" s="7">
        <v>4</v>
      </c>
      <c r="N1041" s="7">
        <v>6</v>
      </c>
      <c r="O1041" s="7">
        <v>42</v>
      </c>
      <c r="T1041" s="12"/>
      <c r="V1041" cm="1">
        <f t="array" ref="V1041">_xlfn.LET(
_xlpm.x,_xlfn._xlws.FILTER(O1041:S1041,(O1041:S1041&lt;&gt;"R")*(O1041:S1041&lt;&gt;"NA")*(O1041:S1041&lt;&gt;"W")*(O1041:S1041&lt;&gt;"")),
IF(COUNTA(_xlpm.x)=0,"NA",IF(MIN(_xlpm.x)=MAX(_xlpm.x),MIN(_xlpm.x),"review"))
)</f>
        <v>42</v>
      </c>
    </row>
    <row r="1042" spans="1:22" ht="15.75" hidden="1" customHeight="1" x14ac:dyDescent="0.25">
      <c r="A1042" s="7" t="s">
        <v>194</v>
      </c>
      <c r="B1042" s="8">
        <v>8</v>
      </c>
      <c r="C1042" s="8" t="s">
        <v>195</v>
      </c>
      <c r="D1042" s="9"/>
      <c r="E1042" s="7" t="s">
        <v>25</v>
      </c>
      <c r="F1042" s="7" t="s">
        <v>196</v>
      </c>
      <c r="G1042" s="7" t="s">
        <v>197</v>
      </c>
      <c r="H1042" s="7">
        <v>1980</v>
      </c>
      <c r="I1042" s="7">
        <v>10</v>
      </c>
      <c r="K1042" s="7">
        <v>7</v>
      </c>
      <c r="M1042" s="7">
        <v>4</v>
      </c>
      <c r="N1042" s="7">
        <v>7</v>
      </c>
      <c r="O1042" s="7">
        <v>52</v>
      </c>
      <c r="T1042" s="12"/>
      <c r="V1042" cm="1">
        <f t="array" ref="V1042">_xlfn.LET(
_xlpm.x,_xlfn._xlws.FILTER(O1042:S1042,(O1042:S1042&lt;&gt;"R")*(O1042:S1042&lt;&gt;"NA")*(O1042:S1042&lt;&gt;"W")*(O1042:S1042&lt;&gt;"")),
IF(COUNTA(_xlpm.x)=0,"NA",IF(MIN(_xlpm.x)=MAX(_xlpm.x),MIN(_xlpm.x),"review"))
)</f>
        <v>52</v>
      </c>
    </row>
    <row r="1043" spans="1:22" ht="15.75" hidden="1" customHeight="1" x14ac:dyDescent="0.25">
      <c r="A1043" s="7" t="s">
        <v>194</v>
      </c>
      <c r="B1043" s="8">
        <v>8</v>
      </c>
      <c r="C1043" s="8" t="s">
        <v>195</v>
      </c>
      <c r="D1043" s="9"/>
      <c r="E1043" s="7" t="s">
        <v>25</v>
      </c>
      <c r="F1043" s="7" t="s">
        <v>196</v>
      </c>
      <c r="G1043" s="7" t="s">
        <v>197</v>
      </c>
      <c r="H1043" s="7">
        <v>1980</v>
      </c>
      <c r="I1043" s="7">
        <v>10</v>
      </c>
      <c r="K1043" s="7">
        <v>7</v>
      </c>
      <c r="M1043" s="7">
        <v>4</v>
      </c>
      <c r="N1043" s="7">
        <v>8</v>
      </c>
      <c r="O1043" s="7">
        <v>53</v>
      </c>
      <c r="T1043" s="12"/>
      <c r="V1043" cm="1">
        <f t="array" ref="V1043">_xlfn.LET(
_xlpm.x,_xlfn._xlws.FILTER(O1043:S1043,(O1043:S1043&lt;&gt;"R")*(O1043:S1043&lt;&gt;"NA")*(O1043:S1043&lt;&gt;"W")*(O1043:S1043&lt;&gt;"")),
IF(COUNTA(_xlpm.x)=0,"NA",IF(MIN(_xlpm.x)=MAX(_xlpm.x),MIN(_xlpm.x),"review"))
)</f>
        <v>53</v>
      </c>
    </row>
    <row r="1044" spans="1:22" ht="15.75" hidden="1" customHeight="1" x14ac:dyDescent="0.25">
      <c r="A1044" s="7" t="s">
        <v>194</v>
      </c>
      <c r="B1044" s="8">
        <v>8</v>
      </c>
      <c r="C1044" s="8" t="s">
        <v>195</v>
      </c>
      <c r="D1044" s="9"/>
      <c r="E1044" s="7" t="s">
        <v>25</v>
      </c>
      <c r="F1044" s="7" t="s">
        <v>196</v>
      </c>
      <c r="G1044" s="7" t="s">
        <v>197</v>
      </c>
      <c r="H1044" s="7">
        <v>1980</v>
      </c>
      <c r="I1044" s="7">
        <v>10</v>
      </c>
      <c r="K1044" s="7">
        <v>7</v>
      </c>
      <c r="M1044" s="7">
        <v>4</v>
      </c>
      <c r="N1044" s="7">
        <v>9</v>
      </c>
      <c r="O1044" s="7">
        <v>53</v>
      </c>
      <c r="T1044" s="12" t="s">
        <v>220</v>
      </c>
      <c r="V1044" cm="1">
        <f t="array" ref="V1044">_xlfn.LET(
_xlpm.x,_xlfn._xlws.FILTER(O1044:S1044,(O1044:S1044&lt;&gt;"R")*(O1044:S1044&lt;&gt;"NA")*(O1044:S1044&lt;&gt;"W")*(O1044:S1044&lt;&gt;"")),
IF(COUNTA(_xlpm.x)=0,"NA",IF(MIN(_xlpm.x)=MAX(_xlpm.x),MIN(_xlpm.x),"review"))
)</f>
        <v>53</v>
      </c>
    </row>
    <row r="1045" spans="1:22" ht="15.75" hidden="1" customHeight="1" x14ac:dyDescent="0.25">
      <c r="A1045" s="7" t="s">
        <v>194</v>
      </c>
      <c r="B1045" s="8">
        <v>8</v>
      </c>
      <c r="C1045" s="8" t="s">
        <v>195</v>
      </c>
      <c r="D1045" s="9"/>
      <c r="E1045" s="7" t="s">
        <v>25</v>
      </c>
      <c r="F1045" s="7" t="s">
        <v>196</v>
      </c>
      <c r="G1045" s="7" t="s">
        <v>197</v>
      </c>
      <c r="H1045" s="7">
        <v>1980</v>
      </c>
      <c r="I1045" s="7">
        <v>10</v>
      </c>
      <c r="K1045" s="7">
        <v>7</v>
      </c>
      <c r="M1045" s="7">
        <v>4</v>
      </c>
      <c r="N1045" s="7">
        <v>10</v>
      </c>
      <c r="O1045" s="7">
        <v>52</v>
      </c>
      <c r="T1045" s="12"/>
      <c r="V1045" cm="1">
        <f t="array" ref="V1045">_xlfn.LET(
_xlpm.x,_xlfn._xlws.FILTER(O1045:S1045,(O1045:S1045&lt;&gt;"R")*(O1045:S1045&lt;&gt;"NA")*(O1045:S1045&lt;&gt;"W")*(O1045:S1045&lt;&gt;"")),
IF(COUNTA(_xlpm.x)=0,"NA",IF(MIN(_xlpm.x)=MAX(_xlpm.x),MIN(_xlpm.x),"review"))
)</f>
        <v>52</v>
      </c>
    </row>
    <row r="1046" spans="1:22" ht="15.75" hidden="1" customHeight="1" x14ac:dyDescent="0.25">
      <c r="A1046" s="7" t="s">
        <v>194</v>
      </c>
      <c r="B1046" s="8">
        <v>8</v>
      </c>
      <c r="C1046" s="8" t="s">
        <v>195</v>
      </c>
      <c r="D1046" s="9"/>
      <c r="E1046" s="7" t="s">
        <v>25</v>
      </c>
      <c r="F1046" s="7" t="s">
        <v>196</v>
      </c>
      <c r="G1046" s="7" t="s">
        <v>197</v>
      </c>
      <c r="H1046" s="7">
        <v>1980</v>
      </c>
      <c r="I1046" s="7">
        <v>10</v>
      </c>
      <c r="K1046" s="7">
        <v>7</v>
      </c>
      <c r="M1046" s="7">
        <v>4</v>
      </c>
      <c r="N1046" s="7">
        <v>11</v>
      </c>
      <c r="O1046" s="7" t="s">
        <v>28</v>
      </c>
      <c r="T1046" s="12"/>
      <c r="V1046" t="s">
        <v>29</v>
      </c>
    </row>
    <row r="1047" spans="1:22" ht="15.75" hidden="1" customHeight="1" x14ac:dyDescent="0.25">
      <c r="A1047" s="7" t="s">
        <v>194</v>
      </c>
      <c r="B1047" s="8">
        <v>8</v>
      </c>
      <c r="C1047" s="8" t="s">
        <v>195</v>
      </c>
      <c r="D1047" s="9"/>
      <c r="E1047" s="7" t="s">
        <v>25</v>
      </c>
      <c r="F1047" s="7" t="s">
        <v>196</v>
      </c>
      <c r="G1047" s="7" t="s">
        <v>197</v>
      </c>
      <c r="H1047" s="7">
        <v>1980</v>
      </c>
      <c r="I1047" s="7">
        <v>10</v>
      </c>
      <c r="K1047" s="7">
        <v>7</v>
      </c>
      <c r="M1047" s="7">
        <v>4</v>
      </c>
      <c r="N1047" s="7">
        <v>12</v>
      </c>
      <c r="O1047" s="7" t="s">
        <v>29</v>
      </c>
      <c r="T1047" s="12"/>
      <c r="V1047" t="s">
        <v>29</v>
      </c>
    </row>
    <row r="1048" spans="1:22" ht="15.75" hidden="1" customHeight="1" x14ac:dyDescent="0.25">
      <c r="A1048" s="7" t="s">
        <v>194</v>
      </c>
      <c r="B1048" s="8">
        <v>8</v>
      </c>
      <c r="C1048" s="8" t="s">
        <v>195</v>
      </c>
      <c r="D1048" s="9"/>
      <c r="E1048" s="7" t="s">
        <v>25</v>
      </c>
      <c r="F1048" s="7" t="s">
        <v>196</v>
      </c>
      <c r="G1048" s="7" t="s">
        <v>197</v>
      </c>
      <c r="H1048" s="7">
        <v>1980</v>
      </c>
      <c r="I1048" s="7">
        <v>10</v>
      </c>
      <c r="K1048" s="7">
        <v>7</v>
      </c>
      <c r="M1048" s="7">
        <v>4</v>
      </c>
      <c r="N1048" s="7">
        <v>13</v>
      </c>
      <c r="O1048" s="7">
        <v>42</v>
      </c>
      <c r="T1048" s="12"/>
      <c r="V1048" cm="1">
        <f t="array" ref="V1048">_xlfn.LET(
_xlpm.x,_xlfn._xlws.FILTER(O1048:S1048,(O1048:S1048&lt;&gt;"R")*(O1048:S1048&lt;&gt;"NA")*(O1048:S1048&lt;&gt;"W")*(O1048:S1048&lt;&gt;"")),
IF(COUNTA(_xlpm.x)=0,"NA",IF(MIN(_xlpm.x)=MAX(_xlpm.x),MIN(_xlpm.x),"review"))
)</f>
        <v>42</v>
      </c>
    </row>
    <row r="1049" spans="1:22" ht="15.75" hidden="1" customHeight="1" x14ac:dyDescent="0.25">
      <c r="A1049" s="7" t="s">
        <v>194</v>
      </c>
      <c r="B1049" s="8">
        <v>8</v>
      </c>
      <c r="C1049" s="8" t="s">
        <v>195</v>
      </c>
      <c r="D1049" s="9"/>
      <c r="E1049" s="7" t="s">
        <v>25</v>
      </c>
      <c r="F1049" s="7" t="s">
        <v>196</v>
      </c>
      <c r="G1049" s="7" t="s">
        <v>197</v>
      </c>
      <c r="H1049" s="7">
        <v>1980</v>
      </c>
      <c r="I1049" s="7">
        <v>10</v>
      </c>
      <c r="K1049" s="7">
        <v>7</v>
      </c>
      <c r="M1049" s="7">
        <v>4</v>
      </c>
      <c r="N1049" s="7">
        <v>14</v>
      </c>
      <c r="O1049" s="7">
        <v>42</v>
      </c>
      <c r="T1049" s="12"/>
      <c r="V1049" cm="1">
        <f t="array" ref="V1049">_xlfn.LET(
_xlpm.x,_xlfn._xlws.FILTER(O1049:S1049,(O1049:S1049&lt;&gt;"R")*(O1049:S1049&lt;&gt;"NA")*(O1049:S1049&lt;&gt;"W")*(O1049:S1049&lt;&gt;"")),
IF(COUNTA(_xlpm.x)=0,"NA",IF(MIN(_xlpm.x)=MAX(_xlpm.x),MIN(_xlpm.x),"review"))
)</f>
        <v>42</v>
      </c>
    </row>
    <row r="1050" spans="1:22" ht="15.75" hidden="1" customHeight="1" x14ac:dyDescent="0.25">
      <c r="A1050" s="7" t="s">
        <v>194</v>
      </c>
      <c r="B1050" s="8">
        <v>8</v>
      </c>
      <c r="C1050" s="8" t="s">
        <v>195</v>
      </c>
      <c r="D1050" s="9"/>
      <c r="E1050" s="7" t="s">
        <v>25</v>
      </c>
      <c r="F1050" s="7" t="s">
        <v>196</v>
      </c>
      <c r="G1050" s="7" t="s">
        <v>197</v>
      </c>
      <c r="H1050" s="7">
        <v>1980</v>
      </c>
      <c r="I1050" s="7">
        <v>10</v>
      </c>
      <c r="K1050" s="7">
        <v>7</v>
      </c>
      <c r="M1050" s="7">
        <v>4</v>
      </c>
      <c r="N1050" s="7">
        <v>15</v>
      </c>
      <c r="O1050" s="7" t="s">
        <v>28</v>
      </c>
      <c r="T1050" s="12"/>
      <c r="V1050" t="s">
        <v>29</v>
      </c>
    </row>
    <row r="1051" spans="1:22" ht="15.75" hidden="1" customHeight="1" x14ac:dyDescent="0.25">
      <c r="A1051" s="7" t="s">
        <v>194</v>
      </c>
      <c r="B1051" s="8">
        <v>8</v>
      </c>
      <c r="C1051" s="8" t="s">
        <v>195</v>
      </c>
      <c r="D1051" s="9"/>
      <c r="E1051" s="7" t="s">
        <v>25</v>
      </c>
      <c r="F1051" s="7" t="s">
        <v>196</v>
      </c>
      <c r="G1051" s="7" t="s">
        <v>197</v>
      </c>
      <c r="H1051" s="7">
        <v>1980</v>
      </c>
      <c r="I1051" s="7">
        <v>10</v>
      </c>
      <c r="K1051" s="7">
        <v>7</v>
      </c>
      <c r="M1051" s="7">
        <v>4</v>
      </c>
      <c r="N1051" s="7">
        <v>16</v>
      </c>
      <c r="O1051" s="7" t="s">
        <v>29</v>
      </c>
      <c r="T1051" s="12"/>
      <c r="V1051" t="s">
        <v>29</v>
      </c>
    </row>
    <row r="1052" spans="1:22" ht="15.75" hidden="1" customHeight="1" x14ac:dyDescent="0.25">
      <c r="A1052" s="7" t="s">
        <v>194</v>
      </c>
      <c r="B1052" s="8">
        <v>8</v>
      </c>
      <c r="C1052" s="8" t="s">
        <v>195</v>
      </c>
      <c r="D1052" s="9"/>
      <c r="E1052" s="7" t="s">
        <v>25</v>
      </c>
      <c r="F1052" s="7" t="s">
        <v>196</v>
      </c>
      <c r="G1052" s="7" t="s">
        <v>197</v>
      </c>
      <c r="H1052" s="7">
        <v>1980</v>
      </c>
      <c r="I1052" s="7">
        <v>10</v>
      </c>
      <c r="K1052" s="7">
        <v>7</v>
      </c>
      <c r="M1052" s="7">
        <v>4</v>
      </c>
      <c r="N1052" s="7">
        <v>17</v>
      </c>
      <c r="O1052" s="7">
        <v>42</v>
      </c>
      <c r="T1052" s="12"/>
      <c r="V1052" cm="1">
        <f t="array" ref="V1052">_xlfn.LET(
_xlpm.x,_xlfn._xlws.FILTER(O1052:S1052,(O1052:S1052&lt;&gt;"R")*(O1052:S1052&lt;&gt;"NA")*(O1052:S1052&lt;&gt;"W")*(O1052:S1052&lt;&gt;"")),
IF(COUNTA(_xlpm.x)=0,"NA",IF(MIN(_xlpm.x)=MAX(_xlpm.x),MIN(_xlpm.x),"review"))
)</f>
        <v>42</v>
      </c>
    </row>
    <row r="1053" spans="1:22" ht="15.75" hidden="1" customHeight="1" x14ac:dyDescent="0.25">
      <c r="A1053" s="7" t="s">
        <v>194</v>
      </c>
      <c r="B1053" s="8">
        <v>8</v>
      </c>
      <c r="C1053" s="8" t="s">
        <v>195</v>
      </c>
      <c r="D1053" s="9"/>
      <c r="E1053" s="7" t="s">
        <v>25</v>
      </c>
      <c r="F1053" s="7" t="s">
        <v>196</v>
      </c>
      <c r="G1053" s="7" t="s">
        <v>197</v>
      </c>
      <c r="H1053" s="7">
        <v>1980</v>
      </c>
      <c r="I1053" s="7">
        <v>10</v>
      </c>
      <c r="K1053" s="7">
        <v>7</v>
      </c>
      <c r="M1053" s="7">
        <v>4</v>
      </c>
      <c r="N1053" s="7">
        <v>18</v>
      </c>
      <c r="O1053" s="7">
        <v>52</v>
      </c>
      <c r="T1053" s="12"/>
      <c r="V1053" cm="1">
        <f t="array" ref="V1053">_xlfn.LET(
_xlpm.x,_xlfn._xlws.FILTER(O1053:S1053,(O1053:S1053&lt;&gt;"R")*(O1053:S1053&lt;&gt;"NA")*(O1053:S1053&lt;&gt;"W")*(O1053:S1053&lt;&gt;"")),
IF(COUNTA(_xlpm.x)=0,"NA",IF(MIN(_xlpm.x)=MAX(_xlpm.x),MIN(_xlpm.x),"review"))
)</f>
        <v>52</v>
      </c>
    </row>
    <row r="1054" spans="1:22" ht="15.75" hidden="1" customHeight="1" x14ac:dyDescent="0.25">
      <c r="A1054" s="7" t="s">
        <v>194</v>
      </c>
      <c r="B1054" s="8">
        <v>8</v>
      </c>
      <c r="C1054" s="8" t="s">
        <v>195</v>
      </c>
      <c r="D1054" s="9"/>
      <c r="E1054" s="7" t="s">
        <v>25</v>
      </c>
      <c r="F1054" s="7" t="s">
        <v>196</v>
      </c>
      <c r="G1054" s="7" t="s">
        <v>197</v>
      </c>
      <c r="H1054" s="7">
        <v>1980</v>
      </c>
      <c r="I1054" s="7">
        <v>10</v>
      </c>
      <c r="K1054" s="7">
        <v>7</v>
      </c>
      <c r="M1054" s="7">
        <v>4</v>
      </c>
      <c r="N1054" s="7">
        <v>19</v>
      </c>
      <c r="O1054" s="7">
        <v>53</v>
      </c>
      <c r="T1054" s="12"/>
      <c r="V1054" cm="1">
        <f t="array" ref="V1054">_xlfn.LET(
_xlpm.x,_xlfn._xlws.FILTER(O1054:S1054,(O1054:S1054&lt;&gt;"R")*(O1054:S1054&lt;&gt;"NA")*(O1054:S1054&lt;&gt;"W")*(O1054:S1054&lt;&gt;"")),
IF(COUNTA(_xlpm.x)=0,"NA",IF(MIN(_xlpm.x)=MAX(_xlpm.x),MIN(_xlpm.x),"review"))
)</f>
        <v>53</v>
      </c>
    </row>
    <row r="1055" spans="1:22" ht="15.75" hidden="1" customHeight="1" x14ac:dyDescent="0.25">
      <c r="A1055" s="7" t="s">
        <v>194</v>
      </c>
      <c r="B1055" s="8">
        <v>8</v>
      </c>
      <c r="C1055" s="8" t="s">
        <v>195</v>
      </c>
      <c r="D1055" s="9"/>
      <c r="E1055" s="7" t="s">
        <v>25</v>
      </c>
      <c r="F1055" s="7" t="s">
        <v>196</v>
      </c>
      <c r="G1055" s="7" t="s">
        <v>197</v>
      </c>
      <c r="H1055" s="7">
        <v>1980</v>
      </c>
      <c r="I1055" s="7">
        <v>10</v>
      </c>
      <c r="K1055" s="7">
        <v>7</v>
      </c>
      <c r="M1055" s="7">
        <v>4</v>
      </c>
      <c r="N1055" s="7">
        <v>20</v>
      </c>
      <c r="O1055" s="7">
        <v>52</v>
      </c>
      <c r="T1055" s="12"/>
      <c r="V1055" cm="1">
        <f t="array" ref="V1055">_xlfn.LET(
_xlpm.x,_xlfn._xlws.FILTER(O1055:S1055,(O1055:S1055&lt;&gt;"R")*(O1055:S1055&lt;&gt;"NA")*(O1055:S1055&lt;&gt;"W")*(O1055:S1055&lt;&gt;"")),
IF(COUNTA(_xlpm.x)=0,"NA",IF(MIN(_xlpm.x)=MAX(_xlpm.x),MIN(_xlpm.x),"review"))
)</f>
        <v>52</v>
      </c>
    </row>
    <row r="1056" spans="1:22" ht="15.75" hidden="1" customHeight="1" x14ac:dyDescent="0.25">
      <c r="A1056" s="7" t="s">
        <v>194</v>
      </c>
      <c r="B1056" s="8">
        <v>8</v>
      </c>
      <c r="C1056" s="8" t="s">
        <v>195</v>
      </c>
      <c r="D1056" s="9"/>
      <c r="E1056" s="7" t="s">
        <v>25</v>
      </c>
      <c r="F1056" s="7" t="s">
        <v>196</v>
      </c>
      <c r="G1056" s="7" t="s">
        <v>197</v>
      </c>
      <c r="H1056" s="7">
        <v>1980</v>
      </c>
      <c r="I1056" s="7">
        <v>10</v>
      </c>
      <c r="K1056" s="7">
        <v>7</v>
      </c>
      <c r="M1056" s="7">
        <v>4</v>
      </c>
      <c r="N1056" s="7">
        <v>21</v>
      </c>
      <c r="O1056" s="7">
        <v>52</v>
      </c>
      <c r="T1056" s="12"/>
      <c r="V1056" cm="1">
        <f t="array" ref="V1056">_xlfn.LET(
_xlpm.x,_xlfn._xlws.FILTER(O1056:S1056,(O1056:S1056&lt;&gt;"R")*(O1056:S1056&lt;&gt;"NA")*(O1056:S1056&lt;&gt;"W")*(O1056:S1056&lt;&gt;"")),
IF(COUNTA(_xlpm.x)=0,"NA",IF(MIN(_xlpm.x)=MAX(_xlpm.x),MIN(_xlpm.x),"review"))
)</f>
        <v>52</v>
      </c>
    </row>
    <row r="1057" spans="1:22" ht="15.75" hidden="1" customHeight="1" x14ac:dyDescent="0.25">
      <c r="A1057" s="7" t="s">
        <v>194</v>
      </c>
      <c r="B1057" s="8">
        <v>8</v>
      </c>
      <c r="C1057" s="8" t="s">
        <v>195</v>
      </c>
      <c r="D1057" s="9"/>
      <c r="E1057" s="7" t="s">
        <v>25</v>
      </c>
      <c r="F1057" s="7" t="s">
        <v>196</v>
      </c>
      <c r="G1057" s="7" t="s">
        <v>197</v>
      </c>
      <c r="H1057" s="7">
        <v>1980</v>
      </c>
      <c r="I1057" s="7">
        <v>10</v>
      </c>
      <c r="K1057" s="7">
        <v>7</v>
      </c>
      <c r="M1057" s="7">
        <v>4</v>
      </c>
      <c r="N1057" s="7">
        <v>22</v>
      </c>
      <c r="O1057" s="7">
        <v>52</v>
      </c>
      <c r="T1057" s="12"/>
      <c r="V1057" cm="1">
        <f t="array" ref="V1057">_xlfn.LET(
_xlpm.x,_xlfn._xlws.FILTER(O1057:S1057,(O1057:S1057&lt;&gt;"R")*(O1057:S1057&lt;&gt;"NA")*(O1057:S1057&lt;&gt;"W")*(O1057:S1057&lt;&gt;"")),
IF(COUNTA(_xlpm.x)=0,"NA",IF(MIN(_xlpm.x)=MAX(_xlpm.x),MIN(_xlpm.x),"review"))
)</f>
        <v>52</v>
      </c>
    </row>
    <row r="1058" spans="1:22" ht="15.75" hidden="1" customHeight="1" x14ac:dyDescent="0.25">
      <c r="A1058" s="7" t="s">
        <v>194</v>
      </c>
      <c r="B1058" s="8">
        <v>8</v>
      </c>
      <c r="C1058" s="8" t="s">
        <v>195</v>
      </c>
      <c r="D1058" s="9"/>
      <c r="E1058" s="7" t="s">
        <v>25</v>
      </c>
      <c r="F1058" s="7" t="s">
        <v>196</v>
      </c>
      <c r="G1058" s="7" t="s">
        <v>197</v>
      </c>
      <c r="H1058" s="7">
        <v>1980</v>
      </c>
      <c r="I1058" s="7">
        <v>10</v>
      </c>
      <c r="K1058" s="7">
        <v>7</v>
      </c>
      <c r="M1058" s="7">
        <v>4</v>
      </c>
      <c r="N1058" s="7">
        <v>23</v>
      </c>
      <c r="O1058" s="7">
        <v>52</v>
      </c>
      <c r="T1058" s="12"/>
      <c r="V1058" cm="1">
        <f t="array" ref="V1058">_xlfn.LET(
_xlpm.x,_xlfn._xlws.FILTER(O1058:S1058,(O1058:S1058&lt;&gt;"R")*(O1058:S1058&lt;&gt;"NA")*(O1058:S1058&lt;&gt;"W")*(O1058:S1058&lt;&gt;"")),
IF(COUNTA(_xlpm.x)=0,"NA",IF(MIN(_xlpm.x)=MAX(_xlpm.x),MIN(_xlpm.x),"review"))
)</f>
        <v>52</v>
      </c>
    </row>
    <row r="1059" spans="1:22" ht="15.75" hidden="1" customHeight="1" x14ac:dyDescent="0.25">
      <c r="A1059" s="7" t="s">
        <v>194</v>
      </c>
      <c r="B1059" s="8">
        <v>8</v>
      </c>
      <c r="C1059" s="8" t="s">
        <v>195</v>
      </c>
      <c r="D1059" s="9"/>
      <c r="E1059" s="7" t="s">
        <v>25</v>
      </c>
      <c r="F1059" s="7" t="s">
        <v>196</v>
      </c>
      <c r="G1059" s="7" t="s">
        <v>197</v>
      </c>
      <c r="H1059" s="7">
        <v>1980</v>
      </c>
      <c r="I1059" s="7">
        <v>10</v>
      </c>
      <c r="K1059" s="7">
        <v>7</v>
      </c>
      <c r="M1059" s="7">
        <v>4</v>
      </c>
      <c r="N1059" s="7">
        <v>24</v>
      </c>
      <c r="O1059" s="7">
        <v>42</v>
      </c>
      <c r="T1059" s="12"/>
      <c r="V1059" cm="1">
        <f t="array" ref="V1059">_xlfn.LET(
_xlpm.x,_xlfn._xlws.FILTER(O1059:S1059,(O1059:S1059&lt;&gt;"R")*(O1059:S1059&lt;&gt;"NA")*(O1059:S1059&lt;&gt;"W")*(O1059:S1059&lt;&gt;"")),
IF(COUNTA(_xlpm.x)=0,"NA",IF(MIN(_xlpm.x)=MAX(_xlpm.x),MIN(_xlpm.x),"review"))
)</f>
        <v>42</v>
      </c>
    </row>
    <row r="1060" spans="1:22" ht="15.75" hidden="1" customHeight="1" x14ac:dyDescent="0.25">
      <c r="A1060" s="7" t="s">
        <v>194</v>
      </c>
      <c r="B1060" s="8">
        <v>8</v>
      </c>
      <c r="C1060" s="8" t="s">
        <v>195</v>
      </c>
      <c r="D1060" s="9"/>
      <c r="E1060" s="7" t="s">
        <v>25</v>
      </c>
      <c r="F1060" s="7" t="s">
        <v>196</v>
      </c>
      <c r="G1060" s="7" t="s">
        <v>197</v>
      </c>
      <c r="H1060" s="7">
        <v>1980</v>
      </c>
      <c r="I1060" s="7">
        <v>10</v>
      </c>
      <c r="K1060" s="7">
        <v>7</v>
      </c>
      <c r="M1060" s="7">
        <v>4</v>
      </c>
      <c r="N1060" s="7">
        <v>25</v>
      </c>
      <c r="O1060" s="7" t="s">
        <v>29</v>
      </c>
      <c r="T1060" s="12"/>
      <c r="V1060" t="s">
        <v>29</v>
      </c>
    </row>
    <row r="1061" spans="1:22" ht="15.75" hidden="1" customHeight="1" x14ac:dyDescent="0.25">
      <c r="A1061" s="7" t="s">
        <v>194</v>
      </c>
      <c r="B1061" s="8">
        <v>8</v>
      </c>
      <c r="C1061" s="8" t="s">
        <v>195</v>
      </c>
      <c r="D1061" s="9"/>
      <c r="E1061" s="7" t="s">
        <v>25</v>
      </c>
      <c r="F1061" s="7" t="s">
        <v>196</v>
      </c>
      <c r="G1061" s="7" t="s">
        <v>197</v>
      </c>
      <c r="H1061" s="7">
        <v>1980</v>
      </c>
      <c r="I1061" s="7">
        <v>10</v>
      </c>
      <c r="K1061" s="7">
        <v>7</v>
      </c>
      <c r="M1061" s="7">
        <v>4</v>
      </c>
      <c r="N1061" s="7">
        <v>26</v>
      </c>
      <c r="O1061" s="7">
        <v>52</v>
      </c>
      <c r="T1061" s="12"/>
      <c r="V1061" cm="1">
        <f t="array" ref="V1061">_xlfn.LET(
_xlpm.x,_xlfn._xlws.FILTER(O1061:S1061,(O1061:S1061&lt;&gt;"R")*(O1061:S1061&lt;&gt;"NA")*(O1061:S1061&lt;&gt;"W")*(O1061:S1061&lt;&gt;"")),
IF(COUNTA(_xlpm.x)=0,"NA",IF(MIN(_xlpm.x)=MAX(_xlpm.x),MIN(_xlpm.x),"review"))
)</f>
        <v>52</v>
      </c>
    </row>
    <row r="1062" spans="1:22" ht="15.75" hidden="1" customHeight="1" x14ac:dyDescent="0.25">
      <c r="A1062" s="7" t="s">
        <v>194</v>
      </c>
      <c r="B1062" s="8">
        <v>8</v>
      </c>
      <c r="C1062" s="8" t="s">
        <v>195</v>
      </c>
      <c r="D1062" s="9"/>
      <c r="E1062" s="7" t="s">
        <v>25</v>
      </c>
      <c r="F1062" s="7" t="s">
        <v>196</v>
      </c>
      <c r="G1062" s="7" t="s">
        <v>197</v>
      </c>
      <c r="H1062" s="7">
        <v>1980</v>
      </c>
      <c r="I1062" s="7">
        <v>10</v>
      </c>
      <c r="K1062" s="7">
        <v>7</v>
      </c>
      <c r="M1062" s="7">
        <v>4</v>
      </c>
      <c r="N1062" s="7">
        <v>27</v>
      </c>
      <c r="O1062" s="7">
        <v>52</v>
      </c>
      <c r="T1062" s="12"/>
      <c r="V1062" cm="1">
        <f t="array" ref="V1062">_xlfn.LET(
_xlpm.x,_xlfn._xlws.FILTER(O1062:S1062,(O1062:S1062&lt;&gt;"R")*(O1062:S1062&lt;&gt;"NA")*(O1062:S1062&lt;&gt;"W")*(O1062:S1062&lt;&gt;"")),
IF(COUNTA(_xlpm.x)=0,"NA",IF(MIN(_xlpm.x)=MAX(_xlpm.x),MIN(_xlpm.x),"review"))
)</f>
        <v>52</v>
      </c>
    </row>
    <row r="1063" spans="1:22" ht="15.75" hidden="1" customHeight="1" x14ac:dyDescent="0.25">
      <c r="A1063" s="7" t="s">
        <v>194</v>
      </c>
      <c r="B1063" s="8">
        <v>8</v>
      </c>
      <c r="C1063" s="8" t="s">
        <v>195</v>
      </c>
      <c r="D1063" s="9"/>
      <c r="E1063" s="7" t="s">
        <v>25</v>
      </c>
      <c r="F1063" s="7" t="s">
        <v>196</v>
      </c>
      <c r="G1063" s="7" t="s">
        <v>197</v>
      </c>
      <c r="H1063" s="7">
        <v>1980</v>
      </c>
      <c r="I1063" s="7">
        <v>10</v>
      </c>
      <c r="K1063" s="7">
        <v>7</v>
      </c>
      <c r="M1063" s="7">
        <v>4</v>
      </c>
      <c r="N1063" s="7">
        <v>28</v>
      </c>
      <c r="O1063" s="7">
        <v>52</v>
      </c>
      <c r="T1063" s="12"/>
      <c r="U1063" s="7" t="s">
        <v>221</v>
      </c>
      <c r="V1063" cm="1">
        <f t="array" ref="V1063">_xlfn.LET(
_xlpm.x,_xlfn._xlws.FILTER(O1063:S1063,(O1063:S1063&lt;&gt;"R")*(O1063:S1063&lt;&gt;"NA")*(O1063:S1063&lt;&gt;"W")*(O1063:S1063&lt;&gt;"")),
IF(COUNTA(_xlpm.x)=0,"NA",IF(MIN(_xlpm.x)=MAX(_xlpm.x),MIN(_xlpm.x),"review"))
)</f>
        <v>52</v>
      </c>
    </row>
    <row r="1064" spans="1:22" ht="15.75" hidden="1" customHeight="1" x14ac:dyDescent="0.25">
      <c r="A1064" s="7" t="s">
        <v>194</v>
      </c>
      <c r="B1064" s="8">
        <v>8</v>
      </c>
      <c r="C1064" s="8" t="s">
        <v>195</v>
      </c>
      <c r="D1064" s="9"/>
      <c r="E1064" s="7" t="s">
        <v>25</v>
      </c>
      <c r="F1064" s="7" t="s">
        <v>196</v>
      </c>
      <c r="G1064" s="7" t="s">
        <v>197</v>
      </c>
      <c r="H1064" s="7">
        <v>1980</v>
      </c>
      <c r="I1064" s="7">
        <v>10</v>
      </c>
      <c r="K1064" s="7">
        <v>7</v>
      </c>
      <c r="M1064" s="7">
        <v>4</v>
      </c>
      <c r="N1064" s="7">
        <v>29</v>
      </c>
      <c r="O1064" s="7" t="s">
        <v>28</v>
      </c>
      <c r="T1064" s="12"/>
      <c r="V1064" t="s">
        <v>29</v>
      </c>
    </row>
    <row r="1065" spans="1:22" ht="15.75" hidden="1" customHeight="1" x14ac:dyDescent="0.25">
      <c r="A1065" s="7" t="s">
        <v>194</v>
      </c>
      <c r="B1065" s="8">
        <v>8</v>
      </c>
      <c r="C1065" s="8" t="s">
        <v>195</v>
      </c>
      <c r="D1065" s="9"/>
      <c r="E1065" s="7" t="s">
        <v>25</v>
      </c>
      <c r="F1065" s="7" t="s">
        <v>196</v>
      </c>
      <c r="G1065" s="7" t="s">
        <v>197</v>
      </c>
      <c r="H1065" s="7">
        <v>1980</v>
      </c>
      <c r="I1065" s="7">
        <v>10</v>
      </c>
      <c r="K1065" s="7">
        <v>7</v>
      </c>
      <c r="M1065" s="7">
        <v>4</v>
      </c>
      <c r="N1065" s="7">
        <v>30</v>
      </c>
      <c r="O1065" s="7">
        <v>42</v>
      </c>
      <c r="T1065" s="12"/>
      <c r="U1065" s="7" t="s">
        <v>221</v>
      </c>
      <c r="V1065" cm="1">
        <f t="array" ref="V1065">_xlfn.LET(
_xlpm.x,_xlfn._xlws.FILTER(O1065:S1065,(O1065:S1065&lt;&gt;"R")*(O1065:S1065&lt;&gt;"NA")*(O1065:S1065&lt;&gt;"W")*(O1065:S1065&lt;&gt;"")),
IF(COUNTA(_xlpm.x)=0,"NA",IF(MIN(_xlpm.x)=MAX(_xlpm.x),MIN(_xlpm.x),"review"))
)</f>
        <v>42</v>
      </c>
    </row>
    <row r="1066" spans="1:22" ht="15.75" hidden="1" customHeight="1" x14ac:dyDescent="0.25">
      <c r="A1066" s="7" t="s">
        <v>194</v>
      </c>
      <c r="B1066" s="8">
        <v>8</v>
      </c>
      <c r="C1066" s="8" t="s">
        <v>195</v>
      </c>
      <c r="D1066" s="9"/>
      <c r="E1066" s="7" t="s">
        <v>25</v>
      </c>
      <c r="F1066" s="7" t="s">
        <v>196</v>
      </c>
      <c r="G1066" s="7" t="s">
        <v>197</v>
      </c>
      <c r="H1066" s="7">
        <v>1980</v>
      </c>
      <c r="I1066" s="7">
        <v>10</v>
      </c>
      <c r="K1066" s="7">
        <v>7</v>
      </c>
      <c r="M1066" s="7">
        <v>4</v>
      </c>
      <c r="N1066" s="7">
        <v>31</v>
      </c>
      <c r="O1066" s="7">
        <v>52</v>
      </c>
      <c r="T1066" s="12"/>
      <c r="V1066" cm="1">
        <f t="array" ref="V1066">_xlfn.LET(
_xlpm.x,_xlfn._xlws.FILTER(O1066:S1066,(O1066:S1066&lt;&gt;"R")*(O1066:S1066&lt;&gt;"NA")*(O1066:S1066&lt;&gt;"W")*(O1066:S1066&lt;&gt;"")),
IF(COUNTA(_xlpm.x)=0,"NA",IF(MIN(_xlpm.x)=MAX(_xlpm.x),MIN(_xlpm.x),"review"))
)</f>
        <v>52</v>
      </c>
    </row>
    <row r="1067" spans="1:22" ht="15.75" hidden="1" customHeight="1" x14ac:dyDescent="0.25">
      <c r="A1067" s="7" t="s">
        <v>194</v>
      </c>
      <c r="B1067" s="8">
        <v>8</v>
      </c>
      <c r="C1067" s="8" t="s">
        <v>195</v>
      </c>
      <c r="D1067" s="9"/>
      <c r="E1067" s="7" t="s">
        <v>25</v>
      </c>
      <c r="F1067" s="7" t="s">
        <v>196</v>
      </c>
      <c r="G1067" s="7" t="s">
        <v>197</v>
      </c>
      <c r="H1067" s="7">
        <v>1980</v>
      </c>
      <c r="I1067" s="7">
        <v>10</v>
      </c>
      <c r="K1067" s="7">
        <v>7</v>
      </c>
      <c r="M1067" s="7">
        <v>4</v>
      </c>
      <c r="N1067" s="7">
        <v>32</v>
      </c>
      <c r="O1067" s="7">
        <v>52</v>
      </c>
      <c r="T1067" s="12"/>
      <c r="U1067" s="7" t="s">
        <v>221</v>
      </c>
      <c r="V1067" cm="1">
        <f t="array" ref="V1067">_xlfn.LET(
_xlpm.x,_xlfn._xlws.FILTER(O1067:S1067,(O1067:S1067&lt;&gt;"R")*(O1067:S1067&lt;&gt;"NA")*(O1067:S1067&lt;&gt;"W")*(O1067:S1067&lt;&gt;"")),
IF(COUNTA(_xlpm.x)=0,"NA",IF(MIN(_xlpm.x)=MAX(_xlpm.x),MIN(_xlpm.x),"review"))
)</f>
        <v>52</v>
      </c>
    </row>
    <row r="1068" spans="1:22" ht="15.75" hidden="1" customHeight="1" x14ac:dyDescent="0.25">
      <c r="A1068" s="7" t="s">
        <v>194</v>
      </c>
      <c r="B1068" s="8">
        <v>8</v>
      </c>
      <c r="C1068" s="8" t="s">
        <v>195</v>
      </c>
      <c r="D1068" s="9"/>
      <c r="E1068" s="7" t="s">
        <v>25</v>
      </c>
      <c r="F1068" s="7" t="s">
        <v>196</v>
      </c>
      <c r="G1068" s="7" t="s">
        <v>197</v>
      </c>
      <c r="H1068" s="7">
        <v>1980</v>
      </c>
      <c r="I1068" s="7">
        <v>10</v>
      </c>
      <c r="K1068" s="7">
        <v>7</v>
      </c>
      <c r="M1068" s="7">
        <v>4</v>
      </c>
      <c r="N1068" s="7">
        <v>33</v>
      </c>
      <c r="O1068" s="7">
        <v>42</v>
      </c>
      <c r="T1068" s="12"/>
      <c r="U1068" s="7" t="s">
        <v>221</v>
      </c>
      <c r="V1068" cm="1">
        <f t="array" ref="V1068">_xlfn.LET(
_xlpm.x,_xlfn._xlws.FILTER(O1068:S1068,(O1068:S1068&lt;&gt;"R")*(O1068:S1068&lt;&gt;"NA")*(O1068:S1068&lt;&gt;"W")*(O1068:S1068&lt;&gt;"")),
IF(COUNTA(_xlpm.x)=0,"NA",IF(MIN(_xlpm.x)=MAX(_xlpm.x),MIN(_xlpm.x),"review"))
)</f>
        <v>42</v>
      </c>
    </row>
    <row r="1069" spans="1:22" ht="15.75" hidden="1" customHeight="1" x14ac:dyDescent="0.25">
      <c r="A1069" s="7" t="s">
        <v>194</v>
      </c>
      <c r="B1069" s="8">
        <v>8</v>
      </c>
      <c r="C1069" s="8" t="s">
        <v>195</v>
      </c>
      <c r="D1069" s="9"/>
      <c r="E1069" s="7" t="s">
        <v>25</v>
      </c>
      <c r="F1069" s="7" t="s">
        <v>196</v>
      </c>
      <c r="G1069" s="7" t="s">
        <v>197</v>
      </c>
      <c r="H1069" s="7">
        <v>1980</v>
      </c>
      <c r="I1069" s="7">
        <v>10</v>
      </c>
      <c r="K1069" s="7">
        <v>7</v>
      </c>
      <c r="M1069" s="7">
        <v>4</v>
      </c>
      <c r="N1069" s="7">
        <v>34</v>
      </c>
      <c r="O1069" s="7">
        <v>52</v>
      </c>
      <c r="T1069" s="12"/>
      <c r="V1069" cm="1">
        <f t="array" ref="V1069">_xlfn.LET(
_xlpm.x,_xlfn._xlws.FILTER(O1069:S1069,(O1069:S1069&lt;&gt;"R")*(O1069:S1069&lt;&gt;"NA")*(O1069:S1069&lt;&gt;"W")*(O1069:S1069&lt;&gt;"")),
IF(COUNTA(_xlpm.x)=0,"NA",IF(MIN(_xlpm.x)=MAX(_xlpm.x),MIN(_xlpm.x),"review"))
)</f>
        <v>52</v>
      </c>
    </row>
    <row r="1070" spans="1:22" ht="15.75" hidden="1" customHeight="1" x14ac:dyDescent="0.25">
      <c r="A1070" s="7" t="s">
        <v>194</v>
      </c>
      <c r="B1070" s="8">
        <v>8</v>
      </c>
      <c r="C1070" s="8" t="s">
        <v>195</v>
      </c>
      <c r="D1070" s="9"/>
      <c r="E1070" s="7" t="s">
        <v>25</v>
      </c>
      <c r="F1070" s="7" t="s">
        <v>196</v>
      </c>
      <c r="G1070" s="7" t="s">
        <v>197</v>
      </c>
      <c r="H1070" s="7">
        <v>1980</v>
      </c>
      <c r="I1070" s="7">
        <v>10</v>
      </c>
      <c r="K1070" s="7">
        <v>7</v>
      </c>
      <c r="M1070" s="7">
        <v>4</v>
      </c>
      <c r="N1070" s="7">
        <v>35</v>
      </c>
      <c r="O1070" s="7" t="s">
        <v>29</v>
      </c>
      <c r="T1070" s="12"/>
      <c r="V1070" t="s">
        <v>29</v>
      </c>
    </row>
    <row r="1071" spans="1:22" ht="15.75" hidden="1" customHeight="1" x14ac:dyDescent="0.25">
      <c r="A1071" s="7" t="s">
        <v>194</v>
      </c>
      <c r="B1071" s="8">
        <v>8</v>
      </c>
      <c r="C1071" s="8" t="s">
        <v>195</v>
      </c>
      <c r="D1071" s="9"/>
      <c r="E1071" s="7" t="s">
        <v>25</v>
      </c>
      <c r="F1071" s="7" t="s">
        <v>196</v>
      </c>
      <c r="G1071" s="7" t="s">
        <v>197</v>
      </c>
      <c r="H1071" s="7">
        <v>1980</v>
      </c>
      <c r="I1071" s="7">
        <v>10</v>
      </c>
      <c r="K1071" s="7">
        <v>7</v>
      </c>
      <c r="M1071" s="7">
        <v>4</v>
      </c>
      <c r="N1071" s="7">
        <v>36</v>
      </c>
      <c r="O1071" s="7">
        <v>52</v>
      </c>
      <c r="T1071" s="12"/>
      <c r="V1071" cm="1">
        <f t="array" ref="V1071">_xlfn.LET(
_xlpm.x,_xlfn._xlws.FILTER(O1071:S1071,(O1071:S1071&lt;&gt;"R")*(O1071:S1071&lt;&gt;"NA")*(O1071:S1071&lt;&gt;"W")*(O1071:S1071&lt;&gt;"")),
IF(COUNTA(_xlpm.x)=0,"NA",IF(MIN(_xlpm.x)=MAX(_xlpm.x),MIN(_xlpm.x),"review"))
)</f>
        <v>52</v>
      </c>
    </row>
    <row r="1072" spans="1:22" ht="15.75" hidden="1" customHeight="1" x14ac:dyDescent="0.25">
      <c r="A1072" s="7" t="s">
        <v>194</v>
      </c>
      <c r="B1072" s="8">
        <v>8</v>
      </c>
      <c r="C1072" s="8" t="s">
        <v>195</v>
      </c>
      <c r="D1072" s="9"/>
      <c r="E1072" s="7" t="s">
        <v>25</v>
      </c>
      <c r="F1072" s="7" t="s">
        <v>196</v>
      </c>
      <c r="G1072" s="7" t="s">
        <v>197</v>
      </c>
      <c r="H1072" s="7">
        <v>1980</v>
      </c>
      <c r="I1072" s="7">
        <v>10</v>
      </c>
      <c r="K1072" s="7">
        <v>7</v>
      </c>
      <c r="M1072" s="7">
        <v>4</v>
      </c>
      <c r="N1072" s="7">
        <v>37</v>
      </c>
      <c r="T1072" s="12" t="s">
        <v>218</v>
      </c>
      <c r="V1072" t="s">
        <v>29</v>
      </c>
    </row>
    <row r="1073" spans="1:22" ht="15.75" hidden="1" customHeight="1" x14ac:dyDescent="0.25">
      <c r="A1073" s="7" t="s">
        <v>194</v>
      </c>
      <c r="B1073" s="8">
        <v>8</v>
      </c>
      <c r="C1073" s="8" t="s">
        <v>195</v>
      </c>
      <c r="D1073" s="9"/>
      <c r="E1073" s="7" t="s">
        <v>25</v>
      </c>
      <c r="F1073" s="7" t="s">
        <v>196</v>
      </c>
      <c r="G1073" s="7" t="s">
        <v>197</v>
      </c>
      <c r="H1073" s="7">
        <v>1980</v>
      </c>
      <c r="I1073" s="7">
        <v>10</v>
      </c>
      <c r="K1073" s="7">
        <v>7</v>
      </c>
      <c r="M1073" s="7">
        <v>4</v>
      </c>
      <c r="N1073" s="7">
        <v>38</v>
      </c>
      <c r="O1073" s="7">
        <v>42</v>
      </c>
      <c r="T1073" s="12"/>
      <c r="V1073" cm="1">
        <f t="array" ref="V1073">_xlfn.LET(
_xlpm.x,_xlfn._xlws.FILTER(O1073:S1073,(O1073:S1073&lt;&gt;"R")*(O1073:S1073&lt;&gt;"NA")*(O1073:S1073&lt;&gt;"W")*(O1073:S1073&lt;&gt;"")),
IF(COUNTA(_xlpm.x)=0,"NA",IF(MIN(_xlpm.x)=MAX(_xlpm.x),MIN(_xlpm.x),"review"))
)</f>
        <v>42</v>
      </c>
    </row>
    <row r="1074" spans="1:22" ht="15.75" hidden="1" customHeight="1" x14ac:dyDescent="0.25">
      <c r="A1074" s="7" t="s">
        <v>194</v>
      </c>
      <c r="B1074" s="8">
        <v>8</v>
      </c>
      <c r="C1074" s="8" t="s">
        <v>195</v>
      </c>
      <c r="D1074" s="9"/>
      <c r="E1074" s="7" t="s">
        <v>25</v>
      </c>
      <c r="F1074" s="7" t="s">
        <v>196</v>
      </c>
      <c r="G1074" s="7" t="s">
        <v>197</v>
      </c>
      <c r="H1074" s="7">
        <v>1980</v>
      </c>
      <c r="I1074" s="7">
        <v>10</v>
      </c>
      <c r="K1074" s="7">
        <v>7</v>
      </c>
      <c r="M1074" s="7">
        <v>4</v>
      </c>
      <c r="N1074" s="7">
        <v>39</v>
      </c>
      <c r="O1074" s="7">
        <v>42</v>
      </c>
      <c r="T1074" s="12"/>
      <c r="V1074" cm="1">
        <f t="array" ref="V1074">_xlfn.LET(
_xlpm.x,_xlfn._xlws.FILTER(O1074:S1074,(O1074:S1074&lt;&gt;"R")*(O1074:S1074&lt;&gt;"NA")*(O1074:S1074&lt;&gt;"W")*(O1074:S1074&lt;&gt;"")),
IF(COUNTA(_xlpm.x)=0,"NA",IF(MIN(_xlpm.x)=MAX(_xlpm.x),MIN(_xlpm.x),"review"))
)</f>
        <v>42</v>
      </c>
    </row>
    <row r="1075" spans="1:22" ht="15.75" hidden="1" customHeight="1" x14ac:dyDescent="0.25">
      <c r="A1075" s="7" t="s">
        <v>194</v>
      </c>
      <c r="B1075" s="8">
        <v>8</v>
      </c>
      <c r="C1075" s="8" t="s">
        <v>195</v>
      </c>
      <c r="D1075" s="9"/>
      <c r="E1075" s="7" t="s">
        <v>25</v>
      </c>
      <c r="F1075" s="7" t="s">
        <v>196</v>
      </c>
      <c r="G1075" s="7" t="s">
        <v>197</v>
      </c>
      <c r="H1075" s="7">
        <v>1980</v>
      </c>
      <c r="I1075" s="7">
        <v>10</v>
      </c>
      <c r="K1075" s="7">
        <v>7</v>
      </c>
      <c r="M1075" s="7">
        <v>4</v>
      </c>
      <c r="N1075" s="7">
        <v>40</v>
      </c>
      <c r="O1075" s="7" t="s">
        <v>28</v>
      </c>
      <c r="T1075" s="12"/>
      <c r="U1075" s="7" t="s">
        <v>222</v>
      </c>
      <c r="V1075" t="s">
        <v>29</v>
      </c>
    </row>
    <row r="1076" spans="1:22" ht="15.75" hidden="1" customHeight="1" x14ac:dyDescent="0.25">
      <c r="A1076" s="7" t="s">
        <v>194</v>
      </c>
      <c r="B1076" s="8">
        <v>8</v>
      </c>
      <c r="C1076" s="8" t="s">
        <v>195</v>
      </c>
      <c r="D1076" s="9"/>
      <c r="E1076" s="7" t="s">
        <v>25</v>
      </c>
      <c r="F1076" s="7" t="s">
        <v>196</v>
      </c>
      <c r="G1076" s="7" t="s">
        <v>197</v>
      </c>
      <c r="H1076" s="7">
        <v>1980</v>
      </c>
      <c r="I1076" s="7">
        <v>10</v>
      </c>
      <c r="K1076" s="7">
        <v>7</v>
      </c>
      <c r="M1076" s="7">
        <v>4</v>
      </c>
      <c r="N1076" s="7">
        <v>41</v>
      </c>
      <c r="O1076" s="7">
        <v>53</v>
      </c>
      <c r="T1076" s="12"/>
      <c r="V1076" cm="1">
        <f t="array" ref="V1076">_xlfn.LET(
_xlpm.x,_xlfn._xlws.FILTER(O1076:S1076,(O1076:S1076&lt;&gt;"R")*(O1076:S1076&lt;&gt;"NA")*(O1076:S1076&lt;&gt;"W")*(O1076:S1076&lt;&gt;"")),
IF(COUNTA(_xlpm.x)=0,"NA",IF(MIN(_xlpm.x)=MAX(_xlpm.x),MIN(_xlpm.x),"review"))
)</f>
        <v>53</v>
      </c>
    </row>
    <row r="1077" spans="1:22" ht="15.75" hidden="1" customHeight="1" x14ac:dyDescent="0.25">
      <c r="A1077" s="7" t="s">
        <v>194</v>
      </c>
      <c r="B1077" s="8">
        <v>8</v>
      </c>
      <c r="C1077" s="8" t="s">
        <v>195</v>
      </c>
      <c r="D1077" s="9"/>
      <c r="E1077" s="7" t="s">
        <v>25</v>
      </c>
      <c r="F1077" s="7" t="s">
        <v>196</v>
      </c>
      <c r="G1077" s="7" t="s">
        <v>197</v>
      </c>
      <c r="H1077" s="7">
        <v>1980</v>
      </c>
      <c r="I1077" s="7">
        <v>10</v>
      </c>
      <c r="K1077" s="7">
        <v>7</v>
      </c>
      <c r="M1077" s="7">
        <v>4</v>
      </c>
      <c r="N1077" s="7">
        <v>42</v>
      </c>
      <c r="O1077" s="7">
        <v>42</v>
      </c>
      <c r="T1077" s="12"/>
      <c r="V1077" cm="1">
        <f t="array" ref="V1077">_xlfn.LET(
_xlpm.x,_xlfn._xlws.FILTER(O1077:S1077,(O1077:S1077&lt;&gt;"R")*(O1077:S1077&lt;&gt;"NA")*(O1077:S1077&lt;&gt;"W")*(O1077:S1077&lt;&gt;"")),
IF(COUNTA(_xlpm.x)=0,"NA",IF(MIN(_xlpm.x)=MAX(_xlpm.x),MIN(_xlpm.x),"review"))
)</f>
        <v>42</v>
      </c>
    </row>
    <row r="1078" spans="1:22" ht="15.75" hidden="1" customHeight="1" x14ac:dyDescent="0.25">
      <c r="A1078" s="7" t="s">
        <v>194</v>
      </c>
      <c r="B1078" s="8">
        <v>8</v>
      </c>
      <c r="C1078" s="8" t="s">
        <v>195</v>
      </c>
      <c r="D1078" s="9"/>
      <c r="E1078" s="7" t="s">
        <v>25</v>
      </c>
      <c r="F1078" s="7" t="s">
        <v>196</v>
      </c>
      <c r="G1078" s="7" t="s">
        <v>197</v>
      </c>
      <c r="H1078" s="7">
        <v>1980</v>
      </c>
      <c r="I1078" s="7">
        <v>10</v>
      </c>
      <c r="K1078" s="7">
        <v>7</v>
      </c>
      <c r="M1078" s="7">
        <v>4</v>
      </c>
      <c r="N1078" s="7">
        <v>43</v>
      </c>
      <c r="O1078" s="7">
        <v>52</v>
      </c>
      <c r="T1078" s="12"/>
      <c r="V1078" cm="1">
        <f t="array" ref="V1078">_xlfn.LET(
_xlpm.x,_xlfn._xlws.FILTER(O1078:S1078,(O1078:S1078&lt;&gt;"R")*(O1078:S1078&lt;&gt;"NA")*(O1078:S1078&lt;&gt;"W")*(O1078:S1078&lt;&gt;"")),
IF(COUNTA(_xlpm.x)=0,"NA",IF(MIN(_xlpm.x)=MAX(_xlpm.x),MIN(_xlpm.x),"review"))
)</f>
        <v>52</v>
      </c>
    </row>
    <row r="1079" spans="1:22" ht="15.75" hidden="1" customHeight="1" x14ac:dyDescent="0.25">
      <c r="A1079" s="7" t="s">
        <v>194</v>
      </c>
      <c r="B1079" s="8">
        <v>8</v>
      </c>
      <c r="C1079" s="8" t="s">
        <v>195</v>
      </c>
      <c r="D1079" s="9"/>
      <c r="E1079" s="7" t="s">
        <v>25</v>
      </c>
      <c r="F1079" s="7" t="s">
        <v>196</v>
      </c>
      <c r="G1079" s="7" t="s">
        <v>197</v>
      </c>
      <c r="H1079" s="7">
        <v>1980</v>
      </c>
      <c r="I1079" s="7">
        <v>10</v>
      </c>
      <c r="K1079" s="7">
        <v>7</v>
      </c>
      <c r="M1079" s="7">
        <v>4</v>
      </c>
      <c r="N1079" s="7">
        <v>44</v>
      </c>
      <c r="O1079" s="7">
        <v>42</v>
      </c>
      <c r="T1079" s="12"/>
      <c r="V1079" cm="1">
        <f t="array" ref="V1079">_xlfn.LET(
_xlpm.x,_xlfn._xlws.FILTER(O1079:S1079,(O1079:S1079&lt;&gt;"R")*(O1079:S1079&lt;&gt;"NA")*(O1079:S1079&lt;&gt;"W")*(O1079:S1079&lt;&gt;"")),
IF(COUNTA(_xlpm.x)=0,"NA",IF(MIN(_xlpm.x)=MAX(_xlpm.x),MIN(_xlpm.x),"review"))
)</f>
        <v>42</v>
      </c>
    </row>
    <row r="1080" spans="1:22" ht="15.75" hidden="1" customHeight="1" x14ac:dyDescent="0.25">
      <c r="A1080" s="7" t="s">
        <v>194</v>
      </c>
      <c r="B1080" s="8">
        <v>8</v>
      </c>
      <c r="C1080" s="8" t="s">
        <v>195</v>
      </c>
      <c r="D1080" s="9"/>
      <c r="E1080" s="7" t="s">
        <v>25</v>
      </c>
      <c r="F1080" s="7" t="s">
        <v>196</v>
      </c>
      <c r="G1080" s="7" t="s">
        <v>197</v>
      </c>
      <c r="H1080" s="7">
        <v>1980</v>
      </c>
      <c r="I1080" s="7">
        <v>10</v>
      </c>
      <c r="K1080" s="7">
        <v>7</v>
      </c>
      <c r="M1080" s="7">
        <v>4</v>
      </c>
      <c r="N1080" s="7">
        <v>45</v>
      </c>
      <c r="O1080" s="7">
        <v>52</v>
      </c>
      <c r="T1080" s="12"/>
      <c r="V1080" cm="1">
        <f t="array" ref="V1080">_xlfn.LET(
_xlpm.x,_xlfn._xlws.FILTER(O1080:S1080,(O1080:S1080&lt;&gt;"R")*(O1080:S1080&lt;&gt;"NA")*(O1080:S1080&lt;&gt;"W")*(O1080:S1080&lt;&gt;"")),
IF(COUNTA(_xlpm.x)=0,"NA",IF(MIN(_xlpm.x)=MAX(_xlpm.x),MIN(_xlpm.x),"review"))
)</f>
        <v>52</v>
      </c>
    </row>
    <row r="1081" spans="1:22" ht="15.75" hidden="1" customHeight="1" x14ac:dyDescent="0.25">
      <c r="A1081" s="7" t="s">
        <v>194</v>
      </c>
      <c r="B1081" s="8">
        <v>8</v>
      </c>
      <c r="C1081" s="8" t="s">
        <v>195</v>
      </c>
      <c r="D1081" s="9"/>
      <c r="E1081" s="7" t="s">
        <v>25</v>
      </c>
      <c r="F1081" s="7" t="s">
        <v>196</v>
      </c>
      <c r="G1081" s="7" t="s">
        <v>197</v>
      </c>
      <c r="H1081" s="7">
        <v>1980</v>
      </c>
      <c r="I1081" s="7">
        <v>10</v>
      </c>
      <c r="K1081" s="7">
        <v>7</v>
      </c>
      <c r="M1081" s="7">
        <v>4</v>
      </c>
      <c r="N1081" s="7">
        <v>46</v>
      </c>
      <c r="O1081" s="7">
        <v>42</v>
      </c>
      <c r="T1081" s="12"/>
      <c r="V1081" cm="1">
        <f t="array" ref="V1081">_xlfn.LET(
_xlpm.x,_xlfn._xlws.FILTER(O1081:S1081,(O1081:S1081&lt;&gt;"R")*(O1081:S1081&lt;&gt;"NA")*(O1081:S1081&lt;&gt;"W")*(O1081:S1081&lt;&gt;"")),
IF(COUNTA(_xlpm.x)=0,"NA",IF(MIN(_xlpm.x)=MAX(_xlpm.x),MIN(_xlpm.x),"review"))
)</f>
        <v>42</v>
      </c>
    </row>
    <row r="1082" spans="1:22" ht="15.75" hidden="1" customHeight="1" x14ac:dyDescent="0.25">
      <c r="A1082" s="7" t="s">
        <v>194</v>
      </c>
      <c r="B1082" s="8">
        <v>8</v>
      </c>
      <c r="C1082" s="8" t="s">
        <v>195</v>
      </c>
      <c r="D1082" s="9"/>
      <c r="E1082" s="7" t="s">
        <v>25</v>
      </c>
      <c r="F1082" s="7" t="s">
        <v>196</v>
      </c>
      <c r="G1082" s="7" t="s">
        <v>197</v>
      </c>
      <c r="H1082" s="7">
        <v>1980</v>
      </c>
      <c r="I1082" s="7">
        <v>10</v>
      </c>
      <c r="K1082" s="7">
        <v>7</v>
      </c>
      <c r="M1082" s="7">
        <v>4</v>
      </c>
      <c r="N1082" s="7">
        <v>47</v>
      </c>
      <c r="O1082" s="7" t="s">
        <v>28</v>
      </c>
      <c r="T1082" s="12"/>
      <c r="V1082" t="s">
        <v>29</v>
      </c>
    </row>
    <row r="1083" spans="1:22" ht="15.75" hidden="1" customHeight="1" x14ac:dyDescent="0.25">
      <c r="A1083" s="7" t="s">
        <v>194</v>
      </c>
      <c r="B1083" s="8">
        <v>8</v>
      </c>
      <c r="C1083" s="8" t="s">
        <v>195</v>
      </c>
      <c r="D1083" s="9"/>
      <c r="E1083" s="7" t="s">
        <v>25</v>
      </c>
      <c r="F1083" s="7" t="s">
        <v>196</v>
      </c>
      <c r="G1083" s="7" t="s">
        <v>197</v>
      </c>
      <c r="H1083" s="7">
        <v>1980</v>
      </c>
      <c r="I1083" s="7">
        <v>10</v>
      </c>
      <c r="K1083" s="7">
        <v>7</v>
      </c>
      <c r="M1083" s="7">
        <v>4</v>
      </c>
      <c r="N1083" s="7">
        <v>48</v>
      </c>
      <c r="O1083" s="7">
        <v>42</v>
      </c>
      <c r="T1083" s="12"/>
      <c r="V1083" cm="1">
        <f t="array" ref="V1083">_xlfn.LET(
_xlpm.x,_xlfn._xlws.FILTER(O1083:S1083,(O1083:S1083&lt;&gt;"R")*(O1083:S1083&lt;&gt;"NA")*(O1083:S1083&lt;&gt;"W")*(O1083:S1083&lt;&gt;"")),
IF(COUNTA(_xlpm.x)=0,"NA",IF(MIN(_xlpm.x)=MAX(_xlpm.x),MIN(_xlpm.x),"review"))
)</f>
        <v>42</v>
      </c>
    </row>
    <row r="1084" spans="1:22" ht="15.75" hidden="1" customHeight="1" x14ac:dyDescent="0.25">
      <c r="A1084" s="7" t="s">
        <v>194</v>
      </c>
      <c r="B1084" s="8">
        <v>8</v>
      </c>
      <c r="C1084" s="8" t="s">
        <v>195</v>
      </c>
      <c r="D1084" s="9"/>
      <c r="E1084" s="7" t="s">
        <v>25</v>
      </c>
      <c r="F1084" s="7" t="s">
        <v>196</v>
      </c>
      <c r="G1084" s="7" t="s">
        <v>197</v>
      </c>
      <c r="H1084" s="7">
        <v>1980</v>
      </c>
      <c r="I1084" s="7">
        <v>10</v>
      </c>
      <c r="K1084" s="7">
        <v>7</v>
      </c>
      <c r="M1084" s="7">
        <v>4</v>
      </c>
      <c r="N1084" s="7">
        <v>49</v>
      </c>
      <c r="O1084" s="7">
        <v>42</v>
      </c>
      <c r="T1084" s="12"/>
      <c r="U1084" s="7" t="s">
        <v>221</v>
      </c>
      <c r="V1084" cm="1">
        <f t="array" ref="V1084">_xlfn.LET(
_xlpm.x,_xlfn._xlws.FILTER(O1084:S1084,(O1084:S1084&lt;&gt;"R")*(O1084:S1084&lt;&gt;"NA")*(O1084:S1084&lt;&gt;"W")*(O1084:S1084&lt;&gt;"")),
IF(COUNTA(_xlpm.x)=0,"NA",IF(MIN(_xlpm.x)=MAX(_xlpm.x),MIN(_xlpm.x),"review"))
)</f>
        <v>42</v>
      </c>
    </row>
    <row r="1085" spans="1:22" ht="15.75" hidden="1" customHeight="1" x14ac:dyDescent="0.25">
      <c r="A1085" s="7" t="s">
        <v>194</v>
      </c>
      <c r="B1085" s="8">
        <v>8</v>
      </c>
      <c r="C1085" s="8" t="s">
        <v>195</v>
      </c>
      <c r="D1085" s="9"/>
      <c r="E1085" s="7" t="s">
        <v>25</v>
      </c>
      <c r="F1085" s="7" t="s">
        <v>196</v>
      </c>
      <c r="G1085" s="7" t="s">
        <v>197</v>
      </c>
      <c r="H1085" s="7">
        <v>1980</v>
      </c>
      <c r="I1085" s="7">
        <v>10</v>
      </c>
      <c r="K1085" s="7">
        <v>7</v>
      </c>
      <c r="M1085" s="7">
        <v>4</v>
      </c>
      <c r="N1085" s="7">
        <v>50</v>
      </c>
      <c r="O1085" s="7">
        <v>52</v>
      </c>
      <c r="T1085" s="12"/>
      <c r="V1085" cm="1">
        <f t="array" ref="V1085">_xlfn.LET(
_xlpm.x,_xlfn._xlws.FILTER(O1085:S1085,(O1085:S1085&lt;&gt;"R")*(O1085:S1085&lt;&gt;"NA")*(O1085:S1085&lt;&gt;"W")*(O1085:S1085&lt;&gt;"")),
IF(COUNTA(_xlpm.x)=0,"NA",IF(MIN(_xlpm.x)=MAX(_xlpm.x),MIN(_xlpm.x),"review"))
)</f>
        <v>52</v>
      </c>
    </row>
    <row r="1086" spans="1:22" ht="15.75" hidden="1" customHeight="1" x14ac:dyDescent="0.25">
      <c r="A1086" s="7" t="s">
        <v>194</v>
      </c>
      <c r="B1086" s="8">
        <v>8</v>
      </c>
      <c r="C1086" s="8" t="s">
        <v>195</v>
      </c>
      <c r="D1086" s="9"/>
      <c r="E1086" s="7" t="s">
        <v>25</v>
      </c>
      <c r="F1086" s="7" t="s">
        <v>196</v>
      </c>
      <c r="G1086" s="7" t="s">
        <v>197</v>
      </c>
      <c r="H1086" s="7">
        <v>1980</v>
      </c>
      <c r="I1086" s="7">
        <v>10</v>
      </c>
      <c r="K1086" s="7">
        <v>7</v>
      </c>
      <c r="M1086" s="7">
        <v>5</v>
      </c>
      <c r="N1086" s="7">
        <v>1</v>
      </c>
      <c r="T1086" s="12" t="s">
        <v>218</v>
      </c>
      <c r="V1086" t="s">
        <v>29</v>
      </c>
    </row>
    <row r="1087" spans="1:22" ht="15.75" hidden="1" customHeight="1" x14ac:dyDescent="0.25">
      <c r="A1087" s="7" t="s">
        <v>194</v>
      </c>
      <c r="B1087" s="8">
        <v>8</v>
      </c>
      <c r="C1087" s="8" t="s">
        <v>195</v>
      </c>
      <c r="D1087" s="9"/>
      <c r="E1087" s="7" t="s">
        <v>25</v>
      </c>
      <c r="F1087" s="7" t="s">
        <v>196</v>
      </c>
      <c r="G1087" s="7" t="s">
        <v>197</v>
      </c>
      <c r="H1087" s="7">
        <v>1980</v>
      </c>
      <c r="I1087" s="7">
        <v>10</v>
      </c>
      <c r="K1087" s="7">
        <v>7</v>
      </c>
      <c r="M1087" s="7">
        <v>5</v>
      </c>
      <c r="N1087" s="7">
        <v>2</v>
      </c>
      <c r="O1087" s="7">
        <v>52</v>
      </c>
      <c r="T1087" s="12"/>
      <c r="V1087" cm="1">
        <f t="array" ref="V1087">_xlfn.LET(
_xlpm.x,_xlfn._xlws.FILTER(O1087:S1087,(O1087:S1087&lt;&gt;"R")*(O1087:S1087&lt;&gt;"NA")*(O1087:S1087&lt;&gt;"W")*(O1087:S1087&lt;&gt;"")),
IF(COUNTA(_xlpm.x)=0,"NA",IF(MIN(_xlpm.x)=MAX(_xlpm.x),MIN(_xlpm.x),"review"))
)</f>
        <v>52</v>
      </c>
    </row>
    <row r="1088" spans="1:22" ht="15.75" hidden="1" customHeight="1" x14ac:dyDescent="0.25">
      <c r="A1088" s="7" t="s">
        <v>194</v>
      </c>
      <c r="B1088" s="8">
        <v>8</v>
      </c>
      <c r="C1088" s="8" t="s">
        <v>195</v>
      </c>
      <c r="D1088" s="9"/>
      <c r="E1088" s="7" t="s">
        <v>25</v>
      </c>
      <c r="F1088" s="7" t="s">
        <v>196</v>
      </c>
      <c r="G1088" s="7" t="s">
        <v>197</v>
      </c>
      <c r="H1088" s="7">
        <v>1980</v>
      </c>
      <c r="I1088" s="7">
        <v>10</v>
      </c>
      <c r="K1088" s="7">
        <v>7</v>
      </c>
      <c r="M1088" s="7">
        <v>5</v>
      </c>
      <c r="N1088" s="7">
        <v>3</v>
      </c>
      <c r="O1088" s="7">
        <v>52</v>
      </c>
      <c r="T1088" s="12"/>
      <c r="U1088" s="7" t="s">
        <v>221</v>
      </c>
      <c r="V1088" cm="1">
        <f t="array" ref="V1088">_xlfn.LET(
_xlpm.x,_xlfn._xlws.FILTER(O1088:S1088,(O1088:S1088&lt;&gt;"R")*(O1088:S1088&lt;&gt;"NA")*(O1088:S1088&lt;&gt;"W")*(O1088:S1088&lt;&gt;"")),
IF(COUNTA(_xlpm.x)=0,"NA",IF(MIN(_xlpm.x)=MAX(_xlpm.x),MIN(_xlpm.x),"review"))
)</f>
        <v>52</v>
      </c>
    </row>
    <row r="1089" spans="1:22" ht="15.75" hidden="1" customHeight="1" x14ac:dyDescent="0.25">
      <c r="A1089" s="7" t="s">
        <v>194</v>
      </c>
      <c r="B1089" s="8">
        <v>8</v>
      </c>
      <c r="C1089" s="8" t="s">
        <v>195</v>
      </c>
      <c r="D1089" s="9"/>
      <c r="E1089" s="7" t="s">
        <v>25</v>
      </c>
      <c r="F1089" s="7" t="s">
        <v>196</v>
      </c>
      <c r="G1089" s="7" t="s">
        <v>197</v>
      </c>
      <c r="H1089" s="7">
        <v>1980</v>
      </c>
      <c r="I1089" s="7">
        <v>10</v>
      </c>
      <c r="K1089" s="7">
        <v>7</v>
      </c>
      <c r="M1089" s="7">
        <v>5</v>
      </c>
      <c r="N1089" s="7">
        <v>4</v>
      </c>
      <c r="O1089" s="7" t="s">
        <v>28</v>
      </c>
      <c r="T1089" s="12"/>
      <c r="V1089" t="s">
        <v>29</v>
      </c>
    </row>
    <row r="1090" spans="1:22" ht="15.75" hidden="1" customHeight="1" x14ac:dyDescent="0.25">
      <c r="A1090" s="7" t="s">
        <v>194</v>
      </c>
      <c r="B1090" s="8">
        <v>8</v>
      </c>
      <c r="C1090" s="8" t="s">
        <v>195</v>
      </c>
      <c r="D1090" s="9"/>
      <c r="E1090" s="7" t="s">
        <v>25</v>
      </c>
      <c r="F1090" s="7" t="s">
        <v>196</v>
      </c>
      <c r="G1090" s="7" t="s">
        <v>197</v>
      </c>
      <c r="H1090" s="7">
        <v>1980</v>
      </c>
      <c r="I1090" s="7">
        <v>10</v>
      </c>
      <c r="K1090" s="7">
        <v>7</v>
      </c>
      <c r="M1090" s="7">
        <v>5</v>
      </c>
      <c r="N1090" s="7">
        <v>5</v>
      </c>
      <c r="O1090" s="7">
        <v>52</v>
      </c>
      <c r="T1090" s="12"/>
      <c r="V1090" cm="1">
        <f t="array" ref="V1090">_xlfn.LET(
_xlpm.x,_xlfn._xlws.FILTER(O1090:S1090,(O1090:S1090&lt;&gt;"R")*(O1090:S1090&lt;&gt;"NA")*(O1090:S1090&lt;&gt;"W")*(O1090:S1090&lt;&gt;"")),
IF(COUNTA(_xlpm.x)=0,"NA",IF(MIN(_xlpm.x)=MAX(_xlpm.x),MIN(_xlpm.x),"review"))
)</f>
        <v>52</v>
      </c>
    </row>
    <row r="1091" spans="1:22" ht="15.75" hidden="1" customHeight="1" x14ac:dyDescent="0.25">
      <c r="A1091" s="7" t="s">
        <v>194</v>
      </c>
      <c r="B1091" s="8">
        <v>8</v>
      </c>
      <c r="C1091" s="8" t="s">
        <v>195</v>
      </c>
      <c r="D1091" s="9"/>
      <c r="E1091" s="7" t="s">
        <v>25</v>
      </c>
      <c r="F1091" s="7" t="s">
        <v>196</v>
      </c>
      <c r="G1091" s="7" t="s">
        <v>197</v>
      </c>
      <c r="H1091" s="7">
        <v>1980</v>
      </c>
      <c r="I1091" s="7">
        <v>10</v>
      </c>
      <c r="K1091" s="7">
        <v>7</v>
      </c>
      <c r="M1091" s="7">
        <v>5</v>
      </c>
      <c r="N1091" s="7">
        <v>6</v>
      </c>
      <c r="O1091" s="7">
        <v>42</v>
      </c>
      <c r="T1091" s="12"/>
      <c r="V1091" cm="1">
        <f t="array" ref="V1091">_xlfn.LET(
_xlpm.x,_xlfn._xlws.FILTER(O1091:S1091,(O1091:S1091&lt;&gt;"R")*(O1091:S1091&lt;&gt;"NA")*(O1091:S1091&lt;&gt;"W")*(O1091:S1091&lt;&gt;"")),
IF(COUNTA(_xlpm.x)=0,"NA",IF(MIN(_xlpm.x)=MAX(_xlpm.x),MIN(_xlpm.x),"review"))
)</f>
        <v>42</v>
      </c>
    </row>
    <row r="1092" spans="1:22" ht="15.75" hidden="1" customHeight="1" x14ac:dyDescent="0.25">
      <c r="A1092" s="7" t="s">
        <v>194</v>
      </c>
      <c r="B1092" s="8">
        <v>8</v>
      </c>
      <c r="C1092" s="8" t="s">
        <v>195</v>
      </c>
      <c r="D1092" s="9"/>
      <c r="E1092" s="7" t="s">
        <v>25</v>
      </c>
      <c r="F1092" s="7" t="s">
        <v>196</v>
      </c>
      <c r="G1092" s="7" t="s">
        <v>197</v>
      </c>
      <c r="H1092" s="7">
        <v>1980</v>
      </c>
      <c r="I1092" s="7">
        <v>10</v>
      </c>
      <c r="K1092" s="7">
        <v>7</v>
      </c>
      <c r="M1092" s="7">
        <v>5</v>
      </c>
      <c r="N1092" s="7">
        <v>7</v>
      </c>
      <c r="O1092" s="7">
        <v>52</v>
      </c>
      <c r="T1092" s="12"/>
      <c r="V1092" cm="1">
        <f t="array" ref="V1092">_xlfn.LET(
_xlpm.x,_xlfn._xlws.FILTER(O1092:S1092,(O1092:S1092&lt;&gt;"R")*(O1092:S1092&lt;&gt;"NA")*(O1092:S1092&lt;&gt;"W")*(O1092:S1092&lt;&gt;"")),
IF(COUNTA(_xlpm.x)=0,"NA",IF(MIN(_xlpm.x)=MAX(_xlpm.x),MIN(_xlpm.x),"review"))
)</f>
        <v>52</v>
      </c>
    </row>
    <row r="1093" spans="1:22" ht="15.75" hidden="1" customHeight="1" x14ac:dyDescent="0.25">
      <c r="A1093" s="7" t="s">
        <v>194</v>
      </c>
      <c r="B1093" s="8">
        <v>8</v>
      </c>
      <c r="C1093" s="8" t="s">
        <v>195</v>
      </c>
      <c r="D1093" s="9"/>
      <c r="E1093" s="7" t="s">
        <v>25</v>
      </c>
      <c r="F1093" s="7" t="s">
        <v>196</v>
      </c>
      <c r="G1093" s="7" t="s">
        <v>197</v>
      </c>
      <c r="H1093" s="7">
        <v>1980</v>
      </c>
      <c r="I1093" s="7">
        <v>10</v>
      </c>
      <c r="K1093" s="7">
        <v>7</v>
      </c>
      <c r="M1093" s="7">
        <v>5</v>
      </c>
      <c r="N1093" s="7">
        <v>8</v>
      </c>
      <c r="O1093" s="7" t="s">
        <v>28</v>
      </c>
      <c r="T1093" s="12"/>
      <c r="V1093" t="s">
        <v>29</v>
      </c>
    </row>
    <row r="1094" spans="1:22" ht="15.75" hidden="1" customHeight="1" x14ac:dyDescent="0.25">
      <c r="A1094" s="7" t="s">
        <v>194</v>
      </c>
      <c r="B1094" s="8">
        <v>8</v>
      </c>
      <c r="C1094" s="8" t="s">
        <v>195</v>
      </c>
      <c r="D1094" s="9"/>
      <c r="E1094" s="7" t="s">
        <v>25</v>
      </c>
      <c r="F1094" s="7" t="s">
        <v>196</v>
      </c>
      <c r="G1094" s="7" t="s">
        <v>197</v>
      </c>
      <c r="H1094" s="7">
        <v>1980</v>
      </c>
      <c r="I1094" s="7">
        <v>10</v>
      </c>
      <c r="K1094" s="7">
        <v>7</v>
      </c>
      <c r="M1094" s="7">
        <v>5</v>
      </c>
      <c r="N1094" s="7">
        <v>9</v>
      </c>
      <c r="O1094" s="7" t="s">
        <v>28</v>
      </c>
      <c r="T1094" s="12"/>
      <c r="V1094" t="s">
        <v>29</v>
      </c>
    </row>
    <row r="1095" spans="1:22" ht="15.75" hidden="1" customHeight="1" x14ac:dyDescent="0.25">
      <c r="A1095" s="7" t="s">
        <v>194</v>
      </c>
      <c r="B1095" s="8">
        <v>8</v>
      </c>
      <c r="C1095" s="8" t="s">
        <v>195</v>
      </c>
      <c r="D1095" s="9"/>
      <c r="E1095" s="7" t="s">
        <v>25</v>
      </c>
      <c r="F1095" s="7" t="s">
        <v>196</v>
      </c>
      <c r="G1095" s="7" t="s">
        <v>197</v>
      </c>
      <c r="H1095" s="7">
        <v>1980</v>
      </c>
      <c r="I1095" s="7">
        <v>10</v>
      </c>
      <c r="K1095" s="7">
        <v>7</v>
      </c>
      <c r="M1095" s="7">
        <v>5</v>
      </c>
      <c r="N1095" s="7">
        <v>10</v>
      </c>
      <c r="O1095" s="7">
        <v>52</v>
      </c>
      <c r="T1095" s="12"/>
      <c r="V1095" cm="1">
        <f t="array" ref="V1095">_xlfn.LET(
_xlpm.x,_xlfn._xlws.FILTER(O1095:S1095,(O1095:S1095&lt;&gt;"R")*(O1095:S1095&lt;&gt;"NA")*(O1095:S1095&lt;&gt;"W")*(O1095:S1095&lt;&gt;"")),
IF(COUNTA(_xlpm.x)=0,"NA",IF(MIN(_xlpm.x)=MAX(_xlpm.x),MIN(_xlpm.x),"review"))
)</f>
        <v>52</v>
      </c>
    </row>
    <row r="1096" spans="1:22" ht="15.75" hidden="1" customHeight="1" x14ac:dyDescent="0.25">
      <c r="A1096" s="7" t="s">
        <v>194</v>
      </c>
      <c r="B1096" s="8">
        <v>8</v>
      </c>
      <c r="C1096" s="8" t="s">
        <v>195</v>
      </c>
      <c r="D1096" s="9"/>
      <c r="E1096" s="7" t="s">
        <v>25</v>
      </c>
      <c r="F1096" s="7" t="s">
        <v>196</v>
      </c>
      <c r="G1096" s="7" t="s">
        <v>197</v>
      </c>
      <c r="H1096" s="7">
        <v>1980</v>
      </c>
      <c r="I1096" s="7">
        <v>10</v>
      </c>
      <c r="K1096" s="7">
        <v>7</v>
      </c>
      <c r="M1096" s="7">
        <v>5</v>
      </c>
      <c r="N1096" s="7">
        <v>11</v>
      </c>
      <c r="O1096" s="7">
        <v>52</v>
      </c>
      <c r="T1096" s="12"/>
      <c r="V1096" cm="1">
        <f t="array" ref="V1096">_xlfn.LET(
_xlpm.x,_xlfn._xlws.FILTER(O1096:S1096,(O1096:S1096&lt;&gt;"R")*(O1096:S1096&lt;&gt;"NA")*(O1096:S1096&lt;&gt;"W")*(O1096:S1096&lt;&gt;"")),
IF(COUNTA(_xlpm.x)=0,"NA",IF(MIN(_xlpm.x)=MAX(_xlpm.x),MIN(_xlpm.x),"review"))
)</f>
        <v>52</v>
      </c>
    </row>
    <row r="1097" spans="1:22" ht="15.75" hidden="1" customHeight="1" x14ac:dyDescent="0.25">
      <c r="A1097" s="7" t="s">
        <v>194</v>
      </c>
      <c r="B1097" s="8">
        <v>8</v>
      </c>
      <c r="C1097" s="8" t="s">
        <v>195</v>
      </c>
      <c r="D1097" s="9"/>
      <c r="E1097" s="7" t="s">
        <v>25</v>
      </c>
      <c r="F1097" s="7" t="s">
        <v>196</v>
      </c>
      <c r="G1097" s="7" t="s">
        <v>197</v>
      </c>
      <c r="H1097" s="7">
        <v>1980</v>
      </c>
      <c r="I1097" s="7">
        <v>10</v>
      </c>
      <c r="K1097" s="7">
        <v>7</v>
      </c>
      <c r="M1097" s="7">
        <v>5</v>
      </c>
      <c r="N1097" s="7">
        <v>12</v>
      </c>
      <c r="O1097" s="7">
        <v>52</v>
      </c>
      <c r="T1097" s="12"/>
      <c r="V1097" cm="1">
        <f t="array" ref="V1097">_xlfn.LET(
_xlpm.x,_xlfn._xlws.FILTER(O1097:S1097,(O1097:S1097&lt;&gt;"R")*(O1097:S1097&lt;&gt;"NA")*(O1097:S1097&lt;&gt;"W")*(O1097:S1097&lt;&gt;"")),
IF(COUNTA(_xlpm.x)=0,"NA",IF(MIN(_xlpm.x)=MAX(_xlpm.x),MIN(_xlpm.x),"review"))
)</f>
        <v>52</v>
      </c>
    </row>
    <row r="1098" spans="1:22" ht="15.75" hidden="1" customHeight="1" x14ac:dyDescent="0.25">
      <c r="A1098" s="7" t="s">
        <v>194</v>
      </c>
      <c r="B1098" s="8">
        <v>8</v>
      </c>
      <c r="C1098" s="8" t="s">
        <v>195</v>
      </c>
      <c r="D1098" s="9"/>
      <c r="E1098" s="7" t="s">
        <v>25</v>
      </c>
      <c r="F1098" s="7" t="s">
        <v>196</v>
      </c>
      <c r="G1098" s="7" t="s">
        <v>197</v>
      </c>
      <c r="H1098" s="7">
        <v>1980</v>
      </c>
      <c r="I1098" s="7">
        <v>10</v>
      </c>
      <c r="K1098" s="7">
        <v>7</v>
      </c>
      <c r="M1098" s="7">
        <v>5</v>
      </c>
      <c r="N1098" s="7">
        <v>13</v>
      </c>
      <c r="O1098" s="7">
        <v>52</v>
      </c>
      <c r="T1098" s="12"/>
      <c r="V1098" cm="1">
        <f t="array" ref="V1098">_xlfn.LET(
_xlpm.x,_xlfn._xlws.FILTER(O1098:S1098,(O1098:S1098&lt;&gt;"R")*(O1098:S1098&lt;&gt;"NA")*(O1098:S1098&lt;&gt;"W")*(O1098:S1098&lt;&gt;"")),
IF(COUNTA(_xlpm.x)=0,"NA",IF(MIN(_xlpm.x)=MAX(_xlpm.x),MIN(_xlpm.x),"review"))
)</f>
        <v>52</v>
      </c>
    </row>
    <row r="1099" spans="1:22" ht="15.75" hidden="1" customHeight="1" x14ac:dyDescent="0.25">
      <c r="A1099" s="7" t="s">
        <v>194</v>
      </c>
      <c r="B1099" s="8">
        <v>8</v>
      </c>
      <c r="C1099" s="8" t="s">
        <v>195</v>
      </c>
      <c r="D1099" s="9"/>
      <c r="E1099" s="7" t="s">
        <v>25</v>
      </c>
      <c r="F1099" s="7" t="s">
        <v>196</v>
      </c>
      <c r="G1099" s="7" t="s">
        <v>197</v>
      </c>
      <c r="H1099" s="7">
        <v>1980</v>
      </c>
      <c r="I1099" s="7">
        <v>10</v>
      </c>
      <c r="K1099" s="7">
        <v>7</v>
      </c>
      <c r="M1099" s="7">
        <v>5</v>
      </c>
      <c r="N1099" s="7">
        <v>14</v>
      </c>
      <c r="O1099" s="7">
        <v>42</v>
      </c>
      <c r="T1099" s="12"/>
      <c r="V1099" cm="1">
        <f t="array" ref="V1099">_xlfn.LET(
_xlpm.x,_xlfn._xlws.FILTER(O1099:S1099,(O1099:S1099&lt;&gt;"R")*(O1099:S1099&lt;&gt;"NA")*(O1099:S1099&lt;&gt;"W")*(O1099:S1099&lt;&gt;"")),
IF(COUNTA(_xlpm.x)=0,"NA",IF(MIN(_xlpm.x)=MAX(_xlpm.x),MIN(_xlpm.x),"review"))
)</f>
        <v>42</v>
      </c>
    </row>
    <row r="1100" spans="1:22" ht="15.75" hidden="1" customHeight="1" x14ac:dyDescent="0.25">
      <c r="A1100" s="7" t="s">
        <v>194</v>
      </c>
      <c r="B1100" s="8">
        <v>8</v>
      </c>
      <c r="C1100" s="8" t="s">
        <v>195</v>
      </c>
      <c r="D1100" s="9"/>
      <c r="E1100" s="7" t="s">
        <v>25</v>
      </c>
      <c r="F1100" s="7" t="s">
        <v>196</v>
      </c>
      <c r="G1100" s="7" t="s">
        <v>197</v>
      </c>
      <c r="H1100" s="7">
        <v>1980</v>
      </c>
      <c r="I1100" s="7">
        <v>10</v>
      </c>
      <c r="K1100" s="7">
        <v>7</v>
      </c>
      <c r="M1100" s="7">
        <v>5</v>
      </c>
      <c r="N1100" s="7">
        <v>15</v>
      </c>
      <c r="O1100" s="7">
        <v>52</v>
      </c>
      <c r="T1100" s="12"/>
      <c r="V1100" cm="1">
        <f t="array" ref="V1100">_xlfn.LET(
_xlpm.x,_xlfn._xlws.FILTER(O1100:S1100,(O1100:S1100&lt;&gt;"R")*(O1100:S1100&lt;&gt;"NA")*(O1100:S1100&lt;&gt;"W")*(O1100:S1100&lt;&gt;"")),
IF(COUNTA(_xlpm.x)=0,"NA",IF(MIN(_xlpm.x)=MAX(_xlpm.x),MIN(_xlpm.x),"review"))
)</f>
        <v>52</v>
      </c>
    </row>
    <row r="1101" spans="1:22" ht="15.75" hidden="1" customHeight="1" x14ac:dyDescent="0.25">
      <c r="A1101" s="7" t="s">
        <v>194</v>
      </c>
      <c r="B1101" s="8">
        <v>8</v>
      </c>
      <c r="C1101" s="8" t="s">
        <v>195</v>
      </c>
      <c r="D1101" s="9"/>
      <c r="E1101" s="7" t="s">
        <v>25</v>
      </c>
      <c r="F1101" s="7" t="s">
        <v>196</v>
      </c>
      <c r="G1101" s="7" t="s">
        <v>197</v>
      </c>
      <c r="H1101" s="7">
        <v>1980</v>
      </c>
      <c r="I1101" s="7">
        <v>10</v>
      </c>
      <c r="K1101" s="7">
        <v>7</v>
      </c>
      <c r="M1101" s="7">
        <v>5</v>
      </c>
      <c r="N1101" s="7">
        <v>16</v>
      </c>
      <c r="O1101" s="7">
        <v>42</v>
      </c>
      <c r="T1101" s="12"/>
      <c r="V1101" cm="1">
        <f t="array" ref="V1101">_xlfn.LET(
_xlpm.x,_xlfn._xlws.FILTER(O1101:S1101,(O1101:S1101&lt;&gt;"R")*(O1101:S1101&lt;&gt;"NA")*(O1101:S1101&lt;&gt;"W")*(O1101:S1101&lt;&gt;"")),
IF(COUNTA(_xlpm.x)=0,"NA",IF(MIN(_xlpm.x)=MAX(_xlpm.x),MIN(_xlpm.x),"review"))
)</f>
        <v>42</v>
      </c>
    </row>
    <row r="1102" spans="1:22" ht="15.75" hidden="1" customHeight="1" x14ac:dyDescent="0.25">
      <c r="A1102" s="7" t="s">
        <v>194</v>
      </c>
      <c r="B1102" s="8">
        <v>8</v>
      </c>
      <c r="C1102" s="8" t="s">
        <v>195</v>
      </c>
      <c r="D1102" s="9"/>
      <c r="E1102" s="7" t="s">
        <v>25</v>
      </c>
      <c r="F1102" s="7" t="s">
        <v>196</v>
      </c>
      <c r="G1102" s="7" t="s">
        <v>197</v>
      </c>
      <c r="H1102" s="7">
        <v>1980</v>
      </c>
      <c r="I1102" s="7">
        <v>10</v>
      </c>
      <c r="K1102" s="7">
        <v>7</v>
      </c>
      <c r="M1102" s="7">
        <v>5</v>
      </c>
      <c r="N1102" s="7">
        <v>17</v>
      </c>
      <c r="O1102" s="7">
        <v>42</v>
      </c>
      <c r="T1102" s="12"/>
      <c r="V1102" cm="1">
        <f t="array" ref="V1102">_xlfn.LET(
_xlpm.x,_xlfn._xlws.FILTER(O1102:S1102,(O1102:S1102&lt;&gt;"R")*(O1102:S1102&lt;&gt;"NA")*(O1102:S1102&lt;&gt;"W")*(O1102:S1102&lt;&gt;"")),
IF(COUNTA(_xlpm.x)=0,"NA",IF(MIN(_xlpm.x)=MAX(_xlpm.x),MIN(_xlpm.x),"review"))
)</f>
        <v>42</v>
      </c>
    </row>
    <row r="1103" spans="1:22" ht="15.75" hidden="1" customHeight="1" x14ac:dyDescent="0.25">
      <c r="A1103" s="7" t="s">
        <v>194</v>
      </c>
      <c r="B1103" s="8">
        <v>8</v>
      </c>
      <c r="C1103" s="8" t="s">
        <v>195</v>
      </c>
      <c r="D1103" s="9"/>
      <c r="E1103" s="7" t="s">
        <v>25</v>
      </c>
      <c r="F1103" s="7" t="s">
        <v>196</v>
      </c>
      <c r="G1103" s="7" t="s">
        <v>197</v>
      </c>
      <c r="H1103" s="7">
        <v>1980</v>
      </c>
      <c r="I1103" s="7">
        <v>10</v>
      </c>
      <c r="K1103" s="7">
        <v>7</v>
      </c>
      <c r="M1103" s="7">
        <v>5</v>
      </c>
      <c r="N1103" s="7">
        <v>18</v>
      </c>
      <c r="O1103" s="7">
        <v>42</v>
      </c>
      <c r="T1103" s="12"/>
      <c r="V1103" cm="1">
        <f t="array" ref="V1103">_xlfn.LET(
_xlpm.x,_xlfn._xlws.FILTER(O1103:S1103,(O1103:S1103&lt;&gt;"R")*(O1103:S1103&lt;&gt;"NA")*(O1103:S1103&lt;&gt;"W")*(O1103:S1103&lt;&gt;"")),
IF(COUNTA(_xlpm.x)=0,"NA",IF(MIN(_xlpm.x)=MAX(_xlpm.x),MIN(_xlpm.x),"review"))
)</f>
        <v>42</v>
      </c>
    </row>
    <row r="1104" spans="1:22" ht="15.75" hidden="1" customHeight="1" x14ac:dyDescent="0.25">
      <c r="A1104" s="7" t="s">
        <v>194</v>
      </c>
      <c r="B1104" s="8">
        <v>8</v>
      </c>
      <c r="C1104" s="8" t="s">
        <v>195</v>
      </c>
      <c r="D1104" s="9"/>
      <c r="E1104" s="7" t="s">
        <v>25</v>
      </c>
      <c r="F1104" s="7" t="s">
        <v>196</v>
      </c>
      <c r="G1104" s="7" t="s">
        <v>197</v>
      </c>
      <c r="H1104" s="7">
        <v>1980</v>
      </c>
      <c r="I1104" s="7">
        <v>10</v>
      </c>
      <c r="K1104" s="7">
        <v>7</v>
      </c>
      <c r="M1104" s="7">
        <v>5</v>
      </c>
      <c r="N1104" s="7">
        <v>19</v>
      </c>
      <c r="O1104" s="7">
        <v>42</v>
      </c>
      <c r="T1104" s="12"/>
      <c r="V1104" cm="1">
        <f t="array" ref="V1104">_xlfn.LET(
_xlpm.x,_xlfn._xlws.FILTER(O1104:S1104,(O1104:S1104&lt;&gt;"R")*(O1104:S1104&lt;&gt;"NA")*(O1104:S1104&lt;&gt;"W")*(O1104:S1104&lt;&gt;"")),
IF(COUNTA(_xlpm.x)=0,"NA",IF(MIN(_xlpm.x)=MAX(_xlpm.x),MIN(_xlpm.x),"review"))
)</f>
        <v>42</v>
      </c>
    </row>
    <row r="1105" spans="1:22" ht="15.75" hidden="1" customHeight="1" x14ac:dyDescent="0.25">
      <c r="A1105" s="7" t="s">
        <v>194</v>
      </c>
      <c r="B1105" s="8">
        <v>8</v>
      </c>
      <c r="C1105" s="8" t="s">
        <v>195</v>
      </c>
      <c r="D1105" s="9"/>
      <c r="E1105" s="7" t="s">
        <v>25</v>
      </c>
      <c r="F1105" s="7" t="s">
        <v>196</v>
      </c>
      <c r="G1105" s="7" t="s">
        <v>197</v>
      </c>
      <c r="H1105" s="7">
        <v>1980</v>
      </c>
      <c r="I1105" s="7">
        <v>10</v>
      </c>
      <c r="K1105" s="7">
        <v>7</v>
      </c>
      <c r="M1105" s="7">
        <v>5</v>
      </c>
      <c r="N1105" s="7">
        <v>20</v>
      </c>
      <c r="O1105" s="7">
        <v>52</v>
      </c>
      <c r="T1105" s="12"/>
      <c r="V1105" cm="1">
        <f t="array" ref="V1105">_xlfn.LET(
_xlpm.x,_xlfn._xlws.FILTER(O1105:S1105,(O1105:S1105&lt;&gt;"R")*(O1105:S1105&lt;&gt;"NA")*(O1105:S1105&lt;&gt;"W")*(O1105:S1105&lt;&gt;"")),
IF(COUNTA(_xlpm.x)=0,"NA",IF(MIN(_xlpm.x)=MAX(_xlpm.x),MIN(_xlpm.x),"review"))
)</f>
        <v>52</v>
      </c>
    </row>
    <row r="1106" spans="1:22" ht="15.75" hidden="1" customHeight="1" x14ac:dyDescent="0.25">
      <c r="A1106" s="7" t="s">
        <v>194</v>
      </c>
      <c r="B1106" s="8">
        <v>8</v>
      </c>
      <c r="C1106" s="8" t="s">
        <v>195</v>
      </c>
      <c r="D1106" s="9"/>
      <c r="E1106" s="7" t="s">
        <v>25</v>
      </c>
      <c r="F1106" s="7" t="s">
        <v>196</v>
      </c>
      <c r="G1106" s="7" t="s">
        <v>197</v>
      </c>
      <c r="H1106" s="7">
        <v>1980</v>
      </c>
      <c r="I1106" s="7">
        <v>10</v>
      </c>
      <c r="K1106" s="7">
        <v>7</v>
      </c>
      <c r="M1106" s="7">
        <v>5</v>
      </c>
      <c r="N1106" s="7">
        <v>21</v>
      </c>
      <c r="O1106" s="7">
        <v>42</v>
      </c>
      <c r="T1106" s="12"/>
      <c r="V1106" cm="1">
        <f t="array" ref="V1106">_xlfn.LET(
_xlpm.x,_xlfn._xlws.FILTER(O1106:S1106,(O1106:S1106&lt;&gt;"R")*(O1106:S1106&lt;&gt;"NA")*(O1106:S1106&lt;&gt;"W")*(O1106:S1106&lt;&gt;"")),
IF(COUNTA(_xlpm.x)=0,"NA",IF(MIN(_xlpm.x)=MAX(_xlpm.x),MIN(_xlpm.x),"review"))
)</f>
        <v>42</v>
      </c>
    </row>
    <row r="1107" spans="1:22" ht="15.75" hidden="1" customHeight="1" x14ac:dyDescent="0.25">
      <c r="A1107" s="7" t="s">
        <v>194</v>
      </c>
      <c r="B1107" s="8">
        <v>8</v>
      </c>
      <c r="C1107" s="8" t="s">
        <v>195</v>
      </c>
      <c r="D1107" s="9"/>
      <c r="E1107" s="7" t="s">
        <v>25</v>
      </c>
      <c r="F1107" s="7" t="s">
        <v>196</v>
      </c>
      <c r="G1107" s="7" t="s">
        <v>197</v>
      </c>
      <c r="H1107" s="7">
        <v>1980</v>
      </c>
      <c r="I1107" s="7">
        <v>10</v>
      </c>
      <c r="K1107" s="7">
        <v>7</v>
      </c>
      <c r="M1107" s="7">
        <v>5</v>
      </c>
      <c r="N1107" s="7">
        <v>22</v>
      </c>
      <c r="O1107" s="7">
        <v>52</v>
      </c>
      <c r="T1107" s="12"/>
      <c r="V1107" cm="1">
        <f t="array" ref="V1107">_xlfn.LET(
_xlpm.x,_xlfn._xlws.FILTER(O1107:S1107,(O1107:S1107&lt;&gt;"R")*(O1107:S1107&lt;&gt;"NA")*(O1107:S1107&lt;&gt;"W")*(O1107:S1107&lt;&gt;"")),
IF(COUNTA(_xlpm.x)=0,"NA",IF(MIN(_xlpm.x)=MAX(_xlpm.x),MIN(_xlpm.x),"review"))
)</f>
        <v>52</v>
      </c>
    </row>
    <row r="1108" spans="1:22" ht="15.75" hidden="1" customHeight="1" x14ac:dyDescent="0.25">
      <c r="A1108" s="7" t="s">
        <v>194</v>
      </c>
      <c r="B1108" s="8">
        <v>8</v>
      </c>
      <c r="C1108" s="8" t="s">
        <v>195</v>
      </c>
      <c r="D1108" s="9"/>
      <c r="E1108" s="7" t="s">
        <v>25</v>
      </c>
      <c r="F1108" s="7" t="s">
        <v>196</v>
      </c>
      <c r="G1108" s="7" t="s">
        <v>197</v>
      </c>
      <c r="H1108" s="7">
        <v>1980</v>
      </c>
      <c r="I1108" s="7">
        <v>10</v>
      </c>
      <c r="K1108" s="7">
        <v>7</v>
      </c>
      <c r="M1108" s="7">
        <v>5</v>
      </c>
      <c r="N1108" s="7">
        <v>23</v>
      </c>
      <c r="O1108" s="7" t="s">
        <v>28</v>
      </c>
      <c r="T1108" s="12"/>
      <c r="V1108" t="s">
        <v>29</v>
      </c>
    </row>
    <row r="1109" spans="1:22" ht="15.75" hidden="1" customHeight="1" x14ac:dyDescent="0.25">
      <c r="A1109" s="7" t="s">
        <v>194</v>
      </c>
      <c r="B1109" s="8">
        <v>8</v>
      </c>
      <c r="C1109" s="8" t="s">
        <v>195</v>
      </c>
      <c r="D1109" s="9"/>
      <c r="E1109" s="7" t="s">
        <v>25</v>
      </c>
      <c r="F1109" s="7" t="s">
        <v>196</v>
      </c>
      <c r="G1109" s="7" t="s">
        <v>197</v>
      </c>
      <c r="H1109" s="7">
        <v>1980</v>
      </c>
      <c r="I1109" s="7">
        <v>10</v>
      </c>
      <c r="K1109" s="7">
        <v>7</v>
      </c>
      <c r="M1109" s="7">
        <v>5</v>
      </c>
      <c r="N1109" s="7">
        <v>24</v>
      </c>
      <c r="O1109" s="7" t="s">
        <v>28</v>
      </c>
      <c r="T1109" s="12"/>
      <c r="V1109" t="s">
        <v>29</v>
      </c>
    </row>
    <row r="1110" spans="1:22" ht="15.75" hidden="1" customHeight="1" x14ac:dyDescent="0.25">
      <c r="A1110" s="7" t="s">
        <v>194</v>
      </c>
      <c r="B1110" s="8">
        <v>8</v>
      </c>
      <c r="C1110" s="8" t="s">
        <v>195</v>
      </c>
      <c r="D1110" s="9"/>
      <c r="E1110" s="7" t="s">
        <v>25</v>
      </c>
      <c r="F1110" s="7" t="s">
        <v>196</v>
      </c>
      <c r="G1110" s="7" t="s">
        <v>197</v>
      </c>
      <c r="H1110" s="7">
        <v>1980</v>
      </c>
      <c r="I1110" s="7">
        <v>10</v>
      </c>
      <c r="K1110" s="7">
        <v>7</v>
      </c>
      <c r="M1110" s="7">
        <v>5</v>
      </c>
      <c r="N1110" s="7">
        <v>25</v>
      </c>
      <c r="O1110" s="7">
        <v>52</v>
      </c>
      <c r="T1110" s="12"/>
      <c r="V1110" cm="1">
        <f t="array" ref="V1110">_xlfn.LET(
_xlpm.x,_xlfn._xlws.FILTER(O1110:S1110,(O1110:S1110&lt;&gt;"R")*(O1110:S1110&lt;&gt;"NA")*(O1110:S1110&lt;&gt;"W")*(O1110:S1110&lt;&gt;"")),
IF(COUNTA(_xlpm.x)=0,"NA",IF(MIN(_xlpm.x)=MAX(_xlpm.x),MIN(_xlpm.x),"review"))
)</f>
        <v>52</v>
      </c>
    </row>
    <row r="1111" spans="1:22" ht="15.75" hidden="1" customHeight="1" x14ac:dyDescent="0.25">
      <c r="A1111" s="7" t="s">
        <v>194</v>
      </c>
      <c r="B1111" s="8">
        <v>8</v>
      </c>
      <c r="C1111" s="8" t="s">
        <v>195</v>
      </c>
      <c r="D1111" s="9"/>
      <c r="E1111" s="7" t="s">
        <v>25</v>
      </c>
      <c r="F1111" s="7" t="s">
        <v>196</v>
      </c>
      <c r="G1111" s="7" t="s">
        <v>197</v>
      </c>
      <c r="H1111" s="7">
        <v>1980</v>
      </c>
      <c r="I1111" s="7">
        <v>10</v>
      </c>
      <c r="K1111" s="7">
        <v>7</v>
      </c>
      <c r="M1111" s="7">
        <v>5</v>
      </c>
      <c r="N1111" s="7">
        <v>26</v>
      </c>
      <c r="O1111" s="7" t="s">
        <v>28</v>
      </c>
      <c r="T1111" s="12"/>
      <c r="V1111" t="s">
        <v>29</v>
      </c>
    </row>
    <row r="1112" spans="1:22" ht="15.75" hidden="1" customHeight="1" x14ac:dyDescent="0.25">
      <c r="A1112" s="7" t="s">
        <v>194</v>
      </c>
      <c r="B1112" s="8">
        <v>8</v>
      </c>
      <c r="C1112" s="8" t="s">
        <v>195</v>
      </c>
      <c r="D1112" s="9"/>
      <c r="E1112" s="7" t="s">
        <v>25</v>
      </c>
      <c r="F1112" s="7" t="s">
        <v>196</v>
      </c>
      <c r="G1112" s="7" t="s">
        <v>197</v>
      </c>
      <c r="H1112" s="7">
        <v>1980</v>
      </c>
      <c r="I1112" s="7">
        <v>10</v>
      </c>
      <c r="K1112" s="7">
        <v>7</v>
      </c>
      <c r="M1112" s="7">
        <v>5</v>
      </c>
      <c r="N1112" s="7">
        <v>27</v>
      </c>
      <c r="O1112" s="7">
        <v>52</v>
      </c>
      <c r="T1112" s="12"/>
      <c r="V1112" cm="1">
        <f t="array" ref="V1112">_xlfn.LET(
_xlpm.x,_xlfn._xlws.FILTER(O1112:S1112,(O1112:S1112&lt;&gt;"R")*(O1112:S1112&lt;&gt;"NA")*(O1112:S1112&lt;&gt;"W")*(O1112:S1112&lt;&gt;"")),
IF(COUNTA(_xlpm.x)=0,"NA",IF(MIN(_xlpm.x)=MAX(_xlpm.x),MIN(_xlpm.x),"review"))
)</f>
        <v>52</v>
      </c>
    </row>
    <row r="1113" spans="1:22" ht="15.75" hidden="1" customHeight="1" x14ac:dyDescent="0.25">
      <c r="A1113" s="7" t="s">
        <v>194</v>
      </c>
      <c r="B1113" s="8">
        <v>8</v>
      </c>
      <c r="C1113" s="8" t="s">
        <v>195</v>
      </c>
      <c r="D1113" s="9"/>
      <c r="E1113" s="7" t="s">
        <v>25</v>
      </c>
      <c r="F1113" s="7" t="s">
        <v>196</v>
      </c>
      <c r="G1113" s="7" t="s">
        <v>197</v>
      </c>
      <c r="H1113" s="7">
        <v>1980</v>
      </c>
      <c r="I1113" s="7">
        <v>10</v>
      </c>
      <c r="K1113" s="7">
        <v>7</v>
      </c>
      <c r="M1113" s="7">
        <v>5</v>
      </c>
      <c r="N1113" s="7">
        <v>28</v>
      </c>
      <c r="O1113" s="7">
        <v>52</v>
      </c>
      <c r="T1113" s="12"/>
      <c r="V1113" cm="1">
        <f t="array" ref="V1113">_xlfn.LET(
_xlpm.x,_xlfn._xlws.FILTER(O1113:S1113,(O1113:S1113&lt;&gt;"R")*(O1113:S1113&lt;&gt;"NA")*(O1113:S1113&lt;&gt;"W")*(O1113:S1113&lt;&gt;"")),
IF(COUNTA(_xlpm.x)=0,"NA",IF(MIN(_xlpm.x)=MAX(_xlpm.x),MIN(_xlpm.x),"review"))
)</f>
        <v>52</v>
      </c>
    </row>
    <row r="1114" spans="1:22" ht="15.75" hidden="1" customHeight="1" x14ac:dyDescent="0.25">
      <c r="A1114" s="7" t="s">
        <v>194</v>
      </c>
      <c r="B1114" s="8">
        <v>8</v>
      </c>
      <c r="C1114" s="8" t="s">
        <v>195</v>
      </c>
      <c r="D1114" s="9"/>
      <c r="E1114" s="7" t="s">
        <v>25</v>
      </c>
      <c r="F1114" s="7" t="s">
        <v>196</v>
      </c>
      <c r="G1114" s="7" t="s">
        <v>197</v>
      </c>
      <c r="H1114" s="7">
        <v>1980</v>
      </c>
      <c r="I1114" s="7">
        <v>10</v>
      </c>
      <c r="K1114" s="7">
        <v>7</v>
      </c>
      <c r="M1114" s="7">
        <v>5</v>
      </c>
      <c r="N1114" s="7">
        <v>29</v>
      </c>
      <c r="O1114" s="7" t="s">
        <v>28</v>
      </c>
      <c r="T1114" s="12"/>
      <c r="V1114" t="s">
        <v>29</v>
      </c>
    </row>
    <row r="1115" spans="1:22" ht="15.75" hidden="1" customHeight="1" x14ac:dyDescent="0.25">
      <c r="A1115" s="7" t="s">
        <v>194</v>
      </c>
      <c r="B1115" s="8">
        <v>8</v>
      </c>
      <c r="C1115" s="8" t="s">
        <v>195</v>
      </c>
      <c r="D1115" s="9"/>
      <c r="E1115" s="7" t="s">
        <v>25</v>
      </c>
      <c r="F1115" s="7" t="s">
        <v>196</v>
      </c>
      <c r="G1115" s="7" t="s">
        <v>197</v>
      </c>
      <c r="H1115" s="7">
        <v>1980</v>
      </c>
      <c r="I1115" s="7">
        <v>10</v>
      </c>
      <c r="K1115" s="7">
        <v>7</v>
      </c>
      <c r="M1115" s="7">
        <v>5</v>
      </c>
      <c r="N1115" s="7">
        <v>30</v>
      </c>
      <c r="O1115" s="7">
        <v>42</v>
      </c>
      <c r="T1115" s="12"/>
      <c r="V1115" cm="1">
        <f t="array" ref="V1115">_xlfn.LET(
_xlpm.x,_xlfn._xlws.FILTER(O1115:S1115,(O1115:S1115&lt;&gt;"R")*(O1115:S1115&lt;&gt;"NA")*(O1115:S1115&lt;&gt;"W")*(O1115:S1115&lt;&gt;"")),
IF(COUNTA(_xlpm.x)=0,"NA",IF(MIN(_xlpm.x)=MAX(_xlpm.x),MIN(_xlpm.x),"review"))
)</f>
        <v>42</v>
      </c>
    </row>
    <row r="1116" spans="1:22" ht="15.75" hidden="1" customHeight="1" x14ac:dyDescent="0.25">
      <c r="A1116" s="7" t="s">
        <v>194</v>
      </c>
      <c r="B1116" s="8">
        <v>8</v>
      </c>
      <c r="C1116" s="8" t="s">
        <v>195</v>
      </c>
      <c r="D1116" s="9"/>
      <c r="E1116" s="7" t="s">
        <v>25</v>
      </c>
      <c r="F1116" s="7" t="s">
        <v>196</v>
      </c>
      <c r="G1116" s="7" t="s">
        <v>197</v>
      </c>
      <c r="H1116" s="7">
        <v>1980</v>
      </c>
      <c r="I1116" s="7">
        <v>10</v>
      </c>
      <c r="K1116" s="7">
        <v>7</v>
      </c>
      <c r="M1116" s="7">
        <v>5</v>
      </c>
      <c r="N1116" s="7">
        <v>31</v>
      </c>
      <c r="O1116" s="7" t="s">
        <v>28</v>
      </c>
      <c r="T1116" s="12"/>
      <c r="V1116" t="s">
        <v>29</v>
      </c>
    </row>
    <row r="1117" spans="1:22" ht="15.75" hidden="1" customHeight="1" x14ac:dyDescent="0.25">
      <c r="A1117" s="7" t="s">
        <v>194</v>
      </c>
      <c r="B1117" s="8">
        <v>8</v>
      </c>
      <c r="C1117" s="8" t="s">
        <v>195</v>
      </c>
      <c r="D1117" s="9"/>
      <c r="E1117" s="7" t="s">
        <v>25</v>
      </c>
      <c r="F1117" s="7" t="s">
        <v>196</v>
      </c>
      <c r="G1117" s="7" t="s">
        <v>197</v>
      </c>
      <c r="H1117" s="7">
        <v>1980</v>
      </c>
      <c r="I1117" s="7">
        <v>10</v>
      </c>
      <c r="K1117" s="7">
        <v>7</v>
      </c>
      <c r="M1117" s="7">
        <v>5</v>
      </c>
      <c r="N1117" s="7">
        <v>32</v>
      </c>
      <c r="O1117" s="7">
        <v>52</v>
      </c>
      <c r="T1117" s="12"/>
      <c r="V1117" cm="1">
        <f t="array" ref="V1117">_xlfn.LET(
_xlpm.x,_xlfn._xlws.FILTER(O1117:S1117,(O1117:S1117&lt;&gt;"R")*(O1117:S1117&lt;&gt;"NA")*(O1117:S1117&lt;&gt;"W")*(O1117:S1117&lt;&gt;"")),
IF(COUNTA(_xlpm.x)=0,"NA",IF(MIN(_xlpm.x)=MAX(_xlpm.x),MIN(_xlpm.x),"review"))
)</f>
        <v>52</v>
      </c>
    </row>
    <row r="1118" spans="1:22" ht="15.75" hidden="1" customHeight="1" x14ac:dyDescent="0.25">
      <c r="A1118" s="7" t="s">
        <v>194</v>
      </c>
      <c r="B1118" s="8">
        <v>8</v>
      </c>
      <c r="C1118" s="8" t="s">
        <v>195</v>
      </c>
      <c r="D1118" s="9"/>
      <c r="E1118" s="7" t="s">
        <v>25</v>
      </c>
      <c r="F1118" s="7" t="s">
        <v>196</v>
      </c>
      <c r="G1118" s="7" t="s">
        <v>197</v>
      </c>
      <c r="H1118" s="7">
        <v>1980</v>
      </c>
      <c r="I1118" s="7">
        <v>10</v>
      </c>
      <c r="K1118" s="7">
        <v>7</v>
      </c>
      <c r="M1118" s="7">
        <v>5</v>
      </c>
      <c r="N1118" s="7">
        <v>33</v>
      </c>
      <c r="O1118" s="7" t="s">
        <v>28</v>
      </c>
      <c r="T1118" s="12"/>
      <c r="V1118" t="s">
        <v>29</v>
      </c>
    </row>
    <row r="1119" spans="1:22" ht="15.75" hidden="1" customHeight="1" x14ac:dyDescent="0.25">
      <c r="A1119" s="7" t="s">
        <v>194</v>
      </c>
      <c r="B1119" s="8">
        <v>8</v>
      </c>
      <c r="C1119" s="8" t="s">
        <v>195</v>
      </c>
      <c r="D1119" s="9"/>
      <c r="E1119" s="7" t="s">
        <v>25</v>
      </c>
      <c r="F1119" s="7" t="s">
        <v>196</v>
      </c>
      <c r="G1119" s="7" t="s">
        <v>197</v>
      </c>
      <c r="H1119" s="7">
        <v>1980</v>
      </c>
      <c r="I1119" s="7">
        <v>10</v>
      </c>
      <c r="K1119" s="7">
        <v>7</v>
      </c>
      <c r="M1119" s="7">
        <v>5</v>
      </c>
      <c r="N1119" s="7">
        <v>34</v>
      </c>
      <c r="O1119" s="7">
        <v>52</v>
      </c>
      <c r="T1119" s="12"/>
      <c r="V1119" cm="1">
        <f t="array" ref="V1119">_xlfn.LET(
_xlpm.x,_xlfn._xlws.FILTER(O1119:S1119,(O1119:S1119&lt;&gt;"R")*(O1119:S1119&lt;&gt;"NA")*(O1119:S1119&lt;&gt;"W")*(O1119:S1119&lt;&gt;"")),
IF(COUNTA(_xlpm.x)=0,"NA",IF(MIN(_xlpm.x)=MAX(_xlpm.x),MIN(_xlpm.x),"review"))
)</f>
        <v>52</v>
      </c>
    </row>
    <row r="1120" spans="1:22" ht="15.75" hidden="1" customHeight="1" x14ac:dyDescent="0.25">
      <c r="A1120" s="7" t="s">
        <v>194</v>
      </c>
      <c r="B1120" s="8">
        <v>8</v>
      </c>
      <c r="C1120" s="8" t="s">
        <v>195</v>
      </c>
      <c r="D1120" s="9"/>
      <c r="E1120" s="7" t="s">
        <v>25</v>
      </c>
      <c r="F1120" s="7" t="s">
        <v>196</v>
      </c>
      <c r="G1120" s="7" t="s">
        <v>197</v>
      </c>
      <c r="H1120" s="7">
        <v>1980</v>
      </c>
      <c r="I1120" s="7">
        <v>10</v>
      </c>
      <c r="K1120" s="7">
        <v>7</v>
      </c>
      <c r="M1120" s="7">
        <v>5</v>
      </c>
      <c r="N1120" s="7">
        <v>35</v>
      </c>
      <c r="O1120" s="7">
        <v>41</v>
      </c>
      <c r="T1120" s="12"/>
      <c r="U1120" s="7" t="s">
        <v>221</v>
      </c>
      <c r="V1120" cm="1">
        <f t="array" ref="V1120">_xlfn.LET(
_xlpm.x,_xlfn._xlws.FILTER(O1120:S1120,(O1120:S1120&lt;&gt;"R")*(O1120:S1120&lt;&gt;"NA")*(O1120:S1120&lt;&gt;"W")*(O1120:S1120&lt;&gt;"")),
IF(COUNTA(_xlpm.x)=0,"NA",IF(MIN(_xlpm.x)=MAX(_xlpm.x),MIN(_xlpm.x),"review"))
)</f>
        <v>41</v>
      </c>
    </row>
    <row r="1121" spans="1:22" ht="15.75" hidden="1" customHeight="1" x14ac:dyDescent="0.25">
      <c r="A1121" s="7" t="s">
        <v>194</v>
      </c>
      <c r="B1121" s="8">
        <v>8</v>
      </c>
      <c r="C1121" s="8" t="s">
        <v>195</v>
      </c>
      <c r="D1121" s="9"/>
      <c r="E1121" s="7" t="s">
        <v>25</v>
      </c>
      <c r="F1121" s="7" t="s">
        <v>196</v>
      </c>
      <c r="G1121" s="7" t="s">
        <v>197</v>
      </c>
      <c r="H1121" s="7">
        <v>1980</v>
      </c>
      <c r="I1121" s="7">
        <v>10</v>
      </c>
      <c r="K1121" s="7">
        <v>7</v>
      </c>
      <c r="M1121" s="7">
        <v>5</v>
      </c>
      <c r="N1121" s="7">
        <v>36</v>
      </c>
      <c r="O1121" s="7" t="s">
        <v>29</v>
      </c>
      <c r="T1121" s="12"/>
      <c r="V1121" t="s">
        <v>29</v>
      </c>
    </row>
    <row r="1122" spans="1:22" ht="15.75" hidden="1" customHeight="1" x14ac:dyDescent="0.25">
      <c r="A1122" s="7" t="s">
        <v>194</v>
      </c>
      <c r="B1122" s="8">
        <v>8</v>
      </c>
      <c r="C1122" s="8" t="s">
        <v>195</v>
      </c>
      <c r="D1122" s="9"/>
      <c r="E1122" s="7" t="s">
        <v>25</v>
      </c>
      <c r="F1122" s="7" t="s">
        <v>196</v>
      </c>
      <c r="G1122" s="7" t="s">
        <v>197</v>
      </c>
      <c r="H1122" s="7">
        <v>1980</v>
      </c>
      <c r="I1122" s="7">
        <v>10</v>
      </c>
      <c r="K1122" s="7">
        <v>7</v>
      </c>
      <c r="M1122" s="7">
        <v>5</v>
      </c>
      <c r="N1122" s="7">
        <v>37</v>
      </c>
      <c r="O1122" s="7" t="s">
        <v>28</v>
      </c>
      <c r="T1122" s="12"/>
      <c r="V1122" t="s">
        <v>29</v>
      </c>
    </row>
    <row r="1123" spans="1:22" ht="15.75" hidden="1" customHeight="1" x14ac:dyDescent="0.25">
      <c r="A1123" s="7" t="s">
        <v>194</v>
      </c>
      <c r="B1123" s="8">
        <v>8</v>
      </c>
      <c r="C1123" s="8" t="s">
        <v>195</v>
      </c>
      <c r="D1123" s="9"/>
      <c r="E1123" s="7" t="s">
        <v>25</v>
      </c>
      <c r="F1123" s="7" t="s">
        <v>196</v>
      </c>
      <c r="G1123" s="7" t="s">
        <v>197</v>
      </c>
      <c r="H1123" s="7">
        <v>1980</v>
      </c>
      <c r="I1123" s="7">
        <v>10</v>
      </c>
      <c r="K1123" s="7">
        <v>7</v>
      </c>
      <c r="M1123" s="7">
        <v>5</v>
      </c>
      <c r="N1123" s="7">
        <v>38</v>
      </c>
      <c r="O1123" s="7">
        <v>42</v>
      </c>
      <c r="T1123" s="12"/>
      <c r="V1123" cm="1">
        <f t="array" ref="V1123">_xlfn.LET(
_xlpm.x,_xlfn._xlws.FILTER(O1123:S1123,(O1123:S1123&lt;&gt;"R")*(O1123:S1123&lt;&gt;"NA")*(O1123:S1123&lt;&gt;"W")*(O1123:S1123&lt;&gt;"")),
IF(COUNTA(_xlpm.x)=0,"NA",IF(MIN(_xlpm.x)=MAX(_xlpm.x),MIN(_xlpm.x),"review"))
)</f>
        <v>42</v>
      </c>
    </row>
    <row r="1124" spans="1:22" ht="15.75" hidden="1" customHeight="1" x14ac:dyDescent="0.25">
      <c r="A1124" s="7" t="s">
        <v>194</v>
      </c>
      <c r="B1124" s="8">
        <v>8</v>
      </c>
      <c r="C1124" s="8" t="s">
        <v>195</v>
      </c>
      <c r="D1124" s="9"/>
      <c r="E1124" s="7" t="s">
        <v>25</v>
      </c>
      <c r="F1124" s="7" t="s">
        <v>196</v>
      </c>
      <c r="G1124" s="7" t="s">
        <v>197</v>
      </c>
      <c r="H1124" s="7">
        <v>1980</v>
      </c>
      <c r="I1124" s="7">
        <v>10</v>
      </c>
      <c r="K1124" s="7">
        <v>7</v>
      </c>
      <c r="M1124" s="7">
        <v>5</v>
      </c>
      <c r="N1124" s="7">
        <v>39</v>
      </c>
      <c r="O1124" s="7">
        <v>53</v>
      </c>
      <c r="T1124" s="12" t="s">
        <v>223</v>
      </c>
      <c r="V1124" cm="1">
        <f t="array" ref="V1124">_xlfn.LET(
_xlpm.x,_xlfn._xlws.FILTER(O1124:S1124,(O1124:S1124&lt;&gt;"R")*(O1124:S1124&lt;&gt;"NA")*(O1124:S1124&lt;&gt;"W")*(O1124:S1124&lt;&gt;"")),
IF(COUNTA(_xlpm.x)=0,"NA",IF(MIN(_xlpm.x)=MAX(_xlpm.x),MIN(_xlpm.x),"review"))
)</f>
        <v>53</v>
      </c>
    </row>
    <row r="1125" spans="1:22" ht="15.75" hidden="1" customHeight="1" x14ac:dyDescent="0.25">
      <c r="A1125" s="7" t="s">
        <v>194</v>
      </c>
      <c r="B1125" s="8">
        <v>8</v>
      </c>
      <c r="C1125" s="8" t="s">
        <v>195</v>
      </c>
      <c r="D1125" s="9"/>
      <c r="E1125" s="7" t="s">
        <v>25</v>
      </c>
      <c r="F1125" s="7" t="s">
        <v>196</v>
      </c>
      <c r="G1125" s="7" t="s">
        <v>197</v>
      </c>
      <c r="H1125" s="7">
        <v>1980</v>
      </c>
      <c r="I1125" s="7">
        <v>10</v>
      </c>
      <c r="K1125" s="7">
        <v>7</v>
      </c>
      <c r="M1125" s="7">
        <v>5</v>
      </c>
      <c r="N1125" s="7">
        <v>40</v>
      </c>
      <c r="O1125" s="7">
        <v>52</v>
      </c>
      <c r="T1125" s="12"/>
      <c r="V1125" cm="1">
        <f t="array" ref="V1125">_xlfn.LET(
_xlpm.x,_xlfn._xlws.FILTER(O1125:S1125,(O1125:S1125&lt;&gt;"R")*(O1125:S1125&lt;&gt;"NA")*(O1125:S1125&lt;&gt;"W")*(O1125:S1125&lt;&gt;"")),
IF(COUNTA(_xlpm.x)=0,"NA",IF(MIN(_xlpm.x)=MAX(_xlpm.x),MIN(_xlpm.x),"review"))
)</f>
        <v>52</v>
      </c>
    </row>
    <row r="1126" spans="1:22" ht="15.75" hidden="1" customHeight="1" x14ac:dyDescent="0.25">
      <c r="A1126" s="7" t="s">
        <v>194</v>
      </c>
      <c r="B1126" s="8">
        <v>8</v>
      </c>
      <c r="C1126" s="8" t="s">
        <v>195</v>
      </c>
      <c r="D1126" s="9"/>
      <c r="E1126" s="7" t="s">
        <v>25</v>
      </c>
      <c r="F1126" s="7" t="s">
        <v>196</v>
      </c>
      <c r="G1126" s="7" t="s">
        <v>197</v>
      </c>
      <c r="H1126" s="7">
        <v>1980</v>
      </c>
      <c r="I1126" s="7">
        <v>10</v>
      </c>
      <c r="K1126" s="7">
        <v>7</v>
      </c>
      <c r="M1126" s="7">
        <v>5</v>
      </c>
      <c r="N1126" s="7">
        <v>41</v>
      </c>
      <c r="O1126" s="7">
        <v>42</v>
      </c>
      <c r="T1126" s="12"/>
      <c r="U1126" s="7" t="s">
        <v>221</v>
      </c>
      <c r="V1126" cm="1">
        <f t="array" ref="V1126">_xlfn.LET(
_xlpm.x,_xlfn._xlws.FILTER(O1126:S1126,(O1126:S1126&lt;&gt;"R")*(O1126:S1126&lt;&gt;"NA")*(O1126:S1126&lt;&gt;"W")*(O1126:S1126&lt;&gt;"")),
IF(COUNTA(_xlpm.x)=0,"NA",IF(MIN(_xlpm.x)=MAX(_xlpm.x),MIN(_xlpm.x),"review"))
)</f>
        <v>42</v>
      </c>
    </row>
    <row r="1127" spans="1:22" ht="15.75" hidden="1" customHeight="1" x14ac:dyDescent="0.25">
      <c r="A1127" s="7" t="s">
        <v>194</v>
      </c>
      <c r="B1127" s="8">
        <v>8</v>
      </c>
      <c r="C1127" s="8" t="s">
        <v>195</v>
      </c>
      <c r="D1127" s="9"/>
      <c r="E1127" s="7" t="s">
        <v>25</v>
      </c>
      <c r="F1127" s="7" t="s">
        <v>196</v>
      </c>
      <c r="G1127" s="7" t="s">
        <v>197</v>
      </c>
      <c r="H1127" s="7">
        <v>1980</v>
      </c>
      <c r="I1127" s="7">
        <v>10</v>
      </c>
      <c r="K1127" s="7">
        <v>7</v>
      </c>
      <c r="M1127" s="7">
        <v>5</v>
      </c>
      <c r="N1127" s="7">
        <v>42</v>
      </c>
      <c r="O1127" s="7">
        <v>52</v>
      </c>
      <c r="T1127" s="12"/>
      <c r="V1127" cm="1">
        <f t="array" ref="V1127">_xlfn.LET(
_xlpm.x,_xlfn._xlws.FILTER(O1127:S1127,(O1127:S1127&lt;&gt;"R")*(O1127:S1127&lt;&gt;"NA")*(O1127:S1127&lt;&gt;"W")*(O1127:S1127&lt;&gt;"")),
IF(COUNTA(_xlpm.x)=0,"NA",IF(MIN(_xlpm.x)=MAX(_xlpm.x),MIN(_xlpm.x),"review"))
)</f>
        <v>52</v>
      </c>
    </row>
    <row r="1128" spans="1:22" ht="15.75" hidden="1" customHeight="1" x14ac:dyDescent="0.25">
      <c r="A1128" s="7" t="s">
        <v>194</v>
      </c>
      <c r="B1128" s="8">
        <v>8</v>
      </c>
      <c r="C1128" s="8" t="s">
        <v>195</v>
      </c>
      <c r="D1128" s="9"/>
      <c r="E1128" s="7" t="s">
        <v>25</v>
      </c>
      <c r="F1128" s="7" t="s">
        <v>196</v>
      </c>
      <c r="G1128" s="7" t="s">
        <v>197</v>
      </c>
      <c r="H1128" s="7">
        <v>1980</v>
      </c>
      <c r="I1128" s="7">
        <v>10</v>
      </c>
      <c r="K1128" s="7">
        <v>7</v>
      </c>
      <c r="M1128" s="7">
        <v>5</v>
      </c>
      <c r="N1128" s="7">
        <v>43</v>
      </c>
      <c r="O1128" s="7">
        <v>52</v>
      </c>
      <c r="T1128" s="12"/>
      <c r="V1128" cm="1">
        <f t="array" ref="V1128">_xlfn.LET(
_xlpm.x,_xlfn._xlws.FILTER(O1128:S1128,(O1128:S1128&lt;&gt;"R")*(O1128:S1128&lt;&gt;"NA")*(O1128:S1128&lt;&gt;"W")*(O1128:S1128&lt;&gt;"")),
IF(COUNTA(_xlpm.x)=0,"NA",IF(MIN(_xlpm.x)=MAX(_xlpm.x),MIN(_xlpm.x),"review"))
)</f>
        <v>52</v>
      </c>
    </row>
    <row r="1129" spans="1:22" ht="15.75" hidden="1" customHeight="1" x14ac:dyDescent="0.25">
      <c r="A1129" s="7" t="s">
        <v>194</v>
      </c>
      <c r="B1129" s="8">
        <v>8</v>
      </c>
      <c r="C1129" s="8" t="s">
        <v>195</v>
      </c>
      <c r="D1129" s="9"/>
      <c r="E1129" s="7" t="s">
        <v>25</v>
      </c>
      <c r="F1129" s="7" t="s">
        <v>196</v>
      </c>
      <c r="G1129" s="7" t="s">
        <v>197</v>
      </c>
      <c r="H1129" s="7">
        <v>1980</v>
      </c>
      <c r="I1129" s="7">
        <v>10</v>
      </c>
      <c r="K1129" s="7">
        <v>7</v>
      </c>
      <c r="M1129" s="7">
        <v>5</v>
      </c>
      <c r="N1129" s="7">
        <v>44</v>
      </c>
      <c r="O1129" s="7">
        <v>52</v>
      </c>
      <c r="T1129" s="12"/>
      <c r="V1129" cm="1">
        <f t="array" ref="V1129">_xlfn.LET(
_xlpm.x,_xlfn._xlws.FILTER(O1129:S1129,(O1129:S1129&lt;&gt;"R")*(O1129:S1129&lt;&gt;"NA")*(O1129:S1129&lt;&gt;"W")*(O1129:S1129&lt;&gt;"")),
IF(COUNTA(_xlpm.x)=0,"NA",IF(MIN(_xlpm.x)=MAX(_xlpm.x),MIN(_xlpm.x),"review"))
)</f>
        <v>52</v>
      </c>
    </row>
    <row r="1130" spans="1:22" ht="15.75" hidden="1" customHeight="1" x14ac:dyDescent="0.25">
      <c r="A1130" s="7" t="s">
        <v>194</v>
      </c>
      <c r="B1130" s="8">
        <v>8</v>
      </c>
      <c r="C1130" s="8" t="s">
        <v>195</v>
      </c>
      <c r="D1130" s="9"/>
      <c r="E1130" s="7" t="s">
        <v>25</v>
      </c>
      <c r="F1130" s="7" t="s">
        <v>196</v>
      </c>
      <c r="G1130" s="7" t="s">
        <v>197</v>
      </c>
      <c r="H1130" s="7">
        <v>1980</v>
      </c>
      <c r="I1130" s="7">
        <v>10</v>
      </c>
      <c r="K1130" s="7">
        <v>7</v>
      </c>
      <c r="M1130" s="7">
        <v>5</v>
      </c>
      <c r="N1130" s="7">
        <v>45</v>
      </c>
      <c r="O1130" s="7">
        <v>52</v>
      </c>
      <c r="T1130" s="12"/>
      <c r="V1130" cm="1">
        <f t="array" ref="V1130">_xlfn.LET(
_xlpm.x,_xlfn._xlws.FILTER(O1130:S1130,(O1130:S1130&lt;&gt;"R")*(O1130:S1130&lt;&gt;"NA")*(O1130:S1130&lt;&gt;"W")*(O1130:S1130&lt;&gt;"")),
IF(COUNTA(_xlpm.x)=0,"NA",IF(MIN(_xlpm.x)=MAX(_xlpm.x),MIN(_xlpm.x),"review"))
)</f>
        <v>52</v>
      </c>
    </row>
    <row r="1131" spans="1:22" ht="15.75" hidden="1" customHeight="1" x14ac:dyDescent="0.25">
      <c r="A1131" s="7" t="s">
        <v>194</v>
      </c>
      <c r="B1131" s="8">
        <v>8</v>
      </c>
      <c r="C1131" s="8" t="s">
        <v>195</v>
      </c>
      <c r="D1131" s="9"/>
      <c r="E1131" s="7" t="s">
        <v>25</v>
      </c>
      <c r="F1131" s="7" t="s">
        <v>196</v>
      </c>
      <c r="G1131" s="7" t="s">
        <v>197</v>
      </c>
      <c r="H1131" s="7">
        <v>1980</v>
      </c>
      <c r="I1131" s="7">
        <v>10</v>
      </c>
      <c r="K1131" s="7">
        <v>7</v>
      </c>
      <c r="M1131" s="7">
        <v>5</v>
      </c>
      <c r="N1131" s="7">
        <v>46</v>
      </c>
      <c r="O1131" s="7">
        <v>42</v>
      </c>
      <c r="T1131" s="12"/>
      <c r="V1131" cm="1">
        <f t="array" ref="V1131">_xlfn.LET(
_xlpm.x,_xlfn._xlws.FILTER(O1131:S1131,(O1131:S1131&lt;&gt;"R")*(O1131:S1131&lt;&gt;"NA")*(O1131:S1131&lt;&gt;"W")*(O1131:S1131&lt;&gt;"")),
IF(COUNTA(_xlpm.x)=0,"NA",IF(MIN(_xlpm.x)=MAX(_xlpm.x),MIN(_xlpm.x),"review"))
)</f>
        <v>42</v>
      </c>
    </row>
    <row r="1132" spans="1:22" ht="15.75" hidden="1" customHeight="1" x14ac:dyDescent="0.25">
      <c r="A1132" s="7" t="s">
        <v>194</v>
      </c>
      <c r="B1132" s="8">
        <v>8</v>
      </c>
      <c r="C1132" s="8" t="s">
        <v>195</v>
      </c>
      <c r="D1132" s="9"/>
      <c r="E1132" s="7" t="s">
        <v>25</v>
      </c>
      <c r="F1132" s="7" t="s">
        <v>196</v>
      </c>
      <c r="G1132" s="7" t="s">
        <v>197</v>
      </c>
      <c r="H1132" s="7">
        <v>1980</v>
      </c>
      <c r="I1132" s="7">
        <v>10</v>
      </c>
      <c r="K1132" s="7">
        <v>7</v>
      </c>
      <c r="M1132" s="7">
        <v>5</v>
      </c>
      <c r="N1132" s="7">
        <v>47</v>
      </c>
      <c r="O1132" s="7">
        <v>53</v>
      </c>
      <c r="T1132" s="12"/>
      <c r="V1132" cm="1">
        <f t="array" ref="V1132">_xlfn.LET(
_xlpm.x,_xlfn._xlws.FILTER(O1132:S1132,(O1132:S1132&lt;&gt;"R")*(O1132:S1132&lt;&gt;"NA")*(O1132:S1132&lt;&gt;"W")*(O1132:S1132&lt;&gt;"")),
IF(COUNTA(_xlpm.x)=0,"NA",IF(MIN(_xlpm.x)=MAX(_xlpm.x),MIN(_xlpm.x),"review"))
)</f>
        <v>53</v>
      </c>
    </row>
    <row r="1133" spans="1:22" ht="15.75" hidden="1" customHeight="1" x14ac:dyDescent="0.25">
      <c r="A1133" s="7" t="s">
        <v>194</v>
      </c>
      <c r="B1133" s="8">
        <v>8</v>
      </c>
      <c r="C1133" s="8" t="s">
        <v>195</v>
      </c>
      <c r="D1133" s="9"/>
      <c r="E1133" s="7" t="s">
        <v>25</v>
      </c>
      <c r="F1133" s="7" t="s">
        <v>196</v>
      </c>
      <c r="G1133" s="7" t="s">
        <v>197</v>
      </c>
      <c r="H1133" s="7">
        <v>1980</v>
      </c>
      <c r="I1133" s="7">
        <v>10</v>
      </c>
      <c r="K1133" s="7">
        <v>7</v>
      </c>
      <c r="M1133" s="7">
        <v>5</v>
      </c>
      <c r="N1133" s="7">
        <v>48</v>
      </c>
      <c r="T1133" s="12" t="s">
        <v>218</v>
      </c>
      <c r="V1133" t="s">
        <v>29</v>
      </c>
    </row>
    <row r="1134" spans="1:22" ht="15.75" hidden="1" customHeight="1" x14ac:dyDescent="0.25">
      <c r="A1134" s="7" t="s">
        <v>194</v>
      </c>
      <c r="B1134" s="8">
        <v>8</v>
      </c>
      <c r="C1134" s="8" t="s">
        <v>195</v>
      </c>
      <c r="D1134" s="9"/>
      <c r="E1134" s="7" t="s">
        <v>25</v>
      </c>
      <c r="F1134" s="7" t="s">
        <v>196</v>
      </c>
      <c r="G1134" s="7" t="s">
        <v>197</v>
      </c>
      <c r="H1134" s="7">
        <v>1980</v>
      </c>
      <c r="I1134" s="7">
        <v>10</v>
      </c>
      <c r="K1134" s="7">
        <v>7</v>
      </c>
      <c r="M1134" s="7">
        <v>5</v>
      </c>
      <c r="N1134" s="7">
        <v>49</v>
      </c>
      <c r="O1134" s="7">
        <v>42</v>
      </c>
      <c r="T1134" s="12"/>
      <c r="V1134" cm="1">
        <f t="array" ref="V1134">_xlfn.LET(
_xlpm.x,_xlfn._xlws.FILTER(O1134:S1134,(O1134:S1134&lt;&gt;"R")*(O1134:S1134&lt;&gt;"NA")*(O1134:S1134&lt;&gt;"W")*(O1134:S1134&lt;&gt;"")),
IF(COUNTA(_xlpm.x)=0,"NA",IF(MIN(_xlpm.x)=MAX(_xlpm.x),MIN(_xlpm.x),"review"))
)</f>
        <v>42</v>
      </c>
    </row>
    <row r="1135" spans="1:22" ht="15.75" hidden="1" customHeight="1" x14ac:dyDescent="0.25">
      <c r="A1135" s="7" t="s">
        <v>194</v>
      </c>
      <c r="B1135" s="8">
        <v>8</v>
      </c>
      <c r="C1135" s="8" t="s">
        <v>195</v>
      </c>
      <c r="D1135" s="9"/>
      <c r="E1135" s="7" t="s">
        <v>25</v>
      </c>
      <c r="F1135" s="7" t="s">
        <v>196</v>
      </c>
      <c r="G1135" s="7" t="s">
        <v>197</v>
      </c>
      <c r="H1135" s="7">
        <v>1980</v>
      </c>
      <c r="I1135" s="7">
        <v>10</v>
      </c>
      <c r="K1135" s="7">
        <v>7</v>
      </c>
      <c r="M1135" s="7">
        <v>5</v>
      </c>
      <c r="N1135" s="7">
        <v>50</v>
      </c>
      <c r="O1135" s="7">
        <v>42</v>
      </c>
      <c r="T1135" s="12"/>
      <c r="V1135" cm="1">
        <f t="array" ref="V1135">_xlfn.LET(
_xlpm.x,_xlfn._xlws.FILTER(O1135:S1135,(O1135:S1135&lt;&gt;"R")*(O1135:S1135&lt;&gt;"NA")*(O1135:S1135&lt;&gt;"W")*(O1135:S1135&lt;&gt;"")),
IF(COUNTA(_xlpm.x)=0,"NA",IF(MIN(_xlpm.x)=MAX(_xlpm.x),MIN(_xlpm.x),"review"))
)</f>
        <v>42</v>
      </c>
    </row>
    <row r="1136" spans="1:22" ht="15.75" hidden="1" customHeight="1" x14ac:dyDescent="0.25">
      <c r="A1136" s="7" t="s">
        <v>194</v>
      </c>
      <c r="B1136" s="8">
        <v>8</v>
      </c>
      <c r="C1136" s="8" t="s">
        <v>195</v>
      </c>
      <c r="D1136" s="9"/>
      <c r="E1136" s="7" t="s">
        <v>25</v>
      </c>
      <c r="F1136" s="7" t="s">
        <v>196</v>
      </c>
      <c r="G1136" s="7" t="s">
        <v>197</v>
      </c>
      <c r="H1136" s="7">
        <v>1980</v>
      </c>
      <c r="I1136" s="7">
        <v>10</v>
      </c>
      <c r="K1136" s="7">
        <v>7</v>
      </c>
      <c r="M1136" s="7">
        <v>6</v>
      </c>
      <c r="N1136" s="7">
        <v>1</v>
      </c>
      <c r="O1136" s="7">
        <v>42</v>
      </c>
      <c r="T1136" s="12"/>
      <c r="V1136" cm="1">
        <f t="array" ref="V1136">_xlfn.LET(
_xlpm.x,_xlfn._xlws.FILTER(O1136:S1136,(O1136:S1136&lt;&gt;"R")*(O1136:S1136&lt;&gt;"NA")*(O1136:S1136&lt;&gt;"W")*(O1136:S1136&lt;&gt;"")),
IF(COUNTA(_xlpm.x)=0,"NA",IF(MIN(_xlpm.x)=MAX(_xlpm.x),MIN(_xlpm.x),"review"))
)</f>
        <v>42</v>
      </c>
    </row>
    <row r="1137" spans="1:22" ht="15.75" hidden="1" customHeight="1" x14ac:dyDescent="0.25">
      <c r="A1137" s="7" t="s">
        <v>194</v>
      </c>
      <c r="B1137" s="8">
        <v>8</v>
      </c>
      <c r="C1137" s="8" t="s">
        <v>195</v>
      </c>
      <c r="D1137" s="9"/>
      <c r="E1137" s="7" t="s">
        <v>25</v>
      </c>
      <c r="F1137" s="7" t="s">
        <v>196</v>
      </c>
      <c r="G1137" s="7" t="s">
        <v>197</v>
      </c>
      <c r="H1137" s="7">
        <v>1980</v>
      </c>
      <c r="I1137" s="7">
        <v>10</v>
      </c>
      <c r="K1137" s="7">
        <v>7</v>
      </c>
      <c r="M1137" s="7">
        <v>6</v>
      </c>
      <c r="N1137" s="7">
        <v>2</v>
      </c>
      <c r="O1137" s="7">
        <v>42</v>
      </c>
      <c r="T1137" s="12"/>
      <c r="V1137" cm="1">
        <f t="array" ref="V1137">_xlfn.LET(
_xlpm.x,_xlfn._xlws.FILTER(O1137:S1137,(O1137:S1137&lt;&gt;"R")*(O1137:S1137&lt;&gt;"NA")*(O1137:S1137&lt;&gt;"W")*(O1137:S1137&lt;&gt;"")),
IF(COUNTA(_xlpm.x)=0,"NA",IF(MIN(_xlpm.x)=MAX(_xlpm.x),MIN(_xlpm.x),"review"))
)</f>
        <v>42</v>
      </c>
    </row>
    <row r="1138" spans="1:22" ht="15.75" hidden="1" customHeight="1" x14ac:dyDescent="0.25">
      <c r="A1138" s="7" t="s">
        <v>194</v>
      </c>
      <c r="B1138" s="8">
        <v>8</v>
      </c>
      <c r="C1138" s="8" t="s">
        <v>195</v>
      </c>
      <c r="D1138" s="9"/>
      <c r="E1138" s="7" t="s">
        <v>25</v>
      </c>
      <c r="F1138" s="7" t="s">
        <v>196</v>
      </c>
      <c r="G1138" s="7" t="s">
        <v>197</v>
      </c>
      <c r="H1138" s="7">
        <v>1980</v>
      </c>
      <c r="I1138" s="7">
        <v>10</v>
      </c>
      <c r="K1138" s="7">
        <v>7</v>
      </c>
      <c r="M1138" s="7">
        <v>6</v>
      </c>
      <c r="N1138" s="7">
        <v>3</v>
      </c>
      <c r="O1138" s="7">
        <v>53</v>
      </c>
      <c r="T1138" s="12" t="s">
        <v>224</v>
      </c>
      <c r="V1138" cm="1">
        <f t="array" ref="V1138">_xlfn.LET(
_xlpm.x,_xlfn._xlws.FILTER(O1138:S1138,(O1138:S1138&lt;&gt;"R")*(O1138:S1138&lt;&gt;"NA")*(O1138:S1138&lt;&gt;"W")*(O1138:S1138&lt;&gt;"")),
IF(COUNTA(_xlpm.x)=0,"NA",IF(MIN(_xlpm.x)=MAX(_xlpm.x),MIN(_xlpm.x),"review"))
)</f>
        <v>53</v>
      </c>
    </row>
    <row r="1139" spans="1:22" ht="15.75" hidden="1" customHeight="1" x14ac:dyDescent="0.25">
      <c r="A1139" s="7" t="s">
        <v>194</v>
      </c>
      <c r="B1139" s="8">
        <v>8</v>
      </c>
      <c r="C1139" s="8" t="s">
        <v>195</v>
      </c>
      <c r="D1139" s="9"/>
      <c r="E1139" s="7" t="s">
        <v>25</v>
      </c>
      <c r="F1139" s="7" t="s">
        <v>196</v>
      </c>
      <c r="G1139" s="7" t="s">
        <v>197</v>
      </c>
      <c r="H1139" s="7">
        <v>1980</v>
      </c>
      <c r="I1139" s="7">
        <v>10</v>
      </c>
      <c r="K1139" s="7">
        <v>7</v>
      </c>
      <c r="M1139" s="7">
        <v>6</v>
      </c>
      <c r="N1139" s="7">
        <v>4</v>
      </c>
      <c r="T1139" s="12" t="s">
        <v>33</v>
      </c>
      <c r="V1139" t="s">
        <v>29</v>
      </c>
    </row>
    <row r="1140" spans="1:22" ht="15.75" hidden="1" customHeight="1" x14ac:dyDescent="0.25">
      <c r="A1140" s="7" t="s">
        <v>194</v>
      </c>
      <c r="B1140" s="8">
        <v>8</v>
      </c>
      <c r="C1140" s="8" t="s">
        <v>195</v>
      </c>
      <c r="D1140" s="9"/>
      <c r="E1140" s="7" t="s">
        <v>25</v>
      </c>
      <c r="F1140" s="7" t="s">
        <v>196</v>
      </c>
      <c r="G1140" s="7" t="s">
        <v>197</v>
      </c>
      <c r="H1140" s="7">
        <v>1980</v>
      </c>
      <c r="I1140" s="7">
        <v>10</v>
      </c>
      <c r="K1140" s="7">
        <v>7</v>
      </c>
      <c r="M1140" s="7">
        <v>6</v>
      </c>
      <c r="N1140" s="7">
        <v>5</v>
      </c>
      <c r="O1140" s="7">
        <v>42</v>
      </c>
      <c r="T1140" s="12"/>
      <c r="V1140" cm="1">
        <f t="array" ref="V1140">_xlfn.LET(
_xlpm.x,_xlfn._xlws.FILTER(O1140:S1140,(O1140:S1140&lt;&gt;"R")*(O1140:S1140&lt;&gt;"NA")*(O1140:S1140&lt;&gt;"W")*(O1140:S1140&lt;&gt;"")),
IF(COUNTA(_xlpm.x)=0,"NA",IF(MIN(_xlpm.x)=MAX(_xlpm.x),MIN(_xlpm.x),"review"))
)</f>
        <v>42</v>
      </c>
    </row>
    <row r="1141" spans="1:22" ht="15.75" hidden="1" customHeight="1" x14ac:dyDescent="0.25">
      <c r="A1141" s="7" t="s">
        <v>194</v>
      </c>
      <c r="B1141" s="8">
        <v>8</v>
      </c>
      <c r="C1141" s="8" t="s">
        <v>195</v>
      </c>
      <c r="D1141" s="9"/>
      <c r="E1141" s="7" t="s">
        <v>25</v>
      </c>
      <c r="F1141" s="7" t="s">
        <v>196</v>
      </c>
      <c r="G1141" s="7" t="s">
        <v>197</v>
      </c>
      <c r="H1141" s="7">
        <v>1980</v>
      </c>
      <c r="I1141" s="7">
        <v>10</v>
      </c>
      <c r="K1141" s="7">
        <v>7</v>
      </c>
      <c r="M1141" s="7">
        <v>6</v>
      </c>
      <c r="N1141" s="7">
        <v>6</v>
      </c>
      <c r="O1141" s="7">
        <v>52</v>
      </c>
      <c r="T1141" s="12"/>
      <c r="V1141" cm="1">
        <f t="array" ref="V1141">_xlfn.LET(
_xlpm.x,_xlfn._xlws.FILTER(O1141:S1141,(O1141:S1141&lt;&gt;"R")*(O1141:S1141&lt;&gt;"NA")*(O1141:S1141&lt;&gt;"W")*(O1141:S1141&lt;&gt;"")),
IF(COUNTA(_xlpm.x)=0,"NA",IF(MIN(_xlpm.x)=MAX(_xlpm.x),MIN(_xlpm.x),"review"))
)</f>
        <v>52</v>
      </c>
    </row>
    <row r="1142" spans="1:22" ht="15.75" hidden="1" customHeight="1" x14ac:dyDescent="0.25">
      <c r="A1142" s="7" t="s">
        <v>194</v>
      </c>
      <c r="B1142" s="8">
        <v>8</v>
      </c>
      <c r="C1142" s="8" t="s">
        <v>195</v>
      </c>
      <c r="D1142" s="9"/>
      <c r="E1142" s="7" t="s">
        <v>25</v>
      </c>
      <c r="F1142" s="7" t="s">
        <v>196</v>
      </c>
      <c r="G1142" s="7" t="s">
        <v>197</v>
      </c>
      <c r="H1142" s="7">
        <v>1980</v>
      </c>
      <c r="I1142" s="7">
        <v>10</v>
      </c>
      <c r="K1142" s="7">
        <v>7</v>
      </c>
      <c r="M1142" s="7">
        <v>6</v>
      </c>
      <c r="N1142" s="7">
        <v>7</v>
      </c>
      <c r="O1142" s="7">
        <v>52</v>
      </c>
      <c r="T1142" s="12"/>
      <c r="V1142" cm="1">
        <f t="array" ref="V1142">_xlfn.LET(
_xlpm.x,_xlfn._xlws.FILTER(O1142:S1142,(O1142:S1142&lt;&gt;"R")*(O1142:S1142&lt;&gt;"NA")*(O1142:S1142&lt;&gt;"W")*(O1142:S1142&lt;&gt;"")),
IF(COUNTA(_xlpm.x)=0,"NA",IF(MIN(_xlpm.x)=MAX(_xlpm.x),MIN(_xlpm.x),"review"))
)</f>
        <v>52</v>
      </c>
    </row>
    <row r="1143" spans="1:22" ht="15.75" hidden="1" customHeight="1" x14ac:dyDescent="0.25">
      <c r="A1143" s="7" t="s">
        <v>194</v>
      </c>
      <c r="B1143" s="8">
        <v>8</v>
      </c>
      <c r="C1143" s="8" t="s">
        <v>195</v>
      </c>
      <c r="D1143" s="9"/>
      <c r="E1143" s="7" t="s">
        <v>25</v>
      </c>
      <c r="F1143" s="7" t="s">
        <v>196</v>
      </c>
      <c r="G1143" s="7" t="s">
        <v>197</v>
      </c>
      <c r="H1143" s="7">
        <v>1980</v>
      </c>
      <c r="I1143" s="7">
        <v>10</v>
      </c>
      <c r="K1143" s="7">
        <v>7</v>
      </c>
      <c r="M1143" s="7">
        <v>6</v>
      </c>
      <c r="N1143" s="7">
        <v>8</v>
      </c>
      <c r="O1143" s="7" t="s">
        <v>29</v>
      </c>
      <c r="T1143" s="12"/>
      <c r="V1143" t="s">
        <v>29</v>
      </c>
    </row>
    <row r="1144" spans="1:22" ht="15.75" hidden="1" customHeight="1" x14ac:dyDescent="0.25">
      <c r="A1144" s="7" t="s">
        <v>194</v>
      </c>
      <c r="B1144" s="8">
        <v>8</v>
      </c>
      <c r="C1144" s="8" t="s">
        <v>195</v>
      </c>
      <c r="D1144" s="9"/>
      <c r="E1144" s="7" t="s">
        <v>25</v>
      </c>
      <c r="F1144" s="7" t="s">
        <v>196</v>
      </c>
      <c r="G1144" s="7" t="s">
        <v>197</v>
      </c>
      <c r="H1144" s="7">
        <v>1980</v>
      </c>
      <c r="I1144" s="7">
        <v>10</v>
      </c>
      <c r="K1144" s="7">
        <v>7</v>
      </c>
      <c r="M1144" s="7">
        <v>6</v>
      </c>
      <c r="N1144" s="7">
        <v>9</v>
      </c>
      <c r="O1144" s="7">
        <v>52</v>
      </c>
      <c r="T1144" s="12"/>
      <c r="V1144" cm="1">
        <f t="array" ref="V1144">_xlfn.LET(
_xlpm.x,_xlfn._xlws.FILTER(O1144:S1144,(O1144:S1144&lt;&gt;"R")*(O1144:S1144&lt;&gt;"NA")*(O1144:S1144&lt;&gt;"W")*(O1144:S1144&lt;&gt;"")),
IF(COUNTA(_xlpm.x)=0,"NA",IF(MIN(_xlpm.x)=MAX(_xlpm.x),MIN(_xlpm.x),"review"))
)</f>
        <v>52</v>
      </c>
    </row>
    <row r="1145" spans="1:22" ht="15.75" hidden="1" customHeight="1" x14ac:dyDescent="0.25">
      <c r="A1145" s="7" t="s">
        <v>194</v>
      </c>
      <c r="B1145" s="8">
        <v>8</v>
      </c>
      <c r="C1145" s="8" t="s">
        <v>195</v>
      </c>
      <c r="D1145" s="9"/>
      <c r="E1145" s="7" t="s">
        <v>25</v>
      </c>
      <c r="F1145" s="7" t="s">
        <v>196</v>
      </c>
      <c r="G1145" s="7" t="s">
        <v>197</v>
      </c>
      <c r="H1145" s="7">
        <v>1980</v>
      </c>
      <c r="I1145" s="7">
        <v>10</v>
      </c>
      <c r="K1145" s="7">
        <v>7</v>
      </c>
      <c r="M1145" s="7">
        <v>6</v>
      </c>
      <c r="N1145" s="7">
        <v>10</v>
      </c>
      <c r="O1145" s="7">
        <v>42</v>
      </c>
      <c r="T1145" s="12"/>
      <c r="V1145" cm="1">
        <f t="array" ref="V1145">_xlfn.LET(
_xlpm.x,_xlfn._xlws.FILTER(O1145:S1145,(O1145:S1145&lt;&gt;"R")*(O1145:S1145&lt;&gt;"NA")*(O1145:S1145&lt;&gt;"W")*(O1145:S1145&lt;&gt;"")),
IF(COUNTA(_xlpm.x)=0,"NA",IF(MIN(_xlpm.x)=MAX(_xlpm.x),MIN(_xlpm.x),"review"))
)</f>
        <v>42</v>
      </c>
    </row>
    <row r="1146" spans="1:22" ht="15.75" hidden="1" customHeight="1" x14ac:dyDescent="0.25">
      <c r="A1146" s="7" t="s">
        <v>194</v>
      </c>
      <c r="B1146" s="8">
        <v>8</v>
      </c>
      <c r="C1146" s="8" t="s">
        <v>195</v>
      </c>
      <c r="D1146" s="9"/>
      <c r="E1146" s="7" t="s">
        <v>25</v>
      </c>
      <c r="F1146" s="7" t="s">
        <v>196</v>
      </c>
      <c r="G1146" s="7" t="s">
        <v>197</v>
      </c>
      <c r="H1146" s="7">
        <v>1980</v>
      </c>
      <c r="I1146" s="7">
        <v>10</v>
      </c>
      <c r="K1146" s="7">
        <v>7</v>
      </c>
      <c r="M1146" s="7">
        <v>6</v>
      </c>
      <c r="N1146" s="7">
        <v>11</v>
      </c>
      <c r="O1146" s="7">
        <v>52</v>
      </c>
      <c r="T1146" s="12"/>
      <c r="V1146" cm="1">
        <f t="array" ref="V1146">_xlfn.LET(
_xlpm.x,_xlfn._xlws.FILTER(O1146:S1146,(O1146:S1146&lt;&gt;"R")*(O1146:S1146&lt;&gt;"NA")*(O1146:S1146&lt;&gt;"W")*(O1146:S1146&lt;&gt;"")),
IF(COUNTA(_xlpm.x)=0,"NA",IF(MIN(_xlpm.x)=MAX(_xlpm.x),MIN(_xlpm.x),"review"))
)</f>
        <v>52</v>
      </c>
    </row>
    <row r="1147" spans="1:22" ht="15.75" hidden="1" customHeight="1" x14ac:dyDescent="0.25">
      <c r="A1147" s="7" t="s">
        <v>194</v>
      </c>
      <c r="B1147" s="8">
        <v>8</v>
      </c>
      <c r="C1147" s="8" t="s">
        <v>195</v>
      </c>
      <c r="D1147" s="9"/>
      <c r="E1147" s="7" t="s">
        <v>25</v>
      </c>
      <c r="F1147" s="7" t="s">
        <v>196</v>
      </c>
      <c r="G1147" s="7" t="s">
        <v>197</v>
      </c>
      <c r="H1147" s="7">
        <v>1980</v>
      </c>
      <c r="I1147" s="7">
        <v>10</v>
      </c>
      <c r="K1147" s="7">
        <v>7</v>
      </c>
      <c r="M1147" s="7">
        <v>6</v>
      </c>
      <c r="N1147" s="7">
        <v>12</v>
      </c>
      <c r="O1147" s="7">
        <v>42</v>
      </c>
      <c r="T1147" s="12"/>
      <c r="V1147" cm="1">
        <f t="array" ref="V1147">_xlfn.LET(
_xlpm.x,_xlfn._xlws.FILTER(O1147:S1147,(O1147:S1147&lt;&gt;"R")*(O1147:S1147&lt;&gt;"NA")*(O1147:S1147&lt;&gt;"W")*(O1147:S1147&lt;&gt;"")),
IF(COUNTA(_xlpm.x)=0,"NA",IF(MIN(_xlpm.x)=MAX(_xlpm.x),MIN(_xlpm.x),"review"))
)</f>
        <v>42</v>
      </c>
    </row>
    <row r="1148" spans="1:22" ht="15.75" hidden="1" customHeight="1" x14ac:dyDescent="0.25">
      <c r="A1148" s="7" t="s">
        <v>194</v>
      </c>
      <c r="B1148" s="8">
        <v>8</v>
      </c>
      <c r="C1148" s="8" t="s">
        <v>195</v>
      </c>
      <c r="D1148" s="9"/>
      <c r="E1148" s="7" t="s">
        <v>25</v>
      </c>
      <c r="F1148" s="7" t="s">
        <v>196</v>
      </c>
      <c r="G1148" s="7" t="s">
        <v>197</v>
      </c>
      <c r="H1148" s="7">
        <v>1980</v>
      </c>
      <c r="I1148" s="7">
        <v>10</v>
      </c>
      <c r="K1148" s="7">
        <v>7</v>
      </c>
      <c r="M1148" s="7">
        <v>6</v>
      </c>
      <c r="N1148" s="7">
        <v>13</v>
      </c>
      <c r="O1148" s="7" t="s">
        <v>28</v>
      </c>
      <c r="T1148" s="12"/>
      <c r="V1148" t="s">
        <v>29</v>
      </c>
    </row>
    <row r="1149" spans="1:22" ht="15.75" hidden="1" customHeight="1" x14ac:dyDescent="0.25">
      <c r="A1149" s="7" t="s">
        <v>194</v>
      </c>
      <c r="B1149" s="8">
        <v>8</v>
      </c>
      <c r="C1149" s="8" t="s">
        <v>195</v>
      </c>
      <c r="D1149" s="9"/>
      <c r="E1149" s="7" t="s">
        <v>25</v>
      </c>
      <c r="F1149" s="7" t="s">
        <v>196</v>
      </c>
      <c r="G1149" s="7" t="s">
        <v>197</v>
      </c>
      <c r="H1149" s="7">
        <v>1980</v>
      </c>
      <c r="I1149" s="7">
        <v>10</v>
      </c>
      <c r="K1149" s="7">
        <v>7</v>
      </c>
      <c r="M1149" s="7">
        <v>6</v>
      </c>
      <c r="N1149" s="7">
        <v>14</v>
      </c>
      <c r="O1149" s="7" t="s">
        <v>28</v>
      </c>
      <c r="T1149" s="12"/>
      <c r="V1149" t="s">
        <v>29</v>
      </c>
    </row>
    <row r="1150" spans="1:22" ht="15.75" hidden="1" customHeight="1" x14ac:dyDescent="0.25">
      <c r="A1150" s="7" t="s">
        <v>194</v>
      </c>
      <c r="B1150" s="8">
        <v>8</v>
      </c>
      <c r="C1150" s="8" t="s">
        <v>195</v>
      </c>
      <c r="D1150" s="9"/>
      <c r="E1150" s="7" t="s">
        <v>25</v>
      </c>
      <c r="F1150" s="7" t="s">
        <v>196</v>
      </c>
      <c r="G1150" s="7" t="s">
        <v>197</v>
      </c>
      <c r="H1150" s="7">
        <v>1980</v>
      </c>
      <c r="I1150" s="7">
        <v>10</v>
      </c>
      <c r="K1150" s="7">
        <v>7</v>
      </c>
      <c r="M1150" s="7">
        <v>6</v>
      </c>
      <c r="N1150" s="7">
        <v>15</v>
      </c>
      <c r="O1150" s="7">
        <v>52</v>
      </c>
      <c r="T1150" s="12"/>
      <c r="V1150" cm="1">
        <f t="array" ref="V1150">_xlfn.LET(
_xlpm.x,_xlfn._xlws.FILTER(O1150:S1150,(O1150:S1150&lt;&gt;"R")*(O1150:S1150&lt;&gt;"NA")*(O1150:S1150&lt;&gt;"W")*(O1150:S1150&lt;&gt;"")),
IF(COUNTA(_xlpm.x)=0,"NA",IF(MIN(_xlpm.x)=MAX(_xlpm.x),MIN(_xlpm.x),"review"))
)</f>
        <v>52</v>
      </c>
    </row>
    <row r="1151" spans="1:22" ht="15.75" hidden="1" customHeight="1" x14ac:dyDescent="0.25">
      <c r="A1151" s="7" t="s">
        <v>194</v>
      </c>
      <c r="B1151" s="8">
        <v>8</v>
      </c>
      <c r="C1151" s="8" t="s">
        <v>195</v>
      </c>
      <c r="D1151" s="9"/>
      <c r="E1151" s="7" t="s">
        <v>25</v>
      </c>
      <c r="F1151" s="7" t="s">
        <v>196</v>
      </c>
      <c r="G1151" s="7" t="s">
        <v>197</v>
      </c>
      <c r="H1151" s="7">
        <v>1980</v>
      </c>
      <c r="I1151" s="7">
        <v>10</v>
      </c>
      <c r="K1151" s="7">
        <v>7</v>
      </c>
      <c r="M1151" s="7">
        <v>6</v>
      </c>
      <c r="N1151" s="7">
        <v>16</v>
      </c>
      <c r="O1151" s="7">
        <v>52</v>
      </c>
      <c r="T1151" s="12"/>
      <c r="V1151" cm="1">
        <f t="array" ref="V1151">_xlfn.LET(
_xlpm.x,_xlfn._xlws.FILTER(O1151:S1151,(O1151:S1151&lt;&gt;"R")*(O1151:S1151&lt;&gt;"NA")*(O1151:S1151&lt;&gt;"W")*(O1151:S1151&lt;&gt;"")),
IF(COUNTA(_xlpm.x)=0,"NA",IF(MIN(_xlpm.x)=MAX(_xlpm.x),MIN(_xlpm.x),"review"))
)</f>
        <v>52</v>
      </c>
    </row>
    <row r="1152" spans="1:22" ht="15.75" hidden="1" customHeight="1" x14ac:dyDescent="0.25">
      <c r="A1152" s="7" t="s">
        <v>194</v>
      </c>
      <c r="B1152" s="8">
        <v>8</v>
      </c>
      <c r="C1152" s="8" t="s">
        <v>195</v>
      </c>
      <c r="D1152" s="9"/>
      <c r="E1152" s="7" t="s">
        <v>25</v>
      </c>
      <c r="F1152" s="7" t="s">
        <v>196</v>
      </c>
      <c r="G1152" s="7" t="s">
        <v>197</v>
      </c>
      <c r="H1152" s="7">
        <v>1980</v>
      </c>
      <c r="I1152" s="7">
        <v>10</v>
      </c>
      <c r="K1152" s="7">
        <v>7</v>
      </c>
      <c r="M1152" s="7">
        <v>6</v>
      </c>
      <c r="N1152" s="7">
        <v>17</v>
      </c>
      <c r="O1152" s="7">
        <v>63</v>
      </c>
      <c r="T1152" s="12"/>
      <c r="V1152" cm="1">
        <f t="array" ref="V1152">_xlfn.LET(
_xlpm.x,_xlfn._xlws.FILTER(O1152:S1152,(O1152:S1152&lt;&gt;"R")*(O1152:S1152&lt;&gt;"NA")*(O1152:S1152&lt;&gt;"W")*(O1152:S1152&lt;&gt;"")),
IF(COUNTA(_xlpm.x)=0,"NA",IF(MIN(_xlpm.x)=MAX(_xlpm.x),MIN(_xlpm.x),"review"))
)</f>
        <v>63</v>
      </c>
    </row>
    <row r="1153" spans="1:22" ht="15.75" hidden="1" customHeight="1" x14ac:dyDescent="0.25">
      <c r="A1153" s="7" t="s">
        <v>194</v>
      </c>
      <c r="B1153" s="8">
        <v>8</v>
      </c>
      <c r="C1153" s="8" t="s">
        <v>195</v>
      </c>
      <c r="D1153" s="9"/>
      <c r="E1153" s="7" t="s">
        <v>25</v>
      </c>
      <c r="F1153" s="7" t="s">
        <v>196</v>
      </c>
      <c r="G1153" s="7" t="s">
        <v>197</v>
      </c>
      <c r="H1153" s="7">
        <v>1980</v>
      </c>
      <c r="I1153" s="7">
        <v>10</v>
      </c>
      <c r="K1153" s="7">
        <v>7</v>
      </c>
      <c r="M1153" s="7">
        <v>6</v>
      </c>
      <c r="N1153" s="7">
        <v>18</v>
      </c>
      <c r="O1153" s="7">
        <v>42</v>
      </c>
      <c r="T1153" s="12"/>
      <c r="V1153" cm="1">
        <f t="array" ref="V1153">_xlfn.LET(
_xlpm.x,_xlfn._xlws.FILTER(O1153:S1153,(O1153:S1153&lt;&gt;"R")*(O1153:S1153&lt;&gt;"NA")*(O1153:S1153&lt;&gt;"W")*(O1153:S1153&lt;&gt;"")),
IF(COUNTA(_xlpm.x)=0,"NA",IF(MIN(_xlpm.x)=MAX(_xlpm.x),MIN(_xlpm.x),"review"))
)</f>
        <v>42</v>
      </c>
    </row>
    <row r="1154" spans="1:22" ht="15.75" hidden="1" customHeight="1" x14ac:dyDescent="0.25">
      <c r="A1154" s="7" t="s">
        <v>194</v>
      </c>
      <c r="B1154" s="8">
        <v>8</v>
      </c>
      <c r="C1154" s="8" t="s">
        <v>195</v>
      </c>
      <c r="D1154" s="9"/>
      <c r="E1154" s="7" t="s">
        <v>25</v>
      </c>
      <c r="F1154" s="7" t="s">
        <v>196</v>
      </c>
      <c r="G1154" s="7" t="s">
        <v>197</v>
      </c>
      <c r="H1154" s="7">
        <v>1980</v>
      </c>
      <c r="I1154" s="7">
        <v>10</v>
      </c>
      <c r="K1154" s="7">
        <v>7</v>
      </c>
      <c r="M1154" s="7">
        <v>6</v>
      </c>
      <c r="N1154" s="7">
        <v>19</v>
      </c>
      <c r="O1154" s="7">
        <v>42</v>
      </c>
      <c r="T1154" s="12"/>
      <c r="V1154" cm="1">
        <f t="array" ref="V1154">_xlfn.LET(
_xlpm.x,_xlfn._xlws.FILTER(O1154:S1154,(O1154:S1154&lt;&gt;"R")*(O1154:S1154&lt;&gt;"NA")*(O1154:S1154&lt;&gt;"W")*(O1154:S1154&lt;&gt;"")),
IF(COUNTA(_xlpm.x)=0,"NA",IF(MIN(_xlpm.x)=MAX(_xlpm.x),MIN(_xlpm.x),"review"))
)</f>
        <v>42</v>
      </c>
    </row>
    <row r="1155" spans="1:22" ht="15.75" hidden="1" customHeight="1" x14ac:dyDescent="0.25">
      <c r="A1155" s="7" t="s">
        <v>194</v>
      </c>
      <c r="B1155" s="8">
        <v>8</v>
      </c>
      <c r="C1155" s="8" t="s">
        <v>195</v>
      </c>
      <c r="D1155" s="9"/>
      <c r="E1155" s="7" t="s">
        <v>25</v>
      </c>
      <c r="F1155" s="7" t="s">
        <v>196</v>
      </c>
      <c r="G1155" s="7" t="s">
        <v>197</v>
      </c>
      <c r="H1155" s="7">
        <v>1980</v>
      </c>
      <c r="I1155" s="7">
        <v>10</v>
      </c>
      <c r="K1155" s="7">
        <v>7</v>
      </c>
      <c r="M1155" s="7">
        <v>6</v>
      </c>
      <c r="N1155" s="7">
        <v>20</v>
      </c>
      <c r="O1155" s="7">
        <v>42</v>
      </c>
      <c r="T1155" s="12"/>
      <c r="V1155" cm="1">
        <f t="array" ref="V1155">_xlfn.LET(
_xlpm.x,_xlfn._xlws.FILTER(O1155:S1155,(O1155:S1155&lt;&gt;"R")*(O1155:S1155&lt;&gt;"NA")*(O1155:S1155&lt;&gt;"W")*(O1155:S1155&lt;&gt;"")),
IF(COUNTA(_xlpm.x)=0,"NA",IF(MIN(_xlpm.x)=MAX(_xlpm.x),MIN(_xlpm.x),"review"))
)</f>
        <v>42</v>
      </c>
    </row>
    <row r="1156" spans="1:22" ht="15.75" hidden="1" customHeight="1" x14ac:dyDescent="0.25">
      <c r="A1156" s="7" t="s">
        <v>194</v>
      </c>
      <c r="B1156" s="8">
        <v>8</v>
      </c>
      <c r="C1156" s="8" t="s">
        <v>195</v>
      </c>
      <c r="D1156" s="9"/>
      <c r="E1156" s="7" t="s">
        <v>25</v>
      </c>
      <c r="F1156" s="7" t="s">
        <v>196</v>
      </c>
      <c r="G1156" s="7" t="s">
        <v>197</v>
      </c>
      <c r="H1156" s="7">
        <v>1980</v>
      </c>
      <c r="I1156" s="7">
        <v>10</v>
      </c>
      <c r="K1156" s="7">
        <v>7</v>
      </c>
      <c r="M1156" s="7">
        <v>6</v>
      </c>
      <c r="N1156" s="7">
        <v>21</v>
      </c>
      <c r="T1156" s="12" t="s">
        <v>33</v>
      </c>
      <c r="V1156" t="s">
        <v>29</v>
      </c>
    </row>
    <row r="1157" spans="1:22" ht="15.75" hidden="1" customHeight="1" x14ac:dyDescent="0.25">
      <c r="A1157" s="7" t="s">
        <v>194</v>
      </c>
      <c r="B1157" s="8">
        <v>8</v>
      </c>
      <c r="C1157" s="8" t="s">
        <v>195</v>
      </c>
      <c r="D1157" s="9"/>
      <c r="E1157" s="7" t="s">
        <v>25</v>
      </c>
      <c r="F1157" s="7" t="s">
        <v>196</v>
      </c>
      <c r="G1157" s="7" t="s">
        <v>197</v>
      </c>
      <c r="H1157" s="7">
        <v>1980</v>
      </c>
      <c r="I1157" s="7">
        <v>10</v>
      </c>
      <c r="K1157" s="7">
        <v>7</v>
      </c>
      <c r="M1157" s="7">
        <v>6</v>
      </c>
      <c r="N1157" s="7">
        <v>22</v>
      </c>
      <c r="O1157" s="7">
        <v>52</v>
      </c>
      <c r="T1157" s="12"/>
      <c r="V1157" cm="1">
        <f t="array" ref="V1157">_xlfn.LET(
_xlpm.x,_xlfn._xlws.FILTER(O1157:S1157,(O1157:S1157&lt;&gt;"R")*(O1157:S1157&lt;&gt;"NA")*(O1157:S1157&lt;&gt;"W")*(O1157:S1157&lt;&gt;"")),
IF(COUNTA(_xlpm.x)=0,"NA",IF(MIN(_xlpm.x)=MAX(_xlpm.x),MIN(_xlpm.x),"review"))
)</f>
        <v>52</v>
      </c>
    </row>
    <row r="1158" spans="1:22" ht="15.75" hidden="1" customHeight="1" x14ac:dyDescent="0.25">
      <c r="A1158" s="7" t="s">
        <v>194</v>
      </c>
      <c r="B1158" s="8">
        <v>8</v>
      </c>
      <c r="C1158" s="8" t="s">
        <v>195</v>
      </c>
      <c r="D1158" s="9"/>
      <c r="E1158" s="7" t="s">
        <v>25</v>
      </c>
      <c r="F1158" s="7" t="s">
        <v>196</v>
      </c>
      <c r="G1158" s="7" t="s">
        <v>197</v>
      </c>
      <c r="H1158" s="7">
        <v>1980</v>
      </c>
      <c r="I1158" s="7">
        <v>10</v>
      </c>
      <c r="K1158" s="7">
        <v>7</v>
      </c>
      <c r="M1158" s="7">
        <v>6</v>
      </c>
      <c r="N1158" s="7">
        <v>23</v>
      </c>
      <c r="O1158" s="7">
        <v>42</v>
      </c>
      <c r="T1158" s="12"/>
      <c r="V1158" cm="1">
        <f t="array" ref="V1158">_xlfn.LET(
_xlpm.x,_xlfn._xlws.FILTER(O1158:S1158,(O1158:S1158&lt;&gt;"R")*(O1158:S1158&lt;&gt;"NA")*(O1158:S1158&lt;&gt;"W")*(O1158:S1158&lt;&gt;"")),
IF(COUNTA(_xlpm.x)=0,"NA",IF(MIN(_xlpm.x)=MAX(_xlpm.x),MIN(_xlpm.x),"review"))
)</f>
        <v>42</v>
      </c>
    </row>
    <row r="1159" spans="1:22" ht="15.75" hidden="1" customHeight="1" x14ac:dyDescent="0.25">
      <c r="A1159" s="7" t="s">
        <v>194</v>
      </c>
      <c r="B1159" s="8">
        <v>8</v>
      </c>
      <c r="C1159" s="8" t="s">
        <v>195</v>
      </c>
      <c r="D1159" s="9"/>
      <c r="E1159" s="7" t="s">
        <v>25</v>
      </c>
      <c r="F1159" s="7" t="s">
        <v>196</v>
      </c>
      <c r="G1159" s="7" t="s">
        <v>197</v>
      </c>
      <c r="H1159" s="7">
        <v>1980</v>
      </c>
      <c r="I1159" s="7">
        <v>10</v>
      </c>
      <c r="K1159" s="7">
        <v>7</v>
      </c>
      <c r="M1159" s="7">
        <v>6</v>
      </c>
      <c r="N1159" s="7">
        <v>24</v>
      </c>
      <c r="O1159" s="7">
        <v>42</v>
      </c>
      <c r="T1159" s="12"/>
      <c r="V1159" cm="1">
        <f t="array" ref="V1159">_xlfn.LET(
_xlpm.x,_xlfn._xlws.FILTER(O1159:S1159,(O1159:S1159&lt;&gt;"R")*(O1159:S1159&lt;&gt;"NA")*(O1159:S1159&lt;&gt;"W")*(O1159:S1159&lt;&gt;"")),
IF(COUNTA(_xlpm.x)=0,"NA",IF(MIN(_xlpm.x)=MAX(_xlpm.x),MIN(_xlpm.x),"review"))
)</f>
        <v>42</v>
      </c>
    </row>
    <row r="1160" spans="1:22" ht="15.75" hidden="1" customHeight="1" x14ac:dyDescent="0.25">
      <c r="A1160" s="7" t="s">
        <v>194</v>
      </c>
      <c r="B1160" s="8">
        <v>8</v>
      </c>
      <c r="C1160" s="8" t="s">
        <v>195</v>
      </c>
      <c r="D1160" s="9"/>
      <c r="E1160" s="7" t="s">
        <v>25</v>
      </c>
      <c r="F1160" s="7" t="s">
        <v>196</v>
      </c>
      <c r="G1160" s="7" t="s">
        <v>197</v>
      </c>
      <c r="H1160" s="7">
        <v>1980</v>
      </c>
      <c r="I1160" s="7">
        <v>10</v>
      </c>
      <c r="K1160" s="7">
        <v>7</v>
      </c>
      <c r="M1160" s="7">
        <v>6</v>
      </c>
      <c r="N1160" s="7">
        <v>25</v>
      </c>
      <c r="O1160" s="7" t="s">
        <v>28</v>
      </c>
      <c r="T1160" s="12"/>
      <c r="V1160" t="s">
        <v>29</v>
      </c>
    </row>
    <row r="1161" spans="1:22" ht="15.75" hidden="1" customHeight="1" x14ac:dyDescent="0.25">
      <c r="A1161" s="7" t="s">
        <v>194</v>
      </c>
      <c r="B1161" s="8">
        <v>8</v>
      </c>
      <c r="C1161" s="8" t="s">
        <v>195</v>
      </c>
      <c r="D1161" s="9"/>
      <c r="E1161" s="7" t="s">
        <v>25</v>
      </c>
      <c r="F1161" s="7" t="s">
        <v>196</v>
      </c>
      <c r="G1161" s="7" t="s">
        <v>197</v>
      </c>
      <c r="H1161" s="7">
        <v>1980</v>
      </c>
      <c r="I1161" s="7">
        <v>10</v>
      </c>
      <c r="K1161" s="7">
        <v>7</v>
      </c>
      <c r="M1161" s="7">
        <v>6</v>
      </c>
      <c r="N1161" s="7">
        <v>26</v>
      </c>
      <c r="O1161" s="7" t="s">
        <v>28</v>
      </c>
      <c r="T1161" s="12"/>
      <c r="V1161" t="s">
        <v>29</v>
      </c>
    </row>
    <row r="1162" spans="1:22" ht="15.75" hidden="1" customHeight="1" x14ac:dyDescent="0.25">
      <c r="A1162" s="7" t="s">
        <v>194</v>
      </c>
      <c r="B1162" s="8">
        <v>8</v>
      </c>
      <c r="C1162" s="8" t="s">
        <v>195</v>
      </c>
      <c r="D1162" s="9"/>
      <c r="E1162" s="7" t="s">
        <v>25</v>
      </c>
      <c r="F1162" s="7" t="s">
        <v>196</v>
      </c>
      <c r="G1162" s="7" t="s">
        <v>197</v>
      </c>
      <c r="H1162" s="7">
        <v>1980</v>
      </c>
      <c r="I1162" s="7">
        <v>10</v>
      </c>
      <c r="K1162" s="7">
        <v>7</v>
      </c>
      <c r="M1162" s="7">
        <v>6</v>
      </c>
      <c r="N1162" s="7">
        <v>27</v>
      </c>
      <c r="O1162" s="7">
        <v>52</v>
      </c>
      <c r="T1162" s="12"/>
      <c r="V1162" cm="1">
        <f t="array" ref="V1162">_xlfn.LET(
_xlpm.x,_xlfn._xlws.FILTER(O1162:S1162,(O1162:S1162&lt;&gt;"R")*(O1162:S1162&lt;&gt;"NA")*(O1162:S1162&lt;&gt;"W")*(O1162:S1162&lt;&gt;"")),
IF(COUNTA(_xlpm.x)=0,"NA",IF(MIN(_xlpm.x)=MAX(_xlpm.x),MIN(_xlpm.x),"review"))
)</f>
        <v>52</v>
      </c>
    </row>
    <row r="1163" spans="1:22" ht="15.75" hidden="1" customHeight="1" x14ac:dyDescent="0.25">
      <c r="A1163" s="7" t="s">
        <v>194</v>
      </c>
      <c r="B1163" s="8">
        <v>8</v>
      </c>
      <c r="C1163" s="8" t="s">
        <v>195</v>
      </c>
      <c r="D1163" s="9"/>
      <c r="E1163" s="7" t="s">
        <v>25</v>
      </c>
      <c r="F1163" s="7" t="s">
        <v>196</v>
      </c>
      <c r="G1163" s="7" t="s">
        <v>197</v>
      </c>
      <c r="H1163" s="7">
        <v>1980</v>
      </c>
      <c r="I1163" s="7">
        <v>10</v>
      </c>
      <c r="K1163" s="7">
        <v>7</v>
      </c>
      <c r="M1163" s="7">
        <v>6</v>
      </c>
      <c r="N1163" s="7">
        <v>28</v>
      </c>
      <c r="O1163" s="7">
        <v>53</v>
      </c>
      <c r="T1163" s="12"/>
      <c r="V1163" cm="1">
        <f t="array" ref="V1163">_xlfn.LET(
_xlpm.x,_xlfn._xlws.FILTER(O1163:S1163,(O1163:S1163&lt;&gt;"R")*(O1163:S1163&lt;&gt;"NA")*(O1163:S1163&lt;&gt;"W")*(O1163:S1163&lt;&gt;"")),
IF(COUNTA(_xlpm.x)=0,"NA",IF(MIN(_xlpm.x)=MAX(_xlpm.x),MIN(_xlpm.x),"review"))
)</f>
        <v>53</v>
      </c>
    </row>
    <row r="1164" spans="1:22" ht="15.75" hidden="1" customHeight="1" x14ac:dyDescent="0.25">
      <c r="A1164" s="7" t="s">
        <v>194</v>
      </c>
      <c r="B1164" s="8">
        <v>8</v>
      </c>
      <c r="C1164" s="8" t="s">
        <v>195</v>
      </c>
      <c r="D1164" s="9"/>
      <c r="E1164" s="7" t="s">
        <v>25</v>
      </c>
      <c r="F1164" s="7" t="s">
        <v>196</v>
      </c>
      <c r="G1164" s="7" t="s">
        <v>197</v>
      </c>
      <c r="H1164" s="7">
        <v>1980</v>
      </c>
      <c r="I1164" s="7">
        <v>10</v>
      </c>
      <c r="K1164" s="7">
        <v>7</v>
      </c>
      <c r="M1164" s="7">
        <v>6</v>
      </c>
      <c r="N1164" s="7">
        <v>29</v>
      </c>
      <c r="O1164" s="7">
        <v>42</v>
      </c>
      <c r="T1164" s="12"/>
      <c r="V1164" cm="1">
        <f t="array" ref="V1164">_xlfn.LET(
_xlpm.x,_xlfn._xlws.FILTER(O1164:S1164,(O1164:S1164&lt;&gt;"R")*(O1164:S1164&lt;&gt;"NA")*(O1164:S1164&lt;&gt;"W")*(O1164:S1164&lt;&gt;"")),
IF(COUNTA(_xlpm.x)=0,"NA",IF(MIN(_xlpm.x)=MAX(_xlpm.x),MIN(_xlpm.x),"review"))
)</f>
        <v>42</v>
      </c>
    </row>
    <row r="1165" spans="1:22" ht="15.75" hidden="1" customHeight="1" x14ac:dyDescent="0.25">
      <c r="A1165" s="7" t="s">
        <v>194</v>
      </c>
      <c r="B1165" s="8">
        <v>8</v>
      </c>
      <c r="C1165" s="8" t="s">
        <v>195</v>
      </c>
      <c r="D1165" s="9"/>
      <c r="E1165" s="7" t="s">
        <v>25</v>
      </c>
      <c r="F1165" s="7" t="s">
        <v>196</v>
      </c>
      <c r="G1165" s="7" t="s">
        <v>197</v>
      </c>
      <c r="H1165" s="7">
        <v>1980</v>
      </c>
      <c r="I1165" s="7">
        <v>10</v>
      </c>
      <c r="K1165" s="7">
        <v>7</v>
      </c>
      <c r="M1165" s="7">
        <v>6</v>
      </c>
      <c r="N1165" s="7">
        <v>30</v>
      </c>
      <c r="O1165" s="7">
        <v>42</v>
      </c>
      <c r="T1165" s="12"/>
      <c r="V1165" cm="1">
        <f t="array" ref="V1165">_xlfn.LET(
_xlpm.x,_xlfn._xlws.FILTER(O1165:S1165,(O1165:S1165&lt;&gt;"R")*(O1165:S1165&lt;&gt;"NA")*(O1165:S1165&lt;&gt;"W")*(O1165:S1165&lt;&gt;"")),
IF(COUNTA(_xlpm.x)=0,"NA",IF(MIN(_xlpm.x)=MAX(_xlpm.x),MIN(_xlpm.x),"review"))
)</f>
        <v>42</v>
      </c>
    </row>
    <row r="1166" spans="1:22" ht="15.75" hidden="1" customHeight="1" x14ac:dyDescent="0.25">
      <c r="A1166" s="7" t="s">
        <v>194</v>
      </c>
      <c r="B1166" s="8">
        <v>8</v>
      </c>
      <c r="C1166" s="8" t="s">
        <v>195</v>
      </c>
      <c r="D1166" s="9"/>
      <c r="E1166" s="7" t="s">
        <v>25</v>
      </c>
      <c r="F1166" s="7" t="s">
        <v>196</v>
      </c>
      <c r="G1166" s="7" t="s">
        <v>197</v>
      </c>
      <c r="H1166" s="7">
        <v>1980</v>
      </c>
      <c r="I1166" s="7">
        <v>10</v>
      </c>
      <c r="K1166" s="7">
        <v>7</v>
      </c>
      <c r="M1166" s="7">
        <v>6</v>
      </c>
      <c r="N1166" s="7">
        <v>31</v>
      </c>
      <c r="O1166" s="7">
        <v>42</v>
      </c>
      <c r="T1166" s="12"/>
      <c r="V1166" cm="1">
        <f t="array" ref="V1166">_xlfn.LET(
_xlpm.x,_xlfn._xlws.FILTER(O1166:S1166,(O1166:S1166&lt;&gt;"R")*(O1166:S1166&lt;&gt;"NA")*(O1166:S1166&lt;&gt;"W")*(O1166:S1166&lt;&gt;"")),
IF(COUNTA(_xlpm.x)=0,"NA",IF(MIN(_xlpm.x)=MAX(_xlpm.x),MIN(_xlpm.x),"review"))
)</f>
        <v>42</v>
      </c>
    </row>
    <row r="1167" spans="1:22" ht="15.75" hidden="1" customHeight="1" x14ac:dyDescent="0.25">
      <c r="A1167" s="7" t="s">
        <v>194</v>
      </c>
      <c r="B1167" s="8">
        <v>8</v>
      </c>
      <c r="C1167" s="8" t="s">
        <v>195</v>
      </c>
      <c r="D1167" s="9"/>
      <c r="E1167" s="7" t="s">
        <v>25</v>
      </c>
      <c r="F1167" s="7" t="s">
        <v>196</v>
      </c>
      <c r="G1167" s="7" t="s">
        <v>197</v>
      </c>
      <c r="H1167" s="7">
        <v>1980</v>
      </c>
      <c r="I1167" s="7">
        <v>10</v>
      </c>
      <c r="K1167" s="7">
        <v>7</v>
      </c>
      <c r="M1167" s="7">
        <v>6</v>
      </c>
      <c r="N1167" s="7">
        <v>32</v>
      </c>
      <c r="O1167" s="7">
        <v>42</v>
      </c>
      <c r="T1167" s="12"/>
      <c r="V1167" cm="1">
        <f t="array" ref="V1167">_xlfn.LET(
_xlpm.x,_xlfn._xlws.FILTER(O1167:S1167,(O1167:S1167&lt;&gt;"R")*(O1167:S1167&lt;&gt;"NA")*(O1167:S1167&lt;&gt;"W")*(O1167:S1167&lt;&gt;"")),
IF(COUNTA(_xlpm.x)=0,"NA",IF(MIN(_xlpm.x)=MAX(_xlpm.x),MIN(_xlpm.x),"review"))
)</f>
        <v>42</v>
      </c>
    </row>
    <row r="1168" spans="1:22" ht="15.75" hidden="1" customHeight="1" x14ac:dyDescent="0.25">
      <c r="A1168" s="7" t="s">
        <v>194</v>
      </c>
      <c r="B1168" s="8">
        <v>8</v>
      </c>
      <c r="C1168" s="8" t="s">
        <v>195</v>
      </c>
      <c r="D1168" s="9"/>
      <c r="E1168" s="7" t="s">
        <v>25</v>
      </c>
      <c r="F1168" s="7" t="s">
        <v>196</v>
      </c>
      <c r="G1168" s="7" t="s">
        <v>197</v>
      </c>
      <c r="H1168" s="7">
        <v>1980</v>
      </c>
      <c r="I1168" s="7">
        <v>10</v>
      </c>
      <c r="K1168" s="7">
        <v>7</v>
      </c>
      <c r="M1168" s="7">
        <v>6</v>
      </c>
      <c r="N1168" s="7">
        <v>33</v>
      </c>
      <c r="O1168" s="7">
        <v>42</v>
      </c>
      <c r="T1168" s="12"/>
      <c r="V1168" cm="1">
        <f t="array" ref="V1168">_xlfn.LET(
_xlpm.x,_xlfn._xlws.FILTER(O1168:S1168,(O1168:S1168&lt;&gt;"R")*(O1168:S1168&lt;&gt;"NA")*(O1168:S1168&lt;&gt;"W")*(O1168:S1168&lt;&gt;"")),
IF(COUNTA(_xlpm.x)=0,"NA",IF(MIN(_xlpm.x)=MAX(_xlpm.x),MIN(_xlpm.x),"review"))
)</f>
        <v>42</v>
      </c>
    </row>
    <row r="1169" spans="1:22" ht="15.75" hidden="1" customHeight="1" x14ac:dyDescent="0.25">
      <c r="A1169" s="7" t="s">
        <v>194</v>
      </c>
      <c r="B1169" s="8">
        <v>8</v>
      </c>
      <c r="C1169" s="8" t="s">
        <v>195</v>
      </c>
      <c r="D1169" s="9"/>
      <c r="E1169" s="7" t="s">
        <v>25</v>
      </c>
      <c r="F1169" s="7" t="s">
        <v>196</v>
      </c>
      <c r="G1169" s="7" t="s">
        <v>197</v>
      </c>
      <c r="H1169" s="7">
        <v>1980</v>
      </c>
      <c r="I1169" s="7">
        <v>10</v>
      </c>
      <c r="K1169" s="7">
        <v>7</v>
      </c>
      <c r="M1169" s="7">
        <v>6</v>
      </c>
      <c r="N1169" s="7">
        <v>34</v>
      </c>
      <c r="O1169" s="7">
        <v>52</v>
      </c>
      <c r="T1169" s="12"/>
      <c r="V1169" cm="1">
        <f t="array" ref="V1169">_xlfn.LET(
_xlpm.x,_xlfn._xlws.FILTER(O1169:S1169,(O1169:S1169&lt;&gt;"R")*(O1169:S1169&lt;&gt;"NA")*(O1169:S1169&lt;&gt;"W")*(O1169:S1169&lt;&gt;"")),
IF(COUNTA(_xlpm.x)=0,"NA",IF(MIN(_xlpm.x)=MAX(_xlpm.x),MIN(_xlpm.x),"review"))
)</f>
        <v>52</v>
      </c>
    </row>
    <row r="1170" spans="1:22" ht="15.75" hidden="1" customHeight="1" x14ac:dyDescent="0.25">
      <c r="A1170" s="7" t="s">
        <v>194</v>
      </c>
      <c r="B1170" s="8">
        <v>8</v>
      </c>
      <c r="C1170" s="8" t="s">
        <v>195</v>
      </c>
      <c r="D1170" s="9"/>
      <c r="E1170" s="7" t="s">
        <v>25</v>
      </c>
      <c r="F1170" s="7" t="s">
        <v>196</v>
      </c>
      <c r="G1170" s="7" t="s">
        <v>197</v>
      </c>
      <c r="H1170" s="7">
        <v>1980</v>
      </c>
      <c r="I1170" s="7">
        <v>10</v>
      </c>
      <c r="K1170" s="7">
        <v>7</v>
      </c>
      <c r="M1170" s="7">
        <v>6</v>
      </c>
      <c r="N1170" s="7">
        <v>35</v>
      </c>
      <c r="O1170" s="7">
        <v>42</v>
      </c>
      <c r="T1170" s="12"/>
      <c r="V1170" cm="1">
        <f t="array" ref="V1170">_xlfn.LET(
_xlpm.x,_xlfn._xlws.FILTER(O1170:S1170,(O1170:S1170&lt;&gt;"R")*(O1170:S1170&lt;&gt;"NA")*(O1170:S1170&lt;&gt;"W")*(O1170:S1170&lt;&gt;"")),
IF(COUNTA(_xlpm.x)=0,"NA",IF(MIN(_xlpm.x)=MAX(_xlpm.x),MIN(_xlpm.x),"review"))
)</f>
        <v>42</v>
      </c>
    </row>
    <row r="1171" spans="1:22" ht="15.75" hidden="1" customHeight="1" x14ac:dyDescent="0.25">
      <c r="A1171" s="7" t="s">
        <v>194</v>
      </c>
      <c r="B1171" s="8">
        <v>8</v>
      </c>
      <c r="C1171" s="8" t="s">
        <v>195</v>
      </c>
      <c r="D1171" s="9"/>
      <c r="E1171" s="7" t="s">
        <v>25</v>
      </c>
      <c r="F1171" s="7" t="s">
        <v>196</v>
      </c>
      <c r="G1171" s="7" t="s">
        <v>197</v>
      </c>
      <c r="H1171" s="7">
        <v>1980</v>
      </c>
      <c r="I1171" s="7">
        <v>10</v>
      </c>
      <c r="K1171" s="7">
        <v>7</v>
      </c>
      <c r="M1171" s="7">
        <v>6</v>
      </c>
      <c r="N1171" s="7">
        <v>36</v>
      </c>
      <c r="O1171" s="7" t="s">
        <v>28</v>
      </c>
      <c r="T1171" s="12"/>
      <c r="V1171" t="s">
        <v>29</v>
      </c>
    </row>
    <row r="1172" spans="1:22" ht="15.75" hidden="1" customHeight="1" x14ac:dyDescent="0.25">
      <c r="A1172" s="7" t="s">
        <v>194</v>
      </c>
      <c r="B1172" s="8">
        <v>8</v>
      </c>
      <c r="C1172" s="8" t="s">
        <v>195</v>
      </c>
      <c r="D1172" s="9"/>
      <c r="E1172" s="7" t="s">
        <v>25</v>
      </c>
      <c r="F1172" s="7" t="s">
        <v>196</v>
      </c>
      <c r="G1172" s="7" t="s">
        <v>197</v>
      </c>
      <c r="H1172" s="7">
        <v>1980</v>
      </c>
      <c r="I1172" s="7">
        <v>10</v>
      </c>
      <c r="K1172" s="7">
        <v>7</v>
      </c>
      <c r="M1172" s="7">
        <v>6</v>
      </c>
      <c r="N1172" s="7">
        <v>37</v>
      </c>
      <c r="O1172" s="7" t="s">
        <v>28</v>
      </c>
      <c r="T1172" s="12"/>
      <c r="V1172" t="s">
        <v>29</v>
      </c>
    </row>
    <row r="1173" spans="1:22" ht="15.75" hidden="1" customHeight="1" x14ac:dyDescent="0.25">
      <c r="A1173" s="7" t="s">
        <v>194</v>
      </c>
      <c r="B1173" s="8">
        <v>8</v>
      </c>
      <c r="C1173" s="8" t="s">
        <v>195</v>
      </c>
      <c r="D1173" s="9"/>
      <c r="E1173" s="7" t="s">
        <v>25</v>
      </c>
      <c r="F1173" s="7" t="s">
        <v>196</v>
      </c>
      <c r="G1173" s="7" t="s">
        <v>197</v>
      </c>
      <c r="H1173" s="7">
        <v>1980</v>
      </c>
      <c r="I1173" s="7">
        <v>10</v>
      </c>
      <c r="K1173" s="7">
        <v>7</v>
      </c>
      <c r="M1173" s="7">
        <v>6</v>
      </c>
      <c r="N1173" s="7">
        <v>38</v>
      </c>
      <c r="O1173" s="7">
        <v>52</v>
      </c>
      <c r="T1173" s="12"/>
      <c r="V1173" cm="1">
        <f t="array" ref="V1173">_xlfn.LET(
_xlpm.x,_xlfn._xlws.FILTER(O1173:S1173,(O1173:S1173&lt;&gt;"R")*(O1173:S1173&lt;&gt;"NA")*(O1173:S1173&lt;&gt;"W")*(O1173:S1173&lt;&gt;"")),
IF(COUNTA(_xlpm.x)=0,"NA",IF(MIN(_xlpm.x)=MAX(_xlpm.x),MIN(_xlpm.x),"review"))
)</f>
        <v>52</v>
      </c>
    </row>
    <row r="1174" spans="1:22" ht="15.75" hidden="1" customHeight="1" x14ac:dyDescent="0.25">
      <c r="A1174" s="7" t="s">
        <v>194</v>
      </c>
      <c r="B1174" s="8">
        <v>8</v>
      </c>
      <c r="C1174" s="8" t="s">
        <v>195</v>
      </c>
      <c r="D1174" s="9"/>
      <c r="E1174" s="7" t="s">
        <v>25</v>
      </c>
      <c r="F1174" s="7" t="s">
        <v>196</v>
      </c>
      <c r="G1174" s="7" t="s">
        <v>197</v>
      </c>
      <c r="H1174" s="7">
        <v>1980</v>
      </c>
      <c r="I1174" s="7">
        <v>10</v>
      </c>
      <c r="K1174" s="7">
        <v>7</v>
      </c>
      <c r="M1174" s="7">
        <v>6</v>
      </c>
      <c r="N1174" s="7">
        <v>39</v>
      </c>
      <c r="O1174" s="7">
        <v>52</v>
      </c>
      <c r="T1174" s="12"/>
      <c r="V1174" cm="1">
        <f t="array" ref="V1174">_xlfn.LET(
_xlpm.x,_xlfn._xlws.FILTER(O1174:S1174,(O1174:S1174&lt;&gt;"R")*(O1174:S1174&lt;&gt;"NA")*(O1174:S1174&lt;&gt;"W")*(O1174:S1174&lt;&gt;"")),
IF(COUNTA(_xlpm.x)=0,"NA",IF(MIN(_xlpm.x)=MAX(_xlpm.x),MIN(_xlpm.x),"review"))
)</f>
        <v>52</v>
      </c>
    </row>
    <row r="1175" spans="1:22" ht="15.75" hidden="1" customHeight="1" x14ac:dyDescent="0.25">
      <c r="A1175" s="7" t="s">
        <v>194</v>
      </c>
      <c r="B1175" s="8">
        <v>8</v>
      </c>
      <c r="C1175" s="8" t="s">
        <v>195</v>
      </c>
      <c r="D1175" s="9"/>
      <c r="E1175" s="7" t="s">
        <v>25</v>
      </c>
      <c r="F1175" s="7" t="s">
        <v>196</v>
      </c>
      <c r="G1175" s="7" t="s">
        <v>197</v>
      </c>
      <c r="H1175" s="7">
        <v>1980</v>
      </c>
      <c r="I1175" s="7">
        <v>10</v>
      </c>
      <c r="K1175" s="7">
        <v>7</v>
      </c>
      <c r="M1175" s="7">
        <v>6</v>
      </c>
      <c r="N1175" s="7">
        <v>40</v>
      </c>
      <c r="O1175" s="7">
        <v>42</v>
      </c>
      <c r="T1175" s="12"/>
      <c r="V1175" cm="1">
        <f t="array" ref="V1175">_xlfn.LET(
_xlpm.x,_xlfn._xlws.FILTER(O1175:S1175,(O1175:S1175&lt;&gt;"R")*(O1175:S1175&lt;&gt;"NA")*(O1175:S1175&lt;&gt;"W")*(O1175:S1175&lt;&gt;"")),
IF(COUNTA(_xlpm.x)=0,"NA",IF(MIN(_xlpm.x)=MAX(_xlpm.x),MIN(_xlpm.x),"review"))
)</f>
        <v>42</v>
      </c>
    </row>
    <row r="1176" spans="1:22" ht="15.75" hidden="1" customHeight="1" x14ac:dyDescent="0.25">
      <c r="A1176" s="7" t="s">
        <v>194</v>
      </c>
      <c r="B1176" s="8">
        <v>8</v>
      </c>
      <c r="C1176" s="8" t="s">
        <v>195</v>
      </c>
      <c r="D1176" s="9"/>
      <c r="E1176" s="7" t="s">
        <v>25</v>
      </c>
      <c r="F1176" s="7" t="s">
        <v>196</v>
      </c>
      <c r="G1176" s="7" t="s">
        <v>197</v>
      </c>
      <c r="H1176" s="7">
        <v>1980</v>
      </c>
      <c r="I1176" s="7">
        <v>10</v>
      </c>
      <c r="K1176" s="7">
        <v>7</v>
      </c>
      <c r="M1176" s="7">
        <v>6</v>
      </c>
      <c r="N1176" s="7">
        <v>41</v>
      </c>
      <c r="O1176" s="7">
        <v>52</v>
      </c>
      <c r="T1176" s="12"/>
      <c r="V1176" cm="1">
        <f t="array" ref="V1176">_xlfn.LET(
_xlpm.x,_xlfn._xlws.FILTER(O1176:S1176,(O1176:S1176&lt;&gt;"R")*(O1176:S1176&lt;&gt;"NA")*(O1176:S1176&lt;&gt;"W")*(O1176:S1176&lt;&gt;"")),
IF(COUNTA(_xlpm.x)=0,"NA",IF(MIN(_xlpm.x)=MAX(_xlpm.x),MIN(_xlpm.x),"review"))
)</f>
        <v>52</v>
      </c>
    </row>
    <row r="1177" spans="1:22" ht="15.75" hidden="1" customHeight="1" x14ac:dyDescent="0.25">
      <c r="A1177" s="7" t="s">
        <v>194</v>
      </c>
      <c r="B1177" s="8">
        <v>8</v>
      </c>
      <c r="C1177" s="8" t="s">
        <v>195</v>
      </c>
      <c r="D1177" s="9"/>
      <c r="E1177" s="7" t="s">
        <v>25</v>
      </c>
      <c r="F1177" s="7" t="s">
        <v>196</v>
      </c>
      <c r="G1177" s="7" t="s">
        <v>197</v>
      </c>
      <c r="H1177" s="7">
        <v>1980</v>
      </c>
      <c r="I1177" s="7">
        <v>10</v>
      </c>
      <c r="K1177" s="7">
        <v>7</v>
      </c>
      <c r="M1177" s="7">
        <v>6</v>
      </c>
      <c r="N1177" s="7">
        <v>42</v>
      </c>
      <c r="O1177" s="7" t="s">
        <v>28</v>
      </c>
      <c r="T1177" s="12"/>
      <c r="V1177" t="s">
        <v>29</v>
      </c>
    </row>
    <row r="1178" spans="1:22" ht="15.75" hidden="1" customHeight="1" x14ac:dyDescent="0.25">
      <c r="A1178" s="7" t="s">
        <v>194</v>
      </c>
      <c r="B1178" s="8">
        <v>8</v>
      </c>
      <c r="C1178" s="8" t="s">
        <v>195</v>
      </c>
      <c r="D1178" s="9"/>
      <c r="E1178" s="7" t="s">
        <v>25</v>
      </c>
      <c r="F1178" s="7" t="s">
        <v>196</v>
      </c>
      <c r="G1178" s="7" t="s">
        <v>197</v>
      </c>
      <c r="H1178" s="7">
        <v>1980</v>
      </c>
      <c r="I1178" s="7">
        <v>10</v>
      </c>
      <c r="K1178" s="7">
        <v>7</v>
      </c>
      <c r="M1178" s="7">
        <v>6</v>
      </c>
      <c r="N1178" s="7">
        <v>43</v>
      </c>
      <c r="O1178" s="7" t="s">
        <v>28</v>
      </c>
      <c r="T1178" s="12"/>
      <c r="U1178" s="7" t="s">
        <v>222</v>
      </c>
      <c r="V1178" t="s">
        <v>29</v>
      </c>
    </row>
    <row r="1179" spans="1:22" ht="15.75" hidden="1" customHeight="1" x14ac:dyDescent="0.25">
      <c r="A1179" s="7" t="s">
        <v>194</v>
      </c>
      <c r="B1179" s="8">
        <v>8</v>
      </c>
      <c r="C1179" s="8" t="s">
        <v>195</v>
      </c>
      <c r="D1179" s="9"/>
      <c r="E1179" s="7" t="s">
        <v>25</v>
      </c>
      <c r="F1179" s="7" t="s">
        <v>196</v>
      </c>
      <c r="G1179" s="7" t="s">
        <v>197</v>
      </c>
      <c r="H1179" s="7">
        <v>1980</v>
      </c>
      <c r="I1179" s="7">
        <v>10</v>
      </c>
      <c r="K1179" s="7">
        <v>7</v>
      </c>
      <c r="M1179" s="7">
        <v>6</v>
      </c>
      <c r="N1179" s="7">
        <v>44</v>
      </c>
      <c r="O1179" s="7">
        <v>42</v>
      </c>
      <c r="T1179" s="12"/>
      <c r="V1179" cm="1">
        <f t="array" ref="V1179">_xlfn.LET(
_xlpm.x,_xlfn._xlws.FILTER(O1179:S1179,(O1179:S1179&lt;&gt;"R")*(O1179:S1179&lt;&gt;"NA")*(O1179:S1179&lt;&gt;"W")*(O1179:S1179&lt;&gt;"")),
IF(COUNTA(_xlpm.x)=0,"NA",IF(MIN(_xlpm.x)=MAX(_xlpm.x),MIN(_xlpm.x),"review"))
)</f>
        <v>42</v>
      </c>
    </row>
    <row r="1180" spans="1:22" ht="15.75" hidden="1" customHeight="1" x14ac:dyDescent="0.25">
      <c r="A1180" s="7" t="s">
        <v>194</v>
      </c>
      <c r="B1180" s="8">
        <v>8</v>
      </c>
      <c r="C1180" s="8" t="s">
        <v>195</v>
      </c>
      <c r="D1180" s="9"/>
      <c r="E1180" s="7" t="s">
        <v>25</v>
      </c>
      <c r="F1180" s="7" t="s">
        <v>196</v>
      </c>
      <c r="G1180" s="7" t="s">
        <v>197</v>
      </c>
      <c r="H1180" s="7">
        <v>1980</v>
      </c>
      <c r="I1180" s="7">
        <v>10</v>
      </c>
      <c r="K1180" s="7">
        <v>7</v>
      </c>
      <c r="M1180" s="7">
        <v>6</v>
      </c>
      <c r="N1180" s="7">
        <v>45</v>
      </c>
      <c r="O1180" s="7">
        <v>42</v>
      </c>
      <c r="T1180" s="12"/>
      <c r="V1180" cm="1">
        <f t="array" ref="V1180">_xlfn.LET(
_xlpm.x,_xlfn._xlws.FILTER(O1180:S1180,(O1180:S1180&lt;&gt;"R")*(O1180:S1180&lt;&gt;"NA")*(O1180:S1180&lt;&gt;"W")*(O1180:S1180&lt;&gt;"")),
IF(COUNTA(_xlpm.x)=0,"NA",IF(MIN(_xlpm.x)=MAX(_xlpm.x),MIN(_xlpm.x),"review"))
)</f>
        <v>42</v>
      </c>
    </row>
    <row r="1181" spans="1:22" ht="15.75" hidden="1" customHeight="1" x14ac:dyDescent="0.25">
      <c r="A1181" s="7" t="s">
        <v>194</v>
      </c>
      <c r="B1181" s="8">
        <v>8</v>
      </c>
      <c r="C1181" s="8" t="s">
        <v>195</v>
      </c>
      <c r="D1181" s="9"/>
      <c r="E1181" s="7" t="s">
        <v>25</v>
      </c>
      <c r="F1181" s="7" t="s">
        <v>196</v>
      </c>
      <c r="G1181" s="7" t="s">
        <v>197</v>
      </c>
      <c r="H1181" s="7">
        <v>1980</v>
      </c>
      <c r="I1181" s="7">
        <v>10</v>
      </c>
      <c r="K1181" s="7">
        <v>7</v>
      </c>
      <c r="M1181" s="7">
        <v>6</v>
      </c>
      <c r="N1181" s="7">
        <v>46</v>
      </c>
      <c r="O1181" s="7">
        <v>42</v>
      </c>
      <c r="T1181" s="12"/>
      <c r="V1181" cm="1">
        <f t="array" ref="V1181">_xlfn.LET(
_xlpm.x,_xlfn._xlws.FILTER(O1181:S1181,(O1181:S1181&lt;&gt;"R")*(O1181:S1181&lt;&gt;"NA")*(O1181:S1181&lt;&gt;"W")*(O1181:S1181&lt;&gt;"")),
IF(COUNTA(_xlpm.x)=0,"NA",IF(MIN(_xlpm.x)=MAX(_xlpm.x),MIN(_xlpm.x),"review"))
)</f>
        <v>42</v>
      </c>
    </row>
    <row r="1182" spans="1:22" ht="15.75" hidden="1" customHeight="1" x14ac:dyDescent="0.25">
      <c r="A1182" s="7" t="s">
        <v>194</v>
      </c>
      <c r="B1182" s="8">
        <v>8</v>
      </c>
      <c r="C1182" s="8" t="s">
        <v>195</v>
      </c>
      <c r="D1182" s="9"/>
      <c r="E1182" s="7" t="s">
        <v>25</v>
      </c>
      <c r="F1182" s="7" t="s">
        <v>196</v>
      </c>
      <c r="G1182" s="7" t="s">
        <v>197</v>
      </c>
      <c r="H1182" s="7">
        <v>1980</v>
      </c>
      <c r="I1182" s="7">
        <v>10</v>
      </c>
      <c r="K1182" s="7">
        <v>7</v>
      </c>
      <c r="M1182" s="7">
        <v>6</v>
      </c>
      <c r="N1182" s="7">
        <v>47</v>
      </c>
      <c r="O1182" s="7">
        <v>52</v>
      </c>
      <c r="T1182" s="12"/>
      <c r="V1182" cm="1">
        <f t="array" ref="V1182">_xlfn.LET(
_xlpm.x,_xlfn._xlws.FILTER(O1182:S1182,(O1182:S1182&lt;&gt;"R")*(O1182:S1182&lt;&gt;"NA")*(O1182:S1182&lt;&gt;"W")*(O1182:S1182&lt;&gt;"")),
IF(COUNTA(_xlpm.x)=0,"NA",IF(MIN(_xlpm.x)=MAX(_xlpm.x),MIN(_xlpm.x),"review"))
)</f>
        <v>52</v>
      </c>
    </row>
    <row r="1183" spans="1:22" ht="15.75" hidden="1" customHeight="1" x14ac:dyDescent="0.25">
      <c r="A1183" s="7" t="s">
        <v>194</v>
      </c>
      <c r="B1183" s="8">
        <v>8</v>
      </c>
      <c r="C1183" s="8" t="s">
        <v>195</v>
      </c>
      <c r="D1183" s="9"/>
      <c r="E1183" s="7" t="s">
        <v>25</v>
      </c>
      <c r="F1183" s="7" t="s">
        <v>196</v>
      </c>
      <c r="G1183" s="7" t="s">
        <v>197</v>
      </c>
      <c r="H1183" s="7">
        <v>1980</v>
      </c>
      <c r="I1183" s="7">
        <v>10</v>
      </c>
      <c r="K1183" s="7">
        <v>7</v>
      </c>
      <c r="M1183" s="7">
        <v>6</v>
      </c>
      <c r="N1183" s="7">
        <v>48</v>
      </c>
      <c r="O1183" s="7">
        <v>42</v>
      </c>
      <c r="T1183" s="12"/>
      <c r="U1183" s="7" t="s">
        <v>28</v>
      </c>
      <c r="V1183" cm="1">
        <f t="array" ref="V1183">_xlfn.LET(
_xlpm.x,_xlfn._xlws.FILTER(O1183:S1183,(O1183:S1183&lt;&gt;"R")*(O1183:S1183&lt;&gt;"NA")*(O1183:S1183&lt;&gt;"W")*(O1183:S1183&lt;&gt;"")),
IF(COUNTA(_xlpm.x)=0,"NA",IF(MIN(_xlpm.x)=MAX(_xlpm.x),MIN(_xlpm.x),"review"))
)</f>
        <v>42</v>
      </c>
    </row>
    <row r="1184" spans="1:22" ht="15.75" hidden="1" customHeight="1" x14ac:dyDescent="0.25">
      <c r="A1184" s="7" t="s">
        <v>194</v>
      </c>
      <c r="B1184" s="8">
        <v>8</v>
      </c>
      <c r="C1184" s="8" t="s">
        <v>195</v>
      </c>
      <c r="D1184" s="9"/>
      <c r="E1184" s="7" t="s">
        <v>25</v>
      </c>
      <c r="F1184" s="7" t="s">
        <v>196</v>
      </c>
      <c r="G1184" s="7" t="s">
        <v>197</v>
      </c>
      <c r="H1184" s="7">
        <v>1980</v>
      </c>
      <c r="I1184" s="7">
        <v>10</v>
      </c>
      <c r="K1184" s="7">
        <v>7</v>
      </c>
      <c r="M1184" s="7">
        <v>6</v>
      </c>
      <c r="N1184" s="7">
        <v>49</v>
      </c>
      <c r="O1184" s="7" t="s">
        <v>28</v>
      </c>
      <c r="T1184" s="12"/>
      <c r="V1184" t="s">
        <v>29</v>
      </c>
    </row>
    <row r="1185" spans="1:22" ht="15.75" hidden="1" customHeight="1" x14ac:dyDescent="0.25">
      <c r="A1185" s="7" t="s">
        <v>194</v>
      </c>
      <c r="B1185" s="8">
        <v>8</v>
      </c>
      <c r="C1185" s="8" t="s">
        <v>195</v>
      </c>
      <c r="D1185" s="9"/>
      <c r="E1185" s="7" t="s">
        <v>25</v>
      </c>
      <c r="F1185" s="7" t="s">
        <v>196</v>
      </c>
      <c r="G1185" s="7" t="s">
        <v>197</v>
      </c>
      <c r="H1185" s="7">
        <v>1980</v>
      </c>
      <c r="I1185" s="7">
        <v>10</v>
      </c>
      <c r="K1185" s="7">
        <v>7</v>
      </c>
      <c r="M1185" s="7">
        <v>6</v>
      </c>
      <c r="N1185" s="7">
        <v>50</v>
      </c>
      <c r="O1185" s="7">
        <v>42</v>
      </c>
      <c r="T1185" s="12"/>
      <c r="V1185" cm="1">
        <f t="array" ref="V1185">_xlfn.LET(
_xlpm.x,_xlfn._xlws.FILTER(O1185:S1185,(O1185:S1185&lt;&gt;"R")*(O1185:S1185&lt;&gt;"NA")*(O1185:S1185&lt;&gt;"W")*(O1185:S1185&lt;&gt;"")),
IF(COUNTA(_xlpm.x)=0,"NA",IF(MIN(_xlpm.x)=MAX(_xlpm.x),MIN(_xlpm.x),"review"))
)</f>
        <v>42</v>
      </c>
    </row>
    <row r="1186" spans="1:22" ht="15.75" hidden="1" customHeight="1" x14ac:dyDescent="0.25">
      <c r="A1186" s="7" t="s">
        <v>225</v>
      </c>
      <c r="B1186" s="8" t="s">
        <v>226</v>
      </c>
      <c r="C1186" s="8" t="s">
        <v>227</v>
      </c>
      <c r="D1186" s="9" t="s">
        <v>66</v>
      </c>
      <c r="E1186" s="7" t="s">
        <v>25</v>
      </c>
      <c r="F1186" s="7" t="s">
        <v>39</v>
      </c>
      <c r="G1186" s="7" t="s">
        <v>228</v>
      </c>
      <c r="H1186" s="7">
        <v>1980</v>
      </c>
      <c r="I1186" s="7">
        <v>5</v>
      </c>
      <c r="J1186" s="7">
        <v>6</v>
      </c>
      <c r="K1186" s="7">
        <v>8</v>
      </c>
      <c r="M1186" s="7">
        <v>1</v>
      </c>
      <c r="N1186" s="7">
        <v>1</v>
      </c>
      <c r="O1186" s="7">
        <v>52</v>
      </c>
      <c r="P1186" s="7">
        <v>52</v>
      </c>
      <c r="T1186" s="12"/>
      <c r="V1186" cm="1">
        <f t="array" ref="V1186">_xlfn.LET(
_xlpm.x,_xlfn._xlws.FILTER(O1186:S1186,(O1186:S1186&lt;&gt;"R")*(O1186:S1186&lt;&gt;"NA")*(O1186:S1186&lt;&gt;"W")*(O1186:S1186&lt;&gt;"")),
IF(COUNTA(_xlpm.x)=0,"NA",IF(MIN(_xlpm.x)=MAX(_xlpm.x),MIN(_xlpm.x),"review"))
)</f>
        <v>52</v>
      </c>
    </row>
    <row r="1187" spans="1:22" ht="15.75" hidden="1" customHeight="1" x14ac:dyDescent="0.25">
      <c r="A1187" s="7" t="s">
        <v>225</v>
      </c>
      <c r="B1187" s="8" t="s">
        <v>226</v>
      </c>
      <c r="C1187" s="8" t="s">
        <v>227</v>
      </c>
      <c r="D1187" s="9" t="s">
        <v>66</v>
      </c>
      <c r="E1187" s="7" t="s">
        <v>25</v>
      </c>
      <c r="F1187" s="7" t="s">
        <v>39</v>
      </c>
      <c r="G1187" s="7" t="s">
        <v>228</v>
      </c>
      <c r="H1187" s="7">
        <v>1980</v>
      </c>
      <c r="I1187" s="7">
        <v>5</v>
      </c>
      <c r="J1187" s="7">
        <v>6</v>
      </c>
      <c r="K1187" s="7">
        <v>8</v>
      </c>
      <c r="M1187" s="7">
        <v>1</v>
      </c>
      <c r="N1187" s="7">
        <v>2</v>
      </c>
      <c r="O1187" s="7">
        <v>53</v>
      </c>
      <c r="P1187" s="7">
        <v>53</v>
      </c>
      <c r="T1187" s="12"/>
      <c r="V1187" cm="1">
        <f t="array" ref="V1187">_xlfn.LET(
_xlpm.x,_xlfn._xlws.FILTER(O1187:S1187,(O1187:S1187&lt;&gt;"R")*(O1187:S1187&lt;&gt;"NA")*(O1187:S1187&lt;&gt;"W")*(O1187:S1187&lt;&gt;"")),
IF(COUNTA(_xlpm.x)=0,"NA",IF(MIN(_xlpm.x)=MAX(_xlpm.x),MIN(_xlpm.x),"review"))
)</f>
        <v>53</v>
      </c>
    </row>
    <row r="1188" spans="1:22" ht="15.75" hidden="1" customHeight="1" x14ac:dyDescent="0.25">
      <c r="A1188" s="7" t="s">
        <v>225</v>
      </c>
      <c r="B1188" s="8" t="s">
        <v>226</v>
      </c>
      <c r="C1188" s="8" t="s">
        <v>227</v>
      </c>
      <c r="D1188" s="9" t="s">
        <v>66</v>
      </c>
      <c r="E1188" s="7" t="s">
        <v>25</v>
      </c>
      <c r="F1188" s="7" t="s">
        <v>39</v>
      </c>
      <c r="G1188" s="7" t="s">
        <v>228</v>
      </c>
      <c r="H1188" s="7">
        <v>1980</v>
      </c>
      <c r="I1188" s="7">
        <v>5</v>
      </c>
      <c r="J1188" s="7">
        <v>6</v>
      </c>
      <c r="K1188" s="7">
        <v>8</v>
      </c>
      <c r="M1188" s="7">
        <v>1</v>
      </c>
      <c r="N1188" s="7">
        <v>3</v>
      </c>
      <c r="O1188" s="7">
        <v>42</v>
      </c>
      <c r="P1188" s="7">
        <v>42</v>
      </c>
      <c r="T1188" s="12"/>
      <c r="V1188" cm="1">
        <f t="array" ref="V1188">_xlfn.LET(
_xlpm.x,_xlfn._xlws.FILTER(O1188:S1188,(O1188:S1188&lt;&gt;"R")*(O1188:S1188&lt;&gt;"NA")*(O1188:S1188&lt;&gt;"W")*(O1188:S1188&lt;&gt;"")),
IF(COUNTA(_xlpm.x)=0,"NA",IF(MIN(_xlpm.x)=MAX(_xlpm.x),MIN(_xlpm.x),"review"))
)</f>
        <v>42</v>
      </c>
    </row>
    <row r="1189" spans="1:22" ht="15.75" hidden="1" customHeight="1" x14ac:dyDescent="0.25">
      <c r="A1189" s="7" t="s">
        <v>225</v>
      </c>
      <c r="B1189" s="8" t="s">
        <v>226</v>
      </c>
      <c r="C1189" s="8" t="s">
        <v>227</v>
      </c>
      <c r="D1189" s="9" t="s">
        <v>66</v>
      </c>
      <c r="E1189" s="7" t="s">
        <v>25</v>
      </c>
      <c r="F1189" s="7" t="s">
        <v>39</v>
      </c>
      <c r="G1189" s="7" t="s">
        <v>228</v>
      </c>
      <c r="H1189" s="7">
        <v>1980</v>
      </c>
      <c r="I1189" s="7">
        <v>5</v>
      </c>
      <c r="J1189" s="7">
        <v>6</v>
      </c>
      <c r="K1189" s="7">
        <v>8</v>
      </c>
      <c r="M1189" s="7">
        <v>1</v>
      </c>
      <c r="N1189" s="7">
        <v>4</v>
      </c>
      <c r="O1189" s="7">
        <v>52</v>
      </c>
      <c r="P1189" s="7">
        <v>52</v>
      </c>
      <c r="T1189" s="12"/>
      <c r="V1189" cm="1">
        <f t="array" ref="V1189">_xlfn.LET(
_xlpm.x,_xlfn._xlws.FILTER(O1189:S1189,(O1189:S1189&lt;&gt;"R")*(O1189:S1189&lt;&gt;"NA")*(O1189:S1189&lt;&gt;"W")*(O1189:S1189&lt;&gt;"")),
IF(COUNTA(_xlpm.x)=0,"NA",IF(MIN(_xlpm.x)=MAX(_xlpm.x),MIN(_xlpm.x),"review"))
)</f>
        <v>52</v>
      </c>
    </row>
    <row r="1190" spans="1:22" ht="15.75" hidden="1" customHeight="1" x14ac:dyDescent="0.25">
      <c r="A1190" s="7" t="s">
        <v>225</v>
      </c>
      <c r="B1190" s="8" t="s">
        <v>226</v>
      </c>
      <c r="C1190" s="8" t="s">
        <v>227</v>
      </c>
      <c r="D1190" s="9" t="s">
        <v>66</v>
      </c>
      <c r="E1190" s="7" t="s">
        <v>25</v>
      </c>
      <c r="F1190" s="7" t="s">
        <v>39</v>
      </c>
      <c r="G1190" s="7" t="s">
        <v>228</v>
      </c>
      <c r="H1190" s="7">
        <v>1980</v>
      </c>
      <c r="I1190" s="7">
        <v>5</v>
      </c>
      <c r="J1190" s="7">
        <v>6</v>
      </c>
      <c r="K1190" s="7">
        <v>8</v>
      </c>
      <c r="M1190" s="7">
        <v>1</v>
      </c>
      <c r="N1190" s="7">
        <v>5</v>
      </c>
      <c r="O1190" s="7">
        <v>52</v>
      </c>
      <c r="P1190" s="7">
        <v>52</v>
      </c>
      <c r="T1190" s="12"/>
      <c r="V1190" cm="1">
        <f t="array" ref="V1190">_xlfn.LET(
_xlpm.x,_xlfn._xlws.FILTER(O1190:S1190,(O1190:S1190&lt;&gt;"R")*(O1190:S1190&lt;&gt;"NA")*(O1190:S1190&lt;&gt;"W")*(O1190:S1190&lt;&gt;"")),
IF(COUNTA(_xlpm.x)=0,"NA",IF(MIN(_xlpm.x)=MAX(_xlpm.x),MIN(_xlpm.x),"review"))
)</f>
        <v>52</v>
      </c>
    </row>
    <row r="1191" spans="1:22" ht="15.75" hidden="1" customHeight="1" x14ac:dyDescent="0.25">
      <c r="A1191" s="7" t="s">
        <v>225</v>
      </c>
      <c r="B1191" s="8" t="s">
        <v>226</v>
      </c>
      <c r="C1191" s="8" t="s">
        <v>227</v>
      </c>
      <c r="D1191" s="9" t="s">
        <v>66</v>
      </c>
      <c r="E1191" s="7" t="s">
        <v>25</v>
      </c>
      <c r="F1191" s="7" t="s">
        <v>39</v>
      </c>
      <c r="G1191" s="7" t="s">
        <v>228</v>
      </c>
      <c r="H1191" s="7">
        <v>1980</v>
      </c>
      <c r="I1191" s="7">
        <v>5</v>
      </c>
      <c r="J1191" s="7">
        <v>6</v>
      </c>
      <c r="K1191" s="7">
        <v>8</v>
      </c>
      <c r="M1191" s="7">
        <v>1</v>
      </c>
      <c r="N1191" s="7">
        <v>6</v>
      </c>
      <c r="O1191" s="7">
        <v>42</v>
      </c>
      <c r="P1191" s="7">
        <v>42</v>
      </c>
      <c r="T1191" s="12"/>
      <c r="V1191" cm="1">
        <f t="array" ref="V1191">_xlfn.LET(
_xlpm.x,_xlfn._xlws.FILTER(O1191:S1191,(O1191:S1191&lt;&gt;"R")*(O1191:S1191&lt;&gt;"NA")*(O1191:S1191&lt;&gt;"W")*(O1191:S1191&lt;&gt;"")),
IF(COUNTA(_xlpm.x)=0,"NA",IF(MIN(_xlpm.x)=MAX(_xlpm.x),MIN(_xlpm.x),"review"))
)</f>
        <v>42</v>
      </c>
    </row>
    <row r="1192" spans="1:22" ht="15.75" hidden="1" customHeight="1" x14ac:dyDescent="0.25">
      <c r="A1192" s="7" t="s">
        <v>225</v>
      </c>
      <c r="B1192" s="8" t="s">
        <v>226</v>
      </c>
      <c r="C1192" s="8" t="s">
        <v>227</v>
      </c>
      <c r="D1192" s="9" t="s">
        <v>66</v>
      </c>
      <c r="E1192" s="7" t="s">
        <v>25</v>
      </c>
      <c r="F1192" s="7" t="s">
        <v>39</v>
      </c>
      <c r="G1192" s="7" t="s">
        <v>228</v>
      </c>
      <c r="H1192" s="7">
        <v>1980</v>
      </c>
      <c r="I1192" s="7">
        <v>5</v>
      </c>
      <c r="J1192" s="7">
        <v>6</v>
      </c>
      <c r="K1192" s="7">
        <v>8</v>
      </c>
      <c r="M1192" s="7">
        <v>1</v>
      </c>
      <c r="N1192" s="7">
        <v>7</v>
      </c>
      <c r="O1192" s="7">
        <v>42</v>
      </c>
      <c r="P1192" s="7">
        <v>42</v>
      </c>
      <c r="T1192" s="12"/>
      <c r="V1192" cm="1">
        <f t="array" ref="V1192">_xlfn.LET(
_xlpm.x,_xlfn._xlws.FILTER(O1192:S1192,(O1192:S1192&lt;&gt;"R")*(O1192:S1192&lt;&gt;"NA")*(O1192:S1192&lt;&gt;"W")*(O1192:S1192&lt;&gt;"")),
IF(COUNTA(_xlpm.x)=0,"NA",IF(MIN(_xlpm.x)=MAX(_xlpm.x),MIN(_xlpm.x),"review"))
)</f>
        <v>42</v>
      </c>
    </row>
    <row r="1193" spans="1:22" ht="15.75" hidden="1" customHeight="1" x14ac:dyDescent="0.25">
      <c r="A1193" s="7" t="s">
        <v>225</v>
      </c>
      <c r="B1193" s="8" t="s">
        <v>226</v>
      </c>
      <c r="C1193" s="8" t="s">
        <v>227</v>
      </c>
      <c r="D1193" s="9" t="s">
        <v>66</v>
      </c>
      <c r="E1193" s="7" t="s">
        <v>25</v>
      </c>
      <c r="F1193" s="7" t="s">
        <v>39</v>
      </c>
      <c r="G1193" s="7" t="s">
        <v>228</v>
      </c>
      <c r="H1193" s="7">
        <v>1980</v>
      </c>
      <c r="I1193" s="7">
        <v>5</v>
      </c>
      <c r="J1193" s="7">
        <v>6</v>
      </c>
      <c r="K1193" s="7">
        <v>8</v>
      </c>
      <c r="M1193" s="7">
        <v>1</v>
      </c>
      <c r="N1193" s="7">
        <v>8</v>
      </c>
      <c r="O1193" s="7">
        <v>42</v>
      </c>
      <c r="P1193" s="7">
        <v>42</v>
      </c>
      <c r="T1193" s="12"/>
      <c r="V1193" cm="1">
        <f t="array" ref="V1193">_xlfn.LET(
_xlpm.x,_xlfn._xlws.FILTER(O1193:S1193,(O1193:S1193&lt;&gt;"R")*(O1193:S1193&lt;&gt;"NA")*(O1193:S1193&lt;&gt;"W")*(O1193:S1193&lt;&gt;"")),
IF(COUNTA(_xlpm.x)=0,"NA",IF(MIN(_xlpm.x)=MAX(_xlpm.x),MIN(_xlpm.x),"review"))
)</f>
        <v>42</v>
      </c>
    </row>
    <row r="1194" spans="1:22" ht="15.75" hidden="1" customHeight="1" x14ac:dyDescent="0.25">
      <c r="A1194" s="7" t="s">
        <v>225</v>
      </c>
      <c r="B1194" s="8" t="s">
        <v>226</v>
      </c>
      <c r="C1194" s="8" t="s">
        <v>227</v>
      </c>
      <c r="D1194" s="9" t="s">
        <v>66</v>
      </c>
      <c r="E1194" s="7" t="s">
        <v>25</v>
      </c>
      <c r="F1194" s="7" t="s">
        <v>39</v>
      </c>
      <c r="G1194" s="7" t="s">
        <v>228</v>
      </c>
      <c r="H1194" s="7">
        <v>1980</v>
      </c>
      <c r="I1194" s="7">
        <v>5</v>
      </c>
      <c r="J1194" s="7">
        <v>6</v>
      </c>
      <c r="K1194" s="7">
        <v>8</v>
      </c>
      <c r="M1194" s="7">
        <v>1</v>
      </c>
      <c r="N1194" s="7">
        <v>9</v>
      </c>
      <c r="O1194" s="7">
        <v>31</v>
      </c>
      <c r="P1194" s="7">
        <v>31</v>
      </c>
      <c r="T1194" s="12"/>
      <c r="V1194" cm="1">
        <f t="array" ref="V1194">_xlfn.LET(
_xlpm.x,_xlfn._xlws.FILTER(O1194:S1194,(O1194:S1194&lt;&gt;"R")*(O1194:S1194&lt;&gt;"NA")*(O1194:S1194&lt;&gt;"W")*(O1194:S1194&lt;&gt;"")),
IF(COUNTA(_xlpm.x)=0,"NA",IF(MIN(_xlpm.x)=MAX(_xlpm.x),MIN(_xlpm.x),"review"))
)</f>
        <v>31</v>
      </c>
    </row>
    <row r="1195" spans="1:22" ht="15.75" hidden="1" customHeight="1" x14ac:dyDescent="0.25">
      <c r="A1195" s="7" t="s">
        <v>225</v>
      </c>
      <c r="B1195" s="8" t="s">
        <v>226</v>
      </c>
      <c r="C1195" s="8" t="s">
        <v>227</v>
      </c>
      <c r="D1195" s="9" t="s">
        <v>66</v>
      </c>
      <c r="E1195" s="7" t="s">
        <v>25</v>
      </c>
      <c r="F1195" s="7" t="s">
        <v>39</v>
      </c>
      <c r="G1195" s="7" t="s">
        <v>228</v>
      </c>
      <c r="H1195" s="7">
        <v>1980</v>
      </c>
      <c r="I1195" s="7">
        <v>5</v>
      </c>
      <c r="J1195" s="7">
        <v>6</v>
      </c>
      <c r="K1195" s="7">
        <v>8</v>
      </c>
      <c r="M1195" s="7">
        <v>1</v>
      </c>
      <c r="N1195" s="7">
        <v>10</v>
      </c>
      <c r="O1195" s="7">
        <v>42</v>
      </c>
      <c r="P1195" s="7">
        <v>42</v>
      </c>
      <c r="T1195" s="12"/>
      <c r="V1195" cm="1">
        <f t="array" ref="V1195">_xlfn.LET(
_xlpm.x,_xlfn._xlws.FILTER(O1195:S1195,(O1195:S1195&lt;&gt;"R")*(O1195:S1195&lt;&gt;"NA")*(O1195:S1195&lt;&gt;"W")*(O1195:S1195&lt;&gt;"")),
IF(COUNTA(_xlpm.x)=0,"NA",IF(MIN(_xlpm.x)=MAX(_xlpm.x),MIN(_xlpm.x),"review"))
)</f>
        <v>42</v>
      </c>
    </row>
    <row r="1196" spans="1:22" ht="15.75" hidden="1" customHeight="1" x14ac:dyDescent="0.25">
      <c r="A1196" s="7" t="s">
        <v>225</v>
      </c>
      <c r="B1196" s="8" t="s">
        <v>226</v>
      </c>
      <c r="C1196" s="8" t="s">
        <v>227</v>
      </c>
      <c r="D1196" s="9" t="s">
        <v>66</v>
      </c>
      <c r="E1196" s="7" t="s">
        <v>25</v>
      </c>
      <c r="F1196" s="7" t="s">
        <v>39</v>
      </c>
      <c r="G1196" s="7" t="s">
        <v>228</v>
      </c>
      <c r="H1196" s="7">
        <v>1980</v>
      </c>
      <c r="I1196" s="7">
        <v>5</v>
      </c>
      <c r="J1196" s="7">
        <v>6</v>
      </c>
      <c r="K1196" s="7">
        <v>8</v>
      </c>
      <c r="M1196" s="7">
        <v>1</v>
      </c>
      <c r="N1196" s="7">
        <v>11</v>
      </c>
      <c r="O1196" s="7">
        <v>42</v>
      </c>
      <c r="P1196" s="7">
        <v>42</v>
      </c>
      <c r="T1196" s="12"/>
      <c r="V1196" cm="1">
        <f t="array" ref="V1196">_xlfn.LET(
_xlpm.x,_xlfn._xlws.FILTER(O1196:S1196,(O1196:S1196&lt;&gt;"R")*(O1196:S1196&lt;&gt;"NA")*(O1196:S1196&lt;&gt;"W")*(O1196:S1196&lt;&gt;"")),
IF(COUNTA(_xlpm.x)=0,"NA",IF(MIN(_xlpm.x)=MAX(_xlpm.x),MIN(_xlpm.x),"review"))
)</f>
        <v>42</v>
      </c>
    </row>
    <row r="1197" spans="1:22" ht="15.75" hidden="1" customHeight="1" x14ac:dyDescent="0.25">
      <c r="A1197" s="7" t="s">
        <v>225</v>
      </c>
      <c r="B1197" s="8" t="s">
        <v>226</v>
      </c>
      <c r="C1197" s="8" t="s">
        <v>227</v>
      </c>
      <c r="D1197" s="9" t="s">
        <v>66</v>
      </c>
      <c r="E1197" s="7" t="s">
        <v>25</v>
      </c>
      <c r="F1197" s="7" t="s">
        <v>39</v>
      </c>
      <c r="G1197" s="7" t="s">
        <v>228</v>
      </c>
      <c r="H1197" s="7">
        <v>1980</v>
      </c>
      <c r="I1197" s="7">
        <v>5</v>
      </c>
      <c r="J1197" s="7">
        <v>6</v>
      </c>
      <c r="K1197" s="7">
        <v>8</v>
      </c>
      <c r="M1197" s="7">
        <v>1</v>
      </c>
      <c r="N1197" s="7">
        <v>12</v>
      </c>
      <c r="O1197" s="7" t="s">
        <v>28</v>
      </c>
      <c r="P1197" s="7">
        <v>42</v>
      </c>
      <c r="T1197" s="12"/>
      <c r="V1197" cm="1">
        <f t="array" ref="V1197">_xlfn.LET(
_xlpm.x,_xlfn._xlws.FILTER(O1197:S1197,(O1197:S1197&lt;&gt;"R")*(O1197:S1197&lt;&gt;"NA")*(O1197:S1197&lt;&gt;"W")*(O1197:S1197&lt;&gt;"")),
IF(COUNTA(_xlpm.x)=0,"NA",IF(MIN(_xlpm.x)=MAX(_xlpm.x),MIN(_xlpm.x),"review"))
)</f>
        <v>42</v>
      </c>
    </row>
    <row r="1198" spans="1:22" ht="15.75" hidden="1" customHeight="1" x14ac:dyDescent="0.25">
      <c r="A1198" s="7" t="s">
        <v>225</v>
      </c>
      <c r="B1198" s="8" t="s">
        <v>226</v>
      </c>
      <c r="C1198" s="8" t="s">
        <v>227</v>
      </c>
      <c r="D1198" s="9" t="s">
        <v>66</v>
      </c>
      <c r="E1198" s="7" t="s">
        <v>25</v>
      </c>
      <c r="F1198" s="7" t="s">
        <v>39</v>
      </c>
      <c r="G1198" s="7" t="s">
        <v>228</v>
      </c>
      <c r="H1198" s="7">
        <v>1980</v>
      </c>
      <c r="I1198" s="7">
        <v>5</v>
      </c>
      <c r="J1198" s="7">
        <v>6</v>
      </c>
      <c r="K1198" s="7">
        <v>8</v>
      </c>
      <c r="M1198" s="7">
        <v>1</v>
      </c>
      <c r="N1198" s="7">
        <v>13</v>
      </c>
      <c r="O1198" s="7">
        <v>42</v>
      </c>
      <c r="P1198" s="7">
        <v>42</v>
      </c>
      <c r="T1198" s="12"/>
      <c r="V1198" cm="1">
        <f t="array" ref="V1198">_xlfn.LET(
_xlpm.x,_xlfn._xlws.FILTER(O1198:S1198,(O1198:S1198&lt;&gt;"R")*(O1198:S1198&lt;&gt;"NA")*(O1198:S1198&lt;&gt;"W")*(O1198:S1198&lt;&gt;"")),
IF(COUNTA(_xlpm.x)=0,"NA",IF(MIN(_xlpm.x)=MAX(_xlpm.x),MIN(_xlpm.x),"review"))
)</f>
        <v>42</v>
      </c>
    </row>
    <row r="1199" spans="1:22" ht="15.75" hidden="1" customHeight="1" x14ac:dyDescent="0.25">
      <c r="A1199" s="7" t="s">
        <v>225</v>
      </c>
      <c r="B1199" s="8" t="s">
        <v>226</v>
      </c>
      <c r="C1199" s="8" t="s">
        <v>227</v>
      </c>
      <c r="D1199" s="9" t="s">
        <v>66</v>
      </c>
      <c r="E1199" s="7" t="s">
        <v>25</v>
      </c>
      <c r="F1199" s="7" t="s">
        <v>39</v>
      </c>
      <c r="G1199" s="7" t="s">
        <v>228</v>
      </c>
      <c r="H1199" s="7">
        <v>1980</v>
      </c>
      <c r="I1199" s="7">
        <v>5</v>
      </c>
      <c r="J1199" s="7">
        <v>6</v>
      </c>
      <c r="K1199" s="7">
        <v>8</v>
      </c>
      <c r="M1199" s="7">
        <v>1</v>
      </c>
      <c r="N1199" s="7">
        <v>14</v>
      </c>
      <c r="O1199" s="7" t="s">
        <v>28</v>
      </c>
      <c r="P1199" s="7">
        <v>42</v>
      </c>
      <c r="T1199" s="12"/>
      <c r="V1199" cm="1">
        <f t="array" ref="V1199">_xlfn.LET(
_xlpm.x,_xlfn._xlws.FILTER(O1199:S1199,(O1199:S1199&lt;&gt;"R")*(O1199:S1199&lt;&gt;"NA")*(O1199:S1199&lt;&gt;"W")*(O1199:S1199&lt;&gt;"")),
IF(COUNTA(_xlpm.x)=0,"NA",IF(MIN(_xlpm.x)=MAX(_xlpm.x),MIN(_xlpm.x),"review"))
)</f>
        <v>42</v>
      </c>
    </row>
    <row r="1200" spans="1:22" ht="15.75" hidden="1" customHeight="1" x14ac:dyDescent="0.25">
      <c r="A1200" s="7" t="s">
        <v>225</v>
      </c>
      <c r="B1200" s="8" t="s">
        <v>226</v>
      </c>
      <c r="C1200" s="8" t="s">
        <v>227</v>
      </c>
      <c r="D1200" s="9" t="s">
        <v>66</v>
      </c>
      <c r="E1200" s="7" t="s">
        <v>25</v>
      </c>
      <c r="F1200" s="7" t="s">
        <v>39</v>
      </c>
      <c r="G1200" s="7" t="s">
        <v>228</v>
      </c>
      <c r="H1200" s="7">
        <v>1980</v>
      </c>
      <c r="I1200" s="7">
        <v>5</v>
      </c>
      <c r="J1200" s="7">
        <v>6</v>
      </c>
      <c r="K1200" s="7">
        <v>8</v>
      </c>
      <c r="M1200" s="7">
        <v>1</v>
      </c>
      <c r="N1200" s="7">
        <v>15</v>
      </c>
      <c r="O1200" s="7">
        <v>42</v>
      </c>
      <c r="P1200" s="7">
        <v>42</v>
      </c>
      <c r="T1200" s="12"/>
      <c r="V1200" cm="1">
        <f t="array" ref="V1200">_xlfn.LET(
_xlpm.x,_xlfn._xlws.FILTER(O1200:S1200,(O1200:S1200&lt;&gt;"R")*(O1200:S1200&lt;&gt;"NA")*(O1200:S1200&lt;&gt;"W")*(O1200:S1200&lt;&gt;"")),
IF(COUNTA(_xlpm.x)=0,"NA",IF(MIN(_xlpm.x)=MAX(_xlpm.x),MIN(_xlpm.x),"review"))
)</f>
        <v>42</v>
      </c>
    </row>
    <row r="1201" spans="1:22" ht="15.75" hidden="1" customHeight="1" x14ac:dyDescent="0.25">
      <c r="A1201" s="7" t="s">
        <v>225</v>
      </c>
      <c r="B1201" s="8" t="s">
        <v>226</v>
      </c>
      <c r="C1201" s="8" t="s">
        <v>227</v>
      </c>
      <c r="D1201" s="9" t="s">
        <v>66</v>
      </c>
      <c r="E1201" s="7" t="s">
        <v>25</v>
      </c>
      <c r="F1201" s="7" t="s">
        <v>39</v>
      </c>
      <c r="G1201" s="7" t="s">
        <v>228</v>
      </c>
      <c r="H1201" s="7">
        <v>1980</v>
      </c>
      <c r="I1201" s="7">
        <v>5</v>
      </c>
      <c r="J1201" s="7">
        <v>6</v>
      </c>
      <c r="K1201" s="7">
        <v>8</v>
      </c>
      <c r="M1201" s="7">
        <v>1</v>
      </c>
      <c r="N1201" s="7">
        <v>16</v>
      </c>
      <c r="O1201" s="7">
        <v>42</v>
      </c>
      <c r="P1201" s="7">
        <v>42</v>
      </c>
      <c r="T1201" s="12"/>
      <c r="V1201" cm="1">
        <f t="array" ref="V1201">_xlfn.LET(
_xlpm.x,_xlfn._xlws.FILTER(O1201:S1201,(O1201:S1201&lt;&gt;"R")*(O1201:S1201&lt;&gt;"NA")*(O1201:S1201&lt;&gt;"W")*(O1201:S1201&lt;&gt;"")),
IF(COUNTA(_xlpm.x)=0,"NA",IF(MIN(_xlpm.x)=MAX(_xlpm.x),MIN(_xlpm.x),"review"))
)</f>
        <v>42</v>
      </c>
    </row>
    <row r="1202" spans="1:22" ht="15.75" hidden="1" customHeight="1" x14ac:dyDescent="0.25">
      <c r="A1202" s="7" t="s">
        <v>225</v>
      </c>
      <c r="B1202" s="8" t="s">
        <v>226</v>
      </c>
      <c r="C1202" s="8" t="s">
        <v>227</v>
      </c>
      <c r="D1202" s="9" t="s">
        <v>66</v>
      </c>
      <c r="E1202" s="7" t="s">
        <v>25</v>
      </c>
      <c r="F1202" s="7" t="s">
        <v>39</v>
      </c>
      <c r="G1202" s="7" t="s">
        <v>228</v>
      </c>
      <c r="H1202" s="7">
        <v>1980</v>
      </c>
      <c r="I1202" s="7">
        <v>5</v>
      </c>
      <c r="J1202" s="7">
        <v>6</v>
      </c>
      <c r="K1202" s="7">
        <v>8</v>
      </c>
      <c r="M1202" s="7">
        <v>1</v>
      </c>
      <c r="N1202" s="7">
        <v>17</v>
      </c>
      <c r="O1202" s="7" t="s">
        <v>28</v>
      </c>
      <c r="P1202" s="7" t="s">
        <v>28</v>
      </c>
      <c r="T1202" s="12"/>
      <c r="V1202" t="s">
        <v>29</v>
      </c>
    </row>
    <row r="1203" spans="1:22" ht="15.75" hidden="1" customHeight="1" x14ac:dyDescent="0.25">
      <c r="A1203" s="7" t="s">
        <v>225</v>
      </c>
      <c r="B1203" s="8" t="s">
        <v>226</v>
      </c>
      <c r="C1203" s="8" t="s">
        <v>227</v>
      </c>
      <c r="D1203" s="9" t="s">
        <v>66</v>
      </c>
      <c r="E1203" s="7" t="s">
        <v>25</v>
      </c>
      <c r="F1203" s="7" t="s">
        <v>39</v>
      </c>
      <c r="G1203" s="7" t="s">
        <v>228</v>
      </c>
      <c r="H1203" s="7">
        <v>1980</v>
      </c>
      <c r="I1203" s="7">
        <v>5</v>
      </c>
      <c r="J1203" s="7">
        <v>6</v>
      </c>
      <c r="K1203" s="7">
        <v>8</v>
      </c>
      <c r="M1203" s="7">
        <v>1</v>
      </c>
      <c r="N1203" s="7">
        <v>18</v>
      </c>
      <c r="O1203" s="7" t="s">
        <v>28</v>
      </c>
      <c r="P1203" s="7">
        <v>42</v>
      </c>
      <c r="T1203" s="12"/>
      <c r="V1203" cm="1">
        <f t="array" ref="V1203">_xlfn.LET(
_xlpm.x,_xlfn._xlws.FILTER(O1203:S1203,(O1203:S1203&lt;&gt;"R")*(O1203:S1203&lt;&gt;"NA")*(O1203:S1203&lt;&gt;"W")*(O1203:S1203&lt;&gt;"")),
IF(COUNTA(_xlpm.x)=0,"NA",IF(MIN(_xlpm.x)=MAX(_xlpm.x),MIN(_xlpm.x),"review"))
)</f>
        <v>42</v>
      </c>
    </row>
    <row r="1204" spans="1:22" ht="15.75" hidden="1" customHeight="1" x14ac:dyDescent="0.25">
      <c r="A1204" s="7" t="s">
        <v>225</v>
      </c>
      <c r="B1204" s="8" t="s">
        <v>226</v>
      </c>
      <c r="C1204" s="8" t="s">
        <v>227</v>
      </c>
      <c r="D1204" s="9" t="s">
        <v>66</v>
      </c>
      <c r="E1204" s="7" t="s">
        <v>25</v>
      </c>
      <c r="F1204" s="7" t="s">
        <v>39</v>
      </c>
      <c r="G1204" s="7" t="s">
        <v>228</v>
      </c>
      <c r="H1204" s="7">
        <v>1980</v>
      </c>
      <c r="I1204" s="7">
        <v>5</v>
      </c>
      <c r="J1204" s="7">
        <v>6</v>
      </c>
      <c r="K1204" s="7">
        <v>8</v>
      </c>
      <c r="M1204" s="7">
        <v>1</v>
      </c>
      <c r="N1204" s="7">
        <v>19</v>
      </c>
      <c r="O1204" s="7">
        <v>42</v>
      </c>
      <c r="P1204" s="7" t="s">
        <v>28</v>
      </c>
      <c r="T1204" s="12"/>
      <c r="V1204" cm="1">
        <f t="array" ref="V1204">_xlfn.LET(
_xlpm.x,_xlfn._xlws.FILTER(O1204:S1204,(O1204:S1204&lt;&gt;"R")*(O1204:S1204&lt;&gt;"NA")*(O1204:S1204&lt;&gt;"W")*(O1204:S1204&lt;&gt;"")),
IF(COUNTA(_xlpm.x)=0,"NA",IF(MIN(_xlpm.x)=MAX(_xlpm.x),MIN(_xlpm.x),"review"))
)</f>
        <v>42</v>
      </c>
    </row>
    <row r="1205" spans="1:22" ht="15.75" hidden="1" customHeight="1" x14ac:dyDescent="0.25">
      <c r="A1205" s="7" t="s">
        <v>225</v>
      </c>
      <c r="B1205" s="8" t="s">
        <v>226</v>
      </c>
      <c r="C1205" s="8" t="s">
        <v>227</v>
      </c>
      <c r="D1205" s="9" t="s">
        <v>66</v>
      </c>
      <c r="E1205" s="7" t="s">
        <v>25</v>
      </c>
      <c r="F1205" s="7" t="s">
        <v>39</v>
      </c>
      <c r="G1205" s="7" t="s">
        <v>228</v>
      </c>
      <c r="H1205" s="7">
        <v>1980</v>
      </c>
      <c r="I1205" s="7">
        <v>5</v>
      </c>
      <c r="J1205" s="7">
        <v>6</v>
      </c>
      <c r="K1205" s="7">
        <v>8</v>
      </c>
      <c r="M1205" s="7">
        <v>1</v>
      </c>
      <c r="N1205" s="7">
        <v>20</v>
      </c>
      <c r="O1205" s="7">
        <v>52</v>
      </c>
      <c r="P1205" s="7">
        <v>52</v>
      </c>
      <c r="T1205" s="12"/>
      <c r="V1205" cm="1">
        <f t="array" ref="V1205">_xlfn.LET(
_xlpm.x,_xlfn._xlws.FILTER(O1205:S1205,(O1205:S1205&lt;&gt;"R")*(O1205:S1205&lt;&gt;"NA")*(O1205:S1205&lt;&gt;"W")*(O1205:S1205&lt;&gt;"")),
IF(COUNTA(_xlpm.x)=0,"NA",IF(MIN(_xlpm.x)=MAX(_xlpm.x),MIN(_xlpm.x),"review"))
)</f>
        <v>52</v>
      </c>
    </row>
    <row r="1206" spans="1:22" ht="15.75" hidden="1" customHeight="1" x14ac:dyDescent="0.25">
      <c r="A1206" s="7" t="s">
        <v>225</v>
      </c>
      <c r="B1206" s="8" t="s">
        <v>226</v>
      </c>
      <c r="C1206" s="8" t="s">
        <v>227</v>
      </c>
      <c r="D1206" s="9" t="s">
        <v>66</v>
      </c>
      <c r="E1206" s="7" t="s">
        <v>25</v>
      </c>
      <c r="F1206" s="7" t="s">
        <v>39</v>
      </c>
      <c r="G1206" s="7" t="s">
        <v>228</v>
      </c>
      <c r="H1206" s="7">
        <v>1980</v>
      </c>
      <c r="I1206" s="7">
        <v>5</v>
      </c>
      <c r="J1206" s="7">
        <v>6</v>
      </c>
      <c r="K1206" s="7">
        <v>8</v>
      </c>
      <c r="M1206" s="7">
        <v>1</v>
      </c>
      <c r="N1206" s="7">
        <v>21</v>
      </c>
      <c r="O1206" s="7" t="s">
        <v>28</v>
      </c>
      <c r="P1206" s="7">
        <v>42</v>
      </c>
      <c r="T1206" s="12"/>
      <c r="V1206" cm="1">
        <f t="array" ref="V1206">_xlfn.LET(
_xlpm.x,_xlfn._xlws.FILTER(O1206:S1206,(O1206:S1206&lt;&gt;"R")*(O1206:S1206&lt;&gt;"NA")*(O1206:S1206&lt;&gt;"W")*(O1206:S1206&lt;&gt;"")),
IF(COUNTA(_xlpm.x)=0,"NA",IF(MIN(_xlpm.x)=MAX(_xlpm.x),MIN(_xlpm.x),"review"))
)</f>
        <v>42</v>
      </c>
    </row>
    <row r="1207" spans="1:22" ht="15.75" hidden="1" customHeight="1" x14ac:dyDescent="0.25">
      <c r="A1207" s="7" t="s">
        <v>225</v>
      </c>
      <c r="B1207" s="8" t="s">
        <v>226</v>
      </c>
      <c r="C1207" s="8" t="s">
        <v>227</v>
      </c>
      <c r="D1207" s="9" t="s">
        <v>66</v>
      </c>
      <c r="E1207" s="7" t="s">
        <v>25</v>
      </c>
      <c r="F1207" s="7" t="s">
        <v>39</v>
      </c>
      <c r="G1207" s="7" t="s">
        <v>228</v>
      </c>
      <c r="H1207" s="7">
        <v>1980</v>
      </c>
      <c r="I1207" s="7">
        <v>5</v>
      </c>
      <c r="J1207" s="7">
        <v>6</v>
      </c>
      <c r="K1207" s="7">
        <v>8</v>
      </c>
      <c r="M1207" s="7">
        <v>1</v>
      </c>
      <c r="N1207" s="7">
        <v>22</v>
      </c>
      <c r="O1207" s="7">
        <v>42</v>
      </c>
      <c r="P1207" s="7">
        <v>42</v>
      </c>
      <c r="T1207" s="12"/>
      <c r="V1207" cm="1">
        <f t="array" ref="V1207">_xlfn.LET(
_xlpm.x,_xlfn._xlws.FILTER(O1207:S1207,(O1207:S1207&lt;&gt;"R")*(O1207:S1207&lt;&gt;"NA")*(O1207:S1207&lt;&gt;"W")*(O1207:S1207&lt;&gt;"")),
IF(COUNTA(_xlpm.x)=0,"NA",IF(MIN(_xlpm.x)=MAX(_xlpm.x),MIN(_xlpm.x),"review"))
)</f>
        <v>42</v>
      </c>
    </row>
    <row r="1208" spans="1:22" ht="15.75" hidden="1" customHeight="1" x14ac:dyDescent="0.25">
      <c r="A1208" s="7" t="s">
        <v>225</v>
      </c>
      <c r="B1208" s="8" t="s">
        <v>226</v>
      </c>
      <c r="C1208" s="8" t="s">
        <v>227</v>
      </c>
      <c r="D1208" s="9" t="s">
        <v>66</v>
      </c>
      <c r="E1208" s="7" t="s">
        <v>25</v>
      </c>
      <c r="F1208" s="7" t="s">
        <v>39</v>
      </c>
      <c r="G1208" s="7" t="s">
        <v>228</v>
      </c>
      <c r="H1208" s="7">
        <v>1980</v>
      </c>
      <c r="I1208" s="7">
        <v>5</v>
      </c>
      <c r="J1208" s="7">
        <v>6</v>
      </c>
      <c r="K1208" s="7">
        <v>8</v>
      </c>
      <c r="M1208" s="7">
        <v>1</v>
      </c>
      <c r="N1208" s="7">
        <v>23</v>
      </c>
      <c r="O1208" s="7">
        <v>52</v>
      </c>
      <c r="P1208" s="7">
        <v>52</v>
      </c>
      <c r="T1208" s="12"/>
      <c r="V1208" cm="1">
        <f t="array" ref="V1208">_xlfn.LET(
_xlpm.x,_xlfn._xlws.FILTER(O1208:S1208,(O1208:S1208&lt;&gt;"R")*(O1208:S1208&lt;&gt;"NA")*(O1208:S1208&lt;&gt;"W")*(O1208:S1208&lt;&gt;"")),
IF(COUNTA(_xlpm.x)=0,"NA",IF(MIN(_xlpm.x)=MAX(_xlpm.x),MIN(_xlpm.x),"review"))
)</f>
        <v>52</v>
      </c>
    </row>
    <row r="1209" spans="1:22" ht="15.75" hidden="1" customHeight="1" x14ac:dyDescent="0.25">
      <c r="A1209" s="7" t="s">
        <v>225</v>
      </c>
      <c r="B1209" s="8" t="s">
        <v>226</v>
      </c>
      <c r="C1209" s="8" t="s">
        <v>227</v>
      </c>
      <c r="D1209" s="9" t="s">
        <v>66</v>
      </c>
      <c r="E1209" s="7" t="s">
        <v>25</v>
      </c>
      <c r="F1209" s="7" t="s">
        <v>39</v>
      </c>
      <c r="G1209" s="7" t="s">
        <v>228</v>
      </c>
      <c r="H1209" s="7">
        <v>1980</v>
      </c>
      <c r="I1209" s="7">
        <v>5</v>
      </c>
      <c r="J1209" s="7">
        <v>6</v>
      </c>
      <c r="K1209" s="7">
        <v>8</v>
      </c>
      <c r="M1209" s="7">
        <v>1</v>
      </c>
      <c r="N1209" s="7">
        <v>24</v>
      </c>
      <c r="O1209" s="7">
        <v>42</v>
      </c>
      <c r="P1209" s="7">
        <v>42</v>
      </c>
      <c r="T1209" s="12"/>
      <c r="V1209" cm="1">
        <f t="array" ref="V1209">_xlfn.LET(
_xlpm.x,_xlfn._xlws.FILTER(O1209:S1209,(O1209:S1209&lt;&gt;"R")*(O1209:S1209&lt;&gt;"NA")*(O1209:S1209&lt;&gt;"W")*(O1209:S1209&lt;&gt;"")),
IF(COUNTA(_xlpm.x)=0,"NA",IF(MIN(_xlpm.x)=MAX(_xlpm.x),MIN(_xlpm.x),"review"))
)</f>
        <v>42</v>
      </c>
    </row>
    <row r="1210" spans="1:22" ht="15.75" hidden="1" customHeight="1" x14ac:dyDescent="0.25">
      <c r="A1210" s="7" t="s">
        <v>225</v>
      </c>
      <c r="B1210" s="8" t="s">
        <v>226</v>
      </c>
      <c r="C1210" s="8" t="s">
        <v>227</v>
      </c>
      <c r="D1210" s="9" t="s">
        <v>66</v>
      </c>
      <c r="E1210" s="7" t="s">
        <v>25</v>
      </c>
      <c r="F1210" s="7" t="s">
        <v>39</v>
      </c>
      <c r="G1210" s="7" t="s">
        <v>228</v>
      </c>
      <c r="H1210" s="7">
        <v>1980</v>
      </c>
      <c r="I1210" s="7">
        <v>5</v>
      </c>
      <c r="J1210" s="7">
        <v>6</v>
      </c>
      <c r="K1210" s="7">
        <v>8</v>
      </c>
      <c r="M1210" s="7">
        <v>1</v>
      </c>
      <c r="N1210" s="7">
        <v>25</v>
      </c>
      <c r="O1210" s="7">
        <v>42</v>
      </c>
      <c r="P1210" s="7">
        <v>42</v>
      </c>
      <c r="T1210" s="12"/>
      <c r="V1210" cm="1">
        <f t="array" ref="V1210">_xlfn.LET(
_xlpm.x,_xlfn._xlws.FILTER(O1210:S1210,(O1210:S1210&lt;&gt;"R")*(O1210:S1210&lt;&gt;"NA")*(O1210:S1210&lt;&gt;"W")*(O1210:S1210&lt;&gt;"")),
IF(COUNTA(_xlpm.x)=0,"NA",IF(MIN(_xlpm.x)=MAX(_xlpm.x),MIN(_xlpm.x),"review"))
)</f>
        <v>42</v>
      </c>
    </row>
    <row r="1211" spans="1:22" ht="15.75" hidden="1" customHeight="1" x14ac:dyDescent="0.25">
      <c r="A1211" s="7" t="s">
        <v>225</v>
      </c>
      <c r="B1211" s="8" t="s">
        <v>226</v>
      </c>
      <c r="C1211" s="8" t="s">
        <v>227</v>
      </c>
      <c r="D1211" s="9" t="s">
        <v>66</v>
      </c>
      <c r="E1211" s="7" t="s">
        <v>25</v>
      </c>
      <c r="F1211" s="7" t="s">
        <v>39</v>
      </c>
      <c r="G1211" s="7" t="s">
        <v>228</v>
      </c>
      <c r="H1211" s="7">
        <v>1980</v>
      </c>
      <c r="I1211" s="7">
        <v>6</v>
      </c>
      <c r="K1211" s="7">
        <v>8</v>
      </c>
      <c r="M1211" s="7">
        <v>2</v>
      </c>
      <c r="N1211" s="7">
        <v>1</v>
      </c>
      <c r="O1211" s="7">
        <v>52</v>
      </c>
      <c r="P1211" s="7">
        <v>52</v>
      </c>
      <c r="T1211" s="12"/>
      <c r="V1211" cm="1">
        <f t="array" ref="V1211">_xlfn.LET(
_xlpm.x,_xlfn._xlws.FILTER(O1211:S1211,(O1211:S1211&lt;&gt;"R")*(O1211:S1211&lt;&gt;"NA")*(O1211:S1211&lt;&gt;"W")*(O1211:S1211&lt;&gt;"")),
IF(COUNTA(_xlpm.x)=0,"NA",IF(MIN(_xlpm.x)=MAX(_xlpm.x),MIN(_xlpm.x),"review"))
)</f>
        <v>52</v>
      </c>
    </row>
    <row r="1212" spans="1:22" ht="15.75" hidden="1" customHeight="1" x14ac:dyDescent="0.25">
      <c r="A1212" s="7" t="s">
        <v>225</v>
      </c>
      <c r="B1212" s="8" t="s">
        <v>226</v>
      </c>
      <c r="C1212" s="8" t="s">
        <v>227</v>
      </c>
      <c r="D1212" s="9" t="s">
        <v>66</v>
      </c>
      <c r="E1212" s="7" t="s">
        <v>25</v>
      </c>
      <c r="F1212" s="7" t="s">
        <v>39</v>
      </c>
      <c r="G1212" s="7" t="s">
        <v>228</v>
      </c>
      <c r="H1212" s="7">
        <v>1980</v>
      </c>
      <c r="I1212" s="7">
        <v>6</v>
      </c>
      <c r="K1212" s="7">
        <v>8</v>
      </c>
      <c r="M1212" s="7">
        <v>2</v>
      </c>
      <c r="N1212" s="7">
        <v>2</v>
      </c>
      <c r="O1212" s="7">
        <v>42</v>
      </c>
      <c r="P1212" s="7">
        <v>42</v>
      </c>
      <c r="T1212" s="12"/>
      <c r="V1212" cm="1">
        <f t="array" ref="V1212">_xlfn.LET(
_xlpm.x,_xlfn._xlws.FILTER(O1212:S1212,(O1212:S1212&lt;&gt;"R")*(O1212:S1212&lt;&gt;"NA")*(O1212:S1212&lt;&gt;"W")*(O1212:S1212&lt;&gt;"")),
IF(COUNTA(_xlpm.x)=0,"NA",IF(MIN(_xlpm.x)=MAX(_xlpm.x),MIN(_xlpm.x),"review"))
)</f>
        <v>42</v>
      </c>
    </row>
    <row r="1213" spans="1:22" ht="15.75" hidden="1" customHeight="1" x14ac:dyDescent="0.25">
      <c r="A1213" s="7" t="s">
        <v>225</v>
      </c>
      <c r="B1213" s="8" t="s">
        <v>226</v>
      </c>
      <c r="C1213" s="8" t="s">
        <v>227</v>
      </c>
      <c r="D1213" s="9" t="s">
        <v>66</v>
      </c>
      <c r="E1213" s="7" t="s">
        <v>25</v>
      </c>
      <c r="F1213" s="7" t="s">
        <v>39</v>
      </c>
      <c r="G1213" s="7" t="s">
        <v>228</v>
      </c>
      <c r="H1213" s="7">
        <v>1980</v>
      </c>
      <c r="I1213" s="7">
        <v>6</v>
      </c>
      <c r="K1213" s="7">
        <v>8</v>
      </c>
      <c r="M1213" s="7">
        <v>2</v>
      </c>
      <c r="N1213" s="7">
        <v>3</v>
      </c>
      <c r="O1213" s="7">
        <v>42</v>
      </c>
      <c r="P1213" s="7">
        <v>42</v>
      </c>
      <c r="T1213" s="12"/>
      <c r="V1213" cm="1">
        <f t="array" ref="V1213">_xlfn.LET(
_xlpm.x,_xlfn._xlws.FILTER(O1213:S1213,(O1213:S1213&lt;&gt;"R")*(O1213:S1213&lt;&gt;"NA")*(O1213:S1213&lt;&gt;"W")*(O1213:S1213&lt;&gt;"")),
IF(COUNTA(_xlpm.x)=0,"NA",IF(MIN(_xlpm.x)=MAX(_xlpm.x),MIN(_xlpm.x),"review"))
)</f>
        <v>42</v>
      </c>
    </row>
    <row r="1214" spans="1:22" ht="15.75" hidden="1" customHeight="1" x14ac:dyDescent="0.25">
      <c r="A1214" s="7" t="s">
        <v>225</v>
      </c>
      <c r="B1214" s="8" t="s">
        <v>226</v>
      </c>
      <c r="C1214" s="8" t="s">
        <v>227</v>
      </c>
      <c r="D1214" s="9" t="s">
        <v>66</v>
      </c>
      <c r="E1214" s="7" t="s">
        <v>25</v>
      </c>
      <c r="F1214" s="7" t="s">
        <v>39</v>
      </c>
      <c r="G1214" s="7" t="s">
        <v>228</v>
      </c>
      <c r="H1214" s="7">
        <v>1980</v>
      </c>
      <c r="I1214" s="7">
        <v>6</v>
      </c>
      <c r="K1214" s="7">
        <v>8</v>
      </c>
      <c r="M1214" s="7">
        <v>2</v>
      </c>
      <c r="N1214" s="7">
        <v>4</v>
      </c>
      <c r="O1214" s="7">
        <v>42</v>
      </c>
      <c r="P1214" s="7">
        <v>42</v>
      </c>
      <c r="T1214" s="12"/>
      <c r="V1214" cm="1">
        <f t="array" ref="V1214">_xlfn.LET(
_xlpm.x,_xlfn._xlws.FILTER(O1214:S1214,(O1214:S1214&lt;&gt;"R")*(O1214:S1214&lt;&gt;"NA")*(O1214:S1214&lt;&gt;"W")*(O1214:S1214&lt;&gt;"")),
IF(COUNTA(_xlpm.x)=0,"NA",IF(MIN(_xlpm.x)=MAX(_xlpm.x),MIN(_xlpm.x),"review"))
)</f>
        <v>42</v>
      </c>
    </row>
    <row r="1215" spans="1:22" ht="15.75" hidden="1" customHeight="1" x14ac:dyDescent="0.25">
      <c r="A1215" s="7" t="s">
        <v>225</v>
      </c>
      <c r="B1215" s="8" t="s">
        <v>226</v>
      </c>
      <c r="C1215" s="8" t="s">
        <v>227</v>
      </c>
      <c r="D1215" s="9" t="s">
        <v>66</v>
      </c>
      <c r="E1215" s="7" t="s">
        <v>25</v>
      </c>
      <c r="F1215" s="7" t="s">
        <v>39</v>
      </c>
      <c r="G1215" s="7" t="s">
        <v>228</v>
      </c>
      <c r="H1215" s="7">
        <v>1980</v>
      </c>
      <c r="I1215" s="7">
        <v>6</v>
      </c>
      <c r="K1215" s="7">
        <v>8</v>
      </c>
      <c r="M1215" s="7">
        <v>2</v>
      </c>
      <c r="N1215" s="7">
        <v>5</v>
      </c>
      <c r="O1215" s="7">
        <v>42</v>
      </c>
      <c r="P1215" s="7">
        <v>42</v>
      </c>
      <c r="T1215" s="12"/>
      <c r="V1215" cm="1">
        <f t="array" ref="V1215">_xlfn.LET(
_xlpm.x,_xlfn._xlws.FILTER(O1215:S1215,(O1215:S1215&lt;&gt;"R")*(O1215:S1215&lt;&gt;"NA")*(O1215:S1215&lt;&gt;"W")*(O1215:S1215&lt;&gt;"")),
IF(COUNTA(_xlpm.x)=0,"NA",IF(MIN(_xlpm.x)=MAX(_xlpm.x),MIN(_xlpm.x),"review"))
)</f>
        <v>42</v>
      </c>
    </row>
    <row r="1216" spans="1:22" ht="15.75" hidden="1" customHeight="1" x14ac:dyDescent="0.25">
      <c r="A1216" s="7" t="s">
        <v>225</v>
      </c>
      <c r="B1216" s="8" t="s">
        <v>226</v>
      </c>
      <c r="C1216" s="8" t="s">
        <v>227</v>
      </c>
      <c r="D1216" s="9" t="s">
        <v>66</v>
      </c>
      <c r="E1216" s="7" t="s">
        <v>25</v>
      </c>
      <c r="F1216" s="7" t="s">
        <v>39</v>
      </c>
      <c r="G1216" s="7" t="s">
        <v>228</v>
      </c>
      <c r="H1216" s="7">
        <v>1980</v>
      </c>
      <c r="I1216" s="7">
        <v>6</v>
      </c>
      <c r="K1216" s="7">
        <v>8</v>
      </c>
      <c r="M1216" s="7">
        <v>2</v>
      </c>
      <c r="N1216" s="7">
        <v>6</v>
      </c>
      <c r="O1216" s="7">
        <v>52</v>
      </c>
      <c r="P1216" s="7">
        <v>52</v>
      </c>
      <c r="T1216" s="12"/>
      <c r="V1216" cm="1">
        <f t="array" ref="V1216">_xlfn.LET(
_xlpm.x,_xlfn._xlws.FILTER(O1216:S1216,(O1216:S1216&lt;&gt;"R")*(O1216:S1216&lt;&gt;"NA")*(O1216:S1216&lt;&gt;"W")*(O1216:S1216&lt;&gt;"")),
IF(COUNTA(_xlpm.x)=0,"NA",IF(MIN(_xlpm.x)=MAX(_xlpm.x),MIN(_xlpm.x),"review"))
)</f>
        <v>52</v>
      </c>
    </row>
    <row r="1217" spans="1:22" ht="15.75" hidden="1" customHeight="1" x14ac:dyDescent="0.25">
      <c r="A1217" s="7" t="s">
        <v>225</v>
      </c>
      <c r="B1217" s="8" t="s">
        <v>226</v>
      </c>
      <c r="C1217" s="8" t="s">
        <v>227</v>
      </c>
      <c r="D1217" s="9" t="s">
        <v>66</v>
      </c>
      <c r="E1217" s="7" t="s">
        <v>25</v>
      </c>
      <c r="F1217" s="7" t="s">
        <v>39</v>
      </c>
      <c r="G1217" s="7" t="s">
        <v>228</v>
      </c>
      <c r="H1217" s="7">
        <v>1980</v>
      </c>
      <c r="I1217" s="7">
        <v>6</v>
      </c>
      <c r="K1217" s="7">
        <v>8</v>
      </c>
      <c r="M1217" s="7">
        <v>2</v>
      </c>
      <c r="N1217" s="7">
        <v>7</v>
      </c>
      <c r="O1217" s="7">
        <v>52</v>
      </c>
      <c r="P1217" s="7">
        <v>52</v>
      </c>
      <c r="T1217" s="12"/>
      <c r="V1217" cm="1">
        <f t="array" ref="V1217">_xlfn.LET(
_xlpm.x,_xlfn._xlws.FILTER(O1217:S1217,(O1217:S1217&lt;&gt;"R")*(O1217:S1217&lt;&gt;"NA")*(O1217:S1217&lt;&gt;"W")*(O1217:S1217&lt;&gt;"")),
IF(COUNTA(_xlpm.x)=0,"NA",IF(MIN(_xlpm.x)=MAX(_xlpm.x),MIN(_xlpm.x),"review"))
)</f>
        <v>52</v>
      </c>
    </row>
    <row r="1218" spans="1:22" ht="15.75" hidden="1" customHeight="1" x14ac:dyDescent="0.25">
      <c r="A1218" s="7" t="s">
        <v>225</v>
      </c>
      <c r="B1218" s="8" t="s">
        <v>226</v>
      </c>
      <c r="C1218" s="8" t="s">
        <v>227</v>
      </c>
      <c r="D1218" s="9" t="s">
        <v>66</v>
      </c>
      <c r="E1218" s="7" t="s">
        <v>25</v>
      </c>
      <c r="F1218" s="7" t="s">
        <v>39</v>
      </c>
      <c r="G1218" s="7" t="s">
        <v>228</v>
      </c>
      <c r="H1218" s="7">
        <v>1980</v>
      </c>
      <c r="I1218" s="7">
        <v>6</v>
      </c>
      <c r="K1218" s="7">
        <v>8</v>
      </c>
      <c r="M1218" s="7">
        <v>2</v>
      </c>
      <c r="N1218" s="7">
        <v>8</v>
      </c>
      <c r="O1218" s="7">
        <v>52</v>
      </c>
      <c r="P1218" s="7">
        <v>52</v>
      </c>
      <c r="T1218" s="12"/>
      <c r="V1218" cm="1">
        <f t="array" ref="V1218">_xlfn.LET(
_xlpm.x,_xlfn._xlws.FILTER(O1218:S1218,(O1218:S1218&lt;&gt;"R")*(O1218:S1218&lt;&gt;"NA")*(O1218:S1218&lt;&gt;"W")*(O1218:S1218&lt;&gt;"")),
IF(COUNTA(_xlpm.x)=0,"NA",IF(MIN(_xlpm.x)=MAX(_xlpm.x),MIN(_xlpm.x),"review"))
)</f>
        <v>52</v>
      </c>
    </row>
    <row r="1219" spans="1:22" ht="15.75" hidden="1" customHeight="1" x14ac:dyDescent="0.25">
      <c r="A1219" s="7" t="s">
        <v>225</v>
      </c>
      <c r="B1219" s="8" t="s">
        <v>226</v>
      </c>
      <c r="C1219" s="8" t="s">
        <v>227</v>
      </c>
      <c r="D1219" s="9" t="s">
        <v>66</v>
      </c>
      <c r="E1219" s="7" t="s">
        <v>25</v>
      </c>
      <c r="F1219" s="7" t="s">
        <v>39</v>
      </c>
      <c r="G1219" s="7" t="s">
        <v>228</v>
      </c>
      <c r="H1219" s="7">
        <v>1980</v>
      </c>
      <c r="I1219" s="7">
        <v>6</v>
      </c>
      <c r="K1219" s="7">
        <v>8</v>
      </c>
      <c r="M1219" s="7">
        <v>2</v>
      </c>
      <c r="N1219" s="7">
        <v>9</v>
      </c>
      <c r="O1219" s="7" t="s">
        <v>28</v>
      </c>
      <c r="P1219" s="7" t="s">
        <v>28</v>
      </c>
      <c r="T1219" s="12"/>
      <c r="V1219" t="s">
        <v>29</v>
      </c>
    </row>
    <row r="1220" spans="1:22" ht="15.75" hidden="1" customHeight="1" x14ac:dyDescent="0.25">
      <c r="A1220" s="7" t="s">
        <v>225</v>
      </c>
      <c r="B1220" s="8" t="s">
        <v>226</v>
      </c>
      <c r="C1220" s="8" t="s">
        <v>227</v>
      </c>
      <c r="D1220" s="9" t="s">
        <v>66</v>
      </c>
      <c r="E1220" s="7" t="s">
        <v>25</v>
      </c>
      <c r="F1220" s="7" t="s">
        <v>39</v>
      </c>
      <c r="G1220" s="7" t="s">
        <v>228</v>
      </c>
      <c r="H1220" s="7">
        <v>1980</v>
      </c>
      <c r="I1220" s="7">
        <v>6</v>
      </c>
      <c r="K1220" s="7">
        <v>8</v>
      </c>
      <c r="M1220" s="7">
        <v>2</v>
      </c>
      <c r="N1220" s="7">
        <v>10</v>
      </c>
      <c r="O1220" s="7">
        <v>52</v>
      </c>
      <c r="P1220" s="7">
        <v>52</v>
      </c>
      <c r="T1220" s="12"/>
      <c r="V1220" cm="1">
        <f t="array" ref="V1220">_xlfn.LET(
_xlpm.x,_xlfn._xlws.FILTER(O1220:S1220,(O1220:S1220&lt;&gt;"R")*(O1220:S1220&lt;&gt;"NA")*(O1220:S1220&lt;&gt;"W")*(O1220:S1220&lt;&gt;"")),
IF(COUNTA(_xlpm.x)=0,"NA",IF(MIN(_xlpm.x)=MAX(_xlpm.x),MIN(_xlpm.x),"review"))
)</f>
        <v>52</v>
      </c>
    </row>
    <row r="1221" spans="1:22" ht="15.75" hidden="1" customHeight="1" x14ac:dyDescent="0.25">
      <c r="A1221" s="7" t="s">
        <v>225</v>
      </c>
      <c r="B1221" s="8" t="s">
        <v>226</v>
      </c>
      <c r="C1221" s="8" t="s">
        <v>227</v>
      </c>
      <c r="D1221" s="9" t="s">
        <v>66</v>
      </c>
      <c r="E1221" s="7" t="s">
        <v>25</v>
      </c>
      <c r="F1221" s="7" t="s">
        <v>39</v>
      </c>
      <c r="G1221" s="7" t="s">
        <v>228</v>
      </c>
      <c r="H1221" s="7">
        <v>1980</v>
      </c>
      <c r="I1221" s="7">
        <v>6</v>
      </c>
      <c r="K1221" s="7">
        <v>8</v>
      </c>
      <c r="M1221" s="7">
        <v>2</v>
      </c>
      <c r="N1221" s="7">
        <v>11</v>
      </c>
      <c r="O1221" s="7">
        <v>42</v>
      </c>
      <c r="P1221" s="7">
        <v>42</v>
      </c>
      <c r="T1221" s="12"/>
      <c r="V1221" cm="1">
        <f t="array" ref="V1221">_xlfn.LET(
_xlpm.x,_xlfn._xlws.FILTER(O1221:S1221,(O1221:S1221&lt;&gt;"R")*(O1221:S1221&lt;&gt;"NA")*(O1221:S1221&lt;&gt;"W")*(O1221:S1221&lt;&gt;"")),
IF(COUNTA(_xlpm.x)=0,"NA",IF(MIN(_xlpm.x)=MAX(_xlpm.x),MIN(_xlpm.x),"review"))
)</f>
        <v>42</v>
      </c>
    </row>
    <row r="1222" spans="1:22" ht="15.75" hidden="1" customHeight="1" x14ac:dyDescent="0.25">
      <c r="A1222" s="7" t="s">
        <v>225</v>
      </c>
      <c r="B1222" s="8" t="s">
        <v>226</v>
      </c>
      <c r="C1222" s="8" t="s">
        <v>227</v>
      </c>
      <c r="D1222" s="9" t="s">
        <v>66</v>
      </c>
      <c r="E1222" s="7" t="s">
        <v>25</v>
      </c>
      <c r="F1222" s="7" t="s">
        <v>39</v>
      </c>
      <c r="G1222" s="7" t="s">
        <v>228</v>
      </c>
      <c r="H1222" s="7">
        <v>1980</v>
      </c>
      <c r="I1222" s="7">
        <v>6</v>
      </c>
      <c r="K1222" s="7">
        <v>8</v>
      </c>
      <c r="M1222" s="7">
        <v>2</v>
      </c>
      <c r="N1222" s="7">
        <v>12</v>
      </c>
      <c r="O1222" s="7">
        <v>52</v>
      </c>
      <c r="P1222" s="7">
        <v>52</v>
      </c>
      <c r="T1222" s="12"/>
      <c r="V1222" cm="1">
        <f t="array" ref="V1222">_xlfn.LET(
_xlpm.x,_xlfn._xlws.FILTER(O1222:S1222,(O1222:S1222&lt;&gt;"R")*(O1222:S1222&lt;&gt;"NA")*(O1222:S1222&lt;&gt;"W")*(O1222:S1222&lt;&gt;"")),
IF(COUNTA(_xlpm.x)=0,"NA",IF(MIN(_xlpm.x)=MAX(_xlpm.x),MIN(_xlpm.x),"review"))
)</f>
        <v>52</v>
      </c>
    </row>
    <row r="1223" spans="1:22" ht="15.75" hidden="1" customHeight="1" x14ac:dyDescent="0.25">
      <c r="A1223" s="7" t="s">
        <v>225</v>
      </c>
      <c r="B1223" s="8" t="s">
        <v>226</v>
      </c>
      <c r="C1223" s="8" t="s">
        <v>227</v>
      </c>
      <c r="D1223" s="9" t="s">
        <v>66</v>
      </c>
      <c r="E1223" s="7" t="s">
        <v>25</v>
      </c>
      <c r="F1223" s="7" t="s">
        <v>39</v>
      </c>
      <c r="G1223" s="7" t="s">
        <v>228</v>
      </c>
      <c r="H1223" s="7">
        <v>1980</v>
      </c>
      <c r="I1223" s="7">
        <v>6</v>
      </c>
      <c r="K1223" s="7">
        <v>8</v>
      </c>
      <c r="M1223" s="7">
        <v>2</v>
      </c>
      <c r="N1223" s="7">
        <v>13</v>
      </c>
      <c r="O1223" s="7">
        <v>52</v>
      </c>
      <c r="P1223" s="7">
        <v>52</v>
      </c>
      <c r="T1223" s="12"/>
      <c r="V1223" cm="1">
        <f t="array" ref="V1223">_xlfn.LET(
_xlpm.x,_xlfn._xlws.FILTER(O1223:S1223,(O1223:S1223&lt;&gt;"R")*(O1223:S1223&lt;&gt;"NA")*(O1223:S1223&lt;&gt;"W")*(O1223:S1223&lt;&gt;"")),
IF(COUNTA(_xlpm.x)=0,"NA",IF(MIN(_xlpm.x)=MAX(_xlpm.x),MIN(_xlpm.x),"review"))
)</f>
        <v>52</v>
      </c>
    </row>
    <row r="1224" spans="1:22" ht="15.75" hidden="1" customHeight="1" x14ac:dyDescent="0.25">
      <c r="A1224" s="7" t="s">
        <v>225</v>
      </c>
      <c r="B1224" s="8" t="s">
        <v>226</v>
      </c>
      <c r="C1224" s="8" t="s">
        <v>227</v>
      </c>
      <c r="D1224" s="9" t="s">
        <v>66</v>
      </c>
      <c r="E1224" s="7" t="s">
        <v>25</v>
      </c>
      <c r="F1224" s="7" t="s">
        <v>39</v>
      </c>
      <c r="G1224" s="7" t="s">
        <v>228</v>
      </c>
      <c r="H1224" s="7">
        <v>1980</v>
      </c>
      <c r="I1224" s="7">
        <v>6</v>
      </c>
      <c r="K1224" s="7">
        <v>8</v>
      </c>
      <c r="M1224" s="7">
        <v>2</v>
      </c>
      <c r="N1224" s="7">
        <v>14</v>
      </c>
      <c r="O1224" s="7">
        <v>52</v>
      </c>
      <c r="P1224" s="7">
        <v>52</v>
      </c>
      <c r="T1224" s="12"/>
      <c r="V1224" cm="1">
        <f t="array" ref="V1224">_xlfn.LET(
_xlpm.x,_xlfn._xlws.FILTER(O1224:S1224,(O1224:S1224&lt;&gt;"R")*(O1224:S1224&lt;&gt;"NA")*(O1224:S1224&lt;&gt;"W")*(O1224:S1224&lt;&gt;"")),
IF(COUNTA(_xlpm.x)=0,"NA",IF(MIN(_xlpm.x)=MAX(_xlpm.x),MIN(_xlpm.x),"review"))
)</f>
        <v>52</v>
      </c>
    </row>
    <row r="1225" spans="1:22" ht="15.75" hidden="1" customHeight="1" x14ac:dyDescent="0.25">
      <c r="A1225" s="7" t="s">
        <v>225</v>
      </c>
      <c r="B1225" s="8" t="s">
        <v>226</v>
      </c>
      <c r="C1225" s="8" t="s">
        <v>227</v>
      </c>
      <c r="D1225" s="9" t="s">
        <v>66</v>
      </c>
      <c r="E1225" s="7" t="s">
        <v>25</v>
      </c>
      <c r="F1225" s="7" t="s">
        <v>39</v>
      </c>
      <c r="G1225" s="7" t="s">
        <v>228</v>
      </c>
      <c r="H1225" s="7">
        <v>1980</v>
      </c>
      <c r="I1225" s="7">
        <v>6</v>
      </c>
      <c r="K1225" s="7">
        <v>8</v>
      </c>
      <c r="M1225" s="7">
        <v>2</v>
      </c>
      <c r="N1225" s="7">
        <v>15</v>
      </c>
      <c r="O1225" s="7" t="s">
        <v>28</v>
      </c>
      <c r="P1225" s="7" t="s">
        <v>28</v>
      </c>
      <c r="T1225" s="12"/>
      <c r="V1225" t="s">
        <v>29</v>
      </c>
    </row>
    <row r="1226" spans="1:22" ht="15.75" hidden="1" customHeight="1" x14ac:dyDescent="0.25">
      <c r="A1226" s="7" t="s">
        <v>225</v>
      </c>
      <c r="B1226" s="8" t="s">
        <v>226</v>
      </c>
      <c r="C1226" s="8" t="s">
        <v>227</v>
      </c>
      <c r="D1226" s="9" t="s">
        <v>66</v>
      </c>
      <c r="E1226" s="7" t="s">
        <v>25</v>
      </c>
      <c r="F1226" s="7" t="s">
        <v>39</v>
      </c>
      <c r="G1226" s="7" t="s">
        <v>228</v>
      </c>
      <c r="H1226" s="7">
        <v>1980</v>
      </c>
      <c r="I1226" s="7">
        <v>6</v>
      </c>
      <c r="K1226" s="7">
        <v>8</v>
      </c>
      <c r="M1226" s="7">
        <v>2</v>
      </c>
      <c r="N1226" s="7">
        <v>16</v>
      </c>
      <c r="O1226" s="7">
        <v>42</v>
      </c>
      <c r="P1226" s="7">
        <v>42</v>
      </c>
      <c r="T1226" s="12"/>
      <c r="V1226" cm="1">
        <f t="array" ref="V1226">_xlfn.LET(
_xlpm.x,_xlfn._xlws.FILTER(O1226:S1226,(O1226:S1226&lt;&gt;"R")*(O1226:S1226&lt;&gt;"NA")*(O1226:S1226&lt;&gt;"W")*(O1226:S1226&lt;&gt;"")),
IF(COUNTA(_xlpm.x)=0,"NA",IF(MIN(_xlpm.x)=MAX(_xlpm.x),MIN(_xlpm.x),"review"))
)</f>
        <v>42</v>
      </c>
    </row>
    <row r="1227" spans="1:22" ht="15.75" hidden="1" customHeight="1" x14ac:dyDescent="0.25">
      <c r="A1227" s="7" t="s">
        <v>225</v>
      </c>
      <c r="B1227" s="8" t="s">
        <v>226</v>
      </c>
      <c r="C1227" s="8" t="s">
        <v>227</v>
      </c>
      <c r="D1227" s="9" t="s">
        <v>66</v>
      </c>
      <c r="E1227" s="7" t="s">
        <v>25</v>
      </c>
      <c r="F1227" s="7" t="s">
        <v>39</v>
      </c>
      <c r="G1227" s="7" t="s">
        <v>228</v>
      </c>
      <c r="H1227" s="7">
        <v>1980</v>
      </c>
      <c r="I1227" s="7">
        <v>6</v>
      </c>
      <c r="K1227" s="7">
        <v>8</v>
      </c>
      <c r="M1227" s="7">
        <v>2</v>
      </c>
      <c r="N1227" s="7">
        <v>17</v>
      </c>
      <c r="O1227" s="7">
        <v>41</v>
      </c>
      <c r="T1227" s="12" t="s">
        <v>229</v>
      </c>
      <c r="V1227" cm="1">
        <f t="array" ref="V1227">_xlfn.LET(
_xlpm.x,_xlfn._xlws.FILTER(O1227:S1227,(O1227:S1227&lt;&gt;"R")*(O1227:S1227&lt;&gt;"NA")*(O1227:S1227&lt;&gt;"W")*(O1227:S1227&lt;&gt;"")),
IF(COUNTA(_xlpm.x)=0,"NA",IF(MIN(_xlpm.x)=MAX(_xlpm.x),MIN(_xlpm.x),"review"))
)</f>
        <v>41</v>
      </c>
    </row>
    <row r="1228" spans="1:22" ht="15.75" hidden="1" customHeight="1" x14ac:dyDescent="0.25">
      <c r="A1228" s="7" t="s">
        <v>225</v>
      </c>
      <c r="B1228" s="8" t="s">
        <v>226</v>
      </c>
      <c r="C1228" s="8" t="s">
        <v>227</v>
      </c>
      <c r="D1228" s="9" t="s">
        <v>66</v>
      </c>
      <c r="E1228" s="7" t="s">
        <v>25</v>
      </c>
      <c r="F1228" s="7" t="s">
        <v>39</v>
      </c>
      <c r="G1228" s="7" t="s">
        <v>228</v>
      </c>
      <c r="H1228" s="7">
        <v>1980</v>
      </c>
      <c r="I1228" s="7">
        <v>6</v>
      </c>
      <c r="K1228" s="7">
        <v>8</v>
      </c>
      <c r="M1228" s="7">
        <v>2</v>
      </c>
      <c r="N1228" s="7">
        <v>18</v>
      </c>
      <c r="O1228" s="7">
        <v>42</v>
      </c>
      <c r="P1228" s="7">
        <v>42</v>
      </c>
      <c r="T1228" s="12"/>
      <c r="V1228" cm="1">
        <f t="array" ref="V1228">_xlfn.LET(
_xlpm.x,_xlfn._xlws.FILTER(O1228:S1228,(O1228:S1228&lt;&gt;"R")*(O1228:S1228&lt;&gt;"NA")*(O1228:S1228&lt;&gt;"W")*(O1228:S1228&lt;&gt;"")),
IF(COUNTA(_xlpm.x)=0,"NA",IF(MIN(_xlpm.x)=MAX(_xlpm.x),MIN(_xlpm.x),"review"))
)</f>
        <v>42</v>
      </c>
    </row>
    <row r="1229" spans="1:22" ht="15.75" hidden="1" customHeight="1" x14ac:dyDescent="0.25">
      <c r="A1229" s="7" t="s">
        <v>225</v>
      </c>
      <c r="B1229" s="8" t="s">
        <v>226</v>
      </c>
      <c r="C1229" s="8" t="s">
        <v>227</v>
      </c>
      <c r="D1229" s="9" t="s">
        <v>66</v>
      </c>
      <c r="E1229" s="7" t="s">
        <v>25</v>
      </c>
      <c r="F1229" s="7" t="s">
        <v>39</v>
      </c>
      <c r="G1229" s="7" t="s">
        <v>228</v>
      </c>
      <c r="H1229" s="7">
        <v>1980</v>
      </c>
      <c r="I1229" s="7">
        <v>6</v>
      </c>
      <c r="K1229" s="7">
        <v>8</v>
      </c>
      <c r="M1229" s="7">
        <v>2</v>
      </c>
      <c r="N1229" s="7">
        <v>19</v>
      </c>
      <c r="O1229" s="7" t="s">
        <v>28</v>
      </c>
      <c r="P1229" s="7">
        <v>42</v>
      </c>
      <c r="T1229" s="12"/>
      <c r="V1229" cm="1">
        <f t="array" ref="V1229">_xlfn.LET(
_xlpm.x,_xlfn._xlws.FILTER(O1229:S1229,(O1229:S1229&lt;&gt;"R")*(O1229:S1229&lt;&gt;"NA")*(O1229:S1229&lt;&gt;"W")*(O1229:S1229&lt;&gt;"")),
IF(COUNTA(_xlpm.x)=0,"NA",IF(MIN(_xlpm.x)=MAX(_xlpm.x),MIN(_xlpm.x),"review"))
)</f>
        <v>42</v>
      </c>
    </row>
    <row r="1230" spans="1:22" ht="15.75" hidden="1" customHeight="1" x14ac:dyDescent="0.25">
      <c r="A1230" s="7" t="s">
        <v>225</v>
      </c>
      <c r="B1230" s="8" t="s">
        <v>226</v>
      </c>
      <c r="C1230" s="8" t="s">
        <v>227</v>
      </c>
      <c r="D1230" s="9" t="s">
        <v>66</v>
      </c>
      <c r="E1230" s="7" t="s">
        <v>25</v>
      </c>
      <c r="F1230" s="7" t="s">
        <v>39</v>
      </c>
      <c r="G1230" s="7" t="s">
        <v>228</v>
      </c>
      <c r="H1230" s="7">
        <v>1980</v>
      </c>
      <c r="I1230" s="7">
        <v>6</v>
      </c>
      <c r="K1230" s="7">
        <v>8</v>
      </c>
      <c r="M1230" s="7">
        <v>2</v>
      </c>
      <c r="N1230" s="7">
        <v>20</v>
      </c>
      <c r="O1230" s="7">
        <v>53</v>
      </c>
      <c r="P1230" s="7" t="s">
        <v>28</v>
      </c>
      <c r="T1230" s="12"/>
      <c r="V1230" cm="1">
        <f t="array" ref="V1230">_xlfn.LET(
_xlpm.x,_xlfn._xlws.FILTER(O1230:S1230,(O1230:S1230&lt;&gt;"R")*(O1230:S1230&lt;&gt;"NA")*(O1230:S1230&lt;&gt;"W")*(O1230:S1230&lt;&gt;"")),
IF(COUNTA(_xlpm.x)=0,"NA",IF(MIN(_xlpm.x)=MAX(_xlpm.x),MIN(_xlpm.x),"review"))
)</f>
        <v>53</v>
      </c>
    </row>
    <row r="1231" spans="1:22" ht="15.75" hidden="1" customHeight="1" x14ac:dyDescent="0.25">
      <c r="A1231" s="7" t="s">
        <v>225</v>
      </c>
      <c r="B1231" s="8" t="s">
        <v>226</v>
      </c>
      <c r="C1231" s="8" t="s">
        <v>227</v>
      </c>
      <c r="D1231" s="9" t="s">
        <v>66</v>
      </c>
      <c r="E1231" s="7" t="s">
        <v>25</v>
      </c>
      <c r="F1231" s="7" t="s">
        <v>39</v>
      </c>
      <c r="G1231" s="7" t="s">
        <v>228</v>
      </c>
      <c r="H1231" s="7">
        <v>1980</v>
      </c>
      <c r="I1231" s="7">
        <v>6</v>
      </c>
      <c r="K1231" s="7">
        <v>8</v>
      </c>
      <c r="M1231" s="7">
        <v>2</v>
      </c>
      <c r="N1231" s="7">
        <v>21</v>
      </c>
      <c r="O1231" s="7">
        <v>42</v>
      </c>
      <c r="P1231" s="7">
        <v>42</v>
      </c>
      <c r="T1231" s="12"/>
      <c r="V1231" cm="1">
        <f t="array" ref="V1231">_xlfn.LET(
_xlpm.x,_xlfn._xlws.FILTER(O1231:S1231,(O1231:S1231&lt;&gt;"R")*(O1231:S1231&lt;&gt;"NA")*(O1231:S1231&lt;&gt;"W")*(O1231:S1231&lt;&gt;"")),
IF(COUNTA(_xlpm.x)=0,"NA",IF(MIN(_xlpm.x)=MAX(_xlpm.x),MIN(_xlpm.x),"review"))
)</f>
        <v>42</v>
      </c>
    </row>
    <row r="1232" spans="1:22" ht="15.75" hidden="1" customHeight="1" x14ac:dyDescent="0.25">
      <c r="A1232" s="7" t="s">
        <v>225</v>
      </c>
      <c r="B1232" s="8" t="s">
        <v>226</v>
      </c>
      <c r="C1232" s="8" t="s">
        <v>227</v>
      </c>
      <c r="D1232" s="9" t="s">
        <v>66</v>
      </c>
      <c r="E1232" s="7" t="s">
        <v>25</v>
      </c>
      <c r="F1232" s="7" t="s">
        <v>39</v>
      </c>
      <c r="G1232" s="7" t="s">
        <v>228</v>
      </c>
      <c r="H1232" s="7">
        <v>1980</v>
      </c>
      <c r="I1232" s="7">
        <v>6</v>
      </c>
      <c r="K1232" s="7">
        <v>8</v>
      </c>
      <c r="M1232" s="7">
        <v>2</v>
      </c>
      <c r="N1232" s="7">
        <v>22</v>
      </c>
      <c r="O1232" s="7">
        <v>42</v>
      </c>
      <c r="P1232" s="7">
        <v>42</v>
      </c>
      <c r="T1232" s="12"/>
      <c r="V1232" cm="1">
        <f t="array" ref="V1232">_xlfn.LET(
_xlpm.x,_xlfn._xlws.FILTER(O1232:S1232,(O1232:S1232&lt;&gt;"R")*(O1232:S1232&lt;&gt;"NA")*(O1232:S1232&lt;&gt;"W")*(O1232:S1232&lt;&gt;"")),
IF(COUNTA(_xlpm.x)=0,"NA",IF(MIN(_xlpm.x)=MAX(_xlpm.x),MIN(_xlpm.x),"review"))
)</f>
        <v>42</v>
      </c>
    </row>
    <row r="1233" spans="1:22" ht="15.75" hidden="1" customHeight="1" x14ac:dyDescent="0.25">
      <c r="A1233" s="7" t="s">
        <v>225</v>
      </c>
      <c r="B1233" s="8" t="s">
        <v>226</v>
      </c>
      <c r="C1233" s="8" t="s">
        <v>227</v>
      </c>
      <c r="D1233" s="9" t="s">
        <v>66</v>
      </c>
      <c r="E1233" s="7" t="s">
        <v>25</v>
      </c>
      <c r="F1233" s="7" t="s">
        <v>39</v>
      </c>
      <c r="G1233" s="7" t="s">
        <v>228</v>
      </c>
      <c r="H1233" s="7">
        <v>1980</v>
      </c>
      <c r="I1233" s="7">
        <v>6</v>
      </c>
      <c r="K1233" s="7">
        <v>8</v>
      </c>
      <c r="M1233" s="7">
        <v>2</v>
      </c>
      <c r="N1233" s="7">
        <v>23</v>
      </c>
      <c r="O1233" s="7">
        <v>42</v>
      </c>
      <c r="P1233" s="7" t="s">
        <v>28</v>
      </c>
      <c r="T1233" s="12"/>
      <c r="V1233" cm="1">
        <f t="array" ref="V1233">_xlfn.LET(
_xlpm.x,_xlfn._xlws.FILTER(O1233:S1233,(O1233:S1233&lt;&gt;"R")*(O1233:S1233&lt;&gt;"NA")*(O1233:S1233&lt;&gt;"W")*(O1233:S1233&lt;&gt;"")),
IF(COUNTA(_xlpm.x)=0,"NA",IF(MIN(_xlpm.x)=MAX(_xlpm.x),MIN(_xlpm.x),"review"))
)</f>
        <v>42</v>
      </c>
    </row>
    <row r="1234" spans="1:22" ht="15.75" hidden="1" customHeight="1" x14ac:dyDescent="0.25">
      <c r="A1234" s="7" t="s">
        <v>225</v>
      </c>
      <c r="B1234" s="8" t="s">
        <v>226</v>
      </c>
      <c r="C1234" s="8" t="s">
        <v>227</v>
      </c>
      <c r="D1234" s="9" t="s">
        <v>66</v>
      </c>
      <c r="E1234" s="7" t="s">
        <v>25</v>
      </c>
      <c r="F1234" s="7" t="s">
        <v>39</v>
      </c>
      <c r="G1234" s="7" t="s">
        <v>228</v>
      </c>
      <c r="H1234" s="7">
        <v>1980</v>
      </c>
      <c r="I1234" s="7">
        <v>6</v>
      </c>
      <c r="K1234" s="7">
        <v>8</v>
      </c>
      <c r="M1234" s="7">
        <v>2</v>
      </c>
      <c r="N1234" s="7">
        <v>24</v>
      </c>
      <c r="O1234" s="7">
        <v>42</v>
      </c>
      <c r="P1234" s="7">
        <v>42</v>
      </c>
      <c r="T1234" s="12"/>
      <c r="V1234" cm="1">
        <f t="array" ref="V1234">_xlfn.LET(
_xlpm.x,_xlfn._xlws.FILTER(O1234:S1234,(O1234:S1234&lt;&gt;"R")*(O1234:S1234&lt;&gt;"NA")*(O1234:S1234&lt;&gt;"W")*(O1234:S1234&lt;&gt;"")),
IF(COUNTA(_xlpm.x)=0,"NA",IF(MIN(_xlpm.x)=MAX(_xlpm.x),MIN(_xlpm.x),"review"))
)</f>
        <v>42</v>
      </c>
    </row>
    <row r="1235" spans="1:22" ht="15.75" hidden="1" customHeight="1" x14ac:dyDescent="0.25">
      <c r="A1235" s="7" t="s">
        <v>225</v>
      </c>
      <c r="B1235" s="8" t="s">
        <v>226</v>
      </c>
      <c r="C1235" s="8" t="s">
        <v>227</v>
      </c>
      <c r="D1235" s="9" t="s">
        <v>66</v>
      </c>
      <c r="E1235" s="7" t="s">
        <v>25</v>
      </c>
      <c r="F1235" s="7" t="s">
        <v>39</v>
      </c>
      <c r="G1235" s="7" t="s">
        <v>228</v>
      </c>
      <c r="H1235" s="7">
        <v>1980</v>
      </c>
      <c r="I1235" s="7">
        <v>6</v>
      </c>
      <c r="K1235" s="7">
        <v>8</v>
      </c>
      <c r="M1235" s="7">
        <v>2</v>
      </c>
      <c r="N1235" s="7">
        <v>25</v>
      </c>
      <c r="O1235" s="7">
        <v>42</v>
      </c>
      <c r="P1235" s="7">
        <v>42</v>
      </c>
      <c r="T1235" s="12"/>
      <c r="V1235" cm="1">
        <f t="array" ref="V1235">_xlfn.LET(
_xlpm.x,_xlfn._xlws.FILTER(O1235:S1235,(O1235:S1235&lt;&gt;"R")*(O1235:S1235&lt;&gt;"NA")*(O1235:S1235&lt;&gt;"W")*(O1235:S1235&lt;&gt;"")),
IF(COUNTA(_xlpm.x)=0,"NA",IF(MIN(_xlpm.x)=MAX(_xlpm.x),MIN(_xlpm.x),"review"))
)</f>
        <v>42</v>
      </c>
    </row>
    <row r="1236" spans="1:22" ht="15.75" hidden="1" customHeight="1" x14ac:dyDescent="0.25">
      <c r="A1236" s="7" t="s">
        <v>225</v>
      </c>
      <c r="B1236" s="8" t="s">
        <v>226</v>
      </c>
      <c r="C1236" s="8" t="s">
        <v>227</v>
      </c>
      <c r="D1236" s="9" t="s">
        <v>66</v>
      </c>
      <c r="E1236" s="7" t="s">
        <v>25</v>
      </c>
      <c r="F1236" s="7" t="s">
        <v>39</v>
      </c>
      <c r="G1236" s="7" t="s">
        <v>228</v>
      </c>
      <c r="H1236" s="7">
        <v>1980</v>
      </c>
      <c r="I1236" s="7">
        <v>11</v>
      </c>
      <c r="J1236" s="7">
        <v>16</v>
      </c>
      <c r="K1236" s="7">
        <v>8</v>
      </c>
      <c r="M1236" s="7">
        <v>3</v>
      </c>
      <c r="N1236" s="7">
        <v>1</v>
      </c>
      <c r="O1236" s="7" t="s">
        <v>28</v>
      </c>
      <c r="P1236" s="7">
        <v>42</v>
      </c>
      <c r="T1236" s="12"/>
      <c r="V1236" cm="1">
        <f t="array" ref="V1236">_xlfn.LET(
_xlpm.x,_xlfn._xlws.FILTER(O1236:S1236,(O1236:S1236&lt;&gt;"R")*(O1236:S1236&lt;&gt;"NA")*(O1236:S1236&lt;&gt;"W")*(O1236:S1236&lt;&gt;"")),
IF(COUNTA(_xlpm.x)=0,"NA",IF(MIN(_xlpm.x)=MAX(_xlpm.x),MIN(_xlpm.x),"review"))
)</f>
        <v>42</v>
      </c>
    </row>
    <row r="1237" spans="1:22" ht="15.75" hidden="1" customHeight="1" x14ac:dyDescent="0.25">
      <c r="A1237" s="7" t="s">
        <v>225</v>
      </c>
      <c r="B1237" s="8" t="s">
        <v>226</v>
      </c>
      <c r="C1237" s="8" t="s">
        <v>227</v>
      </c>
      <c r="D1237" s="9" t="s">
        <v>66</v>
      </c>
      <c r="E1237" s="7" t="s">
        <v>25</v>
      </c>
      <c r="F1237" s="7" t="s">
        <v>39</v>
      </c>
      <c r="G1237" s="7" t="s">
        <v>228</v>
      </c>
      <c r="H1237" s="7">
        <v>1980</v>
      </c>
      <c r="I1237" s="7">
        <v>11</v>
      </c>
      <c r="J1237" s="7">
        <v>16</v>
      </c>
      <c r="K1237" s="7">
        <v>8</v>
      </c>
      <c r="M1237" s="7">
        <v>3</v>
      </c>
      <c r="N1237" s="7">
        <v>2</v>
      </c>
      <c r="O1237" s="7">
        <v>42</v>
      </c>
      <c r="P1237" s="7">
        <v>42</v>
      </c>
      <c r="T1237" s="12"/>
      <c r="V1237" cm="1">
        <f t="array" ref="V1237">_xlfn.LET(
_xlpm.x,_xlfn._xlws.FILTER(O1237:S1237,(O1237:S1237&lt;&gt;"R")*(O1237:S1237&lt;&gt;"NA")*(O1237:S1237&lt;&gt;"W")*(O1237:S1237&lt;&gt;"")),
IF(COUNTA(_xlpm.x)=0,"NA",IF(MIN(_xlpm.x)=MAX(_xlpm.x),MIN(_xlpm.x),"review"))
)</f>
        <v>42</v>
      </c>
    </row>
    <row r="1238" spans="1:22" ht="15.75" hidden="1" customHeight="1" x14ac:dyDescent="0.25">
      <c r="A1238" s="7" t="s">
        <v>225</v>
      </c>
      <c r="B1238" s="8" t="s">
        <v>226</v>
      </c>
      <c r="C1238" s="8" t="s">
        <v>227</v>
      </c>
      <c r="D1238" s="9" t="s">
        <v>66</v>
      </c>
      <c r="E1238" s="7" t="s">
        <v>25</v>
      </c>
      <c r="F1238" s="7" t="s">
        <v>39</v>
      </c>
      <c r="G1238" s="7" t="s">
        <v>228</v>
      </c>
      <c r="H1238" s="7">
        <v>1980</v>
      </c>
      <c r="I1238" s="7">
        <v>11</v>
      </c>
      <c r="J1238" s="7">
        <v>16</v>
      </c>
      <c r="K1238" s="7">
        <v>8</v>
      </c>
      <c r="M1238" s="7">
        <v>3</v>
      </c>
      <c r="N1238" s="7">
        <v>3</v>
      </c>
      <c r="O1238" s="7" t="s">
        <v>28</v>
      </c>
      <c r="P1238" s="7" t="s">
        <v>29</v>
      </c>
      <c r="T1238" s="12"/>
      <c r="V1238" t="s">
        <v>29</v>
      </c>
    </row>
    <row r="1239" spans="1:22" ht="15.75" hidden="1" customHeight="1" x14ac:dyDescent="0.25">
      <c r="A1239" s="7" t="s">
        <v>225</v>
      </c>
      <c r="B1239" s="8" t="s">
        <v>226</v>
      </c>
      <c r="C1239" s="8" t="s">
        <v>227</v>
      </c>
      <c r="D1239" s="9" t="s">
        <v>66</v>
      </c>
      <c r="E1239" s="7" t="s">
        <v>25</v>
      </c>
      <c r="F1239" s="7" t="s">
        <v>39</v>
      </c>
      <c r="G1239" s="7" t="s">
        <v>228</v>
      </c>
      <c r="H1239" s="7">
        <v>1980</v>
      </c>
      <c r="I1239" s="7">
        <v>11</v>
      </c>
      <c r="J1239" s="7">
        <v>16</v>
      </c>
      <c r="K1239" s="7">
        <v>8</v>
      </c>
      <c r="M1239" s="7">
        <v>3</v>
      </c>
      <c r="N1239" s="7">
        <v>4</v>
      </c>
      <c r="O1239" s="7">
        <v>42</v>
      </c>
      <c r="P1239" s="7">
        <v>42</v>
      </c>
      <c r="T1239" s="12"/>
      <c r="V1239" cm="1">
        <f t="array" ref="V1239">_xlfn.LET(
_xlpm.x,_xlfn._xlws.FILTER(O1239:S1239,(O1239:S1239&lt;&gt;"R")*(O1239:S1239&lt;&gt;"NA")*(O1239:S1239&lt;&gt;"W")*(O1239:S1239&lt;&gt;"")),
IF(COUNTA(_xlpm.x)=0,"NA",IF(MIN(_xlpm.x)=MAX(_xlpm.x),MIN(_xlpm.x),"review"))
)</f>
        <v>42</v>
      </c>
    </row>
    <row r="1240" spans="1:22" ht="15.75" hidden="1" customHeight="1" x14ac:dyDescent="0.25">
      <c r="A1240" s="7" t="s">
        <v>225</v>
      </c>
      <c r="B1240" s="8" t="s">
        <v>226</v>
      </c>
      <c r="C1240" s="8" t="s">
        <v>227</v>
      </c>
      <c r="D1240" s="9" t="s">
        <v>66</v>
      </c>
      <c r="E1240" s="7" t="s">
        <v>25</v>
      </c>
      <c r="F1240" s="7" t="s">
        <v>39</v>
      </c>
      <c r="G1240" s="7" t="s">
        <v>228</v>
      </c>
      <c r="H1240" s="7">
        <v>1980</v>
      </c>
      <c r="I1240" s="7">
        <v>11</v>
      </c>
      <c r="J1240" s="7">
        <v>16</v>
      </c>
      <c r="K1240" s="7">
        <v>8</v>
      </c>
      <c r="M1240" s="7">
        <v>3</v>
      </c>
      <c r="N1240" s="7">
        <v>5</v>
      </c>
      <c r="O1240" s="7">
        <v>42</v>
      </c>
      <c r="P1240" s="7">
        <v>42</v>
      </c>
      <c r="T1240" s="12"/>
      <c r="V1240" cm="1">
        <f t="array" ref="V1240">_xlfn.LET(
_xlpm.x,_xlfn._xlws.FILTER(O1240:S1240,(O1240:S1240&lt;&gt;"R")*(O1240:S1240&lt;&gt;"NA")*(O1240:S1240&lt;&gt;"W")*(O1240:S1240&lt;&gt;"")),
IF(COUNTA(_xlpm.x)=0,"NA",IF(MIN(_xlpm.x)=MAX(_xlpm.x),MIN(_xlpm.x),"review"))
)</f>
        <v>42</v>
      </c>
    </row>
    <row r="1241" spans="1:22" ht="15.75" hidden="1" customHeight="1" x14ac:dyDescent="0.25">
      <c r="A1241" s="7" t="s">
        <v>225</v>
      </c>
      <c r="B1241" s="8" t="s">
        <v>226</v>
      </c>
      <c r="C1241" s="8" t="s">
        <v>227</v>
      </c>
      <c r="D1241" s="9" t="s">
        <v>66</v>
      </c>
      <c r="E1241" s="7" t="s">
        <v>25</v>
      </c>
      <c r="F1241" s="7" t="s">
        <v>39</v>
      </c>
      <c r="G1241" s="7" t="s">
        <v>228</v>
      </c>
      <c r="H1241" s="7">
        <v>1980</v>
      </c>
      <c r="I1241" s="7">
        <v>11</v>
      </c>
      <c r="J1241" s="7">
        <v>16</v>
      </c>
      <c r="K1241" s="7">
        <v>8</v>
      </c>
      <c r="M1241" s="7">
        <v>3</v>
      </c>
      <c r="N1241" s="7">
        <v>6</v>
      </c>
      <c r="O1241" s="7">
        <v>42</v>
      </c>
      <c r="P1241" s="7">
        <v>42</v>
      </c>
      <c r="T1241" s="12"/>
      <c r="V1241" cm="1">
        <f t="array" ref="V1241">_xlfn.LET(
_xlpm.x,_xlfn._xlws.FILTER(O1241:S1241,(O1241:S1241&lt;&gt;"R")*(O1241:S1241&lt;&gt;"NA")*(O1241:S1241&lt;&gt;"W")*(O1241:S1241&lt;&gt;"")),
IF(COUNTA(_xlpm.x)=0,"NA",IF(MIN(_xlpm.x)=MAX(_xlpm.x),MIN(_xlpm.x),"review"))
)</f>
        <v>42</v>
      </c>
    </row>
    <row r="1242" spans="1:22" ht="15.75" hidden="1" customHeight="1" x14ac:dyDescent="0.25">
      <c r="A1242" s="7" t="s">
        <v>225</v>
      </c>
      <c r="B1242" s="8" t="s">
        <v>226</v>
      </c>
      <c r="C1242" s="8" t="s">
        <v>227</v>
      </c>
      <c r="D1242" s="9" t="s">
        <v>66</v>
      </c>
      <c r="E1242" s="7" t="s">
        <v>25</v>
      </c>
      <c r="F1242" s="7" t="s">
        <v>39</v>
      </c>
      <c r="G1242" s="7" t="s">
        <v>228</v>
      </c>
      <c r="H1242" s="7">
        <v>1980</v>
      </c>
      <c r="I1242" s="7">
        <v>11</v>
      </c>
      <c r="J1242" s="7">
        <v>16</v>
      </c>
      <c r="K1242" s="7">
        <v>8</v>
      </c>
      <c r="M1242" s="7">
        <v>3</v>
      </c>
      <c r="N1242" s="7">
        <v>7</v>
      </c>
      <c r="O1242" s="7">
        <v>42</v>
      </c>
      <c r="P1242" s="7">
        <v>42</v>
      </c>
      <c r="T1242" s="12"/>
      <c r="V1242" cm="1">
        <f t="array" ref="V1242">_xlfn.LET(
_xlpm.x,_xlfn._xlws.FILTER(O1242:S1242,(O1242:S1242&lt;&gt;"R")*(O1242:S1242&lt;&gt;"NA")*(O1242:S1242&lt;&gt;"W")*(O1242:S1242&lt;&gt;"")),
IF(COUNTA(_xlpm.x)=0,"NA",IF(MIN(_xlpm.x)=MAX(_xlpm.x),MIN(_xlpm.x),"review"))
)</f>
        <v>42</v>
      </c>
    </row>
    <row r="1243" spans="1:22" ht="15.75" hidden="1" customHeight="1" x14ac:dyDescent="0.25">
      <c r="A1243" s="7" t="s">
        <v>225</v>
      </c>
      <c r="B1243" s="8" t="s">
        <v>226</v>
      </c>
      <c r="C1243" s="8" t="s">
        <v>227</v>
      </c>
      <c r="D1243" s="9" t="s">
        <v>66</v>
      </c>
      <c r="E1243" s="7" t="s">
        <v>25</v>
      </c>
      <c r="F1243" s="7" t="s">
        <v>39</v>
      </c>
      <c r="G1243" s="7" t="s">
        <v>228</v>
      </c>
      <c r="H1243" s="7">
        <v>1980</v>
      </c>
      <c r="I1243" s="7">
        <v>11</v>
      </c>
      <c r="J1243" s="7">
        <v>16</v>
      </c>
      <c r="K1243" s="7">
        <v>8</v>
      </c>
      <c r="M1243" s="7">
        <v>3</v>
      </c>
      <c r="N1243" s="7">
        <v>8</v>
      </c>
      <c r="O1243" s="7">
        <v>42</v>
      </c>
      <c r="P1243" s="7">
        <v>42</v>
      </c>
      <c r="T1243" s="12"/>
      <c r="V1243" cm="1">
        <f t="array" ref="V1243">_xlfn.LET(
_xlpm.x,_xlfn._xlws.FILTER(O1243:S1243,(O1243:S1243&lt;&gt;"R")*(O1243:S1243&lt;&gt;"NA")*(O1243:S1243&lt;&gt;"W")*(O1243:S1243&lt;&gt;"")),
IF(COUNTA(_xlpm.x)=0,"NA",IF(MIN(_xlpm.x)=MAX(_xlpm.x),MIN(_xlpm.x),"review"))
)</f>
        <v>42</v>
      </c>
    </row>
    <row r="1244" spans="1:22" ht="15.75" hidden="1" customHeight="1" x14ac:dyDescent="0.25">
      <c r="A1244" s="7" t="s">
        <v>225</v>
      </c>
      <c r="B1244" s="8" t="s">
        <v>226</v>
      </c>
      <c r="C1244" s="8" t="s">
        <v>227</v>
      </c>
      <c r="D1244" s="9" t="s">
        <v>66</v>
      </c>
      <c r="E1244" s="7" t="s">
        <v>25</v>
      </c>
      <c r="F1244" s="7" t="s">
        <v>39</v>
      </c>
      <c r="G1244" s="7" t="s">
        <v>228</v>
      </c>
      <c r="H1244" s="7">
        <v>1980</v>
      </c>
      <c r="I1244" s="7">
        <v>11</v>
      </c>
      <c r="J1244" s="7">
        <v>16</v>
      </c>
      <c r="K1244" s="7">
        <v>8</v>
      </c>
      <c r="M1244" s="7">
        <v>3</v>
      </c>
      <c r="N1244" s="7">
        <v>9</v>
      </c>
      <c r="O1244" s="7">
        <v>42</v>
      </c>
      <c r="P1244" s="7" t="s">
        <v>28</v>
      </c>
      <c r="T1244" s="12"/>
      <c r="V1244" cm="1">
        <f t="array" ref="V1244">_xlfn.LET(
_xlpm.x,_xlfn._xlws.FILTER(O1244:S1244,(O1244:S1244&lt;&gt;"R")*(O1244:S1244&lt;&gt;"NA")*(O1244:S1244&lt;&gt;"W")*(O1244:S1244&lt;&gt;"")),
IF(COUNTA(_xlpm.x)=0,"NA",IF(MIN(_xlpm.x)=MAX(_xlpm.x),MIN(_xlpm.x),"review"))
)</f>
        <v>42</v>
      </c>
    </row>
    <row r="1245" spans="1:22" ht="15.75" hidden="1" customHeight="1" x14ac:dyDescent="0.25">
      <c r="A1245" s="7" t="s">
        <v>225</v>
      </c>
      <c r="B1245" s="8" t="s">
        <v>226</v>
      </c>
      <c r="C1245" s="8" t="s">
        <v>227</v>
      </c>
      <c r="D1245" s="9" t="s">
        <v>66</v>
      </c>
      <c r="E1245" s="7" t="s">
        <v>25</v>
      </c>
      <c r="F1245" s="7" t="s">
        <v>39</v>
      </c>
      <c r="G1245" s="7" t="s">
        <v>228</v>
      </c>
      <c r="H1245" s="7">
        <v>1980</v>
      </c>
      <c r="I1245" s="7">
        <v>11</v>
      </c>
      <c r="J1245" s="7">
        <v>16</v>
      </c>
      <c r="K1245" s="7">
        <v>8</v>
      </c>
      <c r="M1245" s="7">
        <v>3</v>
      </c>
      <c r="N1245" s="7">
        <v>10</v>
      </c>
      <c r="O1245" s="7">
        <v>42</v>
      </c>
      <c r="P1245" s="7">
        <v>42</v>
      </c>
      <c r="T1245" s="12" t="s">
        <v>230</v>
      </c>
      <c r="V1245" cm="1">
        <f t="array" ref="V1245">_xlfn.LET(
_xlpm.x,_xlfn._xlws.FILTER(O1245:S1245,(O1245:S1245&lt;&gt;"R")*(O1245:S1245&lt;&gt;"NA")*(O1245:S1245&lt;&gt;"W")*(O1245:S1245&lt;&gt;"")),
IF(COUNTA(_xlpm.x)=0,"NA",IF(MIN(_xlpm.x)=MAX(_xlpm.x),MIN(_xlpm.x),"review"))
)</f>
        <v>42</v>
      </c>
    </row>
    <row r="1246" spans="1:22" ht="15.75" hidden="1" customHeight="1" x14ac:dyDescent="0.25">
      <c r="A1246" s="7" t="s">
        <v>225</v>
      </c>
      <c r="B1246" s="8" t="s">
        <v>226</v>
      </c>
      <c r="C1246" s="8" t="s">
        <v>227</v>
      </c>
      <c r="D1246" s="9" t="s">
        <v>66</v>
      </c>
      <c r="E1246" s="7" t="s">
        <v>25</v>
      </c>
      <c r="F1246" s="7" t="s">
        <v>39</v>
      </c>
      <c r="G1246" s="7" t="s">
        <v>228</v>
      </c>
      <c r="H1246" s="7">
        <v>1980</v>
      </c>
      <c r="I1246" s="7">
        <v>11</v>
      </c>
      <c r="J1246" s="7">
        <v>16</v>
      </c>
      <c r="K1246" s="7">
        <v>8</v>
      </c>
      <c r="M1246" s="7">
        <v>3</v>
      </c>
      <c r="N1246" s="7">
        <v>11</v>
      </c>
      <c r="O1246" s="7">
        <v>42</v>
      </c>
      <c r="P1246" s="7">
        <v>42</v>
      </c>
      <c r="T1246" s="12"/>
      <c r="V1246" cm="1">
        <f t="array" ref="V1246">_xlfn.LET(
_xlpm.x,_xlfn._xlws.FILTER(O1246:S1246,(O1246:S1246&lt;&gt;"R")*(O1246:S1246&lt;&gt;"NA")*(O1246:S1246&lt;&gt;"W")*(O1246:S1246&lt;&gt;"")),
IF(COUNTA(_xlpm.x)=0,"NA",IF(MIN(_xlpm.x)=MAX(_xlpm.x),MIN(_xlpm.x),"review"))
)</f>
        <v>42</v>
      </c>
    </row>
    <row r="1247" spans="1:22" ht="15.75" hidden="1" customHeight="1" x14ac:dyDescent="0.25">
      <c r="A1247" s="7" t="s">
        <v>225</v>
      </c>
      <c r="B1247" s="8" t="s">
        <v>226</v>
      </c>
      <c r="C1247" s="8" t="s">
        <v>227</v>
      </c>
      <c r="D1247" s="9" t="s">
        <v>66</v>
      </c>
      <c r="E1247" s="7" t="s">
        <v>25</v>
      </c>
      <c r="F1247" s="7" t="s">
        <v>39</v>
      </c>
      <c r="G1247" s="7" t="s">
        <v>228</v>
      </c>
      <c r="H1247" s="7">
        <v>1980</v>
      </c>
      <c r="I1247" s="7">
        <v>11</v>
      </c>
      <c r="J1247" s="7">
        <v>16</v>
      </c>
      <c r="K1247" s="7">
        <v>8</v>
      </c>
      <c r="M1247" s="7">
        <v>3</v>
      </c>
      <c r="N1247" s="7">
        <v>12</v>
      </c>
      <c r="O1247" s="7">
        <v>42</v>
      </c>
      <c r="P1247" s="7" t="s">
        <v>28</v>
      </c>
      <c r="T1247" s="12"/>
      <c r="V1247" cm="1">
        <f t="array" ref="V1247">_xlfn.LET(
_xlpm.x,_xlfn._xlws.FILTER(O1247:S1247,(O1247:S1247&lt;&gt;"R")*(O1247:S1247&lt;&gt;"NA")*(O1247:S1247&lt;&gt;"W")*(O1247:S1247&lt;&gt;"")),
IF(COUNTA(_xlpm.x)=0,"NA",IF(MIN(_xlpm.x)=MAX(_xlpm.x),MIN(_xlpm.x),"review"))
)</f>
        <v>42</v>
      </c>
    </row>
    <row r="1248" spans="1:22" ht="15.75" hidden="1" customHeight="1" x14ac:dyDescent="0.25">
      <c r="A1248" s="7" t="s">
        <v>225</v>
      </c>
      <c r="B1248" s="8" t="s">
        <v>226</v>
      </c>
      <c r="C1248" s="8" t="s">
        <v>227</v>
      </c>
      <c r="D1248" s="9" t="s">
        <v>66</v>
      </c>
      <c r="E1248" s="7" t="s">
        <v>25</v>
      </c>
      <c r="F1248" s="7" t="s">
        <v>39</v>
      </c>
      <c r="G1248" s="7" t="s">
        <v>228</v>
      </c>
      <c r="H1248" s="7">
        <v>1980</v>
      </c>
      <c r="I1248" s="7">
        <v>11</v>
      </c>
      <c r="J1248" s="7">
        <v>16</v>
      </c>
      <c r="K1248" s="7">
        <v>8</v>
      </c>
      <c r="M1248" s="7">
        <v>3</v>
      </c>
      <c r="N1248" s="7">
        <v>13</v>
      </c>
      <c r="O1248" s="7">
        <v>52</v>
      </c>
      <c r="P1248" s="7">
        <v>52</v>
      </c>
      <c r="T1248" s="12"/>
      <c r="V1248" cm="1">
        <f t="array" ref="V1248">_xlfn.LET(
_xlpm.x,_xlfn._xlws.FILTER(O1248:S1248,(O1248:S1248&lt;&gt;"R")*(O1248:S1248&lt;&gt;"NA")*(O1248:S1248&lt;&gt;"W")*(O1248:S1248&lt;&gt;"")),
IF(COUNTA(_xlpm.x)=0,"NA",IF(MIN(_xlpm.x)=MAX(_xlpm.x),MIN(_xlpm.x),"review"))
)</f>
        <v>52</v>
      </c>
    </row>
    <row r="1249" spans="1:22" ht="15.75" hidden="1" customHeight="1" x14ac:dyDescent="0.25">
      <c r="A1249" s="7" t="s">
        <v>225</v>
      </c>
      <c r="B1249" s="8" t="s">
        <v>226</v>
      </c>
      <c r="C1249" s="8" t="s">
        <v>227</v>
      </c>
      <c r="D1249" s="9" t="s">
        <v>66</v>
      </c>
      <c r="E1249" s="7" t="s">
        <v>25</v>
      </c>
      <c r="F1249" s="7" t="s">
        <v>39</v>
      </c>
      <c r="G1249" s="7" t="s">
        <v>228</v>
      </c>
      <c r="H1249" s="7">
        <v>1980</v>
      </c>
      <c r="I1249" s="7">
        <v>11</v>
      </c>
      <c r="J1249" s="7">
        <v>16</v>
      </c>
      <c r="K1249" s="7">
        <v>8</v>
      </c>
      <c r="M1249" s="7">
        <v>3</v>
      </c>
      <c r="N1249" s="7">
        <v>14</v>
      </c>
      <c r="O1249" s="7">
        <v>42</v>
      </c>
      <c r="P1249" s="7">
        <v>42</v>
      </c>
      <c r="T1249" s="12"/>
      <c r="V1249" cm="1">
        <f t="array" ref="V1249">_xlfn.LET(
_xlpm.x,_xlfn._xlws.FILTER(O1249:S1249,(O1249:S1249&lt;&gt;"R")*(O1249:S1249&lt;&gt;"NA")*(O1249:S1249&lt;&gt;"W")*(O1249:S1249&lt;&gt;"")),
IF(COUNTA(_xlpm.x)=0,"NA",IF(MIN(_xlpm.x)=MAX(_xlpm.x),MIN(_xlpm.x),"review"))
)</f>
        <v>42</v>
      </c>
    </row>
    <row r="1250" spans="1:22" ht="15.75" hidden="1" customHeight="1" x14ac:dyDescent="0.25">
      <c r="A1250" s="7" t="s">
        <v>225</v>
      </c>
      <c r="B1250" s="8" t="s">
        <v>226</v>
      </c>
      <c r="C1250" s="8" t="s">
        <v>227</v>
      </c>
      <c r="D1250" s="9" t="s">
        <v>66</v>
      </c>
      <c r="E1250" s="7" t="s">
        <v>25</v>
      </c>
      <c r="F1250" s="7" t="s">
        <v>39</v>
      </c>
      <c r="G1250" s="7" t="s">
        <v>228</v>
      </c>
      <c r="H1250" s="7">
        <v>1980</v>
      </c>
      <c r="I1250" s="7">
        <v>11</v>
      </c>
      <c r="J1250" s="7">
        <v>16</v>
      </c>
      <c r="K1250" s="7">
        <v>8</v>
      </c>
      <c r="M1250" s="7">
        <v>3</v>
      </c>
      <c r="N1250" s="7">
        <v>15</v>
      </c>
      <c r="O1250" s="7">
        <v>52</v>
      </c>
      <c r="P1250" s="7" t="s">
        <v>28</v>
      </c>
      <c r="T1250" s="12"/>
      <c r="V1250" cm="1">
        <f t="array" ref="V1250">_xlfn.LET(
_xlpm.x,_xlfn._xlws.FILTER(O1250:S1250,(O1250:S1250&lt;&gt;"R")*(O1250:S1250&lt;&gt;"NA")*(O1250:S1250&lt;&gt;"W")*(O1250:S1250&lt;&gt;"")),
IF(COUNTA(_xlpm.x)=0,"NA",IF(MIN(_xlpm.x)=MAX(_xlpm.x),MIN(_xlpm.x),"review"))
)</f>
        <v>52</v>
      </c>
    </row>
    <row r="1251" spans="1:22" ht="15.75" hidden="1" customHeight="1" x14ac:dyDescent="0.25">
      <c r="A1251" s="7" t="s">
        <v>225</v>
      </c>
      <c r="B1251" s="8" t="s">
        <v>226</v>
      </c>
      <c r="C1251" s="8" t="s">
        <v>227</v>
      </c>
      <c r="D1251" s="9" t="s">
        <v>66</v>
      </c>
      <c r="E1251" s="7" t="s">
        <v>25</v>
      </c>
      <c r="F1251" s="7" t="s">
        <v>39</v>
      </c>
      <c r="G1251" s="7" t="s">
        <v>228</v>
      </c>
      <c r="H1251" s="7">
        <v>1980</v>
      </c>
      <c r="I1251" s="7">
        <v>11</v>
      </c>
      <c r="J1251" s="7">
        <v>16</v>
      </c>
      <c r="K1251" s="7">
        <v>8</v>
      </c>
      <c r="M1251" s="7">
        <v>3</v>
      </c>
      <c r="N1251" s="7">
        <v>16</v>
      </c>
      <c r="O1251" s="7">
        <v>42</v>
      </c>
      <c r="P1251" s="7">
        <v>42</v>
      </c>
      <c r="T1251" s="12"/>
      <c r="V1251" cm="1">
        <f t="array" ref="V1251">_xlfn.LET(
_xlpm.x,_xlfn._xlws.FILTER(O1251:S1251,(O1251:S1251&lt;&gt;"R")*(O1251:S1251&lt;&gt;"NA")*(O1251:S1251&lt;&gt;"W")*(O1251:S1251&lt;&gt;"")),
IF(COUNTA(_xlpm.x)=0,"NA",IF(MIN(_xlpm.x)=MAX(_xlpm.x),MIN(_xlpm.x),"review"))
)</f>
        <v>42</v>
      </c>
    </row>
    <row r="1252" spans="1:22" ht="15.75" hidden="1" customHeight="1" x14ac:dyDescent="0.25">
      <c r="A1252" s="7" t="s">
        <v>225</v>
      </c>
      <c r="B1252" s="8" t="s">
        <v>226</v>
      </c>
      <c r="C1252" s="8" t="s">
        <v>227</v>
      </c>
      <c r="D1252" s="9" t="s">
        <v>66</v>
      </c>
      <c r="E1252" s="7" t="s">
        <v>25</v>
      </c>
      <c r="F1252" s="7" t="s">
        <v>39</v>
      </c>
      <c r="G1252" s="7" t="s">
        <v>228</v>
      </c>
      <c r="H1252" s="7">
        <v>1980</v>
      </c>
      <c r="I1252" s="7">
        <v>11</v>
      </c>
      <c r="J1252" s="7">
        <v>16</v>
      </c>
      <c r="K1252" s="7">
        <v>8</v>
      </c>
      <c r="M1252" s="7">
        <v>3</v>
      </c>
      <c r="N1252" s="7">
        <v>17</v>
      </c>
      <c r="O1252" s="7">
        <v>42</v>
      </c>
      <c r="P1252" s="7" t="s">
        <v>28</v>
      </c>
      <c r="T1252" s="12"/>
      <c r="V1252" cm="1">
        <f t="array" ref="V1252">_xlfn.LET(
_xlpm.x,_xlfn._xlws.FILTER(O1252:S1252,(O1252:S1252&lt;&gt;"R")*(O1252:S1252&lt;&gt;"NA")*(O1252:S1252&lt;&gt;"W")*(O1252:S1252&lt;&gt;"")),
IF(COUNTA(_xlpm.x)=0,"NA",IF(MIN(_xlpm.x)=MAX(_xlpm.x),MIN(_xlpm.x),"review"))
)</f>
        <v>42</v>
      </c>
    </row>
    <row r="1253" spans="1:22" ht="15.75" hidden="1" customHeight="1" x14ac:dyDescent="0.25">
      <c r="A1253" s="7" t="s">
        <v>225</v>
      </c>
      <c r="B1253" s="8" t="s">
        <v>226</v>
      </c>
      <c r="C1253" s="8" t="s">
        <v>227</v>
      </c>
      <c r="D1253" s="9" t="s">
        <v>66</v>
      </c>
      <c r="E1253" s="7" t="s">
        <v>25</v>
      </c>
      <c r="F1253" s="7" t="s">
        <v>39</v>
      </c>
      <c r="G1253" s="7" t="s">
        <v>228</v>
      </c>
      <c r="H1253" s="7">
        <v>1980</v>
      </c>
      <c r="I1253" s="7">
        <v>11</v>
      </c>
      <c r="J1253" s="7">
        <v>16</v>
      </c>
      <c r="K1253" s="7">
        <v>8</v>
      </c>
      <c r="M1253" s="7">
        <v>3</v>
      </c>
      <c r="N1253" s="7">
        <v>18</v>
      </c>
      <c r="O1253" s="7">
        <v>42</v>
      </c>
      <c r="P1253" s="7">
        <v>42</v>
      </c>
      <c r="T1253" s="12"/>
      <c r="V1253" cm="1">
        <f t="array" ref="V1253">_xlfn.LET(
_xlpm.x,_xlfn._xlws.FILTER(O1253:S1253,(O1253:S1253&lt;&gt;"R")*(O1253:S1253&lt;&gt;"NA")*(O1253:S1253&lt;&gt;"W")*(O1253:S1253&lt;&gt;"")),
IF(COUNTA(_xlpm.x)=0,"NA",IF(MIN(_xlpm.x)=MAX(_xlpm.x),MIN(_xlpm.x),"review"))
)</f>
        <v>42</v>
      </c>
    </row>
    <row r="1254" spans="1:22" ht="15.75" hidden="1" customHeight="1" x14ac:dyDescent="0.25">
      <c r="A1254" s="7" t="s">
        <v>225</v>
      </c>
      <c r="B1254" s="8" t="s">
        <v>226</v>
      </c>
      <c r="C1254" s="8" t="s">
        <v>227</v>
      </c>
      <c r="D1254" s="9" t="s">
        <v>66</v>
      </c>
      <c r="E1254" s="7" t="s">
        <v>25</v>
      </c>
      <c r="F1254" s="7" t="s">
        <v>39</v>
      </c>
      <c r="G1254" s="7" t="s">
        <v>228</v>
      </c>
      <c r="H1254" s="7">
        <v>1980</v>
      </c>
      <c r="I1254" s="7">
        <v>11</v>
      </c>
      <c r="J1254" s="7">
        <v>16</v>
      </c>
      <c r="K1254" s="7">
        <v>8</v>
      </c>
      <c r="M1254" s="7">
        <v>3</v>
      </c>
      <c r="N1254" s="7">
        <v>19</v>
      </c>
      <c r="O1254" s="7">
        <v>42</v>
      </c>
      <c r="P1254" s="7">
        <v>42</v>
      </c>
      <c r="T1254" s="12"/>
      <c r="V1254" cm="1">
        <f t="array" ref="V1254">_xlfn.LET(
_xlpm.x,_xlfn._xlws.FILTER(O1254:S1254,(O1254:S1254&lt;&gt;"R")*(O1254:S1254&lt;&gt;"NA")*(O1254:S1254&lt;&gt;"W")*(O1254:S1254&lt;&gt;"")),
IF(COUNTA(_xlpm.x)=0,"NA",IF(MIN(_xlpm.x)=MAX(_xlpm.x),MIN(_xlpm.x),"review"))
)</f>
        <v>42</v>
      </c>
    </row>
    <row r="1255" spans="1:22" ht="15.75" hidden="1" customHeight="1" x14ac:dyDescent="0.25">
      <c r="A1255" s="7" t="s">
        <v>225</v>
      </c>
      <c r="B1255" s="8" t="s">
        <v>226</v>
      </c>
      <c r="C1255" s="8" t="s">
        <v>227</v>
      </c>
      <c r="D1255" s="9" t="s">
        <v>66</v>
      </c>
      <c r="E1255" s="7" t="s">
        <v>25</v>
      </c>
      <c r="F1255" s="7" t="s">
        <v>39</v>
      </c>
      <c r="G1255" s="7" t="s">
        <v>228</v>
      </c>
      <c r="H1255" s="7">
        <v>1980</v>
      </c>
      <c r="I1255" s="7">
        <v>11</v>
      </c>
      <c r="J1255" s="7">
        <v>16</v>
      </c>
      <c r="K1255" s="7">
        <v>8</v>
      </c>
      <c r="M1255" s="7">
        <v>3</v>
      </c>
      <c r="N1255" s="7">
        <v>20</v>
      </c>
      <c r="O1255" s="7">
        <v>42</v>
      </c>
      <c r="P1255" s="7">
        <v>42</v>
      </c>
      <c r="T1255" s="12"/>
      <c r="V1255" cm="1">
        <f t="array" ref="V1255">_xlfn.LET(
_xlpm.x,_xlfn._xlws.FILTER(O1255:S1255,(O1255:S1255&lt;&gt;"R")*(O1255:S1255&lt;&gt;"NA")*(O1255:S1255&lt;&gt;"W")*(O1255:S1255&lt;&gt;"")),
IF(COUNTA(_xlpm.x)=0,"NA",IF(MIN(_xlpm.x)=MAX(_xlpm.x),MIN(_xlpm.x),"review"))
)</f>
        <v>42</v>
      </c>
    </row>
    <row r="1256" spans="1:22" ht="15.75" hidden="1" customHeight="1" x14ac:dyDescent="0.25">
      <c r="A1256" s="7" t="s">
        <v>225</v>
      </c>
      <c r="B1256" s="8" t="s">
        <v>226</v>
      </c>
      <c r="C1256" s="8" t="s">
        <v>227</v>
      </c>
      <c r="D1256" s="9" t="s">
        <v>66</v>
      </c>
      <c r="E1256" s="7" t="s">
        <v>25</v>
      </c>
      <c r="F1256" s="7" t="s">
        <v>39</v>
      </c>
      <c r="G1256" s="7" t="s">
        <v>228</v>
      </c>
      <c r="H1256" s="7">
        <v>1980</v>
      </c>
      <c r="I1256" s="7">
        <v>11</v>
      </c>
      <c r="J1256" s="7">
        <v>16</v>
      </c>
      <c r="K1256" s="7">
        <v>8</v>
      </c>
      <c r="M1256" s="7">
        <v>3</v>
      </c>
      <c r="N1256" s="7">
        <v>21</v>
      </c>
      <c r="O1256" s="7">
        <v>42</v>
      </c>
      <c r="P1256" s="7">
        <v>42</v>
      </c>
      <c r="T1256" s="12"/>
      <c r="V1256" cm="1">
        <f t="array" ref="V1256">_xlfn.LET(
_xlpm.x,_xlfn._xlws.FILTER(O1256:S1256,(O1256:S1256&lt;&gt;"R")*(O1256:S1256&lt;&gt;"NA")*(O1256:S1256&lt;&gt;"W")*(O1256:S1256&lt;&gt;"")),
IF(COUNTA(_xlpm.x)=0,"NA",IF(MIN(_xlpm.x)=MAX(_xlpm.x),MIN(_xlpm.x),"review"))
)</f>
        <v>42</v>
      </c>
    </row>
    <row r="1257" spans="1:22" ht="15.75" hidden="1" customHeight="1" x14ac:dyDescent="0.25">
      <c r="A1257" s="7" t="s">
        <v>225</v>
      </c>
      <c r="B1257" s="8" t="s">
        <v>226</v>
      </c>
      <c r="C1257" s="8" t="s">
        <v>227</v>
      </c>
      <c r="D1257" s="9" t="s">
        <v>66</v>
      </c>
      <c r="E1257" s="7" t="s">
        <v>25</v>
      </c>
      <c r="F1257" s="7" t="s">
        <v>39</v>
      </c>
      <c r="G1257" s="7" t="s">
        <v>228</v>
      </c>
      <c r="H1257" s="7">
        <v>1980</v>
      </c>
      <c r="I1257" s="7">
        <v>11</v>
      </c>
      <c r="J1257" s="7">
        <v>16</v>
      </c>
      <c r="K1257" s="7">
        <v>8</v>
      </c>
      <c r="M1257" s="7">
        <v>3</v>
      </c>
      <c r="N1257" s="7">
        <v>22</v>
      </c>
      <c r="O1257" s="7">
        <v>42</v>
      </c>
      <c r="P1257" s="7">
        <v>42</v>
      </c>
      <c r="T1257" s="12"/>
      <c r="V1257" cm="1">
        <f t="array" ref="V1257">_xlfn.LET(
_xlpm.x,_xlfn._xlws.FILTER(O1257:S1257,(O1257:S1257&lt;&gt;"R")*(O1257:S1257&lt;&gt;"NA")*(O1257:S1257&lt;&gt;"W")*(O1257:S1257&lt;&gt;"")),
IF(COUNTA(_xlpm.x)=0,"NA",IF(MIN(_xlpm.x)=MAX(_xlpm.x),MIN(_xlpm.x),"review"))
)</f>
        <v>42</v>
      </c>
    </row>
    <row r="1258" spans="1:22" ht="15.75" hidden="1" customHeight="1" x14ac:dyDescent="0.25">
      <c r="A1258" s="7" t="s">
        <v>225</v>
      </c>
      <c r="B1258" s="8" t="s">
        <v>226</v>
      </c>
      <c r="C1258" s="8" t="s">
        <v>227</v>
      </c>
      <c r="D1258" s="9" t="s">
        <v>66</v>
      </c>
      <c r="E1258" s="7" t="s">
        <v>25</v>
      </c>
      <c r="F1258" s="7" t="s">
        <v>39</v>
      </c>
      <c r="G1258" s="7" t="s">
        <v>228</v>
      </c>
      <c r="H1258" s="7">
        <v>1980</v>
      </c>
      <c r="I1258" s="7">
        <v>11</v>
      </c>
      <c r="J1258" s="7">
        <v>16</v>
      </c>
      <c r="K1258" s="7">
        <v>8</v>
      </c>
      <c r="M1258" s="7">
        <v>3</v>
      </c>
      <c r="N1258" s="7">
        <v>23</v>
      </c>
      <c r="O1258" s="7">
        <v>42</v>
      </c>
      <c r="P1258" s="7">
        <v>42</v>
      </c>
      <c r="T1258" s="12"/>
      <c r="V1258" cm="1">
        <f t="array" ref="V1258">_xlfn.LET(
_xlpm.x,_xlfn._xlws.FILTER(O1258:S1258,(O1258:S1258&lt;&gt;"R")*(O1258:S1258&lt;&gt;"NA")*(O1258:S1258&lt;&gt;"W")*(O1258:S1258&lt;&gt;"")),
IF(COUNTA(_xlpm.x)=0,"NA",IF(MIN(_xlpm.x)=MAX(_xlpm.x),MIN(_xlpm.x),"review"))
)</f>
        <v>42</v>
      </c>
    </row>
    <row r="1259" spans="1:22" ht="15.75" hidden="1" customHeight="1" x14ac:dyDescent="0.25">
      <c r="A1259" s="7" t="s">
        <v>225</v>
      </c>
      <c r="B1259" s="8" t="s">
        <v>226</v>
      </c>
      <c r="C1259" s="8" t="s">
        <v>227</v>
      </c>
      <c r="D1259" s="9" t="s">
        <v>66</v>
      </c>
      <c r="E1259" s="7" t="s">
        <v>25</v>
      </c>
      <c r="F1259" s="7" t="s">
        <v>39</v>
      </c>
      <c r="G1259" s="7" t="s">
        <v>228</v>
      </c>
      <c r="H1259" s="7">
        <v>1980</v>
      </c>
      <c r="I1259" s="7">
        <v>11</v>
      </c>
      <c r="J1259" s="7">
        <v>16</v>
      </c>
      <c r="K1259" s="7">
        <v>8</v>
      </c>
      <c r="M1259" s="7">
        <v>3</v>
      </c>
      <c r="N1259" s="7">
        <v>24</v>
      </c>
      <c r="O1259" s="7">
        <v>42</v>
      </c>
      <c r="P1259" s="7">
        <v>42</v>
      </c>
      <c r="T1259" s="12"/>
      <c r="V1259" cm="1">
        <f t="array" ref="V1259">_xlfn.LET(
_xlpm.x,_xlfn._xlws.FILTER(O1259:S1259,(O1259:S1259&lt;&gt;"R")*(O1259:S1259&lt;&gt;"NA")*(O1259:S1259&lt;&gt;"W")*(O1259:S1259&lt;&gt;"")),
IF(COUNTA(_xlpm.x)=0,"NA",IF(MIN(_xlpm.x)=MAX(_xlpm.x),MIN(_xlpm.x),"review"))
)</f>
        <v>42</v>
      </c>
    </row>
    <row r="1260" spans="1:22" ht="15.75" hidden="1" customHeight="1" x14ac:dyDescent="0.25">
      <c r="A1260" s="7" t="s">
        <v>225</v>
      </c>
      <c r="B1260" s="8" t="s">
        <v>226</v>
      </c>
      <c r="C1260" s="8" t="s">
        <v>227</v>
      </c>
      <c r="D1260" s="9" t="s">
        <v>66</v>
      </c>
      <c r="E1260" s="7" t="s">
        <v>25</v>
      </c>
      <c r="F1260" s="7" t="s">
        <v>39</v>
      </c>
      <c r="G1260" s="7" t="s">
        <v>228</v>
      </c>
      <c r="H1260" s="7">
        <v>1980</v>
      </c>
      <c r="I1260" s="7">
        <v>11</v>
      </c>
      <c r="J1260" s="7">
        <v>16</v>
      </c>
      <c r="K1260" s="7">
        <v>8</v>
      </c>
      <c r="M1260" s="7">
        <v>3</v>
      </c>
      <c r="N1260" s="7">
        <v>25</v>
      </c>
      <c r="O1260" s="7">
        <v>42</v>
      </c>
      <c r="P1260" s="7">
        <v>42</v>
      </c>
      <c r="T1260" s="12"/>
      <c r="V1260" cm="1">
        <f t="array" ref="V1260">_xlfn.LET(
_xlpm.x,_xlfn._xlws.FILTER(O1260:S1260,(O1260:S1260&lt;&gt;"R")*(O1260:S1260&lt;&gt;"NA")*(O1260:S1260&lt;&gt;"W")*(O1260:S1260&lt;&gt;"")),
IF(COUNTA(_xlpm.x)=0,"NA",IF(MIN(_xlpm.x)=MAX(_xlpm.x),MIN(_xlpm.x),"review"))
)</f>
        <v>42</v>
      </c>
    </row>
    <row r="1261" spans="1:22" ht="15.75" hidden="1" customHeight="1" x14ac:dyDescent="0.25">
      <c r="A1261" s="7" t="s">
        <v>225</v>
      </c>
      <c r="B1261" s="8" t="s">
        <v>226</v>
      </c>
      <c r="C1261" s="8" t="s">
        <v>227</v>
      </c>
      <c r="D1261" s="9" t="s">
        <v>66</v>
      </c>
      <c r="E1261" s="7" t="s">
        <v>25</v>
      </c>
      <c r="F1261" s="7" t="s">
        <v>39</v>
      </c>
      <c r="G1261" s="7" t="s">
        <v>228</v>
      </c>
      <c r="H1261" s="7">
        <v>1980</v>
      </c>
      <c r="I1261" s="7">
        <v>11</v>
      </c>
      <c r="J1261" s="7">
        <v>16</v>
      </c>
      <c r="K1261" s="7">
        <v>8</v>
      </c>
      <c r="M1261" s="7">
        <v>4</v>
      </c>
      <c r="N1261" s="7">
        <v>1</v>
      </c>
      <c r="O1261" s="7">
        <v>42</v>
      </c>
      <c r="P1261" s="7">
        <v>42</v>
      </c>
      <c r="T1261" s="12"/>
      <c r="V1261" cm="1">
        <f t="array" ref="V1261">_xlfn.LET(
_xlpm.x,_xlfn._xlws.FILTER(O1261:S1261,(O1261:S1261&lt;&gt;"R")*(O1261:S1261&lt;&gt;"NA")*(O1261:S1261&lt;&gt;"W")*(O1261:S1261&lt;&gt;"")),
IF(COUNTA(_xlpm.x)=0,"NA",IF(MIN(_xlpm.x)=MAX(_xlpm.x),MIN(_xlpm.x),"review"))
)</f>
        <v>42</v>
      </c>
    </row>
    <row r="1262" spans="1:22" ht="15.75" hidden="1" customHeight="1" x14ac:dyDescent="0.25">
      <c r="A1262" s="7" t="s">
        <v>225</v>
      </c>
      <c r="B1262" s="8" t="s">
        <v>226</v>
      </c>
      <c r="C1262" s="8" t="s">
        <v>227</v>
      </c>
      <c r="D1262" s="9" t="s">
        <v>66</v>
      </c>
      <c r="E1262" s="7" t="s">
        <v>25</v>
      </c>
      <c r="F1262" s="7" t="s">
        <v>39</v>
      </c>
      <c r="G1262" s="7" t="s">
        <v>228</v>
      </c>
      <c r="H1262" s="7">
        <v>1980</v>
      </c>
      <c r="I1262" s="7">
        <v>11</v>
      </c>
      <c r="J1262" s="7">
        <v>16</v>
      </c>
      <c r="K1262" s="7">
        <v>8</v>
      </c>
      <c r="M1262" s="7">
        <v>4</v>
      </c>
      <c r="N1262" s="7">
        <v>2</v>
      </c>
      <c r="O1262" s="7">
        <v>42</v>
      </c>
      <c r="P1262" s="7">
        <v>42</v>
      </c>
      <c r="T1262" s="12"/>
      <c r="V1262" cm="1">
        <f t="array" ref="V1262">_xlfn.LET(
_xlpm.x,_xlfn._xlws.FILTER(O1262:S1262,(O1262:S1262&lt;&gt;"R")*(O1262:S1262&lt;&gt;"NA")*(O1262:S1262&lt;&gt;"W")*(O1262:S1262&lt;&gt;"")),
IF(COUNTA(_xlpm.x)=0,"NA",IF(MIN(_xlpm.x)=MAX(_xlpm.x),MIN(_xlpm.x),"review"))
)</f>
        <v>42</v>
      </c>
    </row>
    <row r="1263" spans="1:22" ht="15.75" hidden="1" customHeight="1" x14ac:dyDescent="0.25">
      <c r="A1263" s="7" t="s">
        <v>225</v>
      </c>
      <c r="B1263" s="8" t="s">
        <v>226</v>
      </c>
      <c r="C1263" s="8" t="s">
        <v>227</v>
      </c>
      <c r="D1263" s="9" t="s">
        <v>66</v>
      </c>
      <c r="E1263" s="7" t="s">
        <v>25</v>
      </c>
      <c r="F1263" s="7" t="s">
        <v>39</v>
      </c>
      <c r="G1263" s="7" t="s">
        <v>228</v>
      </c>
      <c r="H1263" s="7">
        <v>1980</v>
      </c>
      <c r="I1263" s="7">
        <v>11</v>
      </c>
      <c r="J1263" s="7">
        <v>16</v>
      </c>
      <c r="K1263" s="7">
        <v>8</v>
      </c>
      <c r="M1263" s="7">
        <v>4</v>
      </c>
      <c r="N1263" s="7">
        <v>3</v>
      </c>
      <c r="O1263" s="7">
        <v>42</v>
      </c>
      <c r="P1263" s="7">
        <v>42</v>
      </c>
      <c r="T1263" s="12"/>
      <c r="V1263" cm="1">
        <f t="array" ref="V1263">_xlfn.LET(
_xlpm.x,_xlfn._xlws.FILTER(O1263:S1263,(O1263:S1263&lt;&gt;"R")*(O1263:S1263&lt;&gt;"NA")*(O1263:S1263&lt;&gt;"W")*(O1263:S1263&lt;&gt;"")),
IF(COUNTA(_xlpm.x)=0,"NA",IF(MIN(_xlpm.x)=MAX(_xlpm.x),MIN(_xlpm.x),"review"))
)</f>
        <v>42</v>
      </c>
    </row>
    <row r="1264" spans="1:22" ht="15.75" hidden="1" customHeight="1" x14ac:dyDescent="0.25">
      <c r="A1264" s="7" t="s">
        <v>225</v>
      </c>
      <c r="B1264" s="8" t="s">
        <v>226</v>
      </c>
      <c r="C1264" s="8" t="s">
        <v>227</v>
      </c>
      <c r="D1264" s="9" t="s">
        <v>66</v>
      </c>
      <c r="E1264" s="7" t="s">
        <v>25</v>
      </c>
      <c r="F1264" s="7" t="s">
        <v>39</v>
      </c>
      <c r="G1264" s="7" t="s">
        <v>228</v>
      </c>
      <c r="H1264" s="7">
        <v>1980</v>
      </c>
      <c r="I1264" s="7">
        <v>11</v>
      </c>
      <c r="J1264" s="7">
        <v>16</v>
      </c>
      <c r="K1264" s="7">
        <v>8</v>
      </c>
      <c r="M1264" s="7">
        <v>4</v>
      </c>
      <c r="N1264" s="7">
        <v>4</v>
      </c>
      <c r="O1264" s="7">
        <v>42</v>
      </c>
      <c r="P1264" s="7">
        <v>42</v>
      </c>
      <c r="T1264" s="12"/>
      <c r="V1264" cm="1">
        <f t="array" ref="V1264">_xlfn.LET(
_xlpm.x,_xlfn._xlws.FILTER(O1264:S1264,(O1264:S1264&lt;&gt;"R")*(O1264:S1264&lt;&gt;"NA")*(O1264:S1264&lt;&gt;"W")*(O1264:S1264&lt;&gt;"")),
IF(COUNTA(_xlpm.x)=0,"NA",IF(MIN(_xlpm.x)=MAX(_xlpm.x),MIN(_xlpm.x),"review"))
)</f>
        <v>42</v>
      </c>
    </row>
    <row r="1265" spans="1:22" ht="15.75" hidden="1" customHeight="1" x14ac:dyDescent="0.25">
      <c r="A1265" s="7" t="s">
        <v>225</v>
      </c>
      <c r="B1265" s="8" t="s">
        <v>226</v>
      </c>
      <c r="C1265" s="8" t="s">
        <v>227</v>
      </c>
      <c r="D1265" s="9" t="s">
        <v>66</v>
      </c>
      <c r="E1265" s="7" t="s">
        <v>25</v>
      </c>
      <c r="F1265" s="7" t="s">
        <v>39</v>
      </c>
      <c r="G1265" s="7" t="s">
        <v>228</v>
      </c>
      <c r="H1265" s="7">
        <v>1980</v>
      </c>
      <c r="I1265" s="7">
        <v>11</v>
      </c>
      <c r="J1265" s="7">
        <v>16</v>
      </c>
      <c r="K1265" s="7">
        <v>8</v>
      </c>
      <c r="M1265" s="7">
        <v>4</v>
      </c>
      <c r="N1265" s="7">
        <v>5</v>
      </c>
      <c r="O1265" s="7">
        <v>42</v>
      </c>
      <c r="P1265" s="7">
        <v>42</v>
      </c>
      <c r="T1265" s="12"/>
      <c r="V1265" cm="1">
        <f t="array" ref="V1265">_xlfn.LET(
_xlpm.x,_xlfn._xlws.FILTER(O1265:S1265,(O1265:S1265&lt;&gt;"R")*(O1265:S1265&lt;&gt;"NA")*(O1265:S1265&lt;&gt;"W")*(O1265:S1265&lt;&gt;"")),
IF(COUNTA(_xlpm.x)=0,"NA",IF(MIN(_xlpm.x)=MAX(_xlpm.x),MIN(_xlpm.x),"review"))
)</f>
        <v>42</v>
      </c>
    </row>
    <row r="1266" spans="1:22" ht="15.75" hidden="1" customHeight="1" x14ac:dyDescent="0.25">
      <c r="A1266" s="7" t="s">
        <v>225</v>
      </c>
      <c r="B1266" s="8" t="s">
        <v>226</v>
      </c>
      <c r="C1266" s="8" t="s">
        <v>227</v>
      </c>
      <c r="D1266" s="9" t="s">
        <v>66</v>
      </c>
      <c r="E1266" s="7" t="s">
        <v>25</v>
      </c>
      <c r="F1266" s="7" t="s">
        <v>39</v>
      </c>
      <c r="G1266" s="7" t="s">
        <v>228</v>
      </c>
      <c r="H1266" s="7">
        <v>1980</v>
      </c>
      <c r="I1266" s="7">
        <v>11</v>
      </c>
      <c r="J1266" s="7">
        <v>16</v>
      </c>
      <c r="K1266" s="7">
        <v>8</v>
      </c>
      <c r="M1266" s="7">
        <v>4</v>
      </c>
      <c r="N1266" s="7">
        <v>6</v>
      </c>
      <c r="O1266" s="7">
        <v>42</v>
      </c>
      <c r="P1266" s="7">
        <v>42</v>
      </c>
      <c r="T1266" s="12"/>
      <c r="V1266" cm="1">
        <f t="array" ref="V1266">_xlfn.LET(
_xlpm.x,_xlfn._xlws.FILTER(O1266:S1266,(O1266:S1266&lt;&gt;"R")*(O1266:S1266&lt;&gt;"NA")*(O1266:S1266&lt;&gt;"W")*(O1266:S1266&lt;&gt;"")),
IF(COUNTA(_xlpm.x)=0,"NA",IF(MIN(_xlpm.x)=MAX(_xlpm.x),MIN(_xlpm.x),"review"))
)</f>
        <v>42</v>
      </c>
    </row>
    <row r="1267" spans="1:22" ht="15.75" hidden="1" customHeight="1" x14ac:dyDescent="0.25">
      <c r="A1267" s="7" t="s">
        <v>225</v>
      </c>
      <c r="B1267" s="8" t="s">
        <v>226</v>
      </c>
      <c r="C1267" s="8" t="s">
        <v>227</v>
      </c>
      <c r="D1267" s="9" t="s">
        <v>66</v>
      </c>
      <c r="E1267" s="7" t="s">
        <v>25</v>
      </c>
      <c r="F1267" s="7" t="s">
        <v>39</v>
      </c>
      <c r="G1267" s="7" t="s">
        <v>228</v>
      </c>
      <c r="H1267" s="7">
        <v>1980</v>
      </c>
      <c r="I1267" s="7">
        <v>11</v>
      </c>
      <c r="J1267" s="7">
        <v>16</v>
      </c>
      <c r="K1267" s="7">
        <v>8</v>
      </c>
      <c r="M1267" s="7">
        <v>4</v>
      </c>
      <c r="N1267" s="7">
        <v>7</v>
      </c>
      <c r="O1267" s="7">
        <v>42</v>
      </c>
      <c r="P1267" s="7">
        <v>42</v>
      </c>
      <c r="T1267" s="12"/>
      <c r="V1267" cm="1">
        <f t="array" ref="V1267">_xlfn.LET(
_xlpm.x,_xlfn._xlws.FILTER(O1267:S1267,(O1267:S1267&lt;&gt;"R")*(O1267:S1267&lt;&gt;"NA")*(O1267:S1267&lt;&gt;"W")*(O1267:S1267&lt;&gt;"")),
IF(COUNTA(_xlpm.x)=0,"NA",IF(MIN(_xlpm.x)=MAX(_xlpm.x),MIN(_xlpm.x),"review"))
)</f>
        <v>42</v>
      </c>
    </row>
    <row r="1268" spans="1:22" ht="15.75" hidden="1" customHeight="1" x14ac:dyDescent="0.25">
      <c r="A1268" s="7" t="s">
        <v>225</v>
      </c>
      <c r="B1268" s="8" t="s">
        <v>226</v>
      </c>
      <c r="C1268" s="8" t="s">
        <v>227</v>
      </c>
      <c r="D1268" s="9" t="s">
        <v>66</v>
      </c>
      <c r="E1268" s="7" t="s">
        <v>25</v>
      </c>
      <c r="F1268" s="7" t="s">
        <v>39</v>
      </c>
      <c r="G1268" s="7" t="s">
        <v>228</v>
      </c>
      <c r="H1268" s="7">
        <v>1980</v>
      </c>
      <c r="I1268" s="7">
        <v>11</v>
      </c>
      <c r="J1268" s="7">
        <v>16</v>
      </c>
      <c r="K1268" s="7">
        <v>8</v>
      </c>
      <c r="M1268" s="7">
        <v>4</v>
      </c>
      <c r="N1268" s="7">
        <v>8</v>
      </c>
      <c r="O1268" s="7" t="s">
        <v>28</v>
      </c>
      <c r="P1268" s="7" t="s">
        <v>28</v>
      </c>
      <c r="T1268" s="12"/>
      <c r="V1268" t="s">
        <v>29</v>
      </c>
    </row>
    <row r="1269" spans="1:22" ht="15.75" hidden="1" customHeight="1" x14ac:dyDescent="0.25">
      <c r="A1269" s="7" t="s">
        <v>225</v>
      </c>
      <c r="B1269" s="8" t="s">
        <v>226</v>
      </c>
      <c r="C1269" s="8" t="s">
        <v>227</v>
      </c>
      <c r="D1269" s="9" t="s">
        <v>66</v>
      </c>
      <c r="E1269" s="7" t="s">
        <v>25</v>
      </c>
      <c r="F1269" s="7" t="s">
        <v>39</v>
      </c>
      <c r="G1269" s="7" t="s">
        <v>228</v>
      </c>
      <c r="H1269" s="7">
        <v>1980</v>
      </c>
      <c r="I1269" s="7">
        <v>11</v>
      </c>
      <c r="J1269" s="7">
        <v>16</v>
      </c>
      <c r="K1269" s="7">
        <v>8</v>
      </c>
      <c r="M1269" s="7">
        <v>4</v>
      </c>
      <c r="N1269" s="7">
        <v>9</v>
      </c>
      <c r="O1269" s="7">
        <v>42</v>
      </c>
      <c r="P1269" s="7">
        <v>42</v>
      </c>
      <c r="T1269" s="12"/>
      <c r="V1269" cm="1">
        <f t="array" ref="V1269">_xlfn.LET(
_xlpm.x,_xlfn._xlws.FILTER(O1269:S1269,(O1269:S1269&lt;&gt;"R")*(O1269:S1269&lt;&gt;"NA")*(O1269:S1269&lt;&gt;"W")*(O1269:S1269&lt;&gt;"")),
IF(COUNTA(_xlpm.x)=0,"NA",IF(MIN(_xlpm.x)=MAX(_xlpm.x),MIN(_xlpm.x),"review"))
)</f>
        <v>42</v>
      </c>
    </row>
    <row r="1270" spans="1:22" ht="15.75" hidden="1" customHeight="1" x14ac:dyDescent="0.25">
      <c r="A1270" s="7" t="s">
        <v>225</v>
      </c>
      <c r="B1270" s="8" t="s">
        <v>226</v>
      </c>
      <c r="C1270" s="8" t="s">
        <v>227</v>
      </c>
      <c r="D1270" s="9" t="s">
        <v>66</v>
      </c>
      <c r="E1270" s="7" t="s">
        <v>25</v>
      </c>
      <c r="F1270" s="7" t="s">
        <v>39</v>
      </c>
      <c r="G1270" s="7" t="s">
        <v>228</v>
      </c>
      <c r="H1270" s="7">
        <v>1980</v>
      </c>
      <c r="I1270" s="7">
        <v>11</v>
      </c>
      <c r="J1270" s="7">
        <v>16</v>
      </c>
      <c r="K1270" s="7">
        <v>8</v>
      </c>
      <c r="M1270" s="7">
        <v>4</v>
      </c>
      <c r="N1270" s="7">
        <v>10</v>
      </c>
      <c r="O1270" s="7">
        <v>42</v>
      </c>
      <c r="P1270" s="7">
        <v>42</v>
      </c>
      <c r="T1270" s="12"/>
      <c r="V1270" cm="1">
        <f t="array" ref="V1270">_xlfn.LET(
_xlpm.x,_xlfn._xlws.FILTER(O1270:S1270,(O1270:S1270&lt;&gt;"R")*(O1270:S1270&lt;&gt;"NA")*(O1270:S1270&lt;&gt;"W")*(O1270:S1270&lt;&gt;"")),
IF(COUNTA(_xlpm.x)=0,"NA",IF(MIN(_xlpm.x)=MAX(_xlpm.x),MIN(_xlpm.x),"review"))
)</f>
        <v>42</v>
      </c>
    </row>
    <row r="1271" spans="1:22" ht="15.75" hidden="1" customHeight="1" x14ac:dyDescent="0.25">
      <c r="A1271" s="7" t="s">
        <v>225</v>
      </c>
      <c r="B1271" s="8" t="s">
        <v>226</v>
      </c>
      <c r="C1271" s="8" t="s">
        <v>227</v>
      </c>
      <c r="D1271" s="9" t="s">
        <v>66</v>
      </c>
      <c r="E1271" s="7" t="s">
        <v>25</v>
      </c>
      <c r="F1271" s="7" t="s">
        <v>39</v>
      </c>
      <c r="G1271" s="7" t="s">
        <v>228</v>
      </c>
      <c r="H1271" s="7">
        <v>1980</v>
      </c>
      <c r="I1271" s="7">
        <v>11</v>
      </c>
      <c r="J1271" s="7">
        <v>16</v>
      </c>
      <c r="K1271" s="7">
        <v>8</v>
      </c>
      <c r="M1271" s="7">
        <v>4</v>
      </c>
      <c r="N1271" s="7">
        <v>11</v>
      </c>
      <c r="O1271" s="7">
        <v>42</v>
      </c>
      <c r="P1271" s="7">
        <v>42</v>
      </c>
      <c r="T1271" s="12"/>
      <c r="V1271" cm="1">
        <f t="array" ref="V1271">_xlfn.LET(
_xlpm.x,_xlfn._xlws.FILTER(O1271:S1271,(O1271:S1271&lt;&gt;"R")*(O1271:S1271&lt;&gt;"NA")*(O1271:S1271&lt;&gt;"W")*(O1271:S1271&lt;&gt;"")),
IF(COUNTA(_xlpm.x)=0,"NA",IF(MIN(_xlpm.x)=MAX(_xlpm.x),MIN(_xlpm.x),"review"))
)</f>
        <v>42</v>
      </c>
    </row>
    <row r="1272" spans="1:22" ht="15.75" hidden="1" customHeight="1" x14ac:dyDescent="0.25">
      <c r="A1272" s="7" t="s">
        <v>225</v>
      </c>
      <c r="B1272" s="8" t="s">
        <v>226</v>
      </c>
      <c r="C1272" s="8" t="s">
        <v>227</v>
      </c>
      <c r="D1272" s="9" t="s">
        <v>66</v>
      </c>
      <c r="E1272" s="7" t="s">
        <v>25</v>
      </c>
      <c r="F1272" s="7" t="s">
        <v>39</v>
      </c>
      <c r="G1272" s="7" t="s">
        <v>228</v>
      </c>
      <c r="H1272" s="7">
        <v>1980</v>
      </c>
      <c r="I1272" s="7">
        <v>11</v>
      </c>
      <c r="J1272" s="7">
        <v>16</v>
      </c>
      <c r="K1272" s="7">
        <v>8</v>
      </c>
      <c r="M1272" s="7">
        <v>4</v>
      </c>
      <c r="N1272" s="7">
        <v>12</v>
      </c>
      <c r="O1272" s="7">
        <v>42</v>
      </c>
      <c r="P1272" s="7">
        <v>42</v>
      </c>
      <c r="T1272" s="12"/>
      <c r="V1272" cm="1">
        <f t="array" ref="V1272">_xlfn.LET(
_xlpm.x,_xlfn._xlws.FILTER(O1272:S1272,(O1272:S1272&lt;&gt;"R")*(O1272:S1272&lt;&gt;"NA")*(O1272:S1272&lt;&gt;"W")*(O1272:S1272&lt;&gt;"")),
IF(COUNTA(_xlpm.x)=0,"NA",IF(MIN(_xlpm.x)=MAX(_xlpm.x),MIN(_xlpm.x),"review"))
)</f>
        <v>42</v>
      </c>
    </row>
    <row r="1273" spans="1:22" ht="15.75" hidden="1" customHeight="1" x14ac:dyDescent="0.25">
      <c r="A1273" s="7" t="s">
        <v>225</v>
      </c>
      <c r="B1273" s="8" t="s">
        <v>226</v>
      </c>
      <c r="C1273" s="8" t="s">
        <v>227</v>
      </c>
      <c r="D1273" s="9" t="s">
        <v>66</v>
      </c>
      <c r="E1273" s="7" t="s">
        <v>25</v>
      </c>
      <c r="F1273" s="7" t="s">
        <v>39</v>
      </c>
      <c r="G1273" s="7" t="s">
        <v>228</v>
      </c>
      <c r="H1273" s="7">
        <v>1980</v>
      </c>
      <c r="I1273" s="7">
        <v>11</v>
      </c>
      <c r="J1273" s="7">
        <v>16</v>
      </c>
      <c r="K1273" s="7">
        <v>8</v>
      </c>
      <c r="M1273" s="7">
        <v>4</v>
      </c>
      <c r="N1273" s="7">
        <v>13</v>
      </c>
      <c r="O1273" s="7">
        <v>42</v>
      </c>
      <c r="P1273" s="7">
        <v>42</v>
      </c>
      <c r="T1273" s="12"/>
      <c r="V1273" cm="1">
        <f t="array" ref="V1273">_xlfn.LET(
_xlpm.x,_xlfn._xlws.FILTER(O1273:S1273,(O1273:S1273&lt;&gt;"R")*(O1273:S1273&lt;&gt;"NA")*(O1273:S1273&lt;&gt;"W")*(O1273:S1273&lt;&gt;"")),
IF(COUNTA(_xlpm.x)=0,"NA",IF(MIN(_xlpm.x)=MAX(_xlpm.x),MIN(_xlpm.x),"review"))
)</f>
        <v>42</v>
      </c>
    </row>
    <row r="1274" spans="1:22" ht="15.75" hidden="1" customHeight="1" x14ac:dyDescent="0.25">
      <c r="A1274" s="7" t="s">
        <v>225</v>
      </c>
      <c r="B1274" s="8" t="s">
        <v>226</v>
      </c>
      <c r="C1274" s="8" t="s">
        <v>227</v>
      </c>
      <c r="D1274" s="9" t="s">
        <v>66</v>
      </c>
      <c r="E1274" s="7" t="s">
        <v>25</v>
      </c>
      <c r="F1274" s="7" t="s">
        <v>39</v>
      </c>
      <c r="G1274" s="7" t="s">
        <v>228</v>
      </c>
      <c r="H1274" s="7">
        <v>1980</v>
      </c>
      <c r="I1274" s="7">
        <v>11</v>
      </c>
      <c r="J1274" s="7">
        <v>16</v>
      </c>
      <c r="K1274" s="7">
        <v>8</v>
      </c>
      <c r="M1274" s="7">
        <v>4</v>
      </c>
      <c r="N1274" s="7">
        <v>14</v>
      </c>
      <c r="O1274" s="7">
        <v>42</v>
      </c>
      <c r="P1274" s="7" t="s">
        <v>28</v>
      </c>
      <c r="T1274" s="12"/>
      <c r="V1274" cm="1">
        <f t="array" ref="V1274">_xlfn.LET(
_xlpm.x,_xlfn._xlws.FILTER(O1274:S1274,(O1274:S1274&lt;&gt;"R")*(O1274:S1274&lt;&gt;"NA")*(O1274:S1274&lt;&gt;"W")*(O1274:S1274&lt;&gt;"")),
IF(COUNTA(_xlpm.x)=0,"NA",IF(MIN(_xlpm.x)=MAX(_xlpm.x),MIN(_xlpm.x),"review"))
)</f>
        <v>42</v>
      </c>
    </row>
    <row r="1275" spans="1:22" ht="15.75" hidden="1" customHeight="1" x14ac:dyDescent="0.25">
      <c r="A1275" s="7" t="s">
        <v>225</v>
      </c>
      <c r="B1275" s="8" t="s">
        <v>226</v>
      </c>
      <c r="C1275" s="8" t="s">
        <v>227</v>
      </c>
      <c r="D1275" s="9" t="s">
        <v>66</v>
      </c>
      <c r="E1275" s="7" t="s">
        <v>25</v>
      </c>
      <c r="F1275" s="7" t="s">
        <v>39</v>
      </c>
      <c r="G1275" s="7" t="s">
        <v>228</v>
      </c>
      <c r="H1275" s="7">
        <v>1980</v>
      </c>
      <c r="I1275" s="7">
        <v>11</v>
      </c>
      <c r="J1275" s="7">
        <v>16</v>
      </c>
      <c r="K1275" s="7">
        <v>8</v>
      </c>
      <c r="M1275" s="7">
        <v>4</v>
      </c>
      <c r="N1275" s="7">
        <v>15</v>
      </c>
      <c r="O1275" s="7">
        <v>42</v>
      </c>
      <c r="P1275" s="7">
        <v>42</v>
      </c>
      <c r="T1275" s="12"/>
      <c r="V1275" cm="1">
        <f t="array" ref="V1275">_xlfn.LET(
_xlpm.x,_xlfn._xlws.FILTER(O1275:S1275,(O1275:S1275&lt;&gt;"R")*(O1275:S1275&lt;&gt;"NA")*(O1275:S1275&lt;&gt;"W")*(O1275:S1275&lt;&gt;"")),
IF(COUNTA(_xlpm.x)=0,"NA",IF(MIN(_xlpm.x)=MAX(_xlpm.x),MIN(_xlpm.x),"review"))
)</f>
        <v>42</v>
      </c>
    </row>
    <row r="1276" spans="1:22" ht="15.75" hidden="1" customHeight="1" x14ac:dyDescent="0.25">
      <c r="A1276" s="7" t="s">
        <v>225</v>
      </c>
      <c r="B1276" s="8" t="s">
        <v>226</v>
      </c>
      <c r="C1276" s="8" t="s">
        <v>227</v>
      </c>
      <c r="D1276" s="9" t="s">
        <v>66</v>
      </c>
      <c r="E1276" s="7" t="s">
        <v>25</v>
      </c>
      <c r="F1276" s="7" t="s">
        <v>39</v>
      </c>
      <c r="G1276" s="7" t="s">
        <v>228</v>
      </c>
      <c r="H1276" s="7">
        <v>1980</v>
      </c>
      <c r="I1276" s="7">
        <v>11</v>
      </c>
      <c r="J1276" s="7">
        <v>16</v>
      </c>
      <c r="K1276" s="7">
        <v>8</v>
      </c>
      <c r="M1276" s="7">
        <v>4</v>
      </c>
      <c r="N1276" s="7">
        <v>16</v>
      </c>
      <c r="O1276" s="7" t="s">
        <v>29</v>
      </c>
      <c r="P1276" s="7">
        <v>42</v>
      </c>
      <c r="T1276" s="12"/>
      <c r="V1276" cm="1">
        <f t="array" ref="V1276">_xlfn.LET(
_xlpm.x,_xlfn._xlws.FILTER(O1276:S1276,(O1276:S1276&lt;&gt;"R")*(O1276:S1276&lt;&gt;"NA")*(O1276:S1276&lt;&gt;"W")*(O1276:S1276&lt;&gt;"")),
IF(COUNTA(_xlpm.x)=0,"NA",IF(MIN(_xlpm.x)=MAX(_xlpm.x),MIN(_xlpm.x),"review"))
)</f>
        <v>42</v>
      </c>
    </row>
    <row r="1277" spans="1:22" ht="15.75" hidden="1" customHeight="1" x14ac:dyDescent="0.25">
      <c r="A1277" s="7" t="s">
        <v>225</v>
      </c>
      <c r="B1277" s="8" t="s">
        <v>226</v>
      </c>
      <c r="C1277" s="8" t="s">
        <v>227</v>
      </c>
      <c r="D1277" s="9" t="s">
        <v>66</v>
      </c>
      <c r="E1277" s="7" t="s">
        <v>25</v>
      </c>
      <c r="F1277" s="7" t="s">
        <v>39</v>
      </c>
      <c r="G1277" s="7" t="s">
        <v>228</v>
      </c>
      <c r="H1277" s="7">
        <v>1980</v>
      </c>
      <c r="I1277" s="7">
        <v>11</v>
      </c>
      <c r="J1277" s="7">
        <v>16</v>
      </c>
      <c r="K1277" s="7">
        <v>8</v>
      </c>
      <c r="M1277" s="7">
        <v>4</v>
      </c>
      <c r="N1277" s="7">
        <v>17</v>
      </c>
      <c r="O1277" s="7">
        <v>42</v>
      </c>
      <c r="P1277" s="7">
        <v>42</v>
      </c>
      <c r="T1277" s="12"/>
      <c r="V1277" cm="1">
        <f t="array" ref="V1277">_xlfn.LET(
_xlpm.x,_xlfn._xlws.FILTER(O1277:S1277,(O1277:S1277&lt;&gt;"R")*(O1277:S1277&lt;&gt;"NA")*(O1277:S1277&lt;&gt;"W")*(O1277:S1277&lt;&gt;"")),
IF(COUNTA(_xlpm.x)=0,"NA",IF(MIN(_xlpm.x)=MAX(_xlpm.x),MIN(_xlpm.x),"review"))
)</f>
        <v>42</v>
      </c>
    </row>
    <row r="1278" spans="1:22" ht="15.75" hidden="1" customHeight="1" x14ac:dyDescent="0.25">
      <c r="A1278" s="7" t="s">
        <v>225</v>
      </c>
      <c r="B1278" s="8" t="s">
        <v>226</v>
      </c>
      <c r="C1278" s="8" t="s">
        <v>227</v>
      </c>
      <c r="D1278" s="9" t="s">
        <v>66</v>
      </c>
      <c r="E1278" s="7" t="s">
        <v>25</v>
      </c>
      <c r="F1278" s="7" t="s">
        <v>39</v>
      </c>
      <c r="G1278" s="7" t="s">
        <v>228</v>
      </c>
      <c r="H1278" s="7">
        <v>1980</v>
      </c>
      <c r="I1278" s="7">
        <v>11</v>
      </c>
      <c r="J1278" s="7">
        <v>16</v>
      </c>
      <c r="K1278" s="7">
        <v>8</v>
      </c>
      <c r="M1278" s="7">
        <v>4</v>
      </c>
      <c r="N1278" s="7">
        <v>18</v>
      </c>
      <c r="O1278" s="7" t="s">
        <v>28</v>
      </c>
      <c r="P1278" s="7">
        <v>42</v>
      </c>
      <c r="T1278" s="12"/>
      <c r="V1278" cm="1">
        <f t="array" ref="V1278">_xlfn.LET(
_xlpm.x,_xlfn._xlws.FILTER(O1278:S1278,(O1278:S1278&lt;&gt;"R")*(O1278:S1278&lt;&gt;"NA")*(O1278:S1278&lt;&gt;"W")*(O1278:S1278&lt;&gt;"")),
IF(COUNTA(_xlpm.x)=0,"NA",IF(MIN(_xlpm.x)=MAX(_xlpm.x),MIN(_xlpm.x),"review"))
)</f>
        <v>42</v>
      </c>
    </row>
    <row r="1279" spans="1:22" ht="15.75" hidden="1" customHeight="1" x14ac:dyDescent="0.25">
      <c r="A1279" s="7" t="s">
        <v>225</v>
      </c>
      <c r="B1279" s="8" t="s">
        <v>226</v>
      </c>
      <c r="C1279" s="8" t="s">
        <v>227</v>
      </c>
      <c r="D1279" s="9" t="s">
        <v>66</v>
      </c>
      <c r="E1279" s="7" t="s">
        <v>25</v>
      </c>
      <c r="F1279" s="7" t="s">
        <v>39</v>
      </c>
      <c r="G1279" s="7" t="s">
        <v>228</v>
      </c>
      <c r="H1279" s="7">
        <v>1980</v>
      </c>
      <c r="I1279" s="7">
        <v>11</v>
      </c>
      <c r="J1279" s="7">
        <v>16</v>
      </c>
      <c r="K1279" s="7">
        <v>8</v>
      </c>
      <c r="M1279" s="7">
        <v>4</v>
      </c>
      <c r="N1279" s="7">
        <v>19</v>
      </c>
      <c r="O1279" s="7">
        <v>42</v>
      </c>
      <c r="P1279" s="7">
        <v>42</v>
      </c>
      <c r="T1279" s="12"/>
      <c r="V1279" cm="1">
        <f t="array" ref="V1279">_xlfn.LET(
_xlpm.x,_xlfn._xlws.FILTER(O1279:S1279,(O1279:S1279&lt;&gt;"R")*(O1279:S1279&lt;&gt;"NA")*(O1279:S1279&lt;&gt;"W")*(O1279:S1279&lt;&gt;"")),
IF(COUNTA(_xlpm.x)=0,"NA",IF(MIN(_xlpm.x)=MAX(_xlpm.x),MIN(_xlpm.x),"review"))
)</f>
        <v>42</v>
      </c>
    </row>
    <row r="1280" spans="1:22" ht="15.75" customHeight="1" x14ac:dyDescent="0.25">
      <c r="A1280" s="7" t="s">
        <v>231</v>
      </c>
      <c r="B1280" s="8">
        <v>8</v>
      </c>
      <c r="C1280" s="8" t="s">
        <v>232</v>
      </c>
      <c r="D1280" s="9" t="s">
        <v>233</v>
      </c>
      <c r="E1280" s="7" t="s">
        <v>25</v>
      </c>
      <c r="F1280" s="7" t="s">
        <v>196</v>
      </c>
      <c r="G1280" s="7" t="s">
        <v>197</v>
      </c>
      <c r="H1280" s="7">
        <v>1981</v>
      </c>
      <c r="I1280" s="7">
        <v>14</v>
      </c>
      <c r="K1280" s="7">
        <v>7</v>
      </c>
      <c r="M1280" s="7">
        <v>1</v>
      </c>
      <c r="N1280" s="7">
        <v>1</v>
      </c>
      <c r="O1280" s="7">
        <v>42</v>
      </c>
      <c r="P1280" s="7">
        <v>42</v>
      </c>
      <c r="T1280" s="12"/>
      <c r="V1280" cm="1">
        <f t="array" ref="V1280">_xlfn.LET(
_xlpm.x,_xlfn._xlws.FILTER(O1280:S1280,(O1280:S1280&lt;&gt;"R")*(O1280:S1280&lt;&gt;"NA")*(O1280:S1280&lt;&gt;"W")*(O1280:S1280&lt;&gt;"")),
IF(COUNTA(_xlpm.x)=0,"NA",IF(MIN(_xlpm.x)=MAX(_xlpm.x),MIN(_xlpm.x),"review"))
)</f>
        <v>42</v>
      </c>
    </row>
    <row r="1281" spans="1:22" ht="15.75" customHeight="1" x14ac:dyDescent="0.25">
      <c r="A1281" s="7" t="s">
        <v>231</v>
      </c>
      <c r="B1281" s="8">
        <v>8</v>
      </c>
      <c r="C1281" s="8" t="s">
        <v>232</v>
      </c>
      <c r="D1281" s="9" t="s">
        <v>233</v>
      </c>
      <c r="E1281" s="7" t="s">
        <v>25</v>
      </c>
      <c r="F1281" s="7" t="s">
        <v>196</v>
      </c>
      <c r="G1281" s="7" t="s">
        <v>197</v>
      </c>
      <c r="H1281" s="7">
        <v>1981</v>
      </c>
      <c r="I1281" s="7">
        <v>14</v>
      </c>
      <c r="K1281" s="7">
        <v>7</v>
      </c>
      <c r="M1281" s="7">
        <v>1</v>
      </c>
      <c r="N1281" s="7">
        <v>2</v>
      </c>
      <c r="O1281" s="7">
        <v>52</v>
      </c>
      <c r="P1281" s="7">
        <v>52</v>
      </c>
      <c r="T1281" s="12"/>
      <c r="V1281" cm="1">
        <f t="array" ref="V1281">_xlfn.LET(
_xlpm.x,_xlfn._xlws.FILTER(O1281:S1281,(O1281:S1281&lt;&gt;"R")*(O1281:S1281&lt;&gt;"NA")*(O1281:S1281&lt;&gt;"W")*(O1281:S1281&lt;&gt;"")),
IF(COUNTA(_xlpm.x)=0,"NA",IF(MIN(_xlpm.x)=MAX(_xlpm.x),MIN(_xlpm.x),"review"))
)</f>
        <v>52</v>
      </c>
    </row>
    <row r="1282" spans="1:22" ht="15.75" customHeight="1" x14ac:dyDescent="0.25">
      <c r="A1282" s="7" t="s">
        <v>231</v>
      </c>
      <c r="B1282" s="8">
        <v>8</v>
      </c>
      <c r="C1282" s="8" t="s">
        <v>232</v>
      </c>
      <c r="D1282" s="9" t="s">
        <v>233</v>
      </c>
      <c r="E1282" s="7" t="s">
        <v>25</v>
      </c>
      <c r="F1282" s="7" t="s">
        <v>196</v>
      </c>
      <c r="G1282" s="7" t="s">
        <v>197</v>
      </c>
      <c r="H1282" s="7">
        <v>1981</v>
      </c>
      <c r="I1282" s="7">
        <v>14</v>
      </c>
      <c r="K1282" s="7">
        <v>7</v>
      </c>
      <c r="M1282" s="7">
        <v>1</v>
      </c>
      <c r="N1282" s="7">
        <v>3</v>
      </c>
      <c r="O1282" s="7">
        <v>52</v>
      </c>
      <c r="P1282" s="7">
        <v>52</v>
      </c>
      <c r="T1282" s="12"/>
      <c r="V1282" cm="1">
        <f t="array" ref="V1282">_xlfn.LET(
_xlpm.x,_xlfn._xlws.FILTER(O1282:S1282,(O1282:S1282&lt;&gt;"R")*(O1282:S1282&lt;&gt;"NA")*(O1282:S1282&lt;&gt;"W")*(O1282:S1282&lt;&gt;"")),
IF(COUNTA(_xlpm.x)=0,"NA",IF(MIN(_xlpm.x)=MAX(_xlpm.x),MIN(_xlpm.x),"review"))
)</f>
        <v>52</v>
      </c>
    </row>
    <row r="1283" spans="1:22" ht="15.75" customHeight="1" x14ac:dyDescent="0.25">
      <c r="A1283" s="7" t="s">
        <v>231</v>
      </c>
      <c r="B1283" s="8">
        <v>8</v>
      </c>
      <c r="C1283" s="8" t="s">
        <v>232</v>
      </c>
      <c r="D1283" s="9" t="s">
        <v>233</v>
      </c>
      <c r="E1283" s="7" t="s">
        <v>25</v>
      </c>
      <c r="F1283" s="7" t="s">
        <v>196</v>
      </c>
      <c r="G1283" s="7" t="s">
        <v>197</v>
      </c>
      <c r="H1283" s="7">
        <v>1981</v>
      </c>
      <c r="I1283" s="7">
        <v>14</v>
      </c>
      <c r="K1283" s="7">
        <v>7</v>
      </c>
      <c r="M1283" s="7">
        <v>1</v>
      </c>
      <c r="N1283" s="7">
        <v>4</v>
      </c>
      <c r="O1283" s="7">
        <v>42</v>
      </c>
      <c r="P1283" s="7" t="s">
        <v>28</v>
      </c>
      <c r="T1283" s="12"/>
      <c r="V1283" cm="1">
        <f t="array" ref="V1283">_xlfn.LET(
_xlpm.x,_xlfn._xlws.FILTER(O1283:S1283,(O1283:S1283&lt;&gt;"R")*(O1283:S1283&lt;&gt;"NA")*(O1283:S1283&lt;&gt;"W")*(O1283:S1283&lt;&gt;"")),
IF(COUNTA(_xlpm.x)=0,"NA",IF(MIN(_xlpm.x)=MAX(_xlpm.x),MIN(_xlpm.x),"review"))
)</f>
        <v>42</v>
      </c>
    </row>
    <row r="1284" spans="1:22" ht="15.75" customHeight="1" x14ac:dyDescent="0.25">
      <c r="A1284" s="7" t="s">
        <v>231</v>
      </c>
      <c r="B1284" s="8">
        <v>8</v>
      </c>
      <c r="C1284" s="8" t="s">
        <v>232</v>
      </c>
      <c r="D1284" s="9" t="s">
        <v>233</v>
      </c>
      <c r="E1284" s="7" t="s">
        <v>25</v>
      </c>
      <c r="F1284" s="7" t="s">
        <v>196</v>
      </c>
      <c r="G1284" s="7" t="s">
        <v>197</v>
      </c>
      <c r="H1284" s="7">
        <v>1981</v>
      </c>
      <c r="I1284" s="7">
        <v>14</v>
      </c>
      <c r="K1284" s="7">
        <v>7</v>
      </c>
      <c r="M1284" s="7">
        <v>1</v>
      </c>
      <c r="N1284" s="7">
        <v>5</v>
      </c>
      <c r="O1284" s="7">
        <v>52</v>
      </c>
      <c r="P1284" s="7">
        <v>52</v>
      </c>
      <c r="T1284" s="12"/>
      <c r="V1284" cm="1">
        <f t="array" ref="V1284">_xlfn.LET(
_xlpm.x,_xlfn._xlws.FILTER(O1284:S1284,(O1284:S1284&lt;&gt;"R")*(O1284:S1284&lt;&gt;"NA")*(O1284:S1284&lt;&gt;"W")*(O1284:S1284&lt;&gt;"")),
IF(COUNTA(_xlpm.x)=0,"NA",IF(MIN(_xlpm.x)=MAX(_xlpm.x),MIN(_xlpm.x),"review"))
)</f>
        <v>52</v>
      </c>
    </row>
    <row r="1285" spans="1:22" ht="15.75" customHeight="1" x14ac:dyDescent="0.25">
      <c r="A1285" s="7" t="s">
        <v>231</v>
      </c>
      <c r="B1285" s="8">
        <v>8</v>
      </c>
      <c r="C1285" s="8" t="s">
        <v>232</v>
      </c>
      <c r="D1285" s="9" t="s">
        <v>233</v>
      </c>
      <c r="E1285" s="7" t="s">
        <v>25</v>
      </c>
      <c r="F1285" s="7" t="s">
        <v>196</v>
      </c>
      <c r="G1285" s="7" t="s">
        <v>197</v>
      </c>
      <c r="H1285" s="7">
        <v>1981</v>
      </c>
      <c r="I1285" s="7">
        <v>14</v>
      </c>
      <c r="K1285" s="7">
        <v>7</v>
      </c>
      <c r="M1285" s="7">
        <v>1</v>
      </c>
      <c r="N1285" s="7">
        <v>6</v>
      </c>
      <c r="O1285" s="7">
        <v>42</v>
      </c>
      <c r="P1285" s="7">
        <v>42</v>
      </c>
      <c r="T1285" s="12"/>
      <c r="V1285" cm="1">
        <f t="array" ref="V1285">_xlfn.LET(
_xlpm.x,_xlfn._xlws.FILTER(O1285:S1285,(O1285:S1285&lt;&gt;"R")*(O1285:S1285&lt;&gt;"NA")*(O1285:S1285&lt;&gt;"W")*(O1285:S1285&lt;&gt;"")),
IF(COUNTA(_xlpm.x)=0,"NA",IF(MIN(_xlpm.x)=MAX(_xlpm.x),MIN(_xlpm.x),"review"))
)</f>
        <v>42</v>
      </c>
    </row>
    <row r="1286" spans="1:22" ht="15.75" customHeight="1" x14ac:dyDescent="0.25">
      <c r="A1286" s="7" t="s">
        <v>231</v>
      </c>
      <c r="B1286" s="8">
        <v>8</v>
      </c>
      <c r="C1286" s="8" t="s">
        <v>232</v>
      </c>
      <c r="D1286" s="9" t="s">
        <v>233</v>
      </c>
      <c r="E1286" s="7" t="s">
        <v>25</v>
      </c>
      <c r="F1286" s="7" t="s">
        <v>196</v>
      </c>
      <c r="G1286" s="7" t="s">
        <v>197</v>
      </c>
      <c r="H1286" s="7">
        <v>1981</v>
      </c>
      <c r="I1286" s="7">
        <v>14</v>
      </c>
      <c r="K1286" s="7">
        <v>7</v>
      </c>
      <c r="M1286" s="7">
        <v>1</v>
      </c>
      <c r="N1286" s="7">
        <v>7</v>
      </c>
      <c r="O1286" s="7">
        <v>52</v>
      </c>
      <c r="P1286" s="7">
        <v>52</v>
      </c>
      <c r="T1286" s="12"/>
      <c r="V1286" cm="1">
        <f t="array" ref="V1286">_xlfn.LET(
_xlpm.x,_xlfn._xlws.FILTER(O1286:S1286,(O1286:S1286&lt;&gt;"R")*(O1286:S1286&lt;&gt;"NA")*(O1286:S1286&lt;&gt;"W")*(O1286:S1286&lt;&gt;"")),
IF(COUNTA(_xlpm.x)=0,"NA",IF(MIN(_xlpm.x)=MAX(_xlpm.x),MIN(_xlpm.x),"review"))
)</f>
        <v>52</v>
      </c>
    </row>
    <row r="1287" spans="1:22" ht="15.75" customHeight="1" x14ac:dyDescent="0.25">
      <c r="A1287" s="7" t="s">
        <v>231</v>
      </c>
      <c r="B1287" s="8">
        <v>8</v>
      </c>
      <c r="C1287" s="8" t="s">
        <v>232</v>
      </c>
      <c r="D1287" s="9" t="s">
        <v>233</v>
      </c>
      <c r="E1287" s="7" t="s">
        <v>25</v>
      </c>
      <c r="F1287" s="7" t="s">
        <v>196</v>
      </c>
      <c r="G1287" s="7" t="s">
        <v>197</v>
      </c>
      <c r="H1287" s="7">
        <v>1981</v>
      </c>
      <c r="I1287" s="7">
        <v>14</v>
      </c>
      <c r="K1287" s="7">
        <v>7</v>
      </c>
      <c r="M1287" s="7">
        <v>1</v>
      </c>
      <c r="N1287" s="7">
        <v>8</v>
      </c>
      <c r="O1287" s="7">
        <v>42</v>
      </c>
      <c r="P1287" s="7">
        <v>42</v>
      </c>
      <c r="T1287" s="12"/>
      <c r="V1287" cm="1">
        <f t="array" ref="V1287">_xlfn.LET(
_xlpm.x,_xlfn._xlws.FILTER(O1287:S1287,(O1287:S1287&lt;&gt;"R")*(O1287:S1287&lt;&gt;"NA")*(O1287:S1287&lt;&gt;"W")*(O1287:S1287&lt;&gt;"")),
IF(COUNTA(_xlpm.x)=0,"NA",IF(MIN(_xlpm.x)=MAX(_xlpm.x),MIN(_xlpm.x),"review"))
)</f>
        <v>42</v>
      </c>
    </row>
    <row r="1288" spans="1:22" ht="15.75" customHeight="1" x14ac:dyDescent="0.25">
      <c r="A1288" s="7" t="s">
        <v>231</v>
      </c>
      <c r="B1288" s="8">
        <v>8</v>
      </c>
      <c r="C1288" s="8" t="s">
        <v>232</v>
      </c>
      <c r="D1288" s="9" t="s">
        <v>233</v>
      </c>
      <c r="E1288" s="7" t="s">
        <v>25</v>
      </c>
      <c r="F1288" s="7" t="s">
        <v>196</v>
      </c>
      <c r="G1288" s="7" t="s">
        <v>197</v>
      </c>
      <c r="H1288" s="7">
        <v>1981</v>
      </c>
      <c r="I1288" s="7">
        <v>14</v>
      </c>
      <c r="K1288" s="7">
        <v>7</v>
      </c>
      <c r="M1288" s="7">
        <v>1</v>
      </c>
      <c r="N1288" s="7">
        <v>9</v>
      </c>
      <c r="O1288" s="7">
        <v>42</v>
      </c>
      <c r="P1288" s="7">
        <v>42</v>
      </c>
      <c r="T1288" s="12"/>
      <c r="V1288" cm="1">
        <f t="array" ref="V1288">_xlfn.LET(
_xlpm.x,_xlfn._xlws.FILTER(O1288:S1288,(O1288:S1288&lt;&gt;"R")*(O1288:S1288&lt;&gt;"NA")*(O1288:S1288&lt;&gt;"W")*(O1288:S1288&lt;&gt;"")),
IF(COUNTA(_xlpm.x)=0,"NA",IF(MIN(_xlpm.x)=MAX(_xlpm.x),MIN(_xlpm.x),"review"))
)</f>
        <v>42</v>
      </c>
    </row>
    <row r="1289" spans="1:22" ht="15.75" customHeight="1" x14ac:dyDescent="0.25">
      <c r="A1289" s="7" t="s">
        <v>231</v>
      </c>
      <c r="B1289" s="8">
        <v>8</v>
      </c>
      <c r="C1289" s="8" t="s">
        <v>232</v>
      </c>
      <c r="D1289" s="9" t="s">
        <v>233</v>
      </c>
      <c r="E1289" s="7" t="s">
        <v>25</v>
      </c>
      <c r="F1289" s="7" t="s">
        <v>196</v>
      </c>
      <c r="G1289" s="7" t="s">
        <v>197</v>
      </c>
      <c r="H1289" s="7">
        <v>1981</v>
      </c>
      <c r="I1289" s="7">
        <v>14</v>
      </c>
      <c r="K1289" s="7">
        <v>7</v>
      </c>
      <c r="M1289" s="7">
        <v>1</v>
      </c>
      <c r="N1289" s="7">
        <v>10</v>
      </c>
      <c r="O1289" s="7">
        <v>42</v>
      </c>
      <c r="P1289" s="7">
        <v>42</v>
      </c>
      <c r="T1289" s="12"/>
      <c r="V1289" cm="1">
        <f t="array" ref="V1289">_xlfn.LET(
_xlpm.x,_xlfn._xlws.FILTER(O1289:S1289,(O1289:S1289&lt;&gt;"R")*(O1289:S1289&lt;&gt;"NA")*(O1289:S1289&lt;&gt;"W")*(O1289:S1289&lt;&gt;"")),
IF(COUNTA(_xlpm.x)=0,"NA",IF(MIN(_xlpm.x)=MAX(_xlpm.x),MIN(_xlpm.x),"review"))
)</f>
        <v>42</v>
      </c>
    </row>
    <row r="1290" spans="1:22" ht="15.75" customHeight="1" x14ac:dyDescent="0.25">
      <c r="A1290" s="7" t="s">
        <v>231</v>
      </c>
      <c r="B1290" s="8">
        <v>8</v>
      </c>
      <c r="C1290" s="8" t="s">
        <v>232</v>
      </c>
      <c r="D1290" s="9" t="s">
        <v>233</v>
      </c>
      <c r="E1290" s="7" t="s">
        <v>25</v>
      </c>
      <c r="F1290" s="7" t="s">
        <v>196</v>
      </c>
      <c r="G1290" s="7" t="s">
        <v>197</v>
      </c>
      <c r="H1290" s="7">
        <v>1981</v>
      </c>
      <c r="I1290" s="7">
        <v>14</v>
      </c>
      <c r="K1290" s="7">
        <v>7</v>
      </c>
      <c r="M1290" s="7">
        <v>1</v>
      </c>
      <c r="N1290" s="7">
        <v>11</v>
      </c>
      <c r="O1290" s="7">
        <v>52</v>
      </c>
      <c r="P1290" s="7">
        <v>52</v>
      </c>
      <c r="T1290" s="12"/>
      <c r="V1290" cm="1">
        <f t="array" ref="V1290">_xlfn.LET(
_xlpm.x,_xlfn._xlws.FILTER(O1290:S1290,(O1290:S1290&lt;&gt;"R")*(O1290:S1290&lt;&gt;"NA")*(O1290:S1290&lt;&gt;"W")*(O1290:S1290&lt;&gt;"")),
IF(COUNTA(_xlpm.x)=0,"NA",IF(MIN(_xlpm.x)=MAX(_xlpm.x),MIN(_xlpm.x),"review"))
)</f>
        <v>52</v>
      </c>
    </row>
    <row r="1291" spans="1:22" ht="15.75" customHeight="1" x14ac:dyDescent="0.25">
      <c r="A1291" s="7" t="s">
        <v>231</v>
      </c>
      <c r="B1291" s="8">
        <v>8</v>
      </c>
      <c r="C1291" s="8" t="s">
        <v>232</v>
      </c>
      <c r="D1291" s="9" t="s">
        <v>233</v>
      </c>
      <c r="E1291" s="7" t="s">
        <v>25</v>
      </c>
      <c r="F1291" s="7" t="s">
        <v>196</v>
      </c>
      <c r="G1291" s="7" t="s">
        <v>197</v>
      </c>
      <c r="H1291" s="7">
        <v>1981</v>
      </c>
      <c r="I1291" s="7">
        <v>14</v>
      </c>
      <c r="K1291" s="7">
        <v>7</v>
      </c>
      <c r="M1291" s="7">
        <v>1</v>
      </c>
      <c r="N1291" s="7">
        <v>12</v>
      </c>
      <c r="O1291" s="7" t="s">
        <v>28</v>
      </c>
      <c r="P1291" s="7">
        <v>42</v>
      </c>
      <c r="T1291" s="12"/>
      <c r="V1291" cm="1">
        <f t="array" ref="V1291">_xlfn.LET(
_xlpm.x,_xlfn._xlws.FILTER(O1291:S1291,(O1291:S1291&lt;&gt;"R")*(O1291:S1291&lt;&gt;"NA")*(O1291:S1291&lt;&gt;"W")*(O1291:S1291&lt;&gt;"")),
IF(COUNTA(_xlpm.x)=0,"NA",IF(MIN(_xlpm.x)=MAX(_xlpm.x),MIN(_xlpm.x),"review"))
)</f>
        <v>42</v>
      </c>
    </row>
    <row r="1292" spans="1:22" ht="15.75" customHeight="1" x14ac:dyDescent="0.25">
      <c r="A1292" s="7" t="s">
        <v>231</v>
      </c>
      <c r="B1292" s="8">
        <v>8</v>
      </c>
      <c r="C1292" s="8" t="s">
        <v>232</v>
      </c>
      <c r="D1292" s="9" t="s">
        <v>233</v>
      </c>
      <c r="E1292" s="7" t="s">
        <v>25</v>
      </c>
      <c r="F1292" s="7" t="s">
        <v>196</v>
      </c>
      <c r="G1292" s="7" t="s">
        <v>197</v>
      </c>
      <c r="H1292" s="7">
        <v>1981</v>
      </c>
      <c r="I1292" s="7">
        <v>14</v>
      </c>
      <c r="K1292" s="7">
        <v>7</v>
      </c>
      <c r="M1292" s="7">
        <v>1</v>
      </c>
      <c r="N1292" s="7">
        <v>13</v>
      </c>
      <c r="O1292" s="7">
        <v>42</v>
      </c>
      <c r="P1292" s="7">
        <v>42</v>
      </c>
      <c r="T1292" s="12"/>
      <c r="V1292" cm="1">
        <f t="array" ref="V1292">_xlfn.LET(
_xlpm.x,_xlfn._xlws.FILTER(O1292:S1292,(O1292:S1292&lt;&gt;"R")*(O1292:S1292&lt;&gt;"NA")*(O1292:S1292&lt;&gt;"W")*(O1292:S1292&lt;&gt;"")),
IF(COUNTA(_xlpm.x)=0,"NA",IF(MIN(_xlpm.x)=MAX(_xlpm.x),MIN(_xlpm.x),"review"))
)</f>
        <v>42</v>
      </c>
    </row>
    <row r="1293" spans="1:22" ht="15.75" customHeight="1" x14ac:dyDescent="0.25">
      <c r="A1293" s="7" t="s">
        <v>231</v>
      </c>
      <c r="B1293" s="8">
        <v>8</v>
      </c>
      <c r="C1293" s="8" t="s">
        <v>232</v>
      </c>
      <c r="D1293" s="9" t="s">
        <v>233</v>
      </c>
      <c r="E1293" s="7" t="s">
        <v>25</v>
      </c>
      <c r="F1293" s="7" t="s">
        <v>196</v>
      </c>
      <c r="G1293" s="7" t="s">
        <v>197</v>
      </c>
      <c r="H1293" s="7">
        <v>1981</v>
      </c>
      <c r="I1293" s="7">
        <v>14</v>
      </c>
      <c r="K1293" s="7">
        <v>7</v>
      </c>
      <c r="M1293" s="7">
        <v>1</v>
      </c>
      <c r="N1293" s="7">
        <v>14</v>
      </c>
      <c r="O1293" s="7">
        <v>42</v>
      </c>
      <c r="P1293" s="7" t="s">
        <v>28</v>
      </c>
      <c r="T1293" s="12"/>
      <c r="U1293" s="7" t="s">
        <v>234</v>
      </c>
      <c r="V1293" cm="1">
        <f t="array" ref="V1293">_xlfn.LET(
_xlpm.x,_xlfn._xlws.FILTER(O1293:S1293,(O1293:S1293&lt;&gt;"R")*(O1293:S1293&lt;&gt;"NA")*(O1293:S1293&lt;&gt;"W")*(O1293:S1293&lt;&gt;"")),
IF(COUNTA(_xlpm.x)=0,"NA",IF(MIN(_xlpm.x)=MAX(_xlpm.x),MIN(_xlpm.x),"review"))
)</f>
        <v>42</v>
      </c>
    </row>
    <row r="1294" spans="1:22" ht="15.75" customHeight="1" x14ac:dyDescent="0.25">
      <c r="A1294" s="7" t="s">
        <v>231</v>
      </c>
      <c r="B1294" s="8">
        <v>8</v>
      </c>
      <c r="C1294" s="8" t="s">
        <v>232</v>
      </c>
      <c r="D1294" s="9" t="s">
        <v>233</v>
      </c>
      <c r="E1294" s="7" t="s">
        <v>25</v>
      </c>
      <c r="F1294" s="7" t="s">
        <v>196</v>
      </c>
      <c r="G1294" s="7" t="s">
        <v>197</v>
      </c>
      <c r="H1294" s="7">
        <v>1981</v>
      </c>
      <c r="I1294" s="7">
        <v>14</v>
      </c>
      <c r="K1294" s="7">
        <v>7</v>
      </c>
      <c r="M1294" s="7">
        <v>1</v>
      </c>
      <c r="N1294" s="7">
        <v>15</v>
      </c>
      <c r="O1294" s="7">
        <v>52</v>
      </c>
      <c r="P1294" s="7">
        <v>52</v>
      </c>
      <c r="T1294" s="12"/>
      <c r="V1294" cm="1">
        <f t="array" ref="V1294">_xlfn.LET(
_xlpm.x,_xlfn._xlws.FILTER(O1294:S1294,(O1294:S1294&lt;&gt;"R")*(O1294:S1294&lt;&gt;"NA")*(O1294:S1294&lt;&gt;"W")*(O1294:S1294&lt;&gt;"")),
IF(COUNTA(_xlpm.x)=0,"NA",IF(MIN(_xlpm.x)=MAX(_xlpm.x),MIN(_xlpm.x),"review"))
)</f>
        <v>52</v>
      </c>
    </row>
    <row r="1295" spans="1:22" ht="15.75" customHeight="1" x14ac:dyDescent="0.25">
      <c r="A1295" s="7" t="s">
        <v>231</v>
      </c>
      <c r="B1295" s="8">
        <v>8</v>
      </c>
      <c r="C1295" s="8" t="s">
        <v>232</v>
      </c>
      <c r="D1295" s="9" t="s">
        <v>233</v>
      </c>
      <c r="E1295" s="7" t="s">
        <v>25</v>
      </c>
      <c r="F1295" s="7" t="s">
        <v>196</v>
      </c>
      <c r="G1295" s="7" t="s">
        <v>197</v>
      </c>
      <c r="H1295" s="7">
        <v>1981</v>
      </c>
      <c r="I1295" s="7">
        <v>14</v>
      </c>
      <c r="K1295" s="7">
        <v>7</v>
      </c>
      <c r="M1295" s="7">
        <v>1</v>
      </c>
      <c r="N1295" s="7">
        <v>16</v>
      </c>
      <c r="O1295" s="7">
        <v>42</v>
      </c>
      <c r="P1295" s="7">
        <v>42</v>
      </c>
      <c r="T1295" s="12"/>
      <c r="V1295" cm="1">
        <f t="array" ref="V1295">_xlfn.LET(
_xlpm.x,_xlfn._xlws.FILTER(O1295:S1295,(O1295:S1295&lt;&gt;"R")*(O1295:S1295&lt;&gt;"NA")*(O1295:S1295&lt;&gt;"W")*(O1295:S1295&lt;&gt;"")),
IF(COUNTA(_xlpm.x)=0,"NA",IF(MIN(_xlpm.x)=MAX(_xlpm.x),MIN(_xlpm.x),"review"))
)</f>
        <v>42</v>
      </c>
    </row>
    <row r="1296" spans="1:22" ht="15.75" customHeight="1" x14ac:dyDescent="0.25">
      <c r="A1296" s="7" t="s">
        <v>231</v>
      </c>
      <c r="B1296" s="8">
        <v>8</v>
      </c>
      <c r="C1296" s="8" t="s">
        <v>232</v>
      </c>
      <c r="D1296" s="9" t="s">
        <v>233</v>
      </c>
      <c r="E1296" s="7" t="s">
        <v>25</v>
      </c>
      <c r="F1296" s="7" t="s">
        <v>196</v>
      </c>
      <c r="G1296" s="7" t="s">
        <v>197</v>
      </c>
      <c r="H1296" s="7">
        <v>1981</v>
      </c>
      <c r="I1296" s="7">
        <v>14</v>
      </c>
      <c r="K1296" s="7">
        <v>7</v>
      </c>
      <c r="M1296" s="7">
        <v>1</v>
      </c>
      <c r="N1296" s="7">
        <v>17</v>
      </c>
      <c r="O1296" s="7">
        <v>52</v>
      </c>
      <c r="P1296" s="7">
        <v>52</v>
      </c>
      <c r="T1296" s="12"/>
      <c r="V1296" cm="1">
        <f t="array" ref="V1296">_xlfn.LET(
_xlpm.x,_xlfn._xlws.FILTER(O1296:S1296,(O1296:S1296&lt;&gt;"R")*(O1296:S1296&lt;&gt;"NA")*(O1296:S1296&lt;&gt;"W")*(O1296:S1296&lt;&gt;"")),
IF(COUNTA(_xlpm.x)=0,"NA",IF(MIN(_xlpm.x)=MAX(_xlpm.x),MIN(_xlpm.x),"review"))
)</f>
        <v>52</v>
      </c>
    </row>
    <row r="1297" spans="1:22" ht="15.75" customHeight="1" x14ac:dyDescent="0.25">
      <c r="A1297" s="7" t="s">
        <v>231</v>
      </c>
      <c r="B1297" s="8">
        <v>8</v>
      </c>
      <c r="C1297" s="8" t="s">
        <v>232</v>
      </c>
      <c r="D1297" s="9" t="s">
        <v>233</v>
      </c>
      <c r="E1297" s="7" t="s">
        <v>25</v>
      </c>
      <c r="F1297" s="7" t="s">
        <v>196</v>
      </c>
      <c r="G1297" s="7" t="s">
        <v>197</v>
      </c>
      <c r="H1297" s="7">
        <v>1981</v>
      </c>
      <c r="I1297" s="7">
        <v>14</v>
      </c>
      <c r="K1297" s="7">
        <v>7</v>
      </c>
      <c r="M1297" s="7">
        <v>1</v>
      </c>
      <c r="N1297" s="7">
        <v>18</v>
      </c>
      <c r="O1297" s="7">
        <v>52</v>
      </c>
      <c r="P1297" s="7">
        <v>52</v>
      </c>
      <c r="T1297" s="12"/>
      <c r="V1297" cm="1">
        <f t="array" ref="V1297">_xlfn.LET(
_xlpm.x,_xlfn._xlws.FILTER(O1297:S1297,(O1297:S1297&lt;&gt;"R")*(O1297:S1297&lt;&gt;"NA")*(O1297:S1297&lt;&gt;"W")*(O1297:S1297&lt;&gt;"")),
IF(COUNTA(_xlpm.x)=0,"NA",IF(MIN(_xlpm.x)=MAX(_xlpm.x),MIN(_xlpm.x),"review"))
)</f>
        <v>52</v>
      </c>
    </row>
    <row r="1298" spans="1:22" ht="15.75" customHeight="1" x14ac:dyDescent="0.25">
      <c r="A1298" s="7" t="s">
        <v>231</v>
      </c>
      <c r="B1298" s="8">
        <v>8</v>
      </c>
      <c r="C1298" s="8" t="s">
        <v>232</v>
      </c>
      <c r="D1298" s="9" t="s">
        <v>233</v>
      </c>
      <c r="E1298" s="7" t="s">
        <v>25</v>
      </c>
      <c r="F1298" s="7" t="s">
        <v>196</v>
      </c>
      <c r="G1298" s="7" t="s">
        <v>197</v>
      </c>
      <c r="H1298" s="7">
        <v>1981</v>
      </c>
      <c r="I1298" s="7">
        <v>14</v>
      </c>
      <c r="K1298" s="7">
        <v>7</v>
      </c>
      <c r="M1298" s="7">
        <v>1</v>
      </c>
      <c r="N1298" s="7">
        <v>19</v>
      </c>
      <c r="O1298" s="7">
        <v>52</v>
      </c>
      <c r="P1298" s="7">
        <v>52</v>
      </c>
      <c r="T1298" s="12"/>
      <c r="V1298" cm="1">
        <f t="array" ref="V1298">_xlfn.LET(
_xlpm.x,_xlfn._xlws.FILTER(O1298:S1298,(O1298:S1298&lt;&gt;"R")*(O1298:S1298&lt;&gt;"NA")*(O1298:S1298&lt;&gt;"W")*(O1298:S1298&lt;&gt;"")),
IF(COUNTA(_xlpm.x)=0,"NA",IF(MIN(_xlpm.x)=MAX(_xlpm.x),MIN(_xlpm.x),"review"))
)</f>
        <v>52</v>
      </c>
    </row>
    <row r="1299" spans="1:22" ht="15.75" customHeight="1" x14ac:dyDescent="0.25">
      <c r="A1299" s="7" t="s">
        <v>231</v>
      </c>
      <c r="B1299" s="8">
        <v>8</v>
      </c>
      <c r="C1299" s="8" t="s">
        <v>232</v>
      </c>
      <c r="D1299" s="9" t="s">
        <v>233</v>
      </c>
      <c r="E1299" s="7" t="s">
        <v>25</v>
      </c>
      <c r="F1299" s="7" t="s">
        <v>196</v>
      </c>
      <c r="G1299" s="7" t="s">
        <v>197</v>
      </c>
      <c r="H1299" s="7">
        <v>1981</v>
      </c>
      <c r="I1299" s="7">
        <v>14</v>
      </c>
      <c r="K1299" s="7">
        <v>7</v>
      </c>
      <c r="M1299" s="7">
        <v>1</v>
      </c>
      <c r="N1299" s="7">
        <v>20</v>
      </c>
      <c r="O1299" s="7" t="s">
        <v>29</v>
      </c>
      <c r="P1299" s="7" t="s">
        <v>29</v>
      </c>
      <c r="T1299" s="12"/>
      <c r="V1299" t="s">
        <v>29</v>
      </c>
    </row>
    <row r="1300" spans="1:22" ht="15.75" customHeight="1" x14ac:dyDescent="0.25">
      <c r="A1300" s="7" t="s">
        <v>231</v>
      </c>
      <c r="B1300" s="8">
        <v>8</v>
      </c>
      <c r="C1300" s="8" t="s">
        <v>232</v>
      </c>
      <c r="D1300" s="9" t="s">
        <v>233</v>
      </c>
      <c r="E1300" s="7" t="s">
        <v>25</v>
      </c>
      <c r="F1300" s="7" t="s">
        <v>196</v>
      </c>
      <c r="G1300" s="7" t="s">
        <v>197</v>
      </c>
      <c r="H1300" s="7">
        <v>1981</v>
      </c>
      <c r="I1300" s="7">
        <v>14</v>
      </c>
      <c r="K1300" s="7">
        <v>7</v>
      </c>
      <c r="M1300" s="7">
        <v>1</v>
      </c>
      <c r="N1300" s="7">
        <v>21</v>
      </c>
      <c r="O1300" s="7">
        <v>42</v>
      </c>
      <c r="P1300" s="7">
        <v>42</v>
      </c>
      <c r="T1300" s="12"/>
      <c r="V1300" cm="1">
        <f t="array" ref="V1300">_xlfn.LET(
_xlpm.x,_xlfn._xlws.FILTER(O1300:S1300,(O1300:S1300&lt;&gt;"R")*(O1300:S1300&lt;&gt;"NA")*(O1300:S1300&lt;&gt;"W")*(O1300:S1300&lt;&gt;"")),
IF(COUNTA(_xlpm.x)=0,"NA",IF(MIN(_xlpm.x)=MAX(_xlpm.x),MIN(_xlpm.x),"review"))
)</f>
        <v>42</v>
      </c>
    </row>
    <row r="1301" spans="1:22" ht="15.75" customHeight="1" x14ac:dyDescent="0.25">
      <c r="A1301" s="7" t="s">
        <v>231</v>
      </c>
      <c r="B1301" s="8">
        <v>8</v>
      </c>
      <c r="C1301" s="8" t="s">
        <v>232</v>
      </c>
      <c r="D1301" s="9" t="s">
        <v>233</v>
      </c>
      <c r="E1301" s="7" t="s">
        <v>25</v>
      </c>
      <c r="F1301" s="7" t="s">
        <v>196</v>
      </c>
      <c r="G1301" s="7" t="s">
        <v>197</v>
      </c>
      <c r="H1301" s="7">
        <v>1981</v>
      </c>
      <c r="I1301" s="7">
        <v>14</v>
      </c>
      <c r="K1301" s="7">
        <v>7</v>
      </c>
      <c r="M1301" s="7">
        <v>1</v>
      </c>
      <c r="N1301" s="7">
        <v>22</v>
      </c>
      <c r="O1301" s="7">
        <v>41</v>
      </c>
      <c r="P1301" s="7">
        <v>41</v>
      </c>
      <c r="T1301" s="12"/>
      <c r="V1301" cm="1">
        <f t="array" ref="V1301">_xlfn.LET(
_xlpm.x,_xlfn._xlws.FILTER(O1301:S1301,(O1301:S1301&lt;&gt;"R")*(O1301:S1301&lt;&gt;"NA")*(O1301:S1301&lt;&gt;"W")*(O1301:S1301&lt;&gt;"")),
IF(COUNTA(_xlpm.x)=0,"NA",IF(MIN(_xlpm.x)=MAX(_xlpm.x),MIN(_xlpm.x),"review"))
)</f>
        <v>41</v>
      </c>
    </row>
    <row r="1302" spans="1:22" ht="15.75" customHeight="1" x14ac:dyDescent="0.25">
      <c r="A1302" s="7" t="s">
        <v>231</v>
      </c>
      <c r="B1302" s="8">
        <v>8</v>
      </c>
      <c r="C1302" s="8" t="s">
        <v>232</v>
      </c>
      <c r="D1302" s="9" t="s">
        <v>233</v>
      </c>
      <c r="E1302" s="7" t="s">
        <v>25</v>
      </c>
      <c r="F1302" s="7" t="s">
        <v>196</v>
      </c>
      <c r="G1302" s="7" t="s">
        <v>197</v>
      </c>
      <c r="H1302" s="7">
        <v>1981</v>
      </c>
      <c r="I1302" s="7">
        <v>14</v>
      </c>
      <c r="K1302" s="7">
        <v>7</v>
      </c>
      <c r="M1302" s="7">
        <v>1</v>
      </c>
      <c r="N1302" s="7">
        <v>23</v>
      </c>
      <c r="O1302" s="7">
        <v>52</v>
      </c>
      <c r="T1302" s="12" t="s">
        <v>33</v>
      </c>
      <c r="V1302" cm="1">
        <f t="array" ref="V1302">_xlfn.LET(
_xlpm.x,_xlfn._xlws.FILTER(O1302:S1302,(O1302:S1302&lt;&gt;"R")*(O1302:S1302&lt;&gt;"NA")*(O1302:S1302&lt;&gt;"W")*(O1302:S1302&lt;&gt;"")),
IF(COUNTA(_xlpm.x)=0,"NA",IF(MIN(_xlpm.x)=MAX(_xlpm.x),MIN(_xlpm.x),"review"))
)</f>
        <v>52</v>
      </c>
    </row>
    <row r="1303" spans="1:22" ht="15.75" customHeight="1" x14ac:dyDescent="0.25">
      <c r="A1303" s="7" t="s">
        <v>231</v>
      </c>
      <c r="B1303" s="8">
        <v>8</v>
      </c>
      <c r="C1303" s="8" t="s">
        <v>232</v>
      </c>
      <c r="D1303" s="9" t="s">
        <v>233</v>
      </c>
      <c r="E1303" s="7" t="s">
        <v>25</v>
      </c>
      <c r="F1303" s="7" t="s">
        <v>196</v>
      </c>
      <c r="G1303" s="7" t="s">
        <v>197</v>
      </c>
      <c r="H1303" s="7">
        <v>1981</v>
      </c>
      <c r="I1303" s="7">
        <v>14</v>
      </c>
      <c r="K1303" s="7">
        <v>7</v>
      </c>
      <c r="M1303" s="7">
        <v>1</v>
      </c>
      <c r="N1303" s="7">
        <v>24</v>
      </c>
      <c r="O1303" s="7">
        <v>52</v>
      </c>
      <c r="P1303" s="7">
        <v>52</v>
      </c>
      <c r="T1303" s="12"/>
      <c r="V1303" cm="1">
        <f t="array" ref="V1303">_xlfn.LET(
_xlpm.x,_xlfn._xlws.FILTER(O1303:S1303,(O1303:S1303&lt;&gt;"R")*(O1303:S1303&lt;&gt;"NA")*(O1303:S1303&lt;&gt;"W")*(O1303:S1303&lt;&gt;"")),
IF(COUNTA(_xlpm.x)=0,"NA",IF(MIN(_xlpm.x)=MAX(_xlpm.x),MIN(_xlpm.x),"review"))
)</f>
        <v>52</v>
      </c>
    </row>
    <row r="1304" spans="1:22" ht="15.75" customHeight="1" x14ac:dyDescent="0.25">
      <c r="A1304" s="7" t="s">
        <v>231</v>
      </c>
      <c r="B1304" s="8">
        <v>8</v>
      </c>
      <c r="C1304" s="8" t="s">
        <v>232</v>
      </c>
      <c r="D1304" s="9" t="s">
        <v>233</v>
      </c>
      <c r="E1304" s="7" t="s">
        <v>25</v>
      </c>
      <c r="F1304" s="7" t="s">
        <v>196</v>
      </c>
      <c r="G1304" s="7" t="s">
        <v>197</v>
      </c>
      <c r="H1304" s="7">
        <v>1981</v>
      </c>
      <c r="I1304" s="7">
        <v>14</v>
      </c>
      <c r="K1304" s="7">
        <v>7</v>
      </c>
      <c r="M1304" s="7">
        <v>1</v>
      </c>
      <c r="N1304" s="7">
        <v>25</v>
      </c>
      <c r="O1304" s="7">
        <v>41</v>
      </c>
      <c r="P1304" s="7">
        <v>41</v>
      </c>
      <c r="T1304" s="12"/>
      <c r="V1304" cm="1">
        <f t="array" ref="V1304">_xlfn.LET(
_xlpm.x,_xlfn._xlws.FILTER(O1304:S1304,(O1304:S1304&lt;&gt;"R")*(O1304:S1304&lt;&gt;"NA")*(O1304:S1304&lt;&gt;"W")*(O1304:S1304&lt;&gt;"")),
IF(COUNTA(_xlpm.x)=0,"NA",IF(MIN(_xlpm.x)=MAX(_xlpm.x),MIN(_xlpm.x),"review"))
)</f>
        <v>41</v>
      </c>
    </row>
    <row r="1305" spans="1:22" ht="15.75" customHeight="1" x14ac:dyDescent="0.25">
      <c r="A1305" s="7" t="s">
        <v>231</v>
      </c>
      <c r="B1305" s="8">
        <v>8</v>
      </c>
      <c r="C1305" s="8" t="s">
        <v>232</v>
      </c>
      <c r="D1305" s="9" t="s">
        <v>233</v>
      </c>
      <c r="E1305" s="7" t="s">
        <v>25</v>
      </c>
      <c r="F1305" s="7" t="s">
        <v>196</v>
      </c>
      <c r="G1305" s="7" t="s">
        <v>197</v>
      </c>
      <c r="H1305" s="7">
        <v>1981</v>
      </c>
      <c r="I1305" s="7">
        <v>14</v>
      </c>
      <c r="K1305" s="7">
        <v>7</v>
      </c>
      <c r="M1305" s="7">
        <v>2</v>
      </c>
      <c r="N1305" s="7">
        <v>1</v>
      </c>
      <c r="O1305" s="7" t="s">
        <v>28</v>
      </c>
      <c r="P1305" s="7" t="s">
        <v>28</v>
      </c>
      <c r="T1305" s="12"/>
      <c r="V1305" t="s">
        <v>29</v>
      </c>
    </row>
    <row r="1306" spans="1:22" ht="15.75" customHeight="1" x14ac:dyDescent="0.25">
      <c r="A1306" s="7" t="s">
        <v>231</v>
      </c>
      <c r="B1306" s="8">
        <v>8</v>
      </c>
      <c r="C1306" s="8" t="s">
        <v>232</v>
      </c>
      <c r="D1306" s="9" t="s">
        <v>233</v>
      </c>
      <c r="E1306" s="7" t="s">
        <v>25</v>
      </c>
      <c r="F1306" s="7" t="s">
        <v>196</v>
      </c>
      <c r="G1306" s="7" t="s">
        <v>197</v>
      </c>
      <c r="H1306" s="7">
        <v>1981</v>
      </c>
      <c r="I1306" s="7">
        <v>14</v>
      </c>
      <c r="K1306" s="7">
        <v>7</v>
      </c>
      <c r="M1306" s="7">
        <v>2</v>
      </c>
      <c r="N1306" s="7">
        <v>2</v>
      </c>
      <c r="O1306" s="7">
        <v>41</v>
      </c>
      <c r="P1306" s="7" t="s">
        <v>29</v>
      </c>
      <c r="T1306" s="12"/>
      <c r="V1306" cm="1">
        <f t="array" ref="V1306">_xlfn.LET(
_xlpm.x,_xlfn._xlws.FILTER(O1306:S1306,(O1306:S1306&lt;&gt;"R")*(O1306:S1306&lt;&gt;"NA")*(O1306:S1306&lt;&gt;"W")*(O1306:S1306&lt;&gt;"")),
IF(COUNTA(_xlpm.x)=0,"NA",IF(MIN(_xlpm.x)=MAX(_xlpm.x),MIN(_xlpm.x),"review"))
)</f>
        <v>41</v>
      </c>
    </row>
    <row r="1307" spans="1:22" ht="15.75" customHeight="1" x14ac:dyDescent="0.25">
      <c r="A1307" s="7" t="s">
        <v>231</v>
      </c>
      <c r="B1307" s="8">
        <v>8</v>
      </c>
      <c r="C1307" s="8" t="s">
        <v>232</v>
      </c>
      <c r="D1307" s="9" t="s">
        <v>233</v>
      </c>
      <c r="E1307" s="7" t="s">
        <v>25</v>
      </c>
      <c r="F1307" s="7" t="s">
        <v>196</v>
      </c>
      <c r="G1307" s="7" t="s">
        <v>197</v>
      </c>
      <c r="H1307" s="7">
        <v>1981</v>
      </c>
      <c r="I1307" s="7">
        <v>14</v>
      </c>
      <c r="K1307" s="7">
        <v>7</v>
      </c>
      <c r="M1307" s="7">
        <v>2</v>
      </c>
      <c r="N1307" s="7">
        <v>3</v>
      </c>
      <c r="O1307" s="7">
        <v>42</v>
      </c>
      <c r="P1307" s="7">
        <v>42</v>
      </c>
      <c r="T1307" s="12"/>
      <c r="V1307" cm="1">
        <f t="array" ref="V1307">_xlfn.LET(
_xlpm.x,_xlfn._xlws.FILTER(O1307:S1307,(O1307:S1307&lt;&gt;"R")*(O1307:S1307&lt;&gt;"NA")*(O1307:S1307&lt;&gt;"W")*(O1307:S1307&lt;&gt;"")),
IF(COUNTA(_xlpm.x)=0,"NA",IF(MIN(_xlpm.x)=MAX(_xlpm.x),MIN(_xlpm.x),"review"))
)</f>
        <v>42</v>
      </c>
    </row>
    <row r="1308" spans="1:22" ht="15.75" customHeight="1" x14ac:dyDescent="0.25">
      <c r="A1308" s="7" t="s">
        <v>231</v>
      </c>
      <c r="B1308" s="8">
        <v>8</v>
      </c>
      <c r="C1308" s="8" t="s">
        <v>232</v>
      </c>
      <c r="D1308" s="9" t="s">
        <v>233</v>
      </c>
      <c r="E1308" s="7" t="s">
        <v>25</v>
      </c>
      <c r="F1308" s="7" t="s">
        <v>196</v>
      </c>
      <c r="G1308" s="7" t="s">
        <v>197</v>
      </c>
      <c r="H1308" s="7">
        <v>1981</v>
      </c>
      <c r="I1308" s="7">
        <v>14</v>
      </c>
      <c r="K1308" s="7">
        <v>7</v>
      </c>
      <c r="M1308" s="7">
        <v>2</v>
      </c>
      <c r="N1308" s="7">
        <v>4</v>
      </c>
      <c r="O1308" s="7" t="s">
        <v>29</v>
      </c>
      <c r="P1308" s="7">
        <v>42</v>
      </c>
      <c r="T1308" s="12"/>
      <c r="V1308" cm="1">
        <f t="array" ref="V1308">_xlfn.LET(
_xlpm.x,_xlfn._xlws.FILTER(O1308:S1308,(O1308:S1308&lt;&gt;"R")*(O1308:S1308&lt;&gt;"NA")*(O1308:S1308&lt;&gt;"W")*(O1308:S1308&lt;&gt;"")),
IF(COUNTA(_xlpm.x)=0,"NA",IF(MIN(_xlpm.x)=MAX(_xlpm.x),MIN(_xlpm.x),"review"))
)</f>
        <v>42</v>
      </c>
    </row>
    <row r="1309" spans="1:22" ht="15.75" customHeight="1" x14ac:dyDescent="0.25">
      <c r="A1309" s="7" t="s">
        <v>231</v>
      </c>
      <c r="B1309" s="8">
        <v>8</v>
      </c>
      <c r="C1309" s="8" t="s">
        <v>232</v>
      </c>
      <c r="D1309" s="9" t="s">
        <v>233</v>
      </c>
      <c r="E1309" s="7" t="s">
        <v>25</v>
      </c>
      <c r="F1309" s="7" t="s">
        <v>196</v>
      </c>
      <c r="G1309" s="7" t="s">
        <v>197</v>
      </c>
      <c r="H1309" s="7">
        <v>1981</v>
      </c>
      <c r="I1309" s="7">
        <v>14</v>
      </c>
      <c r="K1309" s="7">
        <v>7</v>
      </c>
      <c r="M1309" s="7">
        <v>2</v>
      </c>
      <c r="N1309" s="7">
        <v>5</v>
      </c>
      <c r="O1309" s="7">
        <v>42</v>
      </c>
      <c r="P1309" s="7" t="s">
        <v>28</v>
      </c>
      <c r="T1309" s="12"/>
      <c r="V1309" cm="1">
        <f t="array" ref="V1309">_xlfn.LET(
_xlpm.x,_xlfn._xlws.FILTER(O1309:S1309,(O1309:S1309&lt;&gt;"R")*(O1309:S1309&lt;&gt;"NA")*(O1309:S1309&lt;&gt;"W")*(O1309:S1309&lt;&gt;"")),
IF(COUNTA(_xlpm.x)=0,"NA",IF(MIN(_xlpm.x)=MAX(_xlpm.x),MIN(_xlpm.x),"review"))
)</f>
        <v>42</v>
      </c>
    </row>
    <row r="1310" spans="1:22" ht="15.75" customHeight="1" x14ac:dyDescent="0.25">
      <c r="A1310" s="7" t="s">
        <v>231</v>
      </c>
      <c r="B1310" s="8">
        <v>8</v>
      </c>
      <c r="C1310" s="8" t="s">
        <v>232</v>
      </c>
      <c r="D1310" s="9" t="s">
        <v>233</v>
      </c>
      <c r="E1310" s="7" t="s">
        <v>25</v>
      </c>
      <c r="F1310" s="7" t="s">
        <v>196</v>
      </c>
      <c r="G1310" s="7" t="s">
        <v>197</v>
      </c>
      <c r="H1310" s="7">
        <v>1981</v>
      </c>
      <c r="I1310" s="7">
        <v>14</v>
      </c>
      <c r="K1310" s="7">
        <v>7</v>
      </c>
      <c r="M1310" s="7">
        <v>2</v>
      </c>
      <c r="N1310" s="7">
        <v>6</v>
      </c>
      <c r="O1310" s="7">
        <v>42</v>
      </c>
      <c r="P1310" s="7" t="s">
        <v>28</v>
      </c>
      <c r="T1310" s="12"/>
      <c r="V1310" cm="1">
        <f t="array" ref="V1310">_xlfn.LET(
_xlpm.x,_xlfn._xlws.FILTER(O1310:S1310,(O1310:S1310&lt;&gt;"R")*(O1310:S1310&lt;&gt;"NA")*(O1310:S1310&lt;&gt;"W")*(O1310:S1310&lt;&gt;"")),
IF(COUNTA(_xlpm.x)=0,"NA",IF(MIN(_xlpm.x)=MAX(_xlpm.x),MIN(_xlpm.x),"review"))
)</f>
        <v>42</v>
      </c>
    </row>
    <row r="1311" spans="1:22" ht="15.75" customHeight="1" x14ac:dyDescent="0.25">
      <c r="A1311" s="7" t="s">
        <v>231</v>
      </c>
      <c r="B1311" s="8">
        <v>8</v>
      </c>
      <c r="C1311" s="8" t="s">
        <v>232</v>
      </c>
      <c r="D1311" s="9" t="s">
        <v>233</v>
      </c>
      <c r="E1311" s="7" t="s">
        <v>25</v>
      </c>
      <c r="F1311" s="7" t="s">
        <v>196</v>
      </c>
      <c r="G1311" s="7" t="s">
        <v>197</v>
      </c>
      <c r="H1311" s="7">
        <v>1981</v>
      </c>
      <c r="I1311" s="7">
        <v>14</v>
      </c>
      <c r="K1311" s="7">
        <v>7</v>
      </c>
      <c r="M1311" s="7">
        <v>2</v>
      </c>
      <c r="N1311" s="7">
        <v>7</v>
      </c>
      <c r="T1311" s="12" t="s">
        <v>33</v>
      </c>
      <c r="V1311" t="s">
        <v>29</v>
      </c>
    </row>
    <row r="1312" spans="1:22" ht="15.75" customHeight="1" x14ac:dyDescent="0.25">
      <c r="A1312" s="7" t="s">
        <v>231</v>
      </c>
      <c r="B1312" s="8">
        <v>8</v>
      </c>
      <c r="C1312" s="8" t="s">
        <v>232</v>
      </c>
      <c r="D1312" s="9" t="s">
        <v>233</v>
      </c>
      <c r="E1312" s="7" t="s">
        <v>25</v>
      </c>
      <c r="F1312" s="7" t="s">
        <v>196</v>
      </c>
      <c r="G1312" s="7" t="s">
        <v>197</v>
      </c>
      <c r="H1312" s="7">
        <v>1981</v>
      </c>
      <c r="I1312" s="7">
        <v>14</v>
      </c>
      <c r="K1312" s="7">
        <v>7</v>
      </c>
      <c r="M1312" s="7">
        <v>2</v>
      </c>
      <c r="N1312" s="7">
        <v>8</v>
      </c>
      <c r="O1312" s="7" t="s">
        <v>28</v>
      </c>
      <c r="P1312" s="7" t="s">
        <v>28</v>
      </c>
      <c r="T1312" s="12"/>
      <c r="V1312" t="s">
        <v>29</v>
      </c>
    </row>
    <row r="1313" spans="1:22" ht="15.75" customHeight="1" x14ac:dyDescent="0.25">
      <c r="A1313" s="7" t="s">
        <v>231</v>
      </c>
      <c r="B1313" s="8">
        <v>8</v>
      </c>
      <c r="C1313" s="8" t="s">
        <v>232</v>
      </c>
      <c r="D1313" s="9" t="s">
        <v>233</v>
      </c>
      <c r="E1313" s="7" t="s">
        <v>25</v>
      </c>
      <c r="F1313" s="7" t="s">
        <v>196</v>
      </c>
      <c r="G1313" s="7" t="s">
        <v>197</v>
      </c>
      <c r="H1313" s="7">
        <v>1981</v>
      </c>
      <c r="I1313" s="7">
        <v>14</v>
      </c>
      <c r="K1313" s="7">
        <v>7</v>
      </c>
      <c r="M1313" s="7">
        <v>2</v>
      </c>
      <c r="N1313" s="7">
        <v>9</v>
      </c>
      <c r="O1313" s="7">
        <v>42</v>
      </c>
      <c r="P1313" s="7">
        <v>42</v>
      </c>
      <c r="T1313" s="12"/>
      <c r="V1313" cm="1">
        <f t="array" ref="V1313">_xlfn.LET(
_xlpm.x,_xlfn._xlws.FILTER(O1313:S1313,(O1313:S1313&lt;&gt;"R")*(O1313:S1313&lt;&gt;"NA")*(O1313:S1313&lt;&gt;"W")*(O1313:S1313&lt;&gt;"")),
IF(COUNTA(_xlpm.x)=0,"NA",IF(MIN(_xlpm.x)=MAX(_xlpm.x),MIN(_xlpm.x),"review"))
)</f>
        <v>42</v>
      </c>
    </row>
    <row r="1314" spans="1:22" ht="15.75" customHeight="1" x14ac:dyDescent="0.25">
      <c r="A1314" s="7" t="s">
        <v>231</v>
      </c>
      <c r="B1314" s="8">
        <v>8</v>
      </c>
      <c r="C1314" s="8" t="s">
        <v>232</v>
      </c>
      <c r="D1314" s="9" t="s">
        <v>233</v>
      </c>
      <c r="E1314" s="7" t="s">
        <v>25</v>
      </c>
      <c r="F1314" s="7" t="s">
        <v>196</v>
      </c>
      <c r="G1314" s="7" t="s">
        <v>197</v>
      </c>
      <c r="H1314" s="7">
        <v>1981</v>
      </c>
      <c r="I1314" s="7">
        <v>14</v>
      </c>
      <c r="K1314" s="7">
        <v>7</v>
      </c>
      <c r="M1314" s="7">
        <v>2</v>
      </c>
      <c r="N1314" s="7">
        <v>10</v>
      </c>
      <c r="O1314" s="7" t="s">
        <v>28</v>
      </c>
      <c r="P1314" s="7" t="s">
        <v>28</v>
      </c>
      <c r="T1314" s="12"/>
      <c r="V1314" t="s">
        <v>29</v>
      </c>
    </row>
    <row r="1315" spans="1:22" ht="15.75" customHeight="1" x14ac:dyDescent="0.25">
      <c r="A1315" s="7" t="s">
        <v>231</v>
      </c>
      <c r="B1315" s="8">
        <v>8</v>
      </c>
      <c r="C1315" s="8" t="s">
        <v>232</v>
      </c>
      <c r="D1315" s="9" t="s">
        <v>233</v>
      </c>
      <c r="E1315" s="7" t="s">
        <v>25</v>
      </c>
      <c r="F1315" s="7" t="s">
        <v>196</v>
      </c>
      <c r="G1315" s="7" t="s">
        <v>197</v>
      </c>
      <c r="H1315" s="7">
        <v>1981</v>
      </c>
      <c r="I1315" s="7">
        <v>14</v>
      </c>
      <c r="K1315" s="7">
        <v>7</v>
      </c>
      <c r="M1315" s="7">
        <v>2</v>
      </c>
      <c r="N1315" s="7">
        <v>11</v>
      </c>
      <c r="O1315" s="7">
        <v>42</v>
      </c>
      <c r="P1315" s="7">
        <v>42</v>
      </c>
      <c r="T1315" s="12"/>
      <c r="V1315" cm="1">
        <f t="array" ref="V1315">_xlfn.LET(
_xlpm.x,_xlfn._xlws.FILTER(O1315:S1315,(O1315:S1315&lt;&gt;"R")*(O1315:S1315&lt;&gt;"NA")*(O1315:S1315&lt;&gt;"W")*(O1315:S1315&lt;&gt;"")),
IF(COUNTA(_xlpm.x)=0,"NA",IF(MIN(_xlpm.x)=MAX(_xlpm.x),MIN(_xlpm.x),"review"))
)</f>
        <v>42</v>
      </c>
    </row>
    <row r="1316" spans="1:22" ht="15.75" customHeight="1" x14ac:dyDescent="0.25">
      <c r="A1316" s="7" t="s">
        <v>231</v>
      </c>
      <c r="B1316" s="8">
        <v>8</v>
      </c>
      <c r="C1316" s="8" t="s">
        <v>232</v>
      </c>
      <c r="D1316" s="9" t="s">
        <v>233</v>
      </c>
      <c r="E1316" s="7" t="s">
        <v>25</v>
      </c>
      <c r="F1316" s="7" t="s">
        <v>196</v>
      </c>
      <c r="G1316" s="7" t="s">
        <v>197</v>
      </c>
      <c r="H1316" s="7">
        <v>1981</v>
      </c>
      <c r="I1316" s="7">
        <v>14</v>
      </c>
      <c r="K1316" s="7">
        <v>7</v>
      </c>
      <c r="M1316" s="7">
        <v>2</v>
      </c>
      <c r="N1316" s="7">
        <v>12</v>
      </c>
      <c r="O1316" s="7">
        <v>52</v>
      </c>
      <c r="P1316" s="7">
        <v>52</v>
      </c>
      <c r="T1316" s="12"/>
      <c r="V1316" cm="1">
        <f t="array" ref="V1316">_xlfn.LET(
_xlpm.x,_xlfn._xlws.FILTER(O1316:S1316,(O1316:S1316&lt;&gt;"R")*(O1316:S1316&lt;&gt;"NA")*(O1316:S1316&lt;&gt;"W")*(O1316:S1316&lt;&gt;"")),
IF(COUNTA(_xlpm.x)=0,"NA",IF(MIN(_xlpm.x)=MAX(_xlpm.x),MIN(_xlpm.x),"review"))
)</f>
        <v>52</v>
      </c>
    </row>
    <row r="1317" spans="1:22" ht="15.75" customHeight="1" x14ac:dyDescent="0.25">
      <c r="A1317" s="7" t="s">
        <v>231</v>
      </c>
      <c r="B1317" s="8">
        <v>8</v>
      </c>
      <c r="C1317" s="8" t="s">
        <v>232</v>
      </c>
      <c r="D1317" s="9" t="s">
        <v>233</v>
      </c>
      <c r="E1317" s="7" t="s">
        <v>25</v>
      </c>
      <c r="F1317" s="7" t="s">
        <v>196</v>
      </c>
      <c r="G1317" s="7" t="s">
        <v>197</v>
      </c>
      <c r="H1317" s="7">
        <v>1981</v>
      </c>
      <c r="I1317" s="7">
        <v>14</v>
      </c>
      <c r="K1317" s="7">
        <v>7</v>
      </c>
      <c r="M1317" s="7">
        <v>2</v>
      </c>
      <c r="N1317" s="7">
        <v>13</v>
      </c>
      <c r="O1317" s="7">
        <v>42</v>
      </c>
      <c r="P1317" s="7">
        <v>42</v>
      </c>
      <c r="T1317" s="12"/>
      <c r="V1317" cm="1">
        <f t="array" ref="V1317">_xlfn.LET(
_xlpm.x,_xlfn._xlws.FILTER(O1317:S1317,(O1317:S1317&lt;&gt;"R")*(O1317:S1317&lt;&gt;"NA")*(O1317:S1317&lt;&gt;"W")*(O1317:S1317&lt;&gt;"")),
IF(COUNTA(_xlpm.x)=0,"NA",IF(MIN(_xlpm.x)=MAX(_xlpm.x),MIN(_xlpm.x),"review"))
)</f>
        <v>42</v>
      </c>
    </row>
    <row r="1318" spans="1:22" ht="15.75" customHeight="1" x14ac:dyDescent="0.25">
      <c r="A1318" s="7" t="s">
        <v>231</v>
      </c>
      <c r="B1318" s="8">
        <v>8</v>
      </c>
      <c r="C1318" s="8" t="s">
        <v>232</v>
      </c>
      <c r="D1318" s="9" t="s">
        <v>233</v>
      </c>
      <c r="E1318" s="7" t="s">
        <v>25</v>
      </c>
      <c r="F1318" s="7" t="s">
        <v>196</v>
      </c>
      <c r="G1318" s="7" t="s">
        <v>197</v>
      </c>
      <c r="H1318" s="7">
        <v>1981</v>
      </c>
      <c r="I1318" s="7">
        <v>14</v>
      </c>
      <c r="K1318" s="7">
        <v>7</v>
      </c>
      <c r="M1318" s="7">
        <v>2</v>
      </c>
      <c r="N1318" s="7">
        <v>14</v>
      </c>
      <c r="O1318" s="7">
        <v>52</v>
      </c>
      <c r="T1318" s="12" t="s">
        <v>33</v>
      </c>
      <c r="V1318" cm="1">
        <f t="array" ref="V1318">_xlfn.LET(
_xlpm.x,_xlfn._xlws.FILTER(O1318:S1318,(O1318:S1318&lt;&gt;"R")*(O1318:S1318&lt;&gt;"NA")*(O1318:S1318&lt;&gt;"W")*(O1318:S1318&lt;&gt;"")),
IF(COUNTA(_xlpm.x)=0,"NA",IF(MIN(_xlpm.x)=MAX(_xlpm.x),MIN(_xlpm.x),"review"))
)</f>
        <v>52</v>
      </c>
    </row>
    <row r="1319" spans="1:22" ht="15.75" customHeight="1" x14ac:dyDescent="0.25">
      <c r="A1319" s="7" t="s">
        <v>231</v>
      </c>
      <c r="B1319" s="8">
        <v>8</v>
      </c>
      <c r="C1319" s="8" t="s">
        <v>232</v>
      </c>
      <c r="D1319" s="9" t="s">
        <v>233</v>
      </c>
      <c r="E1319" s="7" t="s">
        <v>25</v>
      </c>
      <c r="F1319" s="7" t="s">
        <v>196</v>
      </c>
      <c r="G1319" s="7" t="s">
        <v>197</v>
      </c>
      <c r="H1319" s="7">
        <v>1981</v>
      </c>
      <c r="I1319" s="7">
        <v>14</v>
      </c>
      <c r="K1319" s="7">
        <v>7</v>
      </c>
      <c r="M1319" s="7">
        <v>2</v>
      </c>
      <c r="N1319" s="7">
        <v>15</v>
      </c>
      <c r="O1319" s="7">
        <v>42</v>
      </c>
      <c r="P1319" s="7" t="s">
        <v>28</v>
      </c>
      <c r="T1319" s="12"/>
      <c r="V1319" cm="1">
        <f t="array" ref="V1319">_xlfn.LET(
_xlpm.x,_xlfn._xlws.FILTER(O1319:S1319,(O1319:S1319&lt;&gt;"R")*(O1319:S1319&lt;&gt;"NA")*(O1319:S1319&lt;&gt;"W")*(O1319:S1319&lt;&gt;"")),
IF(COUNTA(_xlpm.x)=0,"NA",IF(MIN(_xlpm.x)=MAX(_xlpm.x),MIN(_xlpm.x),"review"))
)</f>
        <v>42</v>
      </c>
    </row>
    <row r="1320" spans="1:22" ht="15.75" customHeight="1" x14ac:dyDescent="0.25">
      <c r="A1320" s="7" t="s">
        <v>231</v>
      </c>
      <c r="B1320" s="8">
        <v>8</v>
      </c>
      <c r="C1320" s="8" t="s">
        <v>232</v>
      </c>
      <c r="D1320" s="9" t="s">
        <v>233</v>
      </c>
      <c r="E1320" s="7" t="s">
        <v>25</v>
      </c>
      <c r="F1320" s="7" t="s">
        <v>196</v>
      </c>
      <c r="G1320" s="7" t="s">
        <v>197</v>
      </c>
      <c r="H1320" s="7">
        <v>1981</v>
      </c>
      <c r="I1320" s="7">
        <v>14</v>
      </c>
      <c r="K1320" s="7">
        <v>7</v>
      </c>
      <c r="M1320" s="7">
        <v>2</v>
      </c>
      <c r="N1320" s="7">
        <v>16</v>
      </c>
      <c r="O1320" s="7">
        <v>42</v>
      </c>
      <c r="P1320" s="7">
        <v>42</v>
      </c>
      <c r="T1320" s="12"/>
      <c r="V1320" cm="1">
        <f t="array" ref="V1320">_xlfn.LET(
_xlpm.x,_xlfn._xlws.FILTER(O1320:S1320,(O1320:S1320&lt;&gt;"R")*(O1320:S1320&lt;&gt;"NA")*(O1320:S1320&lt;&gt;"W")*(O1320:S1320&lt;&gt;"")),
IF(COUNTA(_xlpm.x)=0,"NA",IF(MIN(_xlpm.x)=MAX(_xlpm.x),MIN(_xlpm.x),"review"))
)</f>
        <v>42</v>
      </c>
    </row>
    <row r="1321" spans="1:22" ht="15.75" customHeight="1" x14ac:dyDescent="0.25">
      <c r="A1321" s="7" t="s">
        <v>231</v>
      </c>
      <c r="B1321" s="8">
        <v>8</v>
      </c>
      <c r="C1321" s="8" t="s">
        <v>232</v>
      </c>
      <c r="D1321" s="9" t="s">
        <v>233</v>
      </c>
      <c r="E1321" s="7" t="s">
        <v>25</v>
      </c>
      <c r="F1321" s="7" t="s">
        <v>196</v>
      </c>
      <c r="G1321" s="7" t="s">
        <v>197</v>
      </c>
      <c r="H1321" s="7">
        <v>1981</v>
      </c>
      <c r="I1321" s="7">
        <v>14</v>
      </c>
      <c r="K1321" s="7">
        <v>7</v>
      </c>
      <c r="M1321" s="7">
        <v>2</v>
      </c>
      <c r="N1321" s="7">
        <v>17</v>
      </c>
      <c r="O1321" s="7">
        <v>42</v>
      </c>
      <c r="P1321" s="7">
        <v>42</v>
      </c>
      <c r="T1321" s="12"/>
      <c r="V1321" cm="1">
        <f t="array" ref="V1321">_xlfn.LET(
_xlpm.x,_xlfn._xlws.FILTER(O1321:S1321,(O1321:S1321&lt;&gt;"R")*(O1321:S1321&lt;&gt;"NA")*(O1321:S1321&lt;&gt;"W")*(O1321:S1321&lt;&gt;"")),
IF(COUNTA(_xlpm.x)=0,"NA",IF(MIN(_xlpm.x)=MAX(_xlpm.x),MIN(_xlpm.x),"review"))
)</f>
        <v>42</v>
      </c>
    </row>
    <row r="1322" spans="1:22" ht="15.75" customHeight="1" x14ac:dyDescent="0.25">
      <c r="A1322" s="7" t="s">
        <v>231</v>
      </c>
      <c r="B1322" s="8">
        <v>8</v>
      </c>
      <c r="C1322" s="8" t="s">
        <v>232</v>
      </c>
      <c r="D1322" s="9" t="s">
        <v>233</v>
      </c>
      <c r="E1322" s="7" t="s">
        <v>25</v>
      </c>
      <c r="F1322" s="7" t="s">
        <v>196</v>
      </c>
      <c r="G1322" s="7" t="s">
        <v>197</v>
      </c>
      <c r="H1322" s="7">
        <v>1981</v>
      </c>
      <c r="I1322" s="7">
        <v>14</v>
      </c>
      <c r="K1322" s="7">
        <v>7</v>
      </c>
      <c r="M1322" s="7">
        <v>2</v>
      </c>
      <c r="N1322" s="7">
        <v>18</v>
      </c>
      <c r="O1322" s="7">
        <v>52</v>
      </c>
      <c r="P1322" s="7">
        <v>52</v>
      </c>
      <c r="T1322" s="12"/>
      <c r="V1322" cm="1">
        <f t="array" ref="V1322">_xlfn.LET(
_xlpm.x,_xlfn._xlws.FILTER(O1322:S1322,(O1322:S1322&lt;&gt;"R")*(O1322:S1322&lt;&gt;"NA")*(O1322:S1322&lt;&gt;"W")*(O1322:S1322&lt;&gt;"")),
IF(COUNTA(_xlpm.x)=0,"NA",IF(MIN(_xlpm.x)=MAX(_xlpm.x),MIN(_xlpm.x),"review"))
)</f>
        <v>52</v>
      </c>
    </row>
    <row r="1323" spans="1:22" ht="15.75" customHeight="1" x14ac:dyDescent="0.25">
      <c r="A1323" s="7" t="s">
        <v>231</v>
      </c>
      <c r="B1323" s="8">
        <v>8</v>
      </c>
      <c r="C1323" s="8" t="s">
        <v>232</v>
      </c>
      <c r="D1323" s="9" t="s">
        <v>233</v>
      </c>
      <c r="E1323" s="7" t="s">
        <v>25</v>
      </c>
      <c r="F1323" s="7" t="s">
        <v>196</v>
      </c>
      <c r="G1323" s="7" t="s">
        <v>197</v>
      </c>
      <c r="H1323" s="7">
        <v>1981</v>
      </c>
      <c r="I1323" s="7">
        <v>14</v>
      </c>
      <c r="K1323" s="7">
        <v>7</v>
      </c>
      <c r="M1323" s="7">
        <v>2</v>
      </c>
      <c r="N1323" s="7">
        <v>19</v>
      </c>
      <c r="O1323" s="7" t="s">
        <v>28</v>
      </c>
      <c r="P1323" s="7">
        <v>52</v>
      </c>
      <c r="T1323" s="12"/>
      <c r="V1323" cm="1">
        <f t="array" ref="V1323">_xlfn.LET(
_xlpm.x,_xlfn._xlws.FILTER(O1323:S1323,(O1323:S1323&lt;&gt;"R")*(O1323:S1323&lt;&gt;"NA")*(O1323:S1323&lt;&gt;"W")*(O1323:S1323&lt;&gt;"")),
IF(COUNTA(_xlpm.x)=0,"NA",IF(MIN(_xlpm.x)=MAX(_xlpm.x),MIN(_xlpm.x),"review"))
)</f>
        <v>52</v>
      </c>
    </row>
    <row r="1324" spans="1:22" ht="15.75" customHeight="1" x14ac:dyDescent="0.25">
      <c r="A1324" s="7" t="s">
        <v>231</v>
      </c>
      <c r="B1324" s="8">
        <v>8</v>
      </c>
      <c r="C1324" s="8" t="s">
        <v>232</v>
      </c>
      <c r="D1324" s="9" t="s">
        <v>233</v>
      </c>
      <c r="E1324" s="7" t="s">
        <v>25</v>
      </c>
      <c r="F1324" s="7" t="s">
        <v>196</v>
      </c>
      <c r="G1324" s="7" t="s">
        <v>197</v>
      </c>
      <c r="H1324" s="7">
        <v>1981</v>
      </c>
      <c r="I1324" s="7">
        <v>14</v>
      </c>
      <c r="K1324" s="7">
        <v>7</v>
      </c>
      <c r="M1324" s="7">
        <v>2</v>
      </c>
      <c r="N1324" s="7">
        <v>20</v>
      </c>
      <c r="O1324" s="7">
        <v>63</v>
      </c>
      <c r="P1324" s="7">
        <v>63</v>
      </c>
      <c r="T1324" s="12"/>
      <c r="V1324" cm="1">
        <f t="array" ref="V1324">_xlfn.LET(
_xlpm.x,_xlfn._xlws.FILTER(O1324:S1324,(O1324:S1324&lt;&gt;"R")*(O1324:S1324&lt;&gt;"NA")*(O1324:S1324&lt;&gt;"W")*(O1324:S1324&lt;&gt;"")),
IF(COUNTA(_xlpm.x)=0,"NA",IF(MIN(_xlpm.x)=MAX(_xlpm.x),MIN(_xlpm.x),"review"))
)</f>
        <v>63</v>
      </c>
    </row>
    <row r="1325" spans="1:22" ht="15.75" customHeight="1" x14ac:dyDescent="0.25">
      <c r="A1325" s="7" t="s">
        <v>231</v>
      </c>
      <c r="B1325" s="8">
        <v>8</v>
      </c>
      <c r="C1325" s="8" t="s">
        <v>232</v>
      </c>
      <c r="D1325" s="9" t="s">
        <v>233</v>
      </c>
      <c r="E1325" s="7" t="s">
        <v>25</v>
      </c>
      <c r="F1325" s="7" t="s">
        <v>196</v>
      </c>
      <c r="G1325" s="7" t="s">
        <v>197</v>
      </c>
      <c r="H1325" s="7">
        <v>1981</v>
      </c>
      <c r="I1325" s="7">
        <v>14</v>
      </c>
      <c r="K1325" s="7">
        <v>7</v>
      </c>
      <c r="M1325" s="7">
        <v>2</v>
      </c>
      <c r="N1325" s="7">
        <v>21</v>
      </c>
      <c r="O1325" s="7">
        <v>42</v>
      </c>
      <c r="P1325" s="7">
        <v>42</v>
      </c>
      <c r="T1325" s="12"/>
      <c r="V1325" cm="1">
        <f t="array" ref="V1325">_xlfn.LET(
_xlpm.x,_xlfn._xlws.FILTER(O1325:S1325,(O1325:S1325&lt;&gt;"R")*(O1325:S1325&lt;&gt;"NA")*(O1325:S1325&lt;&gt;"W")*(O1325:S1325&lt;&gt;"")),
IF(COUNTA(_xlpm.x)=0,"NA",IF(MIN(_xlpm.x)=MAX(_xlpm.x),MIN(_xlpm.x),"review"))
)</f>
        <v>42</v>
      </c>
    </row>
    <row r="1326" spans="1:22" ht="15.75" customHeight="1" x14ac:dyDescent="0.25">
      <c r="A1326" s="7" t="s">
        <v>231</v>
      </c>
      <c r="B1326" s="8">
        <v>8</v>
      </c>
      <c r="C1326" s="8" t="s">
        <v>232</v>
      </c>
      <c r="D1326" s="9" t="s">
        <v>233</v>
      </c>
      <c r="E1326" s="7" t="s">
        <v>25</v>
      </c>
      <c r="F1326" s="7" t="s">
        <v>196</v>
      </c>
      <c r="G1326" s="7" t="s">
        <v>197</v>
      </c>
      <c r="H1326" s="7">
        <v>1981</v>
      </c>
      <c r="I1326" s="7">
        <v>14</v>
      </c>
      <c r="K1326" s="7">
        <v>7</v>
      </c>
      <c r="M1326" s="7">
        <v>2</v>
      </c>
      <c r="N1326" s="7">
        <v>22</v>
      </c>
      <c r="O1326" s="7" t="s">
        <v>28</v>
      </c>
      <c r="T1326" s="12" t="s">
        <v>33</v>
      </c>
      <c r="V1326" t="s">
        <v>29</v>
      </c>
    </row>
    <row r="1327" spans="1:22" ht="15.75" customHeight="1" x14ac:dyDescent="0.25">
      <c r="A1327" s="7" t="s">
        <v>231</v>
      </c>
      <c r="B1327" s="8">
        <v>8</v>
      </c>
      <c r="C1327" s="8" t="s">
        <v>232</v>
      </c>
      <c r="D1327" s="9" t="s">
        <v>233</v>
      </c>
      <c r="E1327" s="7" t="s">
        <v>25</v>
      </c>
      <c r="F1327" s="7" t="s">
        <v>196</v>
      </c>
      <c r="G1327" s="7" t="s">
        <v>197</v>
      </c>
      <c r="H1327" s="7">
        <v>1981</v>
      </c>
      <c r="I1327" s="7">
        <v>14</v>
      </c>
      <c r="K1327" s="7">
        <v>7</v>
      </c>
      <c r="M1327" s="7">
        <v>2</v>
      </c>
      <c r="N1327" s="7">
        <v>23</v>
      </c>
      <c r="O1327" s="7">
        <v>41</v>
      </c>
      <c r="P1327" s="7">
        <v>41</v>
      </c>
      <c r="T1327" s="12"/>
      <c r="V1327" cm="1">
        <f t="array" ref="V1327">_xlfn.LET(
_xlpm.x,_xlfn._xlws.FILTER(O1327:S1327,(O1327:S1327&lt;&gt;"R")*(O1327:S1327&lt;&gt;"NA")*(O1327:S1327&lt;&gt;"W")*(O1327:S1327&lt;&gt;"")),
IF(COUNTA(_xlpm.x)=0,"NA",IF(MIN(_xlpm.x)=MAX(_xlpm.x),MIN(_xlpm.x),"review"))
)</f>
        <v>41</v>
      </c>
    </row>
    <row r="1328" spans="1:22" ht="15.75" customHeight="1" x14ac:dyDescent="0.25">
      <c r="A1328" s="7" t="s">
        <v>231</v>
      </c>
      <c r="B1328" s="8">
        <v>8</v>
      </c>
      <c r="C1328" s="8" t="s">
        <v>232</v>
      </c>
      <c r="D1328" s="9" t="s">
        <v>233</v>
      </c>
      <c r="E1328" s="7" t="s">
        <v>25</v>
      </c>
      <c r="F1328" s="7" t="s">
        <v>196</v>
      </c>
      <c r="G1328" s="7" t="s">
        <v>197</v>
      </c>
      <c r="H1328" s="7">
        <v>1981</v>
      </c>
      <c r="I1328" s="7">
        <v>14</v>
      </c>
      <c r="K1328" s="7">
        <v>7</v>
      </c>
      <c r="M1328" s="7">
        <v>2</v>
      </c>
      <c r="N1328" s="7">
        <v>24</v>
      </c>
      <c r="O1328" s="7">
        <v>52</v>
      </c>
      <c r="P1328" s="7">
        <v>52</v>
      </c>
      <c r="T1328" s="12"/>
      <c r="V1328" cm="1">
        <f t="array" ref="V1328">_xlfn.LET(
_xlpm.x,_xlfn._xlws.FILTER(O1328:S1328,(O1328:S1328&lt;&gt;"R")*(O1328:S1328&lt;&gt;"NA")*(O1328:S1328&lt;&gt;"W")*(O1328:S1328&lt;&gt;"")),
IF(COUNTA(_xlpm.x)=0,"NA",IF(MIN(_xlpm.x)=MAX(_xlpm.x),MIN(_xlpm.x),"review"))
)</f>
        <v>52</v>
      </c>
    </row>
    <row r="1329" spans="1:22" ht="15.75" customHeight="1" x14ac:dyDescent="0.25">
      <c r="A1329" s="7" t="s">
        <v>231</v>
      </c>
      <c r="B1329" s="8">
        <v>8</v>
      </c>
      <c r="C1329" s="8" t="s">
        <v>232</v>
      </c>
      <c r="D1329" s="9" t="s">
        <v>233</v>
      </c>
      <c r="E1329" s="7" t="s">
        <v>25</v>
      </c>
      <c r="F1329" s="7" t="s">
        <v>196</v>
      </c>
      <c r="G1329" s="7" t="s">
        <v>197</v>
      </c>
      <c r="H1329" s="7">
        <v>1981</v>
      </c>
      <c r="I1329" s="7">
        <v>14</v>
      </c>
      <c r="K1329" s="7">
        <v>7</v>
      </c>
      <c r="M1329" s="7">
        <v>2</v>
      </c>
      <c r="N1329" s="7">
        <v>25</v>
      </c>
      <c r="O1329" s="7" t="s">
        <v>28</v>
      </c>
      <c r="P1329" s="7">
        <v>41</v>
      </c>
      <c r="T1329" s="12"/>
      <c r="V1329" cm="1">
        <f t="array" ref="V1329">_xlfn.LET(
_xlpm.x,_xlfn._xlws.FILTER(O1329:S1329,(O1329:S1329&lt;&gt;"R")*(O1329:S1329&lt;&gt;"NA")*(O1329:S1329&lt;&gt;"W")*(O1329:S1329&lt;&gt;"")),
IF(COUNTA(_xlpm.x)=0,"NA",IF(MIN(_xlpm.x)=MAX(_xlpm.x),MIN(_xlpm.x),"review"))
)</f>
        <v>41</v>
      </c>
    </row>
    <row r="1330" spans="1:22" ht="15.75" customHeight="1" x14ac:dyDescent="0.25">
      <c r="A1330" s="7" t="s">
        <v>231</v>
      </c>
      <c r="B1330" s="8">
        <v>8</v>
      </c>
      <c r="C1330" s="8" t="s">
        <v>232</v>
      </c>
      <c r="D1330" s="9" t="s">
        <v>233</v>
      </c>
      <c r="E1330" s="7" t="s">
        <v>25</v>
      </c>
      <c r="F1330" s="7" t="s">
        <v>196</v>
      </c>
      <c r="G1330" s="7" t="s">
        <v>197</v>
      </c>
      <c r="H1330" s="7">
        <v>1981</v>
      </c>
      <c r="I1330" s="7">
        <v>14</v>
      </c>
      <c r="K1330" s="7">
        <v>7</v>
      </c>
      <c r="M1330" s="7">
        <v>3</v>
      </c>
      <c r="N1330" s="7">
        <v>1</v>
      </c>
      <c r="O1330" s="7" t="s">
        <v>28</v>
      </c>
      <c r="P1330" s="7">
        <v>52</v>
      </c>
      <c r="T1330" s="12"/>
      <c r="V1330" cm="1">
        <f t="array" ref="V1330">_xlfn.LET(
_xlpm.x,_xlfn._xlws.FILTER(O1330:S1330,(O1330:S1330&lt;&gt;"R")*(O1330:S1330&lt;&gt;"NA")*(O1330:S1330&lt;&gt;"W")*(O1330:S1330&lt;&gt;"")),
IF(COUNTA(_xlpm.x)=0,"NA",IF(MIN(_xlpm.x)=MAX(_xlpm.x),MIN(_xlpm.x),"review"))
)</f>
        <v>52</v>
      </c>
    </row>
    <row r="1331" spans="1:22" ht="15.75" customHeight="1" x14ac:dyDescent="0.25">
      <c r="A1331" s="7" t="s">
        <v>231</v>
      </c>
      <c r="B1331" s="8">
        <v>8</v>
      </c>
      <c r="C1331" s="8" t="s">
        <v>232</v>
      </c>
      <c r="D1331" s="9" t="s">
        <v>233</v>
      </c>
      <c r="E1331" s="7" t="s">
        <v>25</v>
      </c>
      <c r="F1331" s="7" t="s">
        <v>196</v>
      </c>
      <c r="G1331" s="7" t="s">
        <v>197</v>
      </c>
      <c r="H1331" s="7">
        <v>1981</v>
      </c>
      <c r="I1331" s="7">
        <v>14</v>
      </c>
      <c r="K1331" s="7">
        <v>7</v>
      </c>
      <c r="M1331" s="7">
        <v>3</v>
      </c>
      <c r="N1331" s="7">
        <v>2</v>
      </c>
      <c r="O1331" s="7">
        <v>52</v>
      </c>
      <c r="P1331" s="7">
        <v>52</v>
      </c>
      <c r="T1331" s="12"/>
      <c r="V1331" cm="1">
        <f t="array" ref="V1331">_xlfn.LET(
_xlpm.x,_xlfn._xlws.FILTER(O1331:S1331,(O1331:S1331&lt;&gt;"R")*(O1331:S1331&lt;&gt;"NA")*(O1331:S1331&lt;&gt;"W")*(O1331:S1331&lt;&gt;"")),
IF(COUNTA(_xlpm.x)=0,"NA",IF(MIN(_xlpm.x)=MAX(_xlpm.x),MIN(_xlpm.x),"review"))
)</f>
        <v>52</v>
      </c>
    </row>
    <row r="1332" spans="1:22" ht="15.75" customHeight="1" x14ac:dyDescent="0.25">
      <c r="A1332" s="7" t="s">
        <v>231</v>
      </c>
      <c r="B1332" s="8">
        <v>8</v>
      </c>
      <c r="C1332" s="8" t="s">
        <v>232</v>
      </c>
      <c r="D1332" s="9" t="s">
        <v>233</v>
      </c>
      <c r="E1332" s="7" t="s">
        <v>25</v>
      </c>
      <c r="F1332" s="7" t="s">
        <v>196</v>
      </c>
      <c r="G1332" s="7" t="s">
        <v>197</v>
      </c>
      <c r="H1332" s="7">
        <v>1981</v>
      </c>
      <c r="I1332" s="7">
        <v>14</v>
      </c>
      <c r="K1332" s="7">
        <v>7</v>
      </c>
      <c r="M1332" s="7">
        <v>3</v>
      </c>
      <c r="N1332" s="7">
        <v>3</v>
      </c>
      <c r="O1332" s="7">
        <v>42</v>
      </c>
      <c r="P1332" s="7">
        <v>42</v>
      </c>
      <c r="T1332" s="12"/>
      <c r="V1332" cm="1">
        <f t="array" ref="V1332">_xlfn.LET(
_xlpm.x,_xlfn._xlws.FILTER(O1332:S1332,(O1332:S1332&lt;&gt;"R")*(O1332:S1332&lt;&gt;"NA")*(O1332:S1332&lt;&gt;"W")*(O1332:S1332&lt;&gt;"")),
IF(COUNTA(_xlpm.x)=0,"NA",IF(MIN(_xlpm.x)=MAX(_xlpm.x),MIN(_xlpm.x),"review"))
)</f>
        <v>42</v>
      </c>
    </row>
    <row r="1333" spans="1:22" ht="15.75" customHeight="1" x14ac:dyDescent="0.25">
      <c r="A1333" s="7" t="s">
        <v>231</v>
      </c>
      <c r="B1333" s="8">
        <v>8</v>
      </c>
      <c r="C1333" s="8" t="s">
        <v>232</v>
      </c>
      <c r="D1333" s="9" t="s">
        <v>233</v>
      </c>
      <c r="E1333" s="7" t="s">
        <v>25</v>
      </c>
      <c r="F1333" s="7" t="s">
        <v>196</v>
      </c>
      <c r="G1333" s="7" t="s">
        <v>197</v>
      </c>
      <c r="H1333" s="7">
        <v>1981</v>
      </c>
      <c r="I1333" s="7">
        <v>14</v>
      </c>
      <c r="K1333" s="7">
        <v>7</v>
      </c>
      <c r="M1333" s="7">
        <v>3</v>
      </c>
      <c r="N1333" s="7">
        <v>4</v>
      </c>
      <c r="O1333" s="7">
        <v>52</v>
      </c>
      <c r="P1333" s="7">
        <v>52</v>
      </c>
      <c r="T1333" s="12"/>
      <c r="V1333" cm="1">
        <f t="array" ref="V1333">_xlfn.LET(
_xlpm.x,_xlfn._xlws.FILTER(O1333:S1333,(O1333:S1333&lt;&gt;"R")*(O1333:S1333&lt;&gt;"NA")*(O1333:S1333&lt;&gt;"W")*(O1333:S1333&lt;&gt;"")),
IF(COUNTA(_xlpm.x)=0,"NA",IF(MIN(_xlpm.x)=MAX(_xlpm.x),MIN(_xlpm.x),"review"))
)</f>
        <v>52</v>
      </c>
    </row>
    <row r="1334" spans="1:22" ht="15.75" customHeight="1" x14ac:dyDescent="0.25">
      <c r="A1334" s="7" t="s">
        <v>231</v>
      </c>
      <c r="B1334" s="8">
        <v>8</v>
      </c>
      <c r="C1334" s="8" t="s">
        <v>232</v>
      </c>
      <c r="D1334" s="9" t="s">
        <v>233</v>
      </c>
      <c r="E1334" s="7" t="s">
        <v>25</v>
      </c>
      <c r="F1334" s="7" t="s">
        <v>196</v>
      </c>
      <c r="G1334" s="7" t="s">
        <v>197</v>
      </c>
      <c r="H1334" s="7">
        <v>1981</v>
      </c>
      <c r="I1334" s="7">
        <v>14</v>
      </c>
      <c r="K1334" s="7">
        <v>7</v>
      </c>
      <c r="M1334" s="7">
        <v>3</v>
      </c>
      <c r="N1334" s="7">
        <v>5</v>
      </c>
      <c r="O1334" s="7">
        <v>52</v>
      </c>
      <c r="T1334" s="12" t="s">
        <v>33</v>
      </c>
      <c r="V1334" cm="1">
        <f t="array" ref="V1334">_xlfn.LET(
_xlpm.x,_xlfn._xlws.FILTER(O1334:S1334,(O1334:S1334&lt;&gt;"R")*(O1334:S1334&lt;&gt;"NA")*(O1334:S1334&lt;&gt;"W")*(O1334:S1334&lt;&gt;"")),
IF(COUNTA(_xlpm.x)=0,"NA",IF(MIN(_xlpm.x)=MAX(_xlpm.x),MIN(_xlpm.x),"review"))
)</f>
        <v>52</v>
      </c>
    </row>
    <row r="1335" spans="1:22" ht="15.75" customHeight="1" x14ac:dyDescent="0.25">
      <c r="A1335" s="7" t="s">
        <v>231</v>
      </c>
      <c r="B1335" s="8">
        <v>8</v>
      </c>
      <c r="C1335" s="8" t="s">
        <v>232</v>
      </c>
      <c r="D1335" s="9" t="s">
        <v>233</v>
      </c>
      <c r="E1335" s="7" t="s">
        <v>25</v>
      </c>
      <c r="F1335" s="7" t="s">
        <v>196</v>
      </c>
      <c r="G1335" s="7" t="s">
        <v>197</v>
      </c>
      <c r="H1335" s="7">
        <v>1981</v>
      </c>
      <c r="I1335" s="7">
        <v>14</v>
      </c>
      <c r="K1335" s="7">
        <v>7</v>
      </c>
      <c r="M1335" s="7">
        <v>3</v>
      </c>
      <c r="N1335" s="7">
        <v>6</v>
      </c>
      <c r="O1335" s="7">
        <v>42</v>
      </c>
      <c r="P1335" s="7">
        <v>42</v>
      </c>
      <c r="T1335" s="12"/>
      <c r="V1335" cm="1">
        <f t="array" ref="V1335">_xlfn.LET(
_xlpm.x,_xlfn._xlws.FILTER(O1335:S1335,(O1335:S1335&lt;&gt;"R")*(O1335:S1335&lt;&gt;"NA")*(O1335:S1335&lt;&gt;"W")*(O1335:S1335&lt;&gt;"")),
IF(COUNTA(_xlpm.x)=0,"NA",IF(MIN(_xlpm.x)=MAX(_xlpm.x),MIN(_xlpm.x),"review"))
)</f>
        <v>42</v>
      </c>
    </row>
    <row r="1336" spans="1:22" ht="15.75" customHeight="1" x14ac:dyDescent="0.25">
      <c r="A1336" s="7" t="s">
        <v>231</v>
      </c>
      <c r="B1336" s="8">
        <v>8</v>
      </c>
      <c r="C1336" s="8" t="s">
        <v>232</v>
      </c>
      <c r="D1336" s="9" t="s">
        <v>233</v>
      </c>
      <c r="E1336" s="7" t="s">
        <v>25</v>
      </c>
      <c r="F1336" s="7" t="s">
        <v>196</v>
      </c>
      <c r="G1336" s="7" t="s">
        <v>197</v>
      </c>
      <c r="H1336" s="7">
        <v>1981</v>
      </c>
      <c r="I1336" s="7">
        <v>14</v>
      </c>
      <c r="K1336" s="7">
        <v>7</v>
      </c>
      <c r="M1336" s="7">
        <v>3</v>
      </c>
      <c r="N1336" s="7">
        <v>7</v>
      </c>
      <c r="O1336" s="7">
        <v>52</v>
      </c>
      <c r="P1336" s="7" t="s">
        <v>28</v>
      </c>
      <c r="T1336" s="12"/>
      <c r="V1336" cm="1">
        <f t="array" ref="V1336">_xlfn.LET(
_xlpm.x,_xlfn._xlws.FILTER(O1336:S1336,(O1336:S1336&lt;&gt;"R")*(O1336:S1336&lt;&gt;"NA")*(O1336:S1336&lt;&gt;"W")*(O1336:S1336&lt;&gt;"")),
IF(COUNTA(_xlpm.x)=0,"NA",IF(MIN(_xlpm.x)=MAX(_xlpm.x),MIN(_xlpm.x),"review"))
)</f>
        <v>52</v>
      </c>
    </row>
    <row r="1337" spans="1:22" ht="15.75" customHeight="1" x14ac:dyDescent="0.25">
      <c r="A1337" s="7" t="s">
        <v>231</v>
      </c>
      <c r="B1337" s="8">
        <v>8</v>
      </c>
      <c r="C1337" s="8" t="s">
        <v>232</v>
      </c>
      <c r="D1337" s="9" t="s">
        <v>233</v>
      </c>
      <c r="E1337" s="7" t="s">
        <v>25</v>
      </c>
      <c r="F1337" s="7" t="s">
        <v>196</v>
      </c>
      <c r="G1337" s="7" t="s">
        <v>197</v>
      </c>
      <c r="H1337" s="7">
        <v>1981</v>
      </c>
      <c r="I1337" s="7">
        <v>14</v>
      </c>
      <c r="K1337" s="7">
        <v>7</v>
      </c>
      <c r="M1337" s="7">
        <v>3</v>
      </c>
      <c r="N1337" s="7">
        <v>8</v>
      </c>
      <c r="O1337" s="7">
        <v>52</v>
      </c>
      <c r="P1337" s="7">
        <v>52</v>
      </c>
      <c r="T1337" s="12"/>
      <c r="V1337" cm="1">
        <f t="array" ref="V1337">_xlfn.LET(
_xlpm.x,_xlfn._xlws.FILTER(O1337:S1337,(O1337:S1337&lt;&gt;"R")*(O1337:S1337&lt;&gt;"NA")*(O1337:S1337&lt;&gt;"W")*(O1337:S1337&lt;&gt;"")),
IF(COUNTA(_xlpm.x)=0,"NA",IF(MIN(_xlpm.x)=MAX(_xlpm.x),MIN(_xlpm.x),"review"))
)</f>
        <v>52</v>
      </c>
    </row>
    <row r="1338" spans="1:22" ht="15.75" customHeight="1" x14ac:dyDescent="0.25">
      <c r="A1338" s="7" t="s">
        <v>231</v>
      </c>
      <c r="B1338" s="8">
        <v>8</v>
      </c>
      <c r="C1338" s="8" t="s">
        <v>232</v>
      </c>
      <c r="D1338" s="9" t="s">
        <v>233</v>
      </c>
      <c r="E1338" s="7" t="s">
        <v>25</v>
      </c>
      <c r="F1338" s="7" t="s">
        <v>196</v>
      </c>
      <c r="G1338" s="7" t="s">
        <v>197</v>
      </c>
      <c r="H1338" s="7">
        <v>1981</v>
      </c>
      <c r="I1338" s="7">
        <v>14</v>
      </c>
      <c r="K1338" s="7">
        <v>7</v>
      </c>
      <c r="M1338" s="7">
        <v>3</v>
      </c>
      <c r="N1338" s="7">
        <v>9</v>
      </c>
      <c r="O1338" s="7">
        <v>52</v>
      </c>
      <c r="P1338" s="7" t="s">
        <v>28</v>
      </c>
      <c r="T1338" s="12"/>
      <c r="V1338" cm="1">
        <f t="array" ref="V1338">_xlfn.LET(
_xlpm.x,_xlfn._xlws.FILTER(O1338:S1338,(O1338:S1338&lt;&gt;"R")*(O1338:S1338&lt;&gt;"NA")*(O1338:S1338&lt;&gt;"W")*(O1338:S1338&lt;&gt;"")),
IF(COUNTA(_xlpm.x)=0,"NA",IF(MIN(_xlpm.x)=MAX(_xlpm.x),MIN(_xlpm.x),"review"))
)</f>
        <v>52</v>
      </c>
    </row>
    <row r="1339" spans="1:22" ht="15.75" customHeight="1" x14ac:dyDescent="0.25">
      <c r="A1339" s="7" t="s">
        <v>231</v>
      </c>
      <c r="B1339" s="8">
        <v>8</v>
      </c>
      <c r="C1339" s="8" t="s">
        <v>232</v>
      </c>
      <c r="D1339" s="9" t="s">
        <v>233</v>
      </c>
      <c r="E1339" s="7" t="s">
        <v>25</v>
      </c>
      <c r="F1339" s="7" t="s">
        <v>196</v>
      </c>
      <c r="G1339" s="7" t="s">
        <v>197</v>
      </c>
      <c r="H1339" s="7">
        <v>1981</v>
      </c>
      <c r="I1339" s="7">
        <v>14</v>
      </c>
      <c r="K1339" s="7">
        <v>7</v>
      </c>
      <c r="M1339" s="7">
        <v>3</v>
      </c>
      <c r="N1339" s="7">
        <v>10</v>
      </c>
      <c r="O1339" s="7">
        <v>42</v>
      </c>
      <c r="P1339" s="7">
        <v>42</v>
      </c>
      <c r="T1339" s="12"/>
      <c r="V1339" cm="1">
        <f t="array" ref="V1339">_xlfn.LET(
_xlpm.x,_xlfn._xlws.FILTER(O1339:S1339,(O1339:S1339&lt;&gt;"R")*(O1339:S1339&lt;&gt;"NA")*(O1339:S1339&lt;&gt;"W")*(O1339:S1339&lt;&gt;"")),
IF(COUNTA(_xlpm.x)=0,"NA",IF(MIN(_xlpm.x)=MAX(_xlpm.x),MIN(_xlpm.x),"review"))
)</f>
        <v>42</v>
      </c>
    </row>
    <row r="1340" spans="1:22" ht="15.75" customHeight="1" x14ac:dyDescent="0.25">
      <c r="A1340" s="7" t="s">
        <v>231</v>
      </c>
      <c r="B1340" s="8">
        <v>8</v>
      </c>
      <c r="C1340" s="8" t="s">
        <v>232</v>
      </c>
      <c r="D1340" s="9" t="s">
        <v>233</v>
      </c>
      <c r="E1340" s="7" t="s">
        <v>25</v>
      </c>
      <c r="F1340" s="7" t="s">
        <v>196</v>
      </c>
      <c r="G1340" s="7" t="s">
        <v>197</v>
      </c>
      <c r="H1340" s="7">
        <v>1981</v>
      </c>
      <c r="I1340" s="7">
        <v>14</v>
      </c>
      <c r="K1340" s="7">
        <v>7</v>
      </c>
      <c r="M1340" s="7">
        <v>3</v>
      </c>
      <c r="N1340" s="7">
        <v>11</v>
      </c>
      <c r="O1340" s="7" t="s">
        <v>28</v>
      </c>
      <c r="P1340" s="7">
        <v>52</v>
      </c>
      <c r="T1340" s="12"/>
      <c r="V1340" cm="1">
        <f t="array" ref="V1340">_xlfn.LET(
_xlpm.x,_xlfn._xlws.FILTER(O1340:S1340,(O1340:S1340&lt;&gt;"R")*(O1340:S1340&lt;&gt;"NA")*(O1340:S1340&lt;&gt;"W")*(O1340:S1340&lt;&gt;"")),
IF(COUNTA(_xlpm.x)=0,"NA",IF(MIN(_xlpm.x)=MAX(_xlpm.x),MIN(_xlpm.x),"review"))
)</f>
        <v>52</v>
      </c>
    </row>
    <row r="1341" spans="1:22" ht="15.75" customHeight="1" x14ac:dyDescent="0.25">
      <c r="A1341" s="7" t="s">
        <v>231</v>
      </c>
      <c r="B1341" s="8">
        <v>8</v>
      </c>
      <c r="C1341" s="8" t="s">
        <v>232</v>
      </c>
      <c r="D1341" s="9" t="s">
        <v>233</v>
      </c>
      <c r="E1341" s="7" t="s">
        <v>25</v>
      </c>
      <c r="F1341" s="7" t="s">
        <v>196</v>
      </c>
      <c r="G1341" s="7" t="s">
        <v>197</v>
      </c>
      <c r="H1341" s="7">
        <v>1981</v>
      </c>
      <c r="I1341" s="7">
        <v>14</v>
      </c>
      <c r="K1341" s="7">
        <v>7</v>
      </c>
      <c r="M1341" s="7">
        <v>3</v>
      </c>
      <c r="N1341" s="7">
        <v>12</v>
      </c>
      <c r="O1341" s="7">
        <v>52</v>
      </c>
      <c r="P1341" s="7" t="s">
        <v>29</v>
      </c>
      <c r="T1341" s="12"/>
      <c r="V1341" cm="1">
        <f t="array" ref="V1341">_xlfn.LET(
_xlpm.x,_xlfn._xlws.FILTER(O1341:S1341,(O1341:S1341&lt;&gt;"R")*(O1341:S1341&lt;&gt;"NA")*(O1341:S1341&lt;&gt;"W")*(O1341:S1341&lt;&gt;"")),
IF(COUNTA(_xlpm.x)=0,"NA",IF(MIN(_xlpm.x)=MAX(_xlpm.x),MIN(_xlpm.x),"review"))
)</f>
        <v>52</v>
      </c>
    </row>
    <row r="1342" spans="1:22" ht="15.75" customHeight="1" x14ac:dyDescent="0.25">
      <c r="A1342" s="7" t="s">
        <v>231</v>
      </c>
      <c r="B1342" s="8">
        <v>8</v>
      </c>
      <c r="C1342" s="8" t="s">
        <v>232</v>
      </c>
      <c r="D1342" s="9" t="s">
        <v>233</v>
      </c>
      <c r="E1342" s="7" t="s">
        <v>25</v>
      </c>
      <c r="F1342" s="7" t="s">
        <v>196</v>
      </c>
      <c r="G1342" s="7" t="s">
        <v>197</v>
      </c>
      <c r="H1342" s="7">
        <v>1981</v>
      </c>
      <c r="I1342" s="7">
        <v>14</v>
      </c>
      <c r="K1342" s="7">
        <v>7</v>
      </c>
      <c r="M1342" s="7">
        <v>3</v>
      </c>
      <c r="N1342" s="7">
        <v>13</v>
      </c>
      <c r="O1342" s="7" t="s">
        <v>28</v>
      </c>
      <c r="P1342" s="7">
        <v>42</v>
      </c>
      <c r="T1342" s="12"/>
      <c r="V1342" cm="1">
        <f t="array" ref="V1342">_xlfn.LET(
_xlpm.x,_xlfn._xlws.FILTER(O1342:S1342,(O1342:S1342&lt;&gt;"R")*(O1342:S1342&lt;&gt;"NA")*(O1342:S1342&lt;&gt;"W")*(O1342:S1342&lt;&gt;"")),
IF(COUNTA(_xlpm.x)=0,"NA",IF(MIN(_xlpm.x)=MAX(_xlpm.x),MIN(_xlpm.x),"review"))
)</f>
        <v>42</v>
      </c>
    </row>
    <row r="1343" spans="1:22" ht="15.75" customHeight="1" x14ac:dyDescent="0.25">
      <c r="A1343" s="7" t="s">
        <v>231</v>
      </c>
      <c r="B1343" s="8">
        <v>8</v>
      </c>
      <c r="C1343" s="8" t="s">
        <v>232</v>
      </c>
      <c r="D1343" s="9" t="s">
        <v>233</v>
      </c>
      <c r="E1343" s="7" t="s">
        <v>25</v>
      </c>
      <c r="F1343" s="7" t="s">
        <v>196</v>
      </c>
      <c r="G1343" s="7" t="s">
        <v>197</v>
      </c>
      <c r="H1343" s="7">
        <v>1981</v>
      </c>
      <c r="I1343" s="7">
        <v>14</v>
      </c>
      <c r="K1343" s="7">
        <v>7</v>
      </c>
      <c r="M1343" s="7">
        <v>3</v>
      </c>
      <c r="N1343" s="7">
        <v>14</v>
      </c>
      <c r="O1343" s="7">
        <v>42</v>
      </c>
      <c r="P1343" s="7">
        <v>42</v>
      </c>
      <c r="T1343" s="12"/>
      <c r="V1343" cm="1">
        <f t="array" ref="V1343">_xlfn.LET(
_xlpm.x,_xlfn._xlws.FILTER(O1343:S1343,(O1343:S1343&lt;&gt;"R")*(O1343:S1343&lt;&gt;"NA")*(O1343:S1343&lt;&gt;"W")*(O1343:S1343&lt;&gt;"")),
IF(COUNTA(_xlpm.x)=0,"NA",IF(MIN(_xlpm.x)=MAX(_xlpm.x),MIN(_xlpm.x),"review"))
)</f>
        <v>42</v>
      </c>
    </row>
    <row r="1344" spans="1:22" ht="15.75" customHeight="1" x14ac:dyDescent="0.25">
      <c r="A1344" s="7" t="s">
        <v>231</v>
      </c>
      <c r="B1344" s="8">
        <v>8</v>
      </c>
      <c r="C1344" s="8" t="s">
        <v>232</v>
      </c>
      <c r="D1344" s="9" t="s">
        <v>233</v>
      </c>
      <c r="E1344" s="7" t="s">
        <v>25</v>
      </c>
      <c r="F1344" s="7" t="s">
        <v>196</v>
      </c>
      <c r="G1344" s="7" t="s">
        <v>197</v>
      </c>
      <c r="H1344" s="7">
        <v>1981</v>
      </c>
      <c r="I1344" s="7">
        <v>14</v>
      </c>
      <c r="K1344" s="7">
        <v>7</v>
      </c>
      <c r="M1344" s="7">
        <v>3</v>
      </c>
      <c r="N1344" s="7">
        <v>15</v>
      </c>
      <c r="O1344" s="7">
        <v>42</v>
      </c>
      <c r="P1344" s="7">
        <v>42</v>
      </c>
      <c r="T1344" s="12"/>
      <c r="V1344" cm="1">
        <f t="array" ref="V1344">_xlfn.LET(
_xlpm.x,_xlfn._xlws.FILTER(O1344:S1344,(O1344:S1344&lt;&gt;"R")*(O1344:S1344&lt;&gt;"NA")*(O1344:S1344&lt;&gt;"W")*(O1344:S1344&lt;&gt;"")),
IF(COUNTA(_xlpm.x)=0,"NA",IF(MIN(_xlpm.x)=MAX(_xlpm.x),MIN(_xlpm.x),"review"))
)</f>
        <v>42</v>
      </c>
    </row>
    <row r="1345" spans="1:22" ht="15.75" customHeight="1" x14ac:dyDescent="0.25">
      <c r="A1345" s="7" t="s">
        <v>231</v>
      </c>
      <c r="B1345" s="8">
        <v>8</v>
      </c>
      <c r="C1345" s="8" t="s">
        <v>232</v>
      </c>
      <c r="D1345" s="9" t="s">
        <v>233</v>
      </c>
      <c r="E1345" s="7" t="s">
        <v>25</v>
      </c>
      <c r="F1345" s="7" t="s">
        <v>196</v>
      </c>
      <c r="G1345" s="7" t="s">
        <v>197</v>
      </c>
      <c r="H1345" s="7">
        <v>1981</v>
      </c>
      <c r="I1345" s="7">
        <v>14</v>
      </c>
      <c r="K1345" s="7">
        <v>7</v>
      </c>
      <c r="M1345" s="7">
        <v>3</v>
      </c>
      <c r="N1345" s="7">
        <v>16</v>
      </c>
      <c r="O1345" s="7">
        <v>52</v>
      </c>
      <c r="P1345" s="7">
        <v>52</v>
      </c>
      <c r="T1345" s="12"/>
      <c r="V1345" cm="1">
        <f t="array" ref="V1345">_xlfn.LET(
_xlpm.x,_xlfn._xlws.FILTER(O1345:S1345,(O1345:S1345&lt;&gt;"R")*(O1345:S1345&lt;&gt;"NA")*(O1345:S1345&lt;&gt;"W")*(O1345:S1345&lt;&gt;"")),
IF(COUNTA(_xlpm.x)=0,"NA",IF(MIN(_xlpm.x)=MAX(_xlpm.x),MIN(_xlpm.x),"review"))
)</f>
        <v>52</v>
      </c>
    </row>
    <row r="1346" spans="1:22" ht="15.75" customHeight="1" x14ac:dyDescent="0.25">
      <c r="A1346" s="7" t="s">
        <v>231</v>
      </c>
      <c r="B1346" s="8">
        <v>8</v>
      </c>
      <c r="C1346" s="8" t="s">
        <v>232</v>
      </c>
      <c r="D1346" s="9" t="s">
        <v>233</v>
      </c>
      <c r="E1346" s="7" t="s">
        <v>25</v>
      </c>
      <c r="F1346" s="7" t="s">
        <v>196</v>
      </c>
      <c r="G1346" s="7" t="s">
        <v>197</v>
      </c>
      <c r="H1346" s="7">
        <v>1981</v>
      </c>
      <c r="I1346" s="7">
        <v>14</v>
      </c>
      <c r="K1346" s="7">
        <v>7</v>
      </c>
      <c r="M1346" s="7">
        <v>3</v>
      </c>
      <c r="N1346" s="7">
        <v>17</v>
      </c>
      <c r="O1346" s="7">
        <v>52</v>
      </c>
      <c r="P1346" s="7">
        <v>52</v>
      </c>
      <c r="T1346" s="12"/>
      <c r="V1346" cm="1">
        <f t="array" ref="V1346">_xlfn.LET(
_xlpm.x,_xlfn._xlws.FILTER(O1346:S1346,(O1346:S1346&lt;&gt;"R")*(O1346:S1346&lt;&gt;"NA")*(O1346:S1346&lt;&gt;"W")*(O1346:S1346&lt;&gt;"")),
IF(COUNTA(_xlpm.x)=0,"NA",IF(MIN(_xlpm.x)=MAX(_xlpm.x),MIN(_xlpm.x),"review"))
)</f>
        <v>52</v>
      </c>
    </row>
    <row r="1347" spans="1:22" ht="15.75" customHeight="1" x14ac:dyDescent="0.25">
      <c r="A1347" s="7" t="s">
        <v>231</v>
      </c>
      <c r="B1347" s="8">
        <v>8</v>
      </c>
      <c r="C1347" s="8" t="s">
        <v>232</v>
      </c>
      <c r="D1347" s="9" t="s">
        <v>233</v>
      </c>
      <c r="E1347" s="7" t="s">
        <v>25</v>
      </c>
      <c r="F1347" s="7" t="s">
        <v>196</v>
      </c>
      <c r="G1347" s="7" t="s">
        <v>197</v>
      </c>
      <c r="H1347" s="7">
        <v>1981</v>
      </c>
      <c r="I1347" s="7">
        <v>14</v>
      </c>
      <c r="K1347" s="7">
        <v>7</v>
      </c>
      <c r="M1347" s="7">
        <v>3</v>
      </c>
      <c r="N1347" s="7">
        <v>18</v>
      </c>
      <c r="O1347" s="7">
        <v>52</v>
      </c>
      <c r="P1347" s="7">
        <v>52</v>
      </c>
      <c r="T1347" s="12"/>
      <c r="V1347" cm="1">
        <f t="array" ref="V1347">_xlfn.LET(
_xlpm.x,_xlfn._xlws.FILTER(O1347:S1347,(O1347:S1347&lt;&gt;"R")*(O1347:S1347&lt;&gt;"NA")*(O1347:S1347&lt;&gt;"W")*(O1347:S1347&lt;&gt;"")),
IF(COUNTA(_xlpm.x)=0,"NA",IF(MIN(_xlpm.x)=MAX(_xlpm.x),MIN(_xlpm.x),"review"))
)</f>
        <v>52</v>
      </c>
    </row>
    <row r="1348" spans="1:22" ht="15.75" customHeight="1" x14ac:dyDescent="0.25">
      <c r="A1348" s="7" t="s">
        <v>231</v>
      </c>
      <c r="B1348" s="8">
        <v>8</v>
      </c>
      <c r="C1348" s="8" t="s">
        <v>232</v>
      </c>
      <c r="D1348" s="9" t="s">
        <v>233</v>
      </c>
      <c r="E1348" s="7" t="s">
        <v>25</v>
      </c>
      <c r="F1348" s="7" t="s">
        <v>196</v>
      </c>
      <c r="G1348" s="7" t="s">
        <v>197</v>
      </c>
      <c r="H1348" s="7">
        <v>1981</v>
      </c>
      <c r="I1348" s="7">
        <v>14</v>
      </c>
      <c r="K1348" s="7">
        <v>7</v>
      </c>
      <c r="M1348" s="7">
        <v>3</v>
      </c>
      <c r="N1348" s="7">
        <v>19</v>
      </c>
      <c r="O1348" s="7">
        <v>52</v>
      </c>
      <c r="P1348" s="7">
        <v>52</v>
      </c>
      <c r="T1348" s="12"/>
      <c r="V1348" cm="1">
        <f t="array" ref="V1348">_xlfn.LET(
_xlpm.x,_xlfn._xlws.FILTER(O1348:S1348,(O1348:S1348&lt;&gt;"R")*(O1348:S1348&lt;&gt;"NA")*(O1348:S1348&lt;&gt;"W")*(O1348:S1348&lt;&gt;"")),
IF(COUNTA(_xlpm.x)=0,"NA",IF(MIN(_xlpm.x)=MAX(_xlpm.x),MIN(_xlpm.x),"review"))
)</f>
        <v>52</v>
      </c>
    </row>
    <row r="1349" spans="1:22" ht="15.75" customHeight="1" x14ac:dyDescent="0.25">
      <c r="A1349" s="7" t="s">
        <v>231</v>
      </c>
      <c r="B1349" s="8">
        <v>8</v>
      </c>
      <c r="C1349" s="8" t="s">
        <v>232</v>
      </c>
      <c r="D1349" s="9" t="s">
        <v>233</v>
      </c>
      <c r="E1349" s="7" t="s">
        <v>25</v>
      </c>
      <c r="F1349" s="7" t="s">
        <v>196</v>
      </c>
      <c r="G1349" s="7" t="s">
        <v>197</v>
      </c>
      <c r="H1349" s="7">
        <v>1981</v>
      </c>
      <c r="I1349" s="7">
        <v>14</v>
      </c>
      <c r="K1349" s="7">
        <v>7</v>
      </c>
      <c r="M1349" s="7">
        <v>3</v>
      </c>
      <c r="N1349" s="7">
        <v>20</v>
      </c>
      <c r="O1349" s="7">
        <v>42</v>
      </c>
      <c r="P1349" s="7">
        <v>42</v>
      </c>
      <c r="T1349" s="12"/>
      <c r="V1349" cm="1">
        <f t="array" ref="V1349">_xlfn.LET(
_xlpm.x,_xlfn._xlws.FILTER(O1349:S1349,(O1349:S1349&lt;&gt;"R")*(O1349:S1349&lt;&gt;"NA")*(O1349:S1349&lt;&gt;"W")*(O1349:S1349&lt;&gt;"")),
IF(COUNTA(_xlpm.x)=0,"NA",IF(MIN(_xlpm.x)=MAX(_xlpm.x),MIN(_xlpm.x),"review"))
)</f>
        <v>42</v>
      </c>
    </row>
    <row r="1350" spans="1:22" ht="15.75" customHeight="1" x14ac:dyDescent="0.25">
      <c r="A1350" s="7" t="s">
        <v>231</v>
      </c>
      <c r="B1350" s="8">
        <v>8</v>
      </c>
      <c r="C1350" s="8" t="s">
        <v>232</v>
      </c>
      <c r="D1350" s="9" t="s">
        <v>233</v>
      </c>
      <c r="E1350" s="7" t="s">
        <v>25</v>
      </c>
      <c r="F1350" s="7" t="s">
        <v>196</v>
      </c>
      <c r="G1350" s="7" t="s">
        <v>197</v>
      </c>
      <c r="H1350" s="7">
        <v>1981</v>
      </c>
      <c r="I1350" s="7">
        <v>14</v>
      </c>
      <c r="K1350" s="7">
        <v>7</v>
      </c>
      <c r="M1350" s="7">
        <v>3</v>
      </c>
      <c r="N1350" s="7">
        <v>21</v>
      </c>
      <c r="O1350" s="7">
        <v>42</v>
      </c>
      <c r="P1350" s="7">
        <v>42</v>
      </c>
      <c r="T1350" s="12"/>
      <c r="V1350" cm="1">
        <f t="array" ref="V1350">_xlfn.LET(
_xlpm.x,_xlfn._xlws.FILTER(O1350:S1350,(O1350:S1350&lt;&gt;"R")*(O1350:S1350&lt;&gt;"NA")*(O1350:S1350&lt;&gt;"W")*(O1350:S1350&lt;&gt;"")),
IF(COUNTA(_xlpm.x)=0,"NA",IF(MIN(_xlpm.x)=MAX(_xlpm.x),MIN(_xlpm.x),"review"))
)</f>
        <v>42</v>
      </c>
    </row>
    <row r="1351" spans="1:22" ht="15.75" customHeight="1" x14ac:dyDescent="0.25">
      <c r="A1351" s="7" t="s">
        <v>231</v>
      </c>
      <c r="B1351" s="8">
        <v>8</v>
      </c>
      <c r="C1351" s="8" t="s">
        <v>232</v>
      </c>
      <c r="D1351" s="9" t="s">
        <v>233</v>
      </c>
      <c r="E1351" s="7" t="s">
        <v>25</v>
      </c>
      <c r="F1351" s="7" t="s">
        <v>196</v>
      </c>
      <c r="G1351" s="7" t="s">
        <v>197</v>
      </c>
      <c r="H1351" s="7">
        <v>1981</v>
      </c>
      <c r="I1351" s="7">
        <v>14</v>
      </c>
      <c r="K1351" s="7">
        <v>7</v>
      </c>
      <c r="M1351" s="7">
        <v>3</v>
      </c>
      <c r="N1351" s="7">
        <v>22</v>
      </c>
      <c r="O1351" s="7">
        <v>31</v>
      </c>
      <c r="T1351" s="12" t="s">
        <v>33</v>
      </c>
      <c r="V1351" cm="1">
        <f t="array" ref="V1351">_xlfn.LET(
_xlpm.x,_xlfn._xlws.FILTER(O1351:S1351,(O1351:S1351&lt;&gt;"R")*(O1351:S1351&lt;&gt;"NA")*(O1351:S1351&lt;&gt;"W")*(O1351:S1351&lt;&gt;"")),
IF(COUNTA(_xlpm.x)=0,"NA",IF(MIN(_xlpm.x)=MAX(_xlpm.x),MIN(_xlpm.x),"review"))
)</f>
        <v>31</v>
      </c>
    </row>
    <row r="1352" spans="1:22" ht="15.75" customHeight="1" x14ac:dyDescent="0.25">
      <c r="A1352" s="7" t="s">
        <v>231</v>
      </c>
      <c r="B1352" s="8">
        <v>8</v>
      </c>
      <c r="C1352" s="8" t="s">
        <v>232</v>
      </c>
      <c r="D1352" s="9" t="s">
        <v>233</v>
      </c>
      <c r="E1352" s="7" t="s">
        <v>25</v>
      </c>
      <c r="F1352" s="7" t="s">
        <v>196</v>
      </c>
      <c r="G1352" s="7" t="s">
        <v>197</v>
      </c>
      <c r="H1352" s="7">
        <v>1981</v>
      </c>
      <c r="I1352" s="7">
        <v>14</v>
      </c>
      <c r="K1352" s="7">
        <v>7</v>
      </c>
      <c r="M1352" s="7">
        <v>3</v>
      </c>
      <c r="N1352" s="7">
        <v>23</v>
      </c>
      <c r="O1352" s="7">
        <v>42</v>
      </c>
      <c r="P1352" s="7">
        <v>42</v>
      </c>
      <c r="T1352" s="12"/>
      <c r="V1352" cm="1">
        <f t="array" ref="V1352">_xlfn.LET(
_xlpm.x,_xlfn._xlws.FILTER(O1352:S1352,(O1352:S1352&lt;&gt;"R")*(O1352:S1352&lt;&gt;"NA")*(O1352:S1352&lt;&gt;"W")*(O1352:S1352&lt;&gt;"")),
IF(COUNTA(_xlpm.x)=0,"NA",IF(MIN(_xlpm.x)=MAX(_xlpm.x),MIN(_xlpm.x),"review"))
)</f>
        <v>42</v>
      </c>
    </row>
    <row r="1353" spans="1:22" ht="15.75" customHeight="1" x14ac:dyDescent="0.25">
      <c r="A1353" s="7" t="s">
        <v>231</v>
      </c>
      <c r="B1353" s="8">
        <v>8</v>
      </c>
      <c r="C1353" s="8" t="s">
        <v>232</v>
      </c>
      <c r="D1353" s="9" t="s">
        <v>233</v>
      </c>
      <c r="E1353" s="7" t="s">
        <v>25</v>
      </c>
      <c r="F1353" s="7" t="s">
        <v>196</v>
      </c>
      <c r="G1353" s="7" t="s">
        <v>197</v>
      </c>
      <c r="H1353" s="7">
        <v>1981</v>
      </c>
      <c r="I1353" s="7">
        <v>14</v>
      </c>
      <c r="K1353" s="7">
        <v>7</v>
      </c>
      <c r="M1353" s="7">
        <v>3</v>
      </c>
      <c r="N1353" s="7">
        <v>24</v>
      </c>
      <c r="O1353" s="7">
        <v>52</v>
      </c>
      <c r="P1353" s="7" t="s">
        <v>28</v>
      </c>
      <c r="T1353" s="12"/>
      <c r="V1353" cm="1">
        <f t="array" ref="V1353">_xlfn.LET(
_xlpm.x,_xlfn._xlws.FILTER(O1353:S1353,(O1353:S1353&lt;&gt;"R")*(O1353:S1353&lt;&gt;"NA")*(O1353:S1353&lt;&gt;"W")*(O1353:S1353&lt;&gt;"")),
IF(COUNTA(_xlpm.x)=0,"NA",IF(MIN(_xlpm.x)=MAX(_xlpm.x),MIN(_xlpm.x),"review"))
)</f>
        <v>52</v>
      </c>
    </row>
    <row r="1354" spans="1:22" ht="15.75" customHeight="1" x14ac:dyDescent="0.25">
      <c r="A1354" s="7" t="s">
        <v>231</v>
      </c>
      <c r="B1354" s="8">
        <v>8</v>
      </c>
      <c r="C1354" s="8" t="s">
        <v>232</v>
      </c>
      <c r="D1354" s="9" t="s">
        <v>233</v>
      </c>
      <c r="E1354" s="7" t="s">
        <v>25</v>
      </c>
      <c r="F1354" s="7" t="s">
        <v>196</v>
      </c>
      <c r="G1354" s="7" t="s">
        <v>197</v>
      </c>
      <c r="H1354" s="7">
        <v>1981</v>
      </c>
      <c r="I1354" s="7">
        <v>14</v>
      </c>
      <c r="K1354" s="7">
        <v>7</v>
      </c>
      <c r="M1354" s="7">
        <v>3</v>
      </c>
      <c r="N1354" s="7">
        <v>25</v>
      </c>
      <c r="O1354" s="7">
        <v>42</v>
      </c>
      <c r="P1354" s="7">
        <v>42</v>
      </c>
      <c r="T1354" s="12"/>
      <c r="V1354" cm="1">
        <f t="array" ref="V1354">_xlfn.LET(
_xlpm.x,_xlfn._xlws.FILTER(O1354:S1354,(O1354:S1354&lt;&gt;"R")*(O1354:S1354&lt;&gt;"NA")*(O1354:S1354&lt;&gt;"W")*(O1354:S1354&lt;&gt;"")),
IF(COUNTA(_xlpm.x)=0,"NA",IF(MIN(_xlpm.x)=MAX(_xlpm.x),MIN(_xlpm.x),"review"))
)</f>
        <v>42</v>
      </c>
    </row>
    <row r="1355" spans="1:22" ht="15.75" hidden="1" customHeight="1" x14ac:dyDescent="0.25">
      <c r="A1355" s="7" t="s">
        <v>235</v>
      </c>
      <c r="B1355" s="8">
        <v>8</v>
      </c>
      <c r="C1355" s="8" t="s">
        <v>65</v>
      </c>
      <c r="D1355" s="9" t="s">
        <v>236</v>
      </c>
      <c r="E1355" s="7" t="s">
        <v>25</v>
      </c>
      <c r="F1355" s="7" t="s">
        <v>237</v>
      </c>
      <c r="G1355" s="7" t="s">
        <v>27</v>
      </c>
      <c r="H1355" s="7">
        <v>1981</v>
      </c>
      <c r="I1355" s="7">
        <v>21</v>
      </c>
      <c r="K1355" s="7">
        <v>7</v>
      </c>
      <c r="M1355" s="7">
        <v>1</v>
      </c>
      <c r="N1355" s="7">
        <v>1</v>
      </c>
      <c r="O1355" s="7">
        <v>53</v>
      </c>
      <c r="P1355" s="7">
        <v>53</v>
      </c>
      <c r="T1355" s="12"/>
      <c r="V1355" cm="1">
        <f t="array" ref="V1355">_xlfn.LET(
_xlpm.x,_xlfn._xlws.FILTER(O1355:S1355,(O1355:S1355&lt;&gt;"R")*(O1355:S1355&lt;&gt;"NA")*(O1355:S1355&lt;&gt;"W")*(O1355:S1355&lt;&gt;"")),
IF(COUNTA(_xlpm.x)=0,"NA",IF(MIN(_xlpm.x)=MAX(_xlpm.x),MIN(_xlpm.x),"review"))
)</f>
        <v>53</v>
      </c>
    </row>
    <row r="1356" spans="1:22" ht="15.75" hidden="1" customHeight="1" x14ac:dyDescent="0.25">
      <c r="A1356" s="7" t="s">
        <v>235</v>
      </c>
      <c r="B1356" s="8">
        <v>8</v>
      </c>
      <c r="C1356" s="8" t="s">
        <v>65</v>
      </c>
      <c r="D1356" s="9" t="s">
        <v>236</v>
      </c>
      <c r="E1356" s="7" t="s">
        <v>25</v>
      </c>
      <c r="F1356" s="7" t="s">
        <v>237</v>
      </c>
      <c r="G1356" s="7" t="s">
        <v>27</v>
      </c>
      <c r="H1356" s="7">
        <v>1981</v>
      </c>
      <c r="I1356" s="7">
        <v>21</v>
      </c>
      <c r="K1356" s="7">
        <v>7</v>
      </c>
      <c r="M1356" s="7">
        <v>1</v>
      </c>
      <c r="N1356" s="7">
        <v>2</v>
      </c>
      <c r="O1356" s="7" t="s">
        <v>29</v>
      </c>
      <c r="P1356" s="7">
        <v>52</v>
      </c>
      <c r="T1356" s="12"/>
      <c r="V1356" cm="1">
        <f t="array" ref="V1356">_xlfn.LET(
_xlpm.x,_xlfn._xlws.FILTER(O1356:S1356,(O1356:S1356&lt;&gt;"R")*(O1356:S1356&lt;&gt;"NA")*(O1356:S1356&lt;&gt;"W")*(O1356:S1356&lt;&gt;"")),
IF(COUNTA(_xlpm.x)=0,"NA",IF(MIN(_xlpm.x)=MAX(_xlpm.x),MIN(_xlpm.x),"review"))
)</f>
        <v>52</v>
      </c>
    </row>
    <row r="1357" spans="1:22" ht="15.75" hidden="1" customHeight="1" x14ac:dyDescent="0.25">
      <c r="A1357" s="7" t="s">
        <v>235</v>
      </c>
      <c r="B1357" s="8">
        <v>8</v>
      </c>
      <c r="C1357" s="8" t="s">
        <v>65</v>
      </c>
      <c r="D1357" s="9" t="s">
        <v>236</v>
      </c>
      <c r="E1357" s="7" t="s">
        <v>25</v>
      </c>
      <c r="F1357" s="7" t="s">
        <v>237</v>
      </c>
      <c r="G1357" s="7" t="s">
        <v>27</v>
      </c>
      <c r="H1357" s="7">
        <v>1981</v>
      </c>
      <c r="I1357" s="7">
        <v>21</v>
      </c>
      <c r="K1357" s="7">
        <v>7</v>
      </c>
      <c r="M1357" s="7">
        <v>1</v>
      </c>
      <c r="N1357" s="7">
        <v>3</v>
      </c>
      <c r="P1357" s="7">
        <v>42</v>
      </c>
      <c r="T1357" s="12" t="s">
        <v>33</v>
      </c>
      <c r="V1357" cm="1">
        <f t="array" ref="V1357">_xlfn.LET(
_xlpm.x,_xlfn._xlws.FILTER(O1357:S1357,(O1357:S1357&lt;&gt;"R")*(O1357:S1357&lt;&gt;"NA")*(O1357:S1357&lt;&gt;"W")*(O1357:S1357&lt;&gt;"")),
IF(COUNTA(_xlpm.x)=0,"NA",IF(MIN(_xlpm.x)=MAX(_xlpm.x),MIN(_xlpm.x),"review"))
)</f>
        <v>42</v>
      </c>
    </row>
    <row r="1358" spans="1:22" ht="15.75" hidden="1" customHeight="1" x14ac:dyDescent="0.25">
      <c r="A1358" s="7" t="s">
        <v>235</v>
      </c>
      <c r="B1358" s="8">
        <v>8</v>
      </c>
      <c r="C1358" s="8" t="s">
        <v>65</v>
      </c>
      <c r="D1358" s="9" t="s">
        <v>236</v>
      </c>
      <c r="E1358" s="7" t="s">
        <v>25</v>
      </c>
      <c r="F1358" s="7" t="s">
        <v>237</v>
      </c>
      <c r="G1358" s="7" t="s">
        <v>27</v>
      </c>
      <c r="H1358" s="7">
        <v>1981</v>
      </c>
      <c r="I1358" s="7">
        <v>21</v>
      </c>
      <c r="K1358" s="7">
        <v>7</v>
      </c>
      <c r="M1358" s="7">
        <v>1</v>
      </c>
      <c r="N1358" s="7">
        <v>4</v>
      </c>
      <c r="O1358" s="7">
        <v>42</v>
      </c>
      <c r="P1358" s="7">
        <v>42</v>
      </c>
      <c r="T1358" s="12"/>
      <c r="V1358" cm="1">
        <f t="array" ref="V1358">_xlfn.LET(
_xlpm.x,_xlfn._xlws.FILTER(O1358:S1358,(O1358:S1358&lt;&gt;"R")*(O1358:S1358&lt;&gt;"NA")*(O1358:S1358&lt;&gt;"W")*(O1358:S1358&lt;&gt;"")),
IF(COUNTA(_xlpm.x)=0,"NA",IF(MIN(_xlpm.x)=MAX(_xlpm.x),MIN(_xlpm.x),"review"))
)</f>
        <v>42</v>
      </c>
    </row>
    <row r="1359" spans="1:22" ht="15.75" hidden="1" customHeight="1" x14ac:dyDescent="0.25">
      <c r="A1359" s="7" t="s">
        <v>235</v>
      </c>
      <c r="B1359" s="8">
        <v>8</v>
      </c>
      <c r="C1359" s="8" t="s">
        <v>65</v>
      </c>
      <c r="D1359" s="9" t="s">
        <v>236</v>
      </c>
      <c r="E1359" s="7" t="s">
        <v>25</v>
      </c>
      <c r="F1359" s="7" t="s">
        <v>237</v>
      </c>
      <c r="G1359" s="7" t="s">
        <v>27</v>
      </c>
      <c r="H1359" s="7">
        <v>1981</v>
      </c>
      <c r="I1359" s="7">
        <v>21</v>
      </c>
      <c r="K1359" s="7">
        <v>7</v>
      </c>
      <c r="M1359" s="7">
        <v>1</v>
      </c>
      <c r="N1359" s="7">
        <v>5</v>
      </c>
      <c r="O1359" s="7" t="s">
        <v>28</v>
      </c>
      <c r="P1359" s="7">
        <v>42</v>
      </c>
      <c r="V1359" cm="1">
        <f t="array" ref="V1359">_xlfn.LET(
_xlpm.x,_xlfn._xlws.FILTER(O1359:S1359,(O1359:S1359&lt;&gt;"R")*(O1359:S1359&lt;&gt;"NA")*(O1359:S1359&lt;&gt;"W")*(O1359:S1359&lt;&gt;"")),
IF(COUNTA(_xlpm.x)=0,"NA",IF(MIN(_xlpm.x)=MAX(_xlpm.x),MIN(_xlpm.x),"review"))
)</f>
        <v>42</v>
      </c>
    </row>
    <row r="1360" spans="1:22" ht="15.75" hidden="1" customHeight="1" x14ac:dyDescent="0.25">
      <c r="A1360" s="7" t="s">
        <v>235</v>
      </c>
      <c r="B1360" s="8">
        <v>8</v>
      </c>
      <c r="C1360" s="8" t="s">
        <v>65</v>
      </c>
      <c r="D1360" s="9" t="s">
        <v>236</v>
      </c>
      <c r="E1360" s="7" t="s">
        <v>25</v>
      </c>
      <c r="F1360" s="7" t="s">
        <v>237</v>
      </c>
      <c r="G1360" s="7" t="s">
        <v>27</v>
      </c>
      <c r="H1360" s="7">
        <v>1981</v>
      </c>
      <c r="I1360" s="7">
        <v>21</v>
      </c>
      <c r="K1360" s="7">
        <v>7</v>
      </c>
      <c r="M1360" s="7">
        <v>1</v>
      </c>
      <c r="N1360" s="7">
        <v>6</v>
      </c>
      <c r="O1360" s="7">
        <v>53</v>
      </c>
      <c r="P1360" s="7">
        <v>53</v>
      </c>
      <c r="T1360" s="12"/>
      <c r="V1360" cm="1">
        <f t="array" ref="V1360">_xlfn.LET(
_xlpm.x,_xlfn._xlws.FILTER(O1360:S1360,(O1360:S1360&lt;&gt;"R")*(O1360:S1360&lt;&gt;"NA")*(O1360:S1360&lt;&gt;"W")*(O1360:S1360&lt;&gt;"")),
IF(COUNTA(_xlpm.x)=0,"NA",IF(MIN(_xlpm.x)=MAX(_xlpm.x),MIN(_xlpm.x),"review"))
)</f>
        <v>53</v>
      </c>
    </row>
    <row r="1361" spans="1:22" ht="15.75" hidden="1" customHeight="1" x14ac:dyDescent="0.25">
      <c r="A1361" s="7" t="s">
        <v>235</v>
      </c>
      <c r="B1361" s="8">
        <v>8</v>
      </c>
      <c r="C1361" s="8" t="s">
        <v>65</v>
      </c>
      <c r="D1361" s="9" t="s">
        <v>236</v>
      </c>
      <c r="E1361" s="7" t="s">
        <v>25</v>
      </c>
      <c r="F1361" s="7" t="s">
        <v>237</v>
      </c>
      <c r="G1361" s="7" t="s">
        <v>27</v>
      </c>
      <c r="H1361" s="7">
        <v>1981</v>
      </c>
      <c r="I1361" s="7">
        <v>21</v>
      </c>
      <c r="K1361" s="7">
        <v>7</v>
      </c>
      <c r="M1361" s="7">
        <v>1</v>
      </c>
      <c r="N1361" s="7">
        <v>7</v>
      </c>
      <c r="O1361" s="7">
        <v>42</v>
      </c>
      <c r="P1361" s="7">
        <v>42</v>
      </c>
      <c r="T1361" s="12"/>
      <c r="V1361" cm="1">
        <f t="array" ref="V1361">_xlfn.LET(
_xlpm.x,_xlfn._xlws.FILTER(O1361:S1361,(O1361:S1361&lt;&gt;"R")*(O1361:S1361&lt;&gt;"NA")*(O1361:S1361&lt;&gt;"W")*(O1361:S1361&lt;&gt;"")),
IF(COUNTA(_xlpm.x)=0,"NA",IF(MIN(_xlpm.x)=MAX(_xlpm.x),MIN(_xlpm.x),"review"))
)</f>
        <v>42</v>
      </c>
    </row>
    <row r="1362" spans="1:22" ht="15.75" hidden="1" customHeight="1" x14ac:dyDescent="0.25">
      <c r="A1362" s="7" t="s">
        <v>235</v>
      </c>
      <c r="B1362" s="8">
        <v>8</v>
      </c>
      <c r="C1362" s="8" t="s">
        <v>65</v>
      </c>
      <c r="D1362" s="9" t="s">
        <v>236</v>
      </c>
      <c r="E1362" s="7" t="s">
        <v>25</v>
      </c>
      <c r="F1362" s="7" t="s">
        <v>237</v>
      </c>
      <c r="G1362" s="7" t="s">
        <v>27</v>
      </c>
      <c r="H1362" s="7">
        <v>1981</v>
      </c>
      <c r="I1362" s="7">
        <v>21</v>
      </c>
      <c r="K1362" s="7">
        <v>7</v>
      </c>
      <c r="M1362" s="7">
        <v>1</v>
      </c>
      <c r="N1362" s="7">
        <v>8</v>
      </c>
      <c r="O1362" s="7">
        <v>42</v>
      </c>
      <c r="P1362" s="7" t="s">
        <v>29</v>
      </c>
      <c r="T1362" s="12"/>
      <c r="V1362" cm="1">
        <f t="array" ref="V1362">_xlfn.LET(
_xlpm.x,_xlfn._xlws.FILTER(O1362:S1362,(O1362:S1362&lt;&gt;"R")*(O1362:S1362&lt;&gt;"NA")*(O1362:S1362&lt;&gt;"W")*(O1362:S1362&lt;&gt;"")),
IF(COUNTA(_xlpm.x)=0,"NA",IF(MIN(_xlpm.x)=MAX(_xlpm.x),MIN(_xlpm.x),"review"))
)</f>
        <v>42</v>
      </c>
    </row>
    <row r="1363" spans="1:22" ht="15.75" hidden="1" customHeight="1" x14ac:dyDescent="0.25">
      <c r="A1363" s="7" t="s">
        <v>235</v>
      </c>
      <c r="B1363" s="8">
        <v>8</v>
      </c>
      <c r="C1363" s="8" t="s">
        <v>65</v>
      </c>
      <c r="D1363" s="9" t="s">
        <v>236</v>
      </c>
      <c r="E1363" s="7" t="s">
        <v>25</v>
      </c>
      <c r="F1363" s="7" t="s">
        <v>237</v>
      </c>
      <c r="G1363" s="7" t="s">
        <v>27</v>
      </c>
      <c r="H1363" s="7">
        <v>1981</v>
      </c>
      <c r="I1363" s="7">
        <v>21</v>
      </c>
      <c r="K1363" s="7">
        <v>7</v>
      </c>
      <c r="M1363" s="7">
        <v>1</v>
      </c>
      <c r="N1363" s="7">
        <v>9</v>
      </c>
      <c r="O1363" s="7">
        <v>42</v>
      </c>
      <c r="P1363" s="7" t="s">
        <v>29</v>
      </c>
      <c r="T1363" s="12"/>
      <c r="V1363" cm="1">
        <f t="array" ref="V1363">_xlfn.LET(
_xlpm.x,_xlfn._xlws.FILTER(O1363:S1363,(O1363:S1363&lt;&gt;"R")*(O1363:S1363&lt;&gt;"NA")*(O1363:S1363&lt;&gt;"W")*(O1363:S1363&lt;&gt;"")),
IF(COUNTA(_xlpm.x)=0,"NA",IF(MIN(_xlpm.x)=MAX(_xlpm.x),MIN(_xlpm.x),"review"))
)</f>
        <v>42</v>
      </c>
    </row>
    <row r="1364" spans="1:22" ht="15.75" hidden="1" customHeight="1" x14ac:dyDescent="0.25">
      <c r="A1364" s="7" t="s">
        <v>235</v>
      </c>
      <c r="B1364" s="8">
        <v>8</v>
      </c>
      <c r="C1364" s="8" t="s">
        <v>65</v>
      </c>
      <c r="D1364" s="9" t="s">
        <v>236</v>
      </c>
      <c r="E1364" s="7" t="s">
        <v>25</v>
      </c>
      <c r="F1364" s="7" t="s">
        <v>237</v>
      </c>
      <c r="G1364" s="7" t="s">
        <v>27</v>
      </c>
      <c r="H1364" s="7">
        <v>1981</v>
      </c>
      <c r="I1364" s="7">
        <v>21</v>
      </c>
      <c r="K1364" s="7">
        <v>7</v>
      </c>
      <c r="M1364" s="7">
        <v>1</v>
      </c>
      <c r="N1364" s="7">
        <v>10</v>
      </c>
      <c r="O1364" s="7">
        <v>42</v>
      </c>
      <c r="P1364" s="7" t="s">
        <v>29</v>
      </c>
      <c r="T1364" s="12"/>
      <c r="V1364" cm="1">
        <f t="array" ref="V1364">_xlfn.LET(
_xlpm.x,_xlfn._xlws.FILTER(O1364:S1364,(O1364:S1364&lt;&gt;"R")*(O1364:S1364&lt;&gt;"NA")*(O1364:S1364&lt;&gt;"W")*(O1364:S1364&lt;&gt;"")),
IF(COUNTA(_xlpm.x)=0,"NA",IF(MIN(_xlpm.x)=MAX(_xlpm.x),MIN(_xlpm.x),"review"))
)</f>
        <v>42</v>
      </c>
    </row>
    <row r="1365" spans="1:22" ht="15.75" hidden="1" customHeight="1" x14ac:dyDescent="0.25">
      <c r="A1365" s="7" t="s">
        <v>235</v>
      </c>
      <c r="B1365" s="8">
        <v>8</v>
      </c>
      <c r="C1365" s="8" t="s">
        <v>65</v>
      </c>
      <c r="D1365" s="9" t="s">
        <v>236</v>
      </c>
      <c r="E1365" s="7" t="s">
        <v>25</v>
      </c>
      <c r="F1365" s="7" t="s">
        <v>237</v>
      </c>
      <c r="G1365" s="7" t="s">
        <v>27</v>
      </c>
      <c r="H1365" s="7">
        <v>1981</v>
      </c>
      <c r="I1365" s="7">
        <v>21</v>
      </c>
      <c r="K1365" s="7">
        <v>7</v>
      </c>
      <c r="M1365" s="7">
        <v>1</v>
      </c>
      <c r="N1365" s="7">
        <v>11</v>
      </c>
      <c r="O1365" s="7">
        <v>42</v>
      </c>
      <c r="P1365" s="7">
        <v>42</v>
      </c>
      <c r="T1365" s="12"/>
      <c r="V1365" cm="1">
        <f t="array" ref="V1365">_xlfn.LET(
_xlpm.x,_xlfn._xlws.FILTER(O1365:S1365,(O1365:S1365&lt;&gt;"R")*(O1365:S1365&lt;&gt;"NA")*(O1365:S1365&lt;&gt;"W")*(O1365:S1365&lt;&gt;"")),
IF(COUNTA(_xlpm.x)=0,"NA",IF(MIN(_xlpm.x)=MAX(_xlpm.x),MIN(_xlpm.x),"review"))
)</f>
        <v>42</v>
      </c>
    </row>
    <row r="1366" spans="1:22" ht="15.75" hidden="1" customHeight="1" x14ac:dyDescent="0.25">
      <c r="A1366" s="7" t="s">
        <v>235</v>
      </c>
      <c r="B1366" s="8">
        <v>8</v>
      </c>
      <c r="C1366" s="8" t="s">
        <v>65</v>
      </c>
      <c r="D1366" s="9" t="s">
        <v>236</v>
      </c>
      <c r="E1366" s="7" t="s">
        <v>25</v>
      </c>
      <c r="F1366" s="7" t="s">
        <v>237</v>
      </c>
      <c r="G1366" s="7" t="s">
        <v>27</v>
      </c>
      <c r="H1366" s="7">
        <v>1981</v>
      </c>
      <c r="I1366" s="7">
        <v>21</v>
      </c>
      <c r="K1366" s="7">
        <v>7</v>
      </c>
      <c r="M1366" s="7">
        <v>1</v>
      </c>
      <c r="N1366" s="7">
        <v>12</v>
      </c>
      <c r="O1366" s="7" t="s">
        <v>29</v>
      </c>
      <c r="P1366" s="7">
        <v>52</v>
      </c>
      <c r="T1366" s="12"/>
      <c r="V1366" cm="1">
        <f t="array" ref="V1366">_xlfn.LET(
_xlpm.x,_xlfn._xlws.FILTER(O1366:S1366,(O1366:S1366&lt;&gt;"R")*(O1366:S1366&lt;&gt;"NA")*(O1366:S1366&lt;&gt;"W")*(O1366:S1366&lt;&gt;"")),
IF(COUNTA(_xlpm.x)=0,"NA",IF(MIN(_xlpm.x)=MAX(_xlpm.x),MIN(_xlpm.x),"review"))
)</f>
        <v>52</v>
      </c>
    </row>
    <row r="1367" spans="1:22" ht="15.75" hidden="1" customHeight="1" x14ac:dyDescent="0.25">
      <c r="A1367" s="7" t="s">
        <v>235</v>
      </c>
      <c r="B1367" s="8">
        <v>8</v>
      </c>
      <c r="C1367" s="8" t="s">
        <v>65</v>
      </c>
      <c r="D1367" s="9" t="s">
        <v>236</v>
      </c>
      <c r="E1367" s="7" t="s">
        <v>25</v>
      </c>
      <c r="F1367" s="7" t="s">
        <v>237</v>
      </c>
      <c r="G1367" s="7" t="s">
        <v>27</v>
      </c>
      <c r="H1367" s="7">
        <v>1981</v>
      </c>
      <c r="I1367" s="7">
        <v>21</v>
      </c>
      <c r="K1367" s="7">
        <v>7</v>
      </c>
      <c r="M1367" s="7">
        <v>1</v>
      </c>
      <c r="N1367" s="7">
        <v>13</v>
      </c>
      <c r="O1367" s="7" t="s">
        <v>29</v>
      </c>
      <c r="P1367" s="7" t="s">
        <v>28</v>
      </c>
      <c r="T1367" s="12"/>
      <c r="V1367" t="s">
        <v>29</v>
      </c>
    </row>
    <row r="1368" spans="1:22" ht="15.75" hidden="1" customHeight="1" x14ac:dyDescent="0.25">
      <c r="A1368" s="7" t="s">
        <v>235</v>
      </c>
      <c r="B1368" s="8">
        <v>8</v>
      </c>
      <c r="C1368" s="8" t="s">
        <v>65</v>
      </c>
      <c r="D1368" s="9" t="s">
        <v>236</v>
      </c>
      <c r="E1368" s="7" t="s">
        <v>25</v>
      </c>
      <c r="F1368" s="7" t="s">
        <v>237</v>
      </c>
      <c r="G1368" s="7" t="s">
        <v>27</v>
      </c>
      <c r="H1368" s="7">
        <v>1981</v>
      </c>
      <c r="I1368" s="7">
        <v>21</v>
      </c>
      <c r="K1368" s="7">
        <v>7</v>
      </c>
      <c r="M1368" s="7">
        <v>1</v>
      </c>
      <c r="N1368" s="7">
        <v>14</v>
      </c>
      <c r="O1368" s="7">
        <v>42</v>
      </c>
      <c r="P1368" s="7">
        <v>42</v>
      </c>
      <c r="T1368" s="12"/>
      <c r="V1368" cm="1">
        <f t="array" ref="V1368">_xlfn.LET(
_xlpm.x,_xlfn._xlws.FILTER(O1368:S1368,(O1368:S1368&lt;&gt;"R")*(O1368:S1368&lt;&gt;"NA")*(O1368:S1368&lt;&gt;"W")*(O1368:S1368&lt;&gt;"")),
IF(COUNTA(_xlpm.x)=0,"NA",IF(MIN(_xlpm.x)=MAX(_xlpm.x),MIN(_xlpm.x),"review"))
)</f>
        <v>42</v>
      </c>
    </row>
    <row r="1369" spans="1:22" ht="15.75" hidden="1" customHeight="1" x14ac:dyDescent="0.25">
      <c r="A1369" s="7" t="s">
        <v>235</v>
      </c>
      <c r="B1369" s="8">
        <v>8</v>
      </c>
      <c r="C1369" s="8" t="s">
        <v>65</v>
      </c>
      <c r="D1369" s="9" t="s">
        <v>236</v>
      </c>
      <c r="E1369" s="7" t="s">
        <v>25</v>
      </c>
      <c r="F1369" s="7" t="s">
        <v>237</v>
      </c>
      <c r="G1369" s="7" t="s">
        <v>27</v>
      </c>
      <c r="H1369" s="7">
        <v>1981</v>
      </c>
      <c r="I1369" s="7">
        <v>21</v>
      </c>
      <c r="K1369" s="7">
        <v>7</v>
      </c>
      <c r="M1369" s="7">
        <v>1</v>
      </c>
      <c r="N1369" s="7">
        <v>15</v>
      </c>
      <c r="O1369" s="7">
        <v>52</v>
      </c>
      <c r="P1369" s="7" t="s">
        <v>29</v>
      </c>
      <c r="T1369" s="12"/>
      <c r="V1369" cm="1">
        <f t="array" ref="V1369">_xlfn.LET(
_xlpm.x,_xlfn._xlws.FILTER(O1369:S1369,(O1369:S1369&lt;&gt;"R")*(O1369:S1369&lt;&gt;"NA")*(O1369:S1369&lt;&gt;"W")*(O1369:S1369&lt;&gt;"")),
IF(COUNTA(_xlpm.x)=0,"NA",IF(MIN(_xlpm.x)=MAX(_xlpm.x),MIN(_xlpm.x),"review"))
)</f>
        <v>52</v>
      </c>
    </row>
    <row r="1370" spans="1:22" ht="15.75" hidden="1" customHeight="1" x14ac:dyDescent="0.25">
      <c r="A1370" s="7" t="s">
        <v>235</v>
      </c>
      <c r="B1370" s="8">
        <v>8</v>
      </c>
      <c r="C1370" s="8" t="s">
        <v>65</v>
      </c>
      <c r="D1370" s="9" t="s">
        <v>236</v>
      </c>
      <c r="E1370" s="7" t="s">
        <v>25</v>
      </c>
      <c r="F1370" s="7" t="s">
        <v>237</v>
      </c>
      <c r="G1370" s="7" t="s">
        <v>27</v>
      </c>
      <c r="H1370" s="7">
        <v>1981</v>
      </c>
      <c r="I1370" s="7">
        <v>21</v>
      </c>
      <c r="K1370" s="7">
        <v>7</v>
      </c>
      <c r="M1370" s="7">
        <v>1</v>
      </c>
      <c r="N1370" s="7">
        <v>16</v>
      </c>
      <c r="O1370" s="7" t="s">
        <v>28</v>
      </c>
      <c r="P1370" s="7" t="s">
        <v>28</v>
      </c>
      <c r="T1370" s="12"/>
      <c r="V1370" t="s">
        <v>29</v>
      </c>
    </row>
    <row r="1371" spans="1:22" ht="15.75" hidden="1" customHeight="1" x14ac:dyDescent="0.25">
      <c r="A1371" s="7" t="s">
        <v>235</v>
      </c>
      <c r="B1371" s="8">
        <v>8</v>
      </c>
      <c r="C1371" s="8" t="s">
        <v>65</v>
      </c>
      <c r="D1371" s="9" t="s">
        <v>236</v>
      </c>
      <c r="E1371" s="7" t="s">
        <v>25</v>
      </c>
      <c r="F1371" s="7" t="s">
        <v>237</v>
      </c>
      <c r="G1371" s="7" t="s">
        <v>27</v>
      </c>
      <c r="H1371" s="7">
        <v>1981</v>
      </c>
      <c r="I1371" s="7">
        <v>21</v>
      </c>
      <c r="K1371" s="7">
        <v>7</v>
      </c>
      <c r="M1371" s="7">
        <v>1</v>
      </c>
      <c r="N1371" s="7">
        <v>17</v>
      </c>
      <c r="O1371" s="7">
        <v>52</v>
      </c>
      <c r="P1371" s="7">
        <v>52</v>
      </c>
      <c r="T1371" s="12"/>
      <c r="V1371" cm="1">
        <f t="array" ref="V1371">_xlfn.LET(
_xlpm.x,_xlfn._xlws.FILTER(O1371:S1371,(O1371:S1371&lt;&gt;"R")*(O1371:S1371&lt;&gt;"NA")*(O1371:S1371&lt;&gt;"W")*(O1371:S1371&lt;&gt;"")),
IF(COUNTA(_xlpm.x)=0,"NA",IF(MIN(_xlpm.x)=MAX(_xlpm.x),MIN(_xlpm.x),"review"))
)</f>
        <v>52</v>
      </c>
    </row>
    <row r="1372" spans="1:22" ht="15.75" hidden="1" customHeight="1" x14ac:dyDescent="0.25">
      <c r="A1372" s="7" t="s">
        <v>235</v>
      </c>
      <c r="B1372" s="8">
        <v>8</v>
      </c>
      <c r="C1372" s="8" t="s">
        <v>65</v>
      </c>
      <c r="D1372" s="9" t="s">
        <v>236</v>
      </c>
      <c r="E1372" s="7" t="s">
        <v>25</v>
      </c>
      <c r="F1372" s="7" t="s">
        <v>237</v>
      </c>
      <c r="G1372" s="7" t="s">
        <v>27</v>
      </c>
      <c r="H1372" s="7">
        <v>1981</v>
      </c>
      <c r="I1372" s="7">
        <v>21</v>
      </c>
      <c r="K1372" s="7">
        <v>7</v>
      </c>
      <c r="M1372" s="7">
        <v>1</v>
      </c>
      <c r="N1372" s="7">
        <v>18</v>
      </c>
      <c r="O1372" s="7" t="s">
        <v>29</v>
      </c>
      <c r="P1372" s="7">
        <v>52</v>
      </c>
      <c r="T1372" s="12"/>
      <c r="V1372" cm="1">
        <f t="array" ref="V1372">_xlfn.LET(
_xlpm.x,_xlfn._xlws.FILTER(O1372:S1372,(O1372:S1372&lt;&gt;"R")*(O1372:S1372&lt;&gt;"NA")*(O1372:S1372&lt;&gt;"W")*(O1372:S1372&lt;&gt;"")),
IF(COUNTA(_xlpm.x)=0,"NA",IF(MIN(_xlpm.x)=MAX(_xlpm.x),MIN(_xlpm.x),"review"))
)</f>
        <v>52</v>
      </c>
    </row>
    <row r="1373" spans="1:22" ht="15.75" hidden="1" customHeight="1" x14ac:dyDescent="0.25">
      <c r="A1373" s="7" t="s">
        <v>235</v>
      </c>
      <c r="B1373" s="8">
        <v>8</v>
      </c>
      <c r="C1373" s="8" t="s">
        <v>65</v>
      </c>
      <c r="D1373" s="9" t="s">
        <v>236</v>
      </c>
      <c r="E1373" s="7" t="s">
        <v>25</v>
      </c>
      <c r="F1373" s="7" t="s">
        <v>237</v>
      </c>
      <c r="G1373" s="7" t="s">
        <v>27</v>
      </c>
      <c r="H1373" s="7">
        <v>1981</v>
      </c>
      <c r="I1373" s="7">
        <v>21</v>
      </c>
      <c r="K1373" s="7">
        <v>7</v>
      </c>
      <c r="M1373" s="7">
        <v>1</v>
      </c>
      <c r="N1373" s="7">
        <v>19</v>
      </c>
      <c r="O1373" s="7">
        <v>52</v>
      </c>
      <c r="P1373" s="7">
        <v>52</v>
      </c>
      <c r="T1373" s="12"/>
      <c r="V1373" cm="1">
        <f t="array" ref="V1373">_xlfn.LET(
_xlpm.x,_xlfn._xlws.FILTER(O1373:S1373,(O1373:S1373&lt;&gt;"R")*(O1373:S1373&lt;&gt;"NA")*(O1373:S1373&lt;&gt;"W")*(O1373:S1373&lt;&gt;"")),
IF(COUNTA(_xlpm.x)=0,"NA",IF(MIN(_xlpm.x)=MAX(_xlpm.x),MIN(_xlpm.x),"review"))
)</f>
        <v>52</v>
      </c>
    </row>
    <row r="1374" spans="1:22" ht="15.75" hidden="1" customHeight="1" x14ac:dyDescent="0.25">
      <c r="A1374" s="7" t="s">
        <v>235</v>
      </c>
      <c r="B1374" s="8">
        <v>8</v>
      </c>
      <c r="C1374" s="8" t="s">
        <v>65</v>
      </c>
      <c r="D1374" s="9" t="s">
        <v>236</v>
      </c>
      <c r="E1374" s="7" t="s">
        <v>25</v>
      </c>
      <c r="F1374" s="7" t="s">
        <v>237</v>
      </c>
      <c r="G1374" s="7" t="s">
        <v>27</v>
      </c>
      <c r="H1374" s="7">
        <v>1981</v>
      </c>
      <c r="I1374" s="7">
        <v>21</v>
      </c>
      <c r="K1374" s="7">
        <v>7</v>
      </c>
      <c r="M1374" s="7">
        <v>1</v>
      </c>
      <c r="N1374" s="7">
        <v>20</v>
      </c>
      <c r="O1374" s="7" t="s">
        <v>29</v>
      </c>
      <c r="P1374" s="7" t="s">
        <v>28</v>
      </c>
      <c r="T1374" s="12"/>
      <c r="V1374" t="s">
        <v>29</v>
      </c>
    </row>
    <row r="1375" spans="1:22" ht="15.75" hidden="1" customHeight="1" x14ac:dyDescent="0.25">
      <c r="A1375" s="7" t="s">
        <v>235</v>
      </c>
      <c r="B1375" s="8">
        <v>8</v>
      </c>
      <c r="C1375" s="8" t="s">
        <v>65</v>
      </c>
      <c r="D1375" s="9" t="s">
        <v>236</v>
      </c>
      <c r="E1375" s="7" t="s">
        <v>25</v>
      </c>
      <c r="F1375" s="7" t="s">
        <v>237</v>
      </c>
      <c r="G1375" s="7" t="s">
        <v>27</v>
      </c>
      <c r="H1375" s="7">
        <v>1981</v>
      </c>
      <c r="I1375" s="7">
        <v>21</v>
      </c>
      <c r="K1375" s="7">
        <v>7</v>
      </c>
      <c r="M1375" s="7">
        <v>1</v>
      </c>
      <c r="N1375" s="7">
        <v>21</v>
      </c>
      <c r="O1375" s="7">
        <v>52</v>
      </c>
      <c r="P1375" s="7" t="s">
        <v>29</v>
      </c>
      <c r="T1375" s="12"/>
      <c r="V1375" cm="1">
        <f t="array" ref="V1375">_xlfn.LET(
_xlpm.x,_xlfn._xlws.FILTER(O1375:S1375,(O1375:S1375&lt;&gt;"R")*(O1375:S1375&lt;&gt;"NA")*(O1375:S1375&lt;&gt;"W")*(O1375:S1375&lt;&gt;"")),
IF(COUNTA(_xlpm.x)=0,"NA",IF(MIN(_xlpm.x)=MAX(_xlpm.x),MIN(_xlpm.x),"review"))
)</f>
        <v>52</v>
      </c>
    </row>
    <row r="1376" spans="1:22" ht="15.75" hidden="1" customHeight="1" x14ac:dyDescent="0.25">
      <c r="A1376" s="7" t="s">
        <v>235</v>
      </c>
      <c r="B1376" s="8">
        <v>8</v>
      </c>
      <c r="C1376" s="8" t="s">
        <v>65</v>
      </c>
      <c r="D1376" s="9" t="s">
        <v>236</v>
      </c>
      <c r="E1376" s="7" t="s">
        <v>25</v>
      </c>
      <c r="F1376" s="7" t="s">
        <v>237</v>
      </c>
      <c r="G1376" s="7" t="s">
        <v>27</v>
      </c>
      <c r="H1376" s="7">
        <v>1981</v>
      </c>
      <c r="I1376" s="7">
        <v>21</v>
      </c>
      <c r="K1376" s="7">
        <v>7</v>
      </c>
      <c r="M1376" s="7">
        <v>1</v>
      </c>
      <c r="N1376" s="7">
        <v>22</v>
      </c>
      <c r="O1376" s="7" t="s">
        <v>29</v>
      </c>
      <c r="P1376" s="7" t="s">
        <v>29</v>
      </c>
      <c r="T1376" s="12"/>
      <c r="V1376" t="s">
        <v>29</v>
      </c>
    </row>
    <row r="1377" spans="1:22" ht="15.75" hidden="1" customHeight="1" x14ac:dyDescent="0.25">
      <c r="A1377" s="7" t="s">
        <v>235</v>
      </c>
      <c r="B1377" s="8">
        <v>8</v>
      </c>
      <c r="C1377" s="8" t="s">
        <v>65</v>
      </c>
      <c r="D1377" s="9" t="s">
        <v>236</v>
      </c>
      <c r="E1377" s="7" t="s">
        <v>25</v>
      </c>
      <c r="F1377" s="7" t="s">
        <v>237</v>
      </c>
      <c r="G1377" s="7" t="s">
        <v>27</v>
      </c>
      <c r="H1377" s="7">
        <v>1981</v>
      </c>
      <c r="I1377" s="7">
        <v>21</v>
      </c>
      <c r="K1377" s="7">
        <v>7</v>
      </c>
      <c r="M1377" s="7">
        <v>1</v>
      </c>
      <c r="N1377" s="7">
        <v>23</v>
      </c>
      <c r="O1377" s="7" t="s">
        <v>28</v>
      </c>
      <c r="P1377" s="7" t="s">
        <v>28</v>
      </c>
      <c r="T1377" s="12"/>
      <c r="V1377" t="s">
        <v>29</v>
      </c>
    </row>
    <row r="1378" spans="1:22" ht="15.75" hidden="1" customHeight="1" x14ac:dyDescent="0.25">
      <c r="A1378" s="7" t="s">
        <v>235</v>
      </c>
      <c r="B1378" s="8">
        <v>8</v>
      </c>
      <c r="C1378" s="8" t="s">
        <v>65</v>
      </c>
      <c r="D1378" s="9" t="s">
        <v>236</v>
      </c>
      <c r="E1378" s="7" t="s">
        <v>25</v>
      </c>
      <c r="F1378" s="7" t="s">
        <v>237</v>
      </c>
      <c r="G1378" s="7" t="s">
        <v>27</v>
      </c>
      <c r="H1378" s="7">
        <v>1981</v>
      </c>
      <c r="I1378" s="7">
        <v>21</v>
      </c>
      <c r="K1378" s="7">
        <v>7</v>
      </c>
      <c r="M1378" s="7">
        <v>1</v>
      </c>
      <c r="N1378" s="7">
        <v>24</v>
      </c>
      <c r="P1378" s="7">
        <v>42</v>
      </c>
      <c r="T1378" s="12" t="s">
        <v>46</v>
      </c>
      <c r="V1378" cm="1">
        <f t="array" ref="V1378">_xlfn.LET(
_xlpm.x,_xlfn._xlws.FILTER(O1378:S1378,(O1378:S1378&lt;&gt;"R")*(O1378:S1378&lt;&gt;"NA")*(O1378:S1378&lt;&gt;"W")*(O1378:S1378&lt;&gt;"")),
IF(COUNTA(_xlpm.x)=0,"NA",IF(MIN(_xlpm.x)=MAX(_xlpm.x),MIN(_xlpm.x),"review"))
)</f>
        <v>42</v>
      </c>
    </row>
    <row r="1379" spans="1:22" ht="15.75" hidden="1" customHeight="1" x14ac:dyDescent="0.25">
      <c r="A1379" s="7" t="s">
        <v>235</v>
      </c>
      <c r="B1379" s="8">
        <v>8</v>
      </c>
      <c r="C1379" s="8" t="s">
        <v>65</v>
      </c>
      <c r="D1379" s="9" t="s">
        <v>236</v>
      </c>
      <c r="E1379" s="7" t="s">
        <v>25</v>
      </c>
      <c r="F1379" s="7" t="s">
        <v>237</v>
      </c>
      <c r="G1379" s="7" t="s">
        <v>27</v>
      </c>
      <c r="H1379" s="7">
        <v>1981</v>
      </c>
      <c r="I1379" s="7">
        <v>21</v>
      </c>
      <c r="K1379" s="7">
        <v>7</v>
      </c>
      <c r="M1379" s="7">
        <v>1</v>
      </c>
      <c r="N1379" s="7">
        <v>25</v>
      </c>
      <c r="O1379" s="7">
        <v>52</v>
      </c>
      <c r="P1379" s="7" t="s">
        <v>29</v>
      </c>
      <c r="T1379" s="12"/>
      <c r="V1379" cm="1">
        <f t="array" ref="V1379">_xlfn.LET(
_xlpm.x,_xlfn._xlws.FILTER(O1379:S1379,(O1379:S1379&lt;&gt;"R")*(O1379:S1379&lt;&gt;"NA")*(O1379:S1379&lt;&gt;"W")*(O1379:S1379&lt;&gt;"")),
IF(COUNTA(_xlpm.x)=0,"NA",IF(MIN(_xlpm.x)=MAX(_xlpm.x),MIN(_xlpm.x),"review"))
)</f>
        <v>52</v>
      </c>
    </row>
    <row r="1380" spans="1:22" ht="15.75" hidden="1" customHeight="1" x14ac:dyDescent="0.25">
      <c r="A1380" s="7" t="s">
        <v>238</v>
      </c>
      <c r="B1380" s="8">
        <v>8</v>
      </c>
      <c r="C1380" s="8" t="s">
        <v>65</v>
      </c>
      <c r="D1380" s="9" t="s">
        <v>239</v>
      </c>
      <c r="E1380" s="7" t="s">
        <v>25</v>
      </c>
      <c r="F1380" s="7" t="s">
        <v>237</v>
      </c>
      <c r="G1380" s="7" t="s">
        <v>27</v>
      </c>
      <c r="H1380" s="7">
        <v>1981</v>
      </c>
      <c r="I1380" s="7">
        <v>6</v>
      </c>
      <c r="K1380" s="7">
        <v>8</v>
      </c>
      <c r="M1380" s="7">
        <v>2</v>
      </c>
      <c r="N1380" s="7">
        <v>1</v>
      </c>
      <c r="O1380" s="7" t="s">
        <v>29</v>
      </c>
      <c r="P1380" s="7" t="s">
        <v>29</v>
      </c>
      <c r="T1380" s="12"/>
      <c r="V1380" t="s">
        <v>29</v>
      </c>
    </row>
    <row r="1381" spans="1:22" ht="15.75" hidden="1" customHeight="1" x14ac:dyDescent="0.25">
      <c r="A1381" s="7" t="s">
        <v>238</v>
      </c>
      <c r="B1381" s="8">
        <v>8</v>
      </c>
      <c r="C1381" s="8" t="s">
        <v>65</v>
      </c>
      <c r="D1381" s="9" t="s">
        <v>239</v>
      </c>
      <c r="E1381" s="7" t="s">
        <v>25</v>
      </c>
      <c r="F1381" s="7" t="s">
        <v>237</v>
      </c>
      <c r="G1381" s="7" t="s">
        <v>27</v>
      </c>
      <c r="H1381" s="7">
        <v>1981</v>
      </c>
      <c r="I1381" s="7">
        <v>6</v>
      </c>
      <c r="K1381" s="7">
        <v>8</v>
      </c>
      <c r="M1381" s="7">
        <v>2</v>
      </c>
      <c r="N1381" s="7">
        <v>2</v>
      </c>
      <c r="O1381" s="7">
        <v>42</v>
      </c>
      <c r="P1381" s="7" t="s">
        <v>29</v>
      </c>
      <c r="T1381" s="12"/>
      <c r="V1381" cm="1">
        <f t="array" ref="V1381">_xlfn.LET(
_xlpm.x,_xlfn._xlws.FILTER(O1381:S1381,(O1381:S1381&lt;&gt;"R")*(O1381:S1381&lt;&gt;"NA")*(O1381:S1381&lt;&gt;"W")*(O1381:S1381&lt;&gt;"")),
IF(COUNTA(_xlpm.x)=0,"NA",IF(MIN(_xlpm.x)=MAX(_xlpm.x),MIN(_xlpm.x),"review"))
)</f>
        <v>42</v>
      </c>
    </row>
    <row r="1382" spans="1:22" ht="15.75" hidden="1" customHeight="1" x14ac:dyDescent="0.25">
      <c r="A1382" s="7" t="s">
        <v>238</v>
      </c>
      <c r="B1382" s="8">
        <v>8</v>
      </c>
      <c r="C1382" s="8" t="s">
        <v>65</v>
      </c>
      <c r="D1382" s="9" t="s">
        <v>239</v>
      </c>
      <c r="E1382" s="7" t="s">
        <v>25</v>
      </c>
      <c r="F1382" s="7" t="s">
        <v>237</v>
      </c>
      <c r="G1382" s="7" t="s">
        <v>27</v>
      </c>
      <c r="H1382" s="7">
        <v>1981</v>
      </c>
      <c r="I1382" s="7">
        <v>6</v>
      </c>
      <c r="K1382" s="7">
        <v>8</v>
      </c>
      <c r="M1382" s="7">
        <v>2</v>
      </c>
      <c r="N1382" s="7">
        <v>3</v>
      </c>
      <c r="O1382" s="7">
        <v>52</v>
      </c>
      <c r="P1382" s="7">
        <v>52</v>
      </c>
      <c r="T1382" s="12"/>
      <c r="V1382" cm="1">
        <f t="array" ref="V1382">_xlfn.LET(
_xlpm.x,_xlfn._xlws.FILTER(O1382:S1382,(O1382:S1382&lt;&gt;"R")*(O1382:S1382&lt;&gt;"NA")*(O1382:S1382&lt;&gt;"W")*(O1382:S1382&lt;&gt;"")),
IF(COUNTA(_xlpm.x)=0,"NA",IF(MIN(_xlpm.x)=MAX(_xlpm.x),MIN(_xlpm.x),"review"))
)</f>
        <v>52</v>
      </c>
    </row>
    <row r="1383" spans="1:22" ht="15.75" hidden="1" customHeight="1" x14ac:dyDescent="0.25">
      <c r="A1383" s="7" t="s">
        <v>238</v>
      </c>
      <c r="B1383" s="8">
        <v>8</v>
      </c>
      <c r="C1383" s="8" t="s">
        <v>65</v>
      </c>
      <c r="D1383" s="9" t="s">
        <v>239</v>
      </c>
      <c r="E1383" s="7" t="s">
        <v>25</v>
      </c>
      <c r="F1383" s="7" t="s">
        <v>237</v>
      </c>
      <c r="G1383" s="7" t="s">
        <v>27</v>
      </c>
      <c r="H1383" s="7">
        <v>1981</v>
      </c>
      <c r="I1383" s="7">
        <v>6</v>
      </c>
      <c r="K1383" s="7">
        <v>8</v>
      </c>
      <c r="M1383" s="7">
        <v>2</v>
      </c>
      <c r="N1383" s="7">
        <v>4</v>
      </c>
      <c r="O1383" s="7" t="s">
        <v>29</v>
      </c>
      <c r="P1383" s="7" t="s">
        <v>29</v>
      </c>
      <c r="T1383" s="12"/>
      <c r="V1383" t="s">
        <v>29</v>
      </c>
    </row>
    <row r="1384" spans="1:22" ht="15.75" hidden="1" customHeight="1" x14ac:dyDescent="0.25">
      <c r="A1384" s="7" t="s">
        <v>240</v>
      </c>
      <c r="B1384" s="8">
        <v>8</v>
      </c>
      <c r="C1384" s="8" t="s">
        <v>70</v>
      </c>
      <c r="D1384" s="9" t="s">
        <v>241</v>
      </c>
      <c r="E1384" s="7" t="s">
        <v>25</v>
      </c>
      <c r="F1384" s="7" t="s">
        <v>242</v>
      </c>
      <c r="G1384" s="7" t="s">
        <v>85</v>
      </c>
      <c r="H1384" s="7">
        <v>1987</v>
      </c>
      <c r="I1384" s="7">
        <v>16</v>
      </c>
      <c r="K1384" s="7">
        <v>7</v>
      </c>
      <c r="M1384" s="7">
        <v>1</v>
      </c>
      <c r="N1384" s="7">
        <v>1</v>
      </c>
      <c r="O1384" s="7">
        <v>41</v>
      </c>
      <c r="P1384" s="7">
        <v>41</v>
      </c>
      <c r="Q1384" s="7">
        <v>41</v>
      </c>
      <c r="R1384" s="7">
        <v>41</v>
      </c>
      <c r="T1384" s="12" t="s">
        <v>243</v>
      </c>
      <c r="V1384" cm="1">
        <f t="array" ref="V1384">_xlfn.LET(
_xlpm.x,_xlfn._xlws.FILTER(O1384:S1384,(O1384:S1384&lt;&gt;"R")*(O1384:S1384&lt;&gt;"NA")*(O1384:S1384&lt;&gt;"W")*(O1384:S1384&lt;&gt;"")),
IF(COUNTA(_xlpm.x)=0,"NA",IF(MIN(_xlpm.x)=MAX(_xlpm.x),MIN(_xlpm.x),"review"))
)</f>
        <v>41</v>
      </c>
    </row>
    <row r="1385" spans="1:22" ht="15.75" hidden="1" customHeight="1" x14ac:dyDescent="0.25">
      <c r="A1385" s="7" t="s">
        <v>240</v>
      </c>
      <c r="B1385" s="8">
        <v>8</v>
      </c>
      <c r="C1385" s="8" t="s">
        <v>70</v>
      </c>
      <c r="D1385" s="9" t="s">
        <v>241</v>
      </c>
      <c r="E1385" s="7" t="s">
        <v>25</v>
      </c>
      <c r="F1385" s="7" t="s">
        <v>242</v>
      </c>
      <c r="G1385" s="7" t="s">
        <v>85</v>
      </c>
      <c r="H1385" s="7">
        <v>1987</v>
      </c>
      <c r="I1385" s="7">
        <v>16</v>
      </c>
      <c r="K1385" s="7">
        <v>7</v>
      </c>
      <c r="M1385" s="7">
        <v>1</v>
      </c>
      <c r="N1385" s="7">
        <v>3</v>
      </c>
      <c r="O1385" s="7" t="s">
        <v>28</v>
      </c>
      <c r="P1385" s="7" t="s">
        <v>28</v>
      </c>
      <c r="Q1385" s="7">
        <v>52</v>
      </c>
      <c r="R1385" s="7">
        <v>52</v>
      </c>
      <c r="T1385" s="12"/>
      <c r="V1385" cm="1">
        <f t="array" ref="V1385">_xlfn.LET(
_xlpm.x,_xlfn._xlws.FILTER(O1385:S1385,(O1385:S1385&lt;&gt;"R")*(O1385:S1385&lt;&gt;"NA")*(O1385:S1385&lt;&gt;"W")*(O1385:S1385&lt;&gt;"")),
IF(COUNTA(_xlpm.x)=0,"NA",IF(MIN(_xlpm.x)=MAX(_xlpm.x),MIN(_xlpm.x),"review"))
)</f>
        <v>52</v>
      </c>
    </row>
    <row r="1386" spans="1:22" ht="15.75" hidden="1" customHeight="1" x14ac:dyDescent="0.25">
      <c r="A1386" s="7" t="s">
        <v>240</v>
      </c>
      <c r="B1386" s="8">
        <v>8</v>
      </c>
      <c r="C1386" s="8" t="s">
        <v>70</v>
      </c>
      <c r="D1386" s="9" t="s">
        <v>241</v>
      </c>
      <c r="E1386" s="7" t="s">
        <v>25</v>
      </c>
      <c r="F1386" s="7" t="s">
        <v>242</v>
      </c>
      <c r="G1386" s="7" t="s">
        <v>85</v>
      </c>
      <c r="H1386" s="7">
        <v>1987</v>
      </c>
      <c r="I1386" s="7">
        <v>16</v>
      </c>
      <c r="K1386" s="7">
        <v>7</v>
      </c>
      <c r="M1386" s="7">
        <v>1</v>
      </c>
      <c r="N1386" s="7">
        <v>6</v>
      </c>
      <c r="O1386" s="7">
        <v>52</v>
      </c>
      <c r="P1386" s="7">
        <v>52</v>
      </c>
      <c r="Q1386" s="7">
        <v>52</v>
      </c>
      <c r="R1386" s="7" t="s">
        <v>28</v>
      </c>
      <c r="T1386" s="12"/>
      <c r="V1386" cm="1">
        <f t="array" ref="V1386">_xlfn.LET(
_xlpm.x,_xlfn._xlws.FILTER(O1386:S1386,(O1386:S1386&lt;&gt;"R")*(O1386:S1386&lt;&gt;"NA")*(O1386:S1386&lt;&gt;"W")*(O1386:S1386&lt;&gt;"")),
IF(COUNTA(_xlpm.x)=0,"NA",IF(MIN(_xlpm.x)=MAX(_xlpm.x),MIN(_xlpm.x),"review"))
)</f>
        <v>52</v>
      </c>
    </row>
    <row r="1387" spans="1:22" ht="15.75" hidden="1" customHeight="1" x14ac:dyDescent="0.25">
      <c r="A1387" s="7" t="s">
        <v>240</v>
      </c>
      <c r="B1387" s="8">
        <v>8</v>
      </c>
      <c r="C1387" s="8" t="s">
        <v>70</v>
      </c>
      <c r="D1387" s="9" t="s">
        <v>241</v>
      </c>
      <c r="E1387" s="7" t="s">
        <v>25</v>
      </c>
      <c r="F1387" s="7" t="s">
        <v>242</v>
      </c>
      <c r="G1387" s="7" t="s">
        <v>85</v>
      </c>
      <c r="H1387" s="7">
        <v>1987</v>
      </c>
      <c r="I1387" s="7">
        <v>16</v>
      </c>
      <c r="K1387" s="7">
        <v>7</v>
      </c>
      <c r="M1387" s="7">
        <v>1</v>
      </c>
      <c r="N1387" s="7">
        <v>8</v>
      </c>
      <c r="O1387" s="7">
        <v>52</v>
      </c>
      <c r="P1387" s="7">
        <v>52</v>
      </c>
      <c r="Q1387" s="7">
        <v>52</v>
      </c>
      <c r="R1387" s="7">
        <v>52</v>
      </c>
      <c r="T1387" s="12"/>
      <c r="V1387" cm="1">
        <f t="array" ref="V1387">_xlfn.LET(
_xlpm.x,_xlfn._xlws.FILTER(O1387:S1387,(O1387:S1387&lt;&gt;"R")*(O1387:S1387&lt;&gt;"NA")*(O1387:S1387&lt;&gt;"W")*(O1387:S1387&lt;&gt;"")),
IF(COUNTA(_xlpm.x)=0,"NA",IF(MIN(_xlpm.x)=MAX(_xlpm.x),MIN(_xlpm.x),"review"))
)</f>
        <v>52</v>
      </c>
    </row>
    <row r="1388" spans="1:22" ht="15.75" hidden="1" customHeight="1" x14ac:dyDescent="0.25">
      <c r="A1388" s="7" t="s">
        <v>240</v>
      </c>
      <c r="B1388" s="8">
        <v>8</v>
      </c>
      <c r="C1388" s="8" t="s">
        <v>70</v>
      </c>
      <c r="D1388" s="9" t="s">
        <v>241</v>
      </c>
      <c r="E1388" s="7" t="s">
        <v>25</v>
      </c>
      <c r="F1388" s="7" t="s">
        <v>242</v>
      </c>
      <c r="G1388" s="7" t="s">
        <v>85</v>
      </c>
      <c r="H1388" s="7">
        <v>1987</v>
      </c>
      <c r="I1388" s="7">
        <v>16</v>
      </c>
      <c r="K1388" s="7">
        <v>7</v>
      </c>
      <c r="M1388" s="7">
        <v>1</v>
      </c>
      <c r="N1388" s="7">
        <v>11</v>
      </c>
      <c r="O1388" s="7" t="s">
        <v>28</v>
      </c>
      <c r="P1388" s="7" t="s">
        <v>28</v>
      </c>
      <c r="Q1388" s="7" t="s">
        <v>28</v>
      </c>
      <c r="R1388" s="7">
        <v>41</v>
      </c>
      <c r="T1388" s="12"/>
      <c r="V1388" cm="1">
        <f t="array" ref="V1388">_xlfn.LET(
_xlpm.x,_xlfn._xlws.FILTER(O1388:S1388,(O1388:S1388&lt;&gt;"R")*(O1388:S1388&lt;&gt;"NA")*(O1388:S1388&lt;&gt;"W")*(O1388:S1388&lt;&gt;"")),
IF(COUNTA(_xlpm.x)=0,"NA",IF(MIN(_xlpm.x)=MAX(_xlpm.x),MIN(_xlpm.x),"review"))
)</f>
        <v>41</v>
      </c>
    </row>
    <row r="1389" spans="1:22" ht="15.75" hidden="1" customHeight="1" x14ac:dyDescent="0.25">
      <c r="A1389" s="7" t="s">
        <v>240</v>
      </c>
      <c r="B1389" s="8">
        <v>8</v>
      </c>
      <c r="C1389" s="8" t="s">
        <v>70</v>
      </c>
      <c r="D1389" s="9" t="s">
        <v>241</v>
      </c>
      <c r="E1389" s="7" t="s">
        <v>25</v>
      </c>
      <c r="F1389" s="7" t="s">
        <v>242</v>
      </c>
      <c r="G1389" s="7" t="s">
        <v>85</v>
      </c>
      <c r="H1389" s="7">
        <v>1987</v>
      </c>
      <c r="I1389" s="7">
        <v>16</v>
      </c>
      <c r="K1389" s="7">
        <v>7</v>
      </c>
      <c r="M1389" s="7">
        <v>1</v>
      </c>
      <c r="N1389" s="7">
        <v>13</v>
      </c>
      <c r="O1389" s="7">
        <v>52</v>
      </c>
      <c r="P1389" s="7" t="s">
        <v>244</v>
      </c>
      <c r="Q1389" s="7">
        <v>52</v>
      </c>
      <c r="R1389" s="7">
        <v>52</v>
      </c>
      <c r="T1389" s="12"/>
      <c r="V1389" cm="1">
        <f t="array" ref="V1389">_xlfn.LET(
_xlpm.x,_xlfn._xlws.FILTER(O1389:S1389,(O1389:S1389&lt;&gt;"R")*(O1389:S1389&lt;&gt;"NA")*(O1389:S1389&lt;&gt;"W")*(O1389:S1389&lt;&gt;"")),
IF(COUNTA(_xlpm.x)=0,"NA",IF(MIN(_xlpm.x)=MAX(_xlpm.x),MIN(_xlpm.x),"review"))
)</f>
        <v>52</v>
      </c>
    </row>
    <row r="1390" spans="1:22" ht="15.75" hidden="1" customHeight="1" x14ac:dyDescent="0.25">
      <c r="A1390" s="7" t="s">
        <v>240</v>
      </c>
      <c r="B1390" s="8">
        <v>8</v>
      </c>
      <c r="C1390" s="8" t="s">
        <v>70</v>
      </c>
      <c r="D1390" s="9" t="s">
        <v>241</v>
      </c>
      <c r="E1390" s="7" t="s">
        <v>25</v>
      </c>
      <c r="F1390" s="7" t="s">
        <v>242</v>
      </c>
      <c r="G1390" s="7" t="s">
        <v>85</v>
      </c>
      <c r="H1390" s="7">
        <v>1987</v>
      </c>
      <c r="I1390" s="7">
        <v>16</v>
      </c>
      <c r="K1390" s="7">
        <v>7</v>
      </c>
      <c r="M1390" s="7">
        <v>1</v>
      </c>
      <c r="N1390" s="7">
        <v>16</v>
      </c>
      <c r="O1390" s="7" t="s">
        <v>244</v>
      </c>
      <c r="P1390" s="7" t="s">
        <v>28</v>
      </c>
      <c r="Q1390" s="7">
        <v>52</v>
      </c>
      <c r="R1390" s="7" t="s">
        <v>28</v>
      </c>
      <c r="T1390" s="12"/>
      <c r="V1390" cm="1">
        <f t="array" ref="V1390">_xlfn.LET(
_xlpm.x,_xlfn._xlws.FILTER(O1390:S1390,(O1390:S1390&lt;&gt;"R")*(O1390:S1390&lt;&gt;"NA")*(O1390:S1390&lt;&gt;"W")*(O1390:S1390&lt;&gt;"")),
IF(COUNTA(_xlpm.x)=0,"NA",IF(MIN(_xlpm.x)=MAX(_xlpm.x),MIN(_xlpm.x),"review"))
)</f>
        <v>52</v>
      </c>
    </row>
    <row r="1391" spans="1:22" ht="15.75" hidden="1" customHeight="1" x14ac:dyDescent="0.25">
      <c r="A1391" s="7" t="s">
        <v>240</v>
      </c>
      <c r="B1391" s="8">
        <v>8</v>
      </c>
      <c r="C1391" s="8" t="s">
        <v>70</v>
      </c>
      <c r="D1391" s="9" t="s">
        <v>241</v>
      </c>
      <c r="E1391" s="7" t="s">
        <v>25</v>
      </c>
      <c r="F1391" s="7" t="s">
        <v>242</v>
      </c>
      <c r="G1391" s="7" t="s">
        <v>85</v>
      </c>
      <c r="H1391" s="7">
        <v>1987</v>
      </c>
      <c r="I1391" s="7">
        <v>16</v>
      </c>
      <c r="K1391" s="7">
        <v>7</v>
      </c>
      <c r="M1391" s="7">
        <v>1</v>
      </c>
      <c r="N1391" s="7">
        <v>18</v>
      </c>
      <c r="O1391" s="7" t="s">
        <v>244</v>
      </c>
      <c r="P1391" s="7">
        <v>53</v>
      </c>
      <c r="Q1391" s="7" t="s">
        <v>245</v>
      </c>
      <c r="R1391" s="7">
        <v>53</v>
      </c>
      <c r="T1391" s="12"/>
      <c r="V1391" cm="1">
        <f t="array" ref="V1391">_xlfn.LET(
_xlpm.x,_xlfn._xlws.FILTER(O1391:S1391,(O1391:S1391&lt;&gt;"R")*(O1391:S1391&lt;&gt;"NA")*(O1391:S1391&lt;&gt;"W")*(O1391:S1391&lt;&gt;"")),
IF(COUNTA(_xlpm.x)=0,"NA",IF(MIN(_xlpm.x)=MAX(_xlpm.x),MIN(_xlpm.x),"review"))
)</f>
        <v>53</v>
      </c>
    </row>
    <row r="1392" spans="1:22" ht="15.75" hidden="1" customHeight="1" x14ac:dyDescent="0.25">
      <c r="A1392" s="7" t="s">
        <v>240</v>
      </c>
      <c r="B1392" s="8">
        <v>8</v>
      </c>
      <c r="C1392" s="8" t="s">
        <v>70</v>
      </c>
      <c r="D1392" s="9" t="s">
        <v>241</v>
      </c>
      <c r="E1392" s="7" t="s">
        <v>25</v>
      </c>
      <c r="F1392" s="7" t="s">
        <v>242</v>
      </c>
      <c r="G1392" s="7" t="s">
        <v>85</v>
      </c>
      <c r="H1392" s="7">
        <v>1987</v>
      </c>
      <c r="I1392" s="7">
        <v>16</v>
      </c>
      <c r="K1392" s="7">
        <v>7</v>
      </c>
      <c r="M1392" s="7">
        <v>1</v>
      </c>
      <c r="N1392" s="7">
        <v>21</v>
      </c>
      <c r="O1392" s="7" t="s">
        <v>246</v>
      </c>
      <c r="P1392" s="7">
        <v>42</v>
      </c>
      <c r="Q1392" s="7">
        <v>42</v>
      </c>
      <c r="R1392" s="7" t="s">
        <v>28</v>
      </c>
      <c r="T1392" s="12" t="s">
        <v>243</v>
      </c>
      <c r="V1392" cm="1">
        <f t="array" ref="V1392">_xlfn.LET(
_xlpm.x,_xlfn._xlws.FILTER(O1392:S1392,(O1392:S1392&lt;&gt;"R")*(O1392:S1392&lt;&gt;"NA")*(O1392:S1392&lt;&gt;"W")*(O1392:S1392&lt;&gt;"")),
IF(COUNTA(_xlpm.x)=0,"NA",IF(MIN(_xlpm.x)=MAX(_xlpm.x),MIN(_xlpm.x),"review"))
)</f>
        <v>42</v>
      </c>
    </row>
    <row r="1393" spans="1:22" ht="15.75" hidden="1" customHeight="1" x14ac:dyDescent="0.25">
      <c r="A1393" s="7" t="s">
        <v>240</v>
      </c>
      <c r="B1393" s="8">
        <v>8</v>
      </c>
      <c r="C1393" s="8" t="s">
        <v>70</v>
      </c>
      <c r="D1393" s="9" t="s">
        <v>241</v>
      </c>
      <c r="E1393" s="7" t="s">
        <v>25</v>
      </c>
      <c r="F1393" s="7" t="s">
        <v>242</v>
      </c>
      <c r="G1393" s="7" t="s">
        <v>85</v>
      </c>
      <c r="H1393" s="7">
        <v>1987</v>
      </c>
      <c r="I1393" s="7">
        <v>16</v>
      </c>
      <c r="K1393" s="7">
        <v>7</v>
      </c>
      <c r="M1393" s="7">
        <v>1</v>
      </c>
      <c r="N1393" s="7">
        <v>23</v>
      </c>
      <c r="O1393" s="7" t="s">
        <v>28</v>
      </c>
      <c r="P1393" s="7" t="s">
        <v>247</v>
      </c>
      <c r="Q1393" s="7">
        <v>63</v>
      </c>
      <c r="R1393" s="7" t="s">
        <v>28</v>
      </c>
      <c r="T1393" s="12" t="s">
        <v>248</v>
      </c>
      <c r="V1393" cm="1">
        <f t="array" ref="V1393">_xlfn.LET(
_xlpm.x,_xlfn._xlws.FILTER(O1393:S1393,(O1393:S1393&lt;&gt;"R")*(O1393:S1393&lt;&gt;"NA")*(O1393:S1393&lt;&gt;"W")*(O1393:S1393&lt;&gt;"")),
IF(COUNTA(_xlpm.x)=0,"NA",IF(MIN(_xlpm.x)=MAX(_xlpm.x),MIN(_xlpm.x),"review"))
)</f>
        <v>63</v>
      </c>
    </row>
    <row r="1394" spans="1:22" ht="15.75" hidden="1" customHeight="1" x14ac:dyDescent="0.25">
      <c r="A1394" s="7" t="s">
        <v>240</v>
      </c>
      <c r="B1394" s="8">
        <v>8</v>
      </c>
      <c r="C1394" s="8" t="s">
        <v>70</v>
      </c>
      <c r="D1394" s="9" t="s">
        <v>241</v>
      </c>
      <c r="E1394" s="7" t="s">
        <v>25</v>
      </c>
      <c r="F1394" s="7" t="s">
        <v>242</v>
      </c>
      <c r="G1394" s="7" t="s">
        <v>85</v>
      </c>
      <c r="H1394" s="7">
        <v>1987</v>
      </c>
      <c r="I1394" s="7">
        <v>16</v>
      </c>
      <c r="K1394" s="7">
        <v>7</v>
      </c>
      <c r="M1394" s="7">
        <v>2</v>
      </c>
      <c r="N1394" s="7">
        <v>1</v>
      </c>
      <c r="O1394" s="7" t="s">
        <v>244</v>
      </c>
      <c r="P1394" s="7" t="s">
        <v>244</v>
      </c>
      <c r="Q1394" s="7" t="s">
        <v>28</v>
      </c>
      <c r="R1394" s="7" t="s">
        <v>244</v>
      </c>
      <c r="T1394" s="12"/>
      <c r="V1394" t="s">
        <v>29</v>
      </c>
    </row>
    <row r="1395" spans="1:22" ht="15.75" hidden="1" customHeight="1" x14ac:dyDescent="0.25">
      <c r="A1395" s="7" t="s">
        <v>240</v>
      </c>
      <c r="B1395" s="8">
        <v>8</v>
      </c>
      <c r="C1395" s="8" t="s">
        <v>70</v>
      </c>
      <c r="D1395" s="9" t="s">
        <v>241</v>
      </c>
      <c r="E1395" s="7" t="s">
        <v>25</v>
      </c>
      <c r="F1395" s="7" t="s">
        <v>242</v>
      </c>
      <c r="G1395" s="7" t="s">
        <v>85</v>
      </c>
      <c r="H1395" s="7">
        <v>1987</v>
      </c>
      <c r="I1395" s="7">
        <v>16</v>
      </c>
      <c r="K1395" s="7">
        <v>7</v>
      </c>
      <c r="M1395" s="7">
        <v>2</v>
      </c>
      <c r="N1395" s="7">
        <v>3</v>
      </c>
      <c r="O1395" s="7" t="s">
        <v>28</v>
      </c>
      <c r="P1395" s="7" t="s">
        <v>28</v>
      </c>
      <c r="Q1395" s="7" t="s">
        <v>28</v>
      </c>
      <c r="R1395" s="7" t="s">
        <v>28</v>
      </c>
      <c r="T1395" s="12"/>
      <c r="V1395" t="s">
        <v>29</v>
      </c>
    </row>
    <row r="1396" spans="1:22" ht="15.75" hidden="1" customHeight="1" x14ac:dyDescent="0.25">
      <c r="A1396" s="7" t="s">
        <v>240</v>
      </c>
      <c r="B1396" s="8">
        <v>8</v>
      </c>
      <c r="C1396" s="8" t="s">
        <v>70</v>
      </c>
      <c r="D1396" s="9" t="s">
        <v>241</v>
      </c>
      <c r="E1396" s="7" t="s">
        <v>25</v>
      </c>
      <c r="F1396" s="7" t="s">
        <v>242</v>
      </c>
      <c r="G1396" s="7" t="s">
        <v>85</v>
      </c>
      <c r="H1396" s="7">
        <v>1987</v>
      </c>
      <c r="I1396" s="7">
        <v>16</v>
      </c>
      <c r="K1396" s="7">
        <v>7</v>
      </c>
      <c r="M1396" s="7">
        <v>2</v>
      </c>
      <c r="N1396" s="7">
        <v>6</v>
      </c>
      <c r="O1396" s="7" t="s">
        <v>244</v>
      </c>
      <c r="P1396" s="7">
        <v>42</v>
      </c>
      <c r="Q1396" s="7" t="s">
        <v>244</v>
      </c>
      <c r="R1396" s="7" t="s">
        <v>244</v>
      </c>
      <c r="T1396" s="12" t="s">
        <v>249</v>
      </c>
      <c r="V1396" cm="1">
        <f t="array" ref="V1396">_xlfn.LET(
_xlpm.x,_xlfn._xlws.FILTER(O1396:S1396,(O1396:S1396&lt;&gt;"R")*(O1396:S1396&lt;&gt;"NA")*(O1396:S1396&lt;&gt;"W")*(O1396:S1396&lt;&gt;"")),
IF(COUNTA(_xlpm.x)=0,"NA",IF(MIN(_xlpm.x)=MAX(_xlpm.x),MIN(_xlpm.x),"review"))
)</f>
        <v>42</v>
      </c>
    </row>
    <row r="1397" spans="1:22" ht="15.75" hidden="1" customHeight="1" x14ac:dyDescent="0.25">
      <c r="A1397" s="7" t="s">
        <v>240</v>
      </c>
      <c r="B1397" s="8">
        <v>8</v>
      </c>
      <c r="C1397" s="8" t="s">
        <v>70</v>
      </c>
      <c r="D1397" s="9" t="s">
        <v>241</v>
      </c>
      <c r="E1397" s="7" t="s">
        <v>25</v>
      </c>
      <c r="F1397" s="7" t="s">
        <v>242</v>
      </c>
      <c r="G1397" s="7" t="s">
        <v>85</v>
      </c>
      <c r="H1397" s="7">
        <v>1987</v>
      </c>
      <c r="I1397" s="7">
        <v>16</v>
      </c>
      <c r="K1397" s="7">
        <v>7</v>
      </c>
      <c r="M1397" s="7">
        <v>2</v>
      </c>
      <c r="N1397" s="7">
        <v>8</v>
      </c>
      <c r="O1397" s="7" t="s">
        <v>28</v>
      </c>
      <c r="P1397" s="7" t="s">
        <v>244</v>
      </c>
      <c r="Q1397" s="7" t="s">
        <v>244</v>
      </c>
      <c r="R1397" s="7" t="s">
        <v>28</v>
      </c>
      <c r="T1397" s="12"/>
      <c r="V1397" t="s">
        <v>29</v>
      </c>
    </row>
    <row r="1398" spans="1:22" ht="15.75" hidden="1" customHeight="1" x14ac:dyDescent="0.25">
      <c r="A1398" s="7" t="s">
        <v>240</v>
      </c>
      <c r="B1398" s="8">
        <v>8</v>
      </c>
      <c r="C1398" s="8" t="s">
        <v>70</v>
      </c>
      <c r="D1398" s="9" t="s">
        <v>241</v>
      </c>
      <c r="E1398" s="7" t="s">
        <v>25</v>
      </c>
      <c r="F1398" s="7" t="s">
        <v>242</v>
      </c>
      <c r="G1398" s="7" t="s">
        <v>85</v>
      </c>
      <c r="H1398" s="7">
        <v>1987</v>
      </c>
      <c r="I1398" s="7">
        <v>16</v>
      </c>
      <c r="K1398" s="7">
        <v>7</v>
      </c>
      <c r="M1398" s="7">
        <v>2</v>
      </c>
      <c r="N1398" s="7">
        <v>11</v>
      </c>
      <c r="O1398" s="7" t="s">
        <v>244</v>
      </c>
      <c r="P1398" s="7" t="s">
        <v>28</v>
      </c>
      <c r="Q1398" s="7" t="s">
        <v>244</v>
      </c>
      <c r="R1398" s="7" t="s">
        <v>244</v>
      </c>
      <c r="T1398" s="12"/>
      <c r="V1398" t="s">
        <v>29</v>
      </c>
    </row>
    <row r="1399" spans="1:22" ht="15.75" hidden="1" customHeight="1" x14ac:dyDescent="0.25">
      <c r="A1399" s="7" t="s">
        <v>240</v>
      </c>
      <c r="B1399" s="8">
        <v>8</v>
      </c>
      <c r="C1399" s="8" t="s">
        <v>70</v>
      </c>
      <c r="D1399" s="9" t="s">
        <v>241</v>
      </c>
      <c r="E1399" s="7" t="s">
        <v>25</v>
      </c>
      <c r="F1399" s="7" t="s">
        <v>242</v>
      </c>
      <c r="G1399" s="7" t="s">
        <v>85</v>
      </c>
      <c r="H1399" s="7">
        <v>1987</v>
      </c>
      <c r="I1399" s="7">
        <v>16</v>
      </c>
      <c r="K1399" s="7">
        <v>7</v>
      </c>
      <c r="M1399" s="7">
        <v>2</v>
      </c>
      <c r="N1399" s="7">
        <v>13</v>
      </c>
      <c r="O1399" s="7" t="s">
        <v>247</v>
      </c>
      <c r="P1399" s="7" t="s">
        <v>28</v>
      </c>
      <c r="Q1399" s="7" t="s">
        <v>244</v>
      </c>
      <c r="R1399" s="7" t="s">
        <v>244</v>
      </c>
      <c r="T1399" s="12"/>
      <c r="V1399" t="s">
        <v>29</v>
      </c>
    </row>
    <row r="1400" spans="1:22" ht="15.75" hidden="1" customHeight="1" x14ac:dyDescent="0.25">
      <c r="A1400" s="7" t="s">
        <v>240</v>
      </c>
      <c r="B1400" s="8">
        <v>8</v>
      </c>
      <c r="C1400" s="8" t="s">
        <v>70</v>
      </c>
      <c r="D1400" s="9" t="s">
        <v>241</v>
      </c>
      <c r="E1400" s="7" t="s">
        <v>25</v>
      </c>
      <c r="F1400" s="7" t="s">
        <v>242</v>
      </c>
      <c r="G1400" s="7" t="s">
        <v>85</v>
      </c>
      <c r="H1400" s="7">
        <v>1987</v>
      </c>
      <c r="I1400" s="7">
        <v>16</v>
      </c>
      <c r="K1400" s="7">
        <v>7</v>
      </c>
      <c r="M1400" s="7">
        <v>2</v>
      </c>
      <c r="N1400" s="7">
        <v>16</v>
      </c>
      <c r="O1400" s="7" t="s">
        <v>244</v>
      </c>
      <c r="P1400" s="7" t="s">
        <v>246</v>
      </c>
      <c r="Q1400" s="7" t="s">
        <v>244</v>
      </c>
      <c r="R1400" s="7" t="s">
        <v>244</v>
      </c>
      <c r="T1400" s="12"/>
      <c r="V1400" t="s">
        <v>29</v>
      </c>
    </row>
    <row r="1401" spans="1:22" ht="15.75" hidden="1" customHeight="1" x14ac:dyDescent="0.25">
      <c r="A1401" s="7" t="s">
        <v>240</v>
      </c>
      <c r="B1401" s="8">
        <v>8</v>
      </c>
      <c r="C1401" s="8" t="s">
        <v>70</v>
      </c>
      <c r="D1401" s="9" t="s">
        <v>241</v>
      </c>
      <c r="E1401" s="7" t="s">
        <v>25</v>
      </c>
      <c r="F1401" s="7" t="s">
        <v>242</v>
      </c>
      <c r="G1401" s="7" t="s">
        <v>85</v>
      </c>
      <c r="H1401" s="7">
        <v>1987</v>
      </c>
      <c r="I1401" s="7">
        <v>16</v>
      </c>
      <c r="K1401" s="7">
        <v>7</v>
      </c>
      <c r="M1401" s="7">
        <v>2</v>
      </c>
      <c r="N1401" s="7">
        <v>18</v>
      </c>
      <c r="O1401" s="7" t="s">
        <v>28</v>
      </c>
      <c r="P1401" s="7" t="s">
        <v>28</v>
      </c>
      <c r="Q1401" s="7" t="s">
        <v>28</v>
      </c>
      <c r="R1401" s="7" t="s">
        <v>28</v>
      </c>
      <c r="T1401" s="12"/>
      <c r="V1401" t="s">
        <v>29</v>
      </c>
    </row>
    <row r="1402" spans="1:22" ht="15.75" hidden="1" customHeight="1" x14ac:dyDescent="0.25">
      <c r="A1402" s="7" t="s">
        <v>240</v>
      </c>
      <c r="B1402" s="8">
        <v>8</v>
      </c>
      <c r="C1402" s="8" t="s">
        <v>70</v>
      </c>
      <c r="D1402" s="9" t="s">
        <v>241</v>
      </c>
      <c r="E1402" s="7" t="s">
        <v>25</v>
      </c>
      <c r="F1402" s="7" t="s">
        <v>242</v>
      </c>
      <c r="G1402" s="7" t="s">
        <v>85</v>
      </c>
      <c r="H1402" s="7">
        <v>1987</v>
      </c>
      <c r="I1402" s="7">
        <v>16</v>
      </c>
      <c r="K1402" s="7">
        <v>7</v>
      </c>
      <c r="M1402" s="7">
        <v>2</v>
      </c>
      <c r="N1402" s="7">
        <v>21</v>
      </c>
      <c r="O1402" s="7" t="s">
        <v>28</v>
      </c>
      <c r="P1402" s="7" t="s">
        <v>245</v>
      </c>
      <c r="Q1402" s="7" t="s">
        <v>247</v>
      </c>
      <c r="R1402" s="7" t="s">
        <v>247</v>
      </c>
      <c r="T1402" s="12"/>
      <c r="V1402" t="s">
        <v>29</v>
      </c>
    </row>
    <row r="1403" spans="1:22" ht="15.75" hidden="1" customHeight="1" x14ac:dyDescent="0.25">
      <c r="A1403" s="7" t="s">
        <v>240</v>
      </c>
      <c r="B1403" s="8">
        <v>8</v>
      </c>
      <c r="C1403" s="8" t="s">
        <v>70</v>
      </c>
      <c r="D1403" s="9" t="s">
        <v>241</v>
      </c>
      <c r="E1403" s="7" t="s">
        <v>25</v>
      </c>
      <c r="F1403" s="7" t="s">
        <v>242</v>
      </c>
      <c r="G1403" s="7" t="s">
        <v>85</v>
      </c>
      <c r="H1403" s="7">
        <v>1987</v>
      </c>
      <c r="I1403" s="7">
        <v>16</v>
      </c>
      <c r="K1403" s="7">
        <v>7</v>
      </c>
      <c r="M1403" s="7">
        <v>2</v>
      </c>
      <c r="N1403" s="7">
        <v>23</v>
      </c>
      <c r="O1403" s="7">
        <v>52</v>
      </c>
      <c r="P1403" s="7" t="s">
        <v>244</v>
      </c>
      <c r="Q1403" s="7">
        <v>52</v>
      </c>
      <c r="R1403" s="7">
        <v>52</v>
      </c>
      <c r="T1403" s="12"/>
      <c r="V1403" cm="1">
        <f t="array" ref="V1403">_xlfn.LET(
_xlpm.x,_xlfn._xlws.FILTER(O1403:S1403,(O1403:S1403&lt;&gt;"R")*(O1403:S1403&lt;&gt;"NA")*(O1403:S1403&lt;&gt;"W")*(O1403:S1403&lt;&gt;"")),
IF(COUNTA(_xlpm.x)=0,"NA",IF(MIN(_xlpm.x)=MAX(_xlpm.x),MIN(_xlpm.x),"review"))
)</f>
        <v>52</v>
      </c>
    </row>
    <row r="1404" spans="1:22" ht="15.75" customHeight="1" x14ac:dyDescent="0.25">
      <c r="B1404" s="8"/>
      <c r="C1404" s="8"/>
      <c r="D1404" s="9"/>
      <c r="T1404" s="12"/>
    </row>
    <row r="1405" spans="1:22" ht="15.75" customHeight="1" x14ac:dyDescent="0.25">
      <c r="B1405" s="8"/>
      <c r="C1405" s="8"/>
      <c r="D1405" s="9"/>
      <c r="T1405" s="12"/>
    </row>
    <row r="1406" spans="1:22" ht="15.75" customHeight="1" x14ac:dyDescent="0.25">
      <c r="B1406" s="8"/>
      <c r="C1406" s="8"/>
      <c r="D1406" s="9"/>
      <c r="T1406" s="12"/>
    </row>
    <row r="1407" spans="1:22" ht="15.75" customHeight="1" x14ac:dyDescent="0.25">
      <c r="B1407" s="8"/>
      <c r="C1407" s="8"/>
      <c r="D1407" s="9"/>
      <c r="T1407" s="12"/>
    </row>
    <row r="1408" spans="1:22" ht="15.75" customHeight="1" x14ac:dyDescent="0.25">
      <c r="B1408" s="8"/>
      <c r="C1408" s="8"/>
      <c r="D1408" s="9"/>
      <c r="T1408" s="12"/>
    </row>
    <row r="1409" spans="2:20" ht="15.75" customHeight="1" x14ac:dyDescent="0.25">
      <c r="B1409" s="8"/>
      <c r="C1409" s="8"/>
      <c r="D1409" s="9"/>
      <c r="T1409" s="12"/>
    </row>
    <row r="1410" spans="2:20" ht="15.75" customHeight="1" x14ac:dyDescent="0.25">
      <c r="B1410" s="8"/>
      <c r="C1410" s="8"/>
      <c r="D1410" s="9"/>
      <c r="T1410" s="12"/>
    </row>
    <row r="1411" spans="2:20" ht="15.75" customHeight="1" x14ac:dyDescent="0.25">
      <c r="B1411" s="8"/>
      <c r="C1411" s="8"/>
      <c r="D1411" s="9"/>
      <c r="T1411" s="12"/>
    </row>
    <row r="1412" spans="2:20" ht="15.75" customHeight="1" x14ac:dyDescent="0.25">
      <c r="B1412" s="8"/>
      <c r="C1412" s="8"/>
      <c r="D1412" s="9"/>
      <c r="T1412" s="12"/>
    </row>
    <row r="1413" spans="2:20" ht="15.75" customHeight="1" x14ac:dyDescent="0.25">
      <c r="B1413" s="8"/>
      <c r="C1413" s="8"/>
      <c r="D1413" s="9"/>
      <c r="T1413" s="12"/>
    </row>
    <row r="1414" spans="2:20" ht="15.75" customHeight="1" x14ac:dyDescent="0.25">
      <c r="B1414" s="8"/>
      <c r="C1414" s="8"/>
      <c r="D1414" s="9"/>
      <c r="T1414" s="12"/>
    </row>
    <row r="1415" spans="2:20" ht="15.75" customHeight="1" x14ac:dyDescent="0.25">
      <c r="B1415" s="8"/>
      <c r="C1415" s="8"/>
      <c r="D1415" s="9"/>
      <c r="T1415" s="12"/>
    </row>
    <row r="1416" spans="2:20" ht="15.75" customHeight="1" x14ac:dyDescent="0.25">
      <c r="B1416" s="8"/>
      <c r="C1416" s="8"/>
      <c r="D1416" s="9"/>
      <c r="T1416" s="12"/>
    </row>
    <row r="1417" spans="2:20" ht="15.75" customHeight="1" x14ac:dyDescent="0.25">
      <c r="B1417" s="8"/>
      <c r="C1417" s="8"/>
      <c r="D1417" s="9"/>
      <c r="T1417" s="12"/>
    </row>
    <row r="1418" spans="2:20" ht="15.75" customHeight="1" x14ac:dyDescent="0.25">
      <c r="B1418" s="8"/>
      <c r="C1418" s="8"/>
      <c r="D1418" s="9"/>
      <c r="T1418" s="12"/>
    </row>
    <row r="1419" spans="2:20" ht="15.75" customHeight="1" x14ac:dyDescent="0.25">
      <c r="B1419" s="8"/>
      <c r="C1419" s="8"/>
      <c r="D1419" s="9"/>
      <c r="T1419" s="12"/>
    </row>
    <row r="1420" spans="2:20" ht="15.75" customHeight="1" x14ac:dyDescent="0.25">
      <c r="B1420" s="8"/>
      <c r="C1420" s="8"/>
      <c r="D1420" s="9"/>
      <c r="T1420" s="12"/>
    </row>
    <row r="1421" spans="2:20" ht="15.75" customHeight="1" x14ac:dyDescent="0.25">
      <c r="B1421" s="8"/>
      <c r="C1421" s="8"/>
      <c r="D1421" s="9"/>
      <c r="T1421" s="12"/>
    </row>
    <row r="1422" spans="2:20" ht="15.75" customHeight="1" x14ac:dyDescent="0.25">
      <c r="B1422" s="8"/>
      <c r="C1422" s="8"/>
      <c r="D1422" s="9"/>
      <c r="T1422" s="12"/>
    </row>
    <row r="1423" spans="2:20" ht="15.75" customHeight="1" x14ac:dyDescent="0.25">
      <c r="B1423" s="8"/>
      <c r="C1423" s="8"/>
      <c r="D1423" s="9"/>
      <c r="T1423" s="12"/>
    </row>
    <row r="1424" spans="2:20" ht="15.75" customHeight="1" x14ac:dyDescent="0.25">
      <c r="B1424" s="8"/>
      <c r="C1424" s="8"/>
      <c r="D1424" s="9"/>
      <c r="T1424" s="12"/>
    </row>
    <row r="1425" spans="2:20" ht="15.75" customHeight="1" x14ac:dyDescent="0.25">
      <c r="B1425" s="8"/>
      <c r="C1425" s="8"/>
      <c r="D1425" s="9"/>
      <c r="T1425" s="12"/>
    </row>
    <row r="1426" spans="2:20" ht="15.75" customHeight="1" x14ac:dyDescent="0.25">
      <c r="B1426" s="8"/>
      <c r="C1426" s="8"/>
      <c r="D1426" s="9"/>
      <c r="T1426" s="12"/>
    </row>
    <row r="1427" spans="2:20" ht="15.75" customHeight="1" x14ac:dyDescent="0.25">
      <c r="B1427" s="8"/>
      <c r="C1427" s="8"/>
      <c r="D1427" s="9"/>
      <c r="T1427" s="12"/>
    </row>
    <row r="1428" spans="2:20" ht="15.75" customHeight="1" x14ac:dyDescent="0.25">
      <c r="B1428" s="8"/>
      <c r="C1428" s="8"/>
      <c r="D1428" s="9"/>
      <c r="T1428" s="12"/>
    </row>
    <row r="1429" spans="2:20" ht="15.75" customHeight="1" x14ac:dyDescent="0.25">
      <c r="B1429" s="8"/>
      <c r="C1429" s="8"/>
      <c r="D1429" s="9"/>
      <c r="T1429" s="12"/>
    </row>
    <row r="1430" spans="2:20" ht="15.75" customHeight="1" x14ac:dyDescent="0.25">
      <c r="B1430" s="8"/>
      <c r="C1430" s="8"/>
      <c r="D1430" s="9"/>
      <c r="T1430" s="12"/>
    </row>
    <row r="1431" spans="2:20" ht="15.75" customHeight="1" x14ac:dyDescent="0.25">
      <c r="B1431" s="8"/>
      <c r="C1431" s="8"/>
      <c r="D1431" s="9"/>
      <c r="T1431" s="12"/>
    </row>
    <row r="1432" spans="2:20" ht="15.75" customHeight="1" x14ac:dyDescent="0.25">
      <c r="B1432" s="8"/>
      <c r="C1432" s="8"/>
      <c r="D1432" s="9"/>
      <c r="T1432" s="12"/>
    </row>
    <row r="1433" spans="2:20" ht="15.75" customHeight="1" x14ac:dyDescent="0.25">
      <c r="B1433" s="8"/>
      <c r="C1433" s="8"/>
      <c r="D1433" s="9"/>
      <c r="T1433" s="12"/>
    </row>
    <row r="1434" spans="2:20" ht="15.75" customHeight="1" x14ac:dyDescent="0.25">
      <c r="B1434" s="8"/>
      <c r="C1434" s="8"/>
      <c r="D1434" s="9"/>
      <c r="T1434" s="12"/>
    </row>
    <row r="1435" spans="2:20" ht="15.75" customHeight="1" x14ac:dyDescent="0.25">
      <c r="B1435" s="8"/>
      <c r="C1435" s="8"/>
      <c r="D1435" s="9"/>
      <c r="T1435" s="12"/>
    </row>
    <row r="1436" spans="2:20" ht="15.75" customHeight="1" x14ac:dyDescent="0.25">
      <c r="B1436" s="8"/>
      <c r="C1436" s="8"/>
      <c r="D1436" s="9"/>
      <c r="T1436" s="12"/>
    </row>
    <row r="1437" spans="2:20" ht="15.75" customHeight="1" x14ac:dyDescent="0.25">
      <c r="B1437" s="8"/>
      <c r="C1437" s="8"/>
      <c r="D1437" s="9"/>
      <c r="T1437" s="12"/>
    </row>
    <row r="1438" spans="2:20" ht="15.75" customHeight="1" x14ac:dyDescent="0.25">
      <c r="B1438" s="8"/>
      <c r="C1438" s="8"/>
      <c r="D1438" s="9"/>
      <c r="T1438" s="12"/>
    </row>
    <row r="1439" spans="2:20" ht="15.75" customHeight="1" x14ac:dyDescent="0.25">
      <c r="B1439" s="8"/>
      <c r="C1439" s="8"/>
      <c r="D1439" s="9"/>
      <c r="T1439" s="12"/>
    </row>
    <row r="1440" spans="2:20" ht="15.75" customHeight="1" x14ac:dyDescent="0.25">
      <c r="B1440" s="8"/>
      <c r="C1440" s="8"/>
      <c r="D1440" s="9"/>
      <c r="T1440" s="12"/>
    </row>
    <row r="1441" spans="2:20" ht="15.75" customHeight="1" x14ac:dyDescent="0.25">
      <c r="B1441" s="8"/>
      <c r="C1441" s="8"/>
      <c r="D1441" s="9"/>
      <c r="T1441" s="12"/>
    </row>
    <row r="1442" spans="2:20" ht="15.75" customHeight="1" x14ac:dyDescent="0.25">
      <c r="B1442" s="8"/>
      <c r="C1442" s="8"/>
      <c r="D1442" s="9"/>
      <c r="T1442" s="12"/>
    </row>
    <row r="1443" spans="2:20" ht="15.75" customHeight="1" x14ac:dyDescent="0.25">
      <c r="B1443" s="8"/>
      <c r="C1443" s="8"/>
      <c r="D1443" s="9"/>
      <c r="T1443" s="12"/>
    </row>
    <row r="1444" spans="2:20" ht="15.75" customHeight="1" x14ac:dyDescent="0.25">
      <c r="B1444" s="8"/>
      <c r="C1444" s="8"/>
      <c r="D1444" s="9"/>
      <c r="T1444" s="12"/>
    </row>
    <row r="1445" spans="2:20" ht="15.75" customHeight="1" x14ac:dyDescent="0.25">
      <c r="B1445" s="8"/>
      <c r="C1445" s="8"/>
      <c r="D1445" s="9"/>
      <c r="T1445" s="12"/>
    </row>
    <row r="1446" spans="2:20" ht="15.75" customHeight="1" x14ac:dyDescent="0.25">
      <c r="B1446" s="8"/>
      <c r="C1446" s="8"/>
      <c r="D1446" s="9"/>
      <c r="T1446" s="12"/>
    </row>
    <row r="1447" spans="2:20" ht="15.75" customHeight="1" x14ac:dyDescent="0.25">
      <c r="B1447" s="8"/>
      <c r="C1447" s="8"/>
      <c r="D1447" s="9"/>
      <c r="T1447" s="12"/>
    </row>
    <row r="1448" spans="2:20" ht="15.75" customHeight="1" x14ac:dyDescent="0.25">
      <c r="B1448" s="8"/>
      <c r="C1448" s="8"/>
      <c r="D1448" s="9"/>
      <c r="T1448" s="12"/>
    </row>
    <row r="1449" spans="2:20" ht="15.75" customHeight="1" x14ac:dyDescent="0.25">
      <c r="B1449" s="8"/>
      <c r="C1449" s="8"/>
      <c r="D1449" s="9"/>
      <c r="T1449" s="12"/>
    </row>
    <row r="1450" spans="2:20" ht="15.75" customHeight="1" x14ac:dyDescent="0.25">
      <c r="B1450" s="8"/>
      <c r="C1450" s="8"/>
      <c r="D1450" s="9"/>
      <c r="T1450" s="12"/>
    </row>
    <row r="1451" spans="2:20" ht="15.75" customHeight="1" x14ac:dyDescent="0.25">
      <c r="B1451" s="8"/>
      <c r="C1451" s="8"/>
      <c r="D1451" s="9"/>
      <c r="T1451" s="12"/>
    </row>
    <row r="1452" spans="2:20" ht="15.75" customHeight="1" x14ac:dyDescent="0.25">
      <c r="B1452" s="8"/>
      <c r="C1452" s="8"/>
      <c r="D1452" s="9"/>
      <c r="T1452" s="12"/>
    </row>
    <row r="1453" spans="2:20" ht="15.75" customHeight="1" x14ac:dyDescent="0.25">
      <c r="B1453" s="8"/>
      <c r="C1453" s="8"/>
      <c r="D1453" s="9"/>
      <c r="T1453" s="12"/>
    </row>
    <row r="1454" spans="2:20" ht="15.75" customHeight="1" x14ac:dyDescent="0.25">
      <c r="B1454" s="8"/>
      <c r="C1454" s="8"/>
      <c r="D1454" s="9"/>
      <c r="T1454" s="12"/>
    </row>
    <row r="1455" spans="2:20" ht="15.75" customHeight="1" x14ac:dyDescent="0.25">
      <c r="B1455" s="8"/>
      <c r="C1455" s="8"/>
      <c r="D1455" s="9"/>
      <c r="T1455" s="12"/>
    </row>
    <row r="1456" spans="2:20" ht="15.75" customHeight="1" x14ac:dyDescent="0.25">
      <c r="B1456" s="8"/>
      <c r="C1456" s="8"/>
      <c r="D1456" s="9"/>
      <c r="T1456" s="12"/>
    </row>
    <row r="1457" spans="2:20" ht="15.75" customHeight="1" x14ac:dyDescent="0.25">
      <c r="B1457" s="8"/>
      <c r="C1457" s="8"/>
      <c r="D1457" s="9"/>
      <c r="T1457" s="12"/>
    </row>
    <row r="1458" spans="2:20" ht="15.75" customHeight="1" x14ac:dyDescent="0.25">
      <c r="B1458" s="8"/>
      <c r="C1458" s="8"/>
      <c r="D1458" s="9"/>
      <c r="T1458" s="12"/>
    </row>
    <row r="1459" spans="2:20" ht="15.75" customHeight="1" x14ac:dyDescent="0.25">
      <c r="B1459" s="8"/>
      <c r="C1459" s="8"/>
      <c r="D1459" s="9"/>
      <c r="T1459" s="12"/>
    </row>
    <row r="1460" spans="2:20" ht="15.75" customHeight="1" x14ac:dyDescent="0.25">
      <c r="B1460" s="8"/>
      <c r="C1460" s="8"/>
      <c r="D1460" s="9"/>
      <c r="T1460" s="12"/>
    </row>
    <row r="1461" spans="2:20" ht="15.75" customHeight="1" x14ac:dyDescent="0.25">
      <c r="B1461" s="8"/>
      <c r="C1461" s="8"/>
      <c r="D1461" s="9"/>
      <c r="T1461" s="12"/>
    </row>
    <row r="1462" spans="2:20" ht="15.75" customHeight="1" x14ac:dyDescent="0.25">
      <c r="B1462" s="8"/>
      <c r="C1462" s="8"/>
      <c r="D1462" s="9"/>
      <c r="T1462" s="12"/>
    </row>
    <row r="1463" spans="2:20" ht="15.75" customHeight="1" x14ac:dyDescent="0.25">
      <c r="B1463" s="8"/>
      <c r="C1463" s="8"/>
      <c r="D1463" s="9"/>
      <c r="T1463" s="12"/>
    </row>
    <row r="1464" spans="2:20" ht="15.75" customHeight="1" x14ac:dyDescent="0.25">
      <c r="B1464" s="8"/>
      <c r="C1464" s="8"/>
      <c r="D1464" s="9"/>
      <c r="T1464" s="12"/>
    </row>
    <row r="1465" spans="2:20" ht="15.75" customHeight="1" x14ac:dyDescent="0.25">
      <c r="B1465" s="8"/>
      <c r="C1465" s="8"/>
      <c r="D1465" s="9"/>
      <c r="T1465" s="12"/>
    </row>
    <row r="1466" spans="2:20" ht="15.75" customHeight="1" x14ac:dyDescent="0.25">
      <c r="B1466" s="8"/>
      <c r="C1466" s="8"/>
      <c r="D1466" s="9"/>
      <c r="T1466" s="12"/>
    </row>
    <row r="1467" spans="2:20" ht="15.75" customHeight="1" x14ac:dyDescent="0.25">
      <c r="B1467" s="8"/>
      <c r="C1467" s="8"/>
      <c r="D1467" s="9"/>
      <c r="T1467" s="12"/>
    </row>
    <row r="1468" spans="2:20" ht="15.75" customHeight="1" x14ac:dyDescent="0.25">
      <c r="B1468" s="8"/>
      <c r="C1468" s="8"/>
      <c r="D1468" s="9"/>
      <c r="T1468" s="12"/>
    </row>
    <row r="1469" spans="2:20" ht="15.75" customHeight="1" x14ac:dyDescent="0.25">
      <c r="B1469" s="8"/>
      <c r="C1469" s="8"/>
      <c r="D1469" s="9"/>
      <c r="T1469" s="12"/>
    </row>
    <row r="1470" spans="2:20" ht="15.75" customHeight="1" x14ac:dyDescent="0.25">
      <c r="B1470" s="8"/>
      <c r="C1470" s="8"/>
      <c r="D1470" s="9"/>
      <c r="T1470" s="12"/>
    </row>
    <row r="1471" spans="2:20" ht="15.75" customHeight="1" x14ac:dyDescent="0.25">
      <c r="B1471" s="8"/>
      <c r="C1471" s="8"/>
      <c r="D1471" s="9"/>
      <c r="T1471" s="12"/>
    </row>
    <row r="1472" spans="2:20" ht="15.75" customHeight="1" x14ac:dyDescent="0.25">
      <c r="B1472" s="8"/>
      <c r="C1472" s="8"/>
      <c r="D1472" s="9"/>
      <c r="T1472" s="12"/>
    </row>
    <row r="1473" spans="2:20" ht="15.75" customHeight="1" x14ac:dyDescent="0.25">
      <c r="B1473" s="8"/>
      <c r="C1473" s="8"/>
      <c r="D1473" s="9"/>
      <c r="T1473" s="12"/>
    </row>
    <row r="1474" spans="2:20" ht="15.75" customHeight="1" x14ac:dyDescent="0.25">
      <c r="B1474" s="8"/>
      <c r="C1474" s="8"/>
      <c r="D1474" s="9"/>
      <c r="T1474" s="12"/>
    </row>
    <row r="1475" spans="2:20" ht="15.75" customHeight="1" x14ac:dyDescent="0.25">
      <c r="B1475" s="8"/>
      <c r="C1475" s="8"/>
      <c r="D1475" s="9"/>
      <c r="T1475" s="12"/>
    </row>
    <row r="1476" spans="2:20" ht="15.75" customHeight="1" x14ac:dyDescent="0.25">
      <c r="B1476" s="8"/>
      <c r="C1476" s="8"/>
      <c r="D1476" s="9"/>
      <c r="T1476" s="12"/>
    </row>
    <row r="1477" spans="2:20" ht="15.75" customHeight="1" x14ac:dyDescent="0.25">
      <c r="B1477" s="8"/>
      <c r="C1477" s="8"/>
      <c r="D1477" s="9"/>
      <c r="T1477" s="12"/>
    </row>
    <row r="1478" spans="2:20" ht="15.75" customHeight="1" x14ac:dyDescent="0.25">
      <c r="B1478" s="8"/>
      <c r="C1478" s="8"/>
      <c r="D1478" s="9"/>
      <c r="T1478" s="12"/>
    </row>
    <row r="1479" spans="2:20" ht="15.75" customHeight="1" x14ac:dyDescent="0.25">
      <c r="B1479" s="8"/>
      <c r="C1479" s="8"/>
      <c r="D1479" s="9"/>
      <c r="T1479" s="12"/>
    </row>
    <row r="1480" spans="2:20" ht="15.75" customHeight="1" x14ac:dyDescent="0.25">
      <c r="B1480" s="8"/>
      <c r="C1480" s="8"/>
      <c r="D1480" s="9"/>
      <c r="T1480" s="12"/>
    </row>
    <row r="1481" spans="2:20" ht="15.75" customHeight="1" x14ac:dyDescent="0.25">
      <c r="B1481" s="8"/>
      <c r="C1481" s="8"/>
      <c r="D1481" s="9"/>
      <c r="T1481" s="12"/>
    </row>
    <row r="1482" spans="2:20" ht="15.75" customHeight="1" x14ac:dyDescent="0.25">
      <c r="B1482" s="8"/>
      <c r="C1482" s="8"/>
      <c r="D1482" s="9"/>
      <c r="T1482" s="12"/>
    </row>
    <row r="1483" spans="2:20" ht="15.75" customHeight="1" x14ac:dyDescent="0.25">
      <c r="B1483" s="8"/>
      <c r="C1483" s="8"/>
      <c r="D1483" s="9"/>
      <c r="T1483" s="12"/>
    </row>
    <row r="1484" spans="2:20" ht="15.75" customHeight="1" x14ac:dyDescent="0.25">
      <c r="B1484" s="8"/>
      <c r="C1484" s="8"/>
      <c r="D1484" s="9"/>
      <c r="T1484" s="12"/>
    </row>
    <row r="1485" spans="2:20" ht="15.75" customHeight="1" x14ac:dyDescent="0.25">
      <c r="B1485" s="8"/>
      <c r="C1485" s="8"/>
      <c r="D1485" s="9"/>
      <c r="T1485" s="12"/>
    </row>
    <row r="1486" spans="2:20" ht="15.75" customHeight="1" x14ac:dyDescent="0.25">
      <c r="B1486" s="8"/>
      <c r="C1486" s="8"/>
      <c r="D1486" s="9"/>
      <c r="T1486" s="12"/>
    </row>
    <row r="1487" spans="2:20" ht="15.75" customHeight="1" x14ac:dyDescent="0.25">
      <c r="B1487" s="8"/>
      <c r="C1487" s="8"/>
      <c r="D1487" s="9"/>
      <c r="T1487" s="12"/>
    </row>
    <row r="1488" spans="2:20" ht="15.75" customHeight="1" x14ac:dyDescent="0.25">
      <c r="B1488" s="8"/>
      <c r="C1488" s="8"/>
      <c r="D1488" s="9"/>
      <c r="T1488" s="12"/>
    </row>
    <row r="1489" spans="2:20" ht="15.75" customHeight="1" x14ac:dyDescent="0.25">
      <c r="B1489" s="8"/>
      <c r="C1489" s="8"/>
      <c r="D1489" s="9"/>
      <c r="T1489" s="12"/>
    </row>
    <row r="1490" spans="2:20" ht="15.75" customHeight="1" x14ac:dyDescent="0.25">
      <c r="B1490" s="8"/>
      <c r="C1490" s="8"/>
      <c r="D1490" s="9"/>
      <c r="T1490" s="12"/>
    </row>
    <row r="1491" spans="2:20" ht="15.75" customHeight="1" x14ac:dyDescent="0.25">
      <c r="B1491" s="8"/>
      <c r="C1491" s="8"/>
      <c r="D1491" s="9"/>
      <c r="T1491" s="12"/>
    </row>
    <row r="1492" spans="2:20" ht="15.75" customHeight="1" x14ac:dyDescent="0.25">
      <c r="B1492" s="8"/>
      <c r="C1492" s="8"/>
      <c r="D1492" s="9"/>
      <c r="T1492" s="12"/>
    </row>
    <row r="1493" spans="2:20" ht="15.75" customHeight="1" x14ac:dyDescent="0.25">
      <c r="B1493" s="8"/>
      <c r="C1493" s="8"/>
      <c r="D1493" s="9"/>
      <c r="T1493" s="12"/>
    </row>
    <row r="1494" spans="2:20" ht="15.75" customHeight="1" x14ac:dyDescent="0.25">
      <c r="B1494" s="8"/>
      <c r="C1494" s="8"/>
      <c r="D1494" s="9"/>
      <c r="T1494" s="12"/>
    </row>
    <row r="1495" spans="2:20" ht="15.75" customHeight="1" x14ac:dyDescent="0.25">
      <c r="B1495" s="8"/>
      <c r="C1495" s="8"/>
      <c r="D1495" s="9"/>
      <c r="T1495" s="12"/>
    </row>
    <row r="1496" spans="2:20" ht="15.75" customHeight="1" x14ac:dyDescent="0.25">
      <c r="B1496" s="8"/>
      <c r="C1496" s="8"/>
      <c r="D1496" s="9"/>
      <c r="T1496" s="12"/>
    </row>
    <row r="1497" spans="2:20" ht="15.75" customHeight="1" x14ac:dyDescent="0.25">
      <c r="B1497" s="8"/>
      <c r="C1497" s="8"/>
      <c r="D1497" s="9"/>
      <c r="T1497" s="12"/>
    </row>
    <row r="1498" spans="2:20" ht="15.75" customHeight="1" x14ac:dyDescent="0.25">
      <c r="B1498" s="8"/>
      <c r="C1498" s="8"/>
      <c r="D1498" s="9"/>
      <c r="T1498" s="12"/>
    </row>
    <row r="1499" spans="2:20" ht="15.75" customHeight="1" x14ac:dyDescent="0.25">
      <c r="B1499" s="8"/>
      <c r="C1499" s="8"/>
      <c r="D1499" s="9"/>
      <c r="T1499" s="12"/>
    </row>
    <row r="1500" spans="2:20" ht="15.75" customHeight="1" x14ac:dyDescent="0.25">
      <c r="B1500" s="8"/>
      <c r="C1500" s="8"/>
      <c r="D1500" s="9"/>
      <c r="T1500" s="12"/>
    </row>
    <row r="1501" spans="2:20" ht="15.75" customHeight="1" x14ac:dyDescent="0.25">
      <c r="B1501" s="8"/>
      <c r="C1501" s="8"/>
      <c r="D1501" s="9"/>
      <c r="T1501" s="12"/>
    </row>
    <row r="1502" spans="2:20" ht="15.75" customHeight="1" x14ac:dyDescent="0.25">
      <c r="B1502" s="8"/>
      <c r="C1502" s="8"/>
      <c r="D1502" s="9"/>
      <c r="T1502" s="12"/>
    </row>
    <row r="1503" spans="2:20" ht="15.75" customHeight="1" x14ac:dyDescent="0.25">
      <c r="B1503" s="8"/>
      <c r="C1503" s="8"/>
      <c r="D1503" s="9"/>
      <c r="T1503" s="12"/>
    </row>
    <row r="1504" spans="2:20" ht="15.75" customHeight="1" x14ac:dyDescent="0.25">
      <c r="B1504" s="8"/>
      <c r="C1504" s="8"/>
      <c r="D1504" s="9"/>
      <c r="T1504" s="12"/>
    </row>
    <row r="1505" spans="2:20" ht="15.75" customHeight="1" x14ac:dyDescent="0.25">
      <c r="B1505" s="8"/>
      <c r="C1505" s="8"/>
      <c r="D1505" s="9"/>
      <c r="T1505" s="12"/>
    </row>
    <row r="1506" spans="2:20" ht="15.75" customHeight="1" x14ac:dyDescent="0.25">
      <c r="B1506" s="8"/>
      <c r="C1506" s="8"/>
      <c r="D1506" s="9"/>
      <c r="T1506" s="12"/>
    </row>
    <row r="1507" spans="2:20" ht="15.75" customHeight="1" x14ac:dyDescent="0.25">
      <c r="B1507" s="8"/>
      <c r="C1507" s="8"/>
      <c r="D1507" s="9"/>
      <c r="T1507" s="12"/>
    </row>
    <row r="1508" spans="2:20" ht="15.75" customHeight="1" x14ac:dyDescent="0.25">
      <c r="B1508" s="8"/>
      <c r="C1508" s="8"/>
      <c r="D1508" s="9"/>
      <c r="T1508" s="12"/>
    </row>
    <row r="1509" spans="2:20" ht="15.75" customHeight="1" x14ac:dyDescent="0.25">
      <c r="B1509" s="8"/>
      <c r="C1509" s="8"/>
      <c r="D1509" s="9"/>
      <c r="T1509" s="12"/>
    </row>
    <row r="1510" spans="2:20" ht="15.75" customHeight="1" x14ac:dyDescent="0.25">
      <c r="B1510" s="8"/>
      <c r="C1510" s="8"/>
      <c r="D1510" s="9"/>
      <c r="T1510" s="12"/>
    </row>
    <row r="1511" spans="2:20" ht="15.75" customHeight="1" x14ac:dyDescent="0.25">
      <c r="B1511" s="8"/>
      <c r="C1511" s="8"/>
      <c r="D1511" s="9"/>
      <c r="T1511" s="12"/>
    </row>
    <row r="1512" spans="2:20" ht="15.75" customHeight="1" x14ac:dyDescent="0.25">
      <c r="B1512" s="8"/>
      <c r="C1512" s="8"/>
      <c r="D1512" s="9"/>
      <c r="T1512" s="12"/>
    </row>
    <row r="1513" spans="2:20" ht="15.75" customHeight="1" x14ac:dyDescent="0.25">
      <c r="B1513" s="8"/>
      <c r="C1513" s="8"/>
      <c r="D1513" s="9"/>
      <c r="T1513" s="12"/>
    </row>
    <row r="1514" spans="2:20" ht="15.75" customHeight="1" x14ac:dyDescent="0.25">
      <c r="B1514" s="8"/>
      <c r="C1514" s="8"/>
      <c r="D1514" s="9"/>
      <c r="T1514" s="12"/>
    </row>
    <row r="1515" spans="2:20" ht="15.75" customHeight="1" x14ac:dyDescent="0.25">
      <c r="B1515" s="8"/>
      <c r="C1515" s="8"/>
      <c r="D1515" s="9"/>
      <c r="T1515" s="12"/>
    </row>
    <row r="1516" spans="2:20" ht="15.75" customHeight="1" x14ac:dyDescent="0.25">
      <c r="B1516" s="8"/>
      <c r="C1516" s="8"/>
      <c r="D1516" s="9"/>
      <c r="T1516" s="12"/>
    </row>
    <row r="1517" spans="2:20" ht="15.75" customHeight="1" x14ac:dyDescent="0.25">
      <c r="B1517" s="8"/>
      <c r="C1517" s="8"/>
      <c r="D1517" s="9"/>
      <c r="T1517" s="12"/>
    </row>
    <row r="1518" spans="2:20" ht="15.75" customHeight="1" x14ac:dyDescent="0.25">
      <c r="B1518" s="8"/>
      <c r="C1518" s="8"/>
      <c r="D1518" s="9"/>
      <c r="T1518" s="12"/>
    </row>
    <row r="1519" spans="2:20" ht="15.75" customHeight="1" x14ac:dyDescent="0.25">
      <c r="B1519" s="8"/>
      <c r="C1519" s="8"/>
      <c r="D1519" s="9"/>
      <c r="T1519" s="12"/>
    </row>
    <row r="1520" spans="2:20" ht="15.75" customHeight="1" x14ac:dyDescent="0.25">
      <c r="B1520" s="8"/>
      <c r="C1520" s="8"/>
      <c r="D1520" s="9"/>
      <c r="T1520" s="12"/>
    </row>
    <row r="1521" spans="2:20" ht="15.75" customHeight="1" x14ac:dyDescent="0.25">
      <c r="B1521" s="8"/>
      <c r="C1521" s="8"/>
      <c r="D1521" s="9"/>
      <c r="T1521" s="12"/>
    </row>
    <row r="1522" spans="2:20" ht="15.75" customHeight="1" x14ac:dyDescent="0.25">
      <c r="B1522" s="8"/>
      <c r="C1522" s="8"/>
      <c r="D1522" s="9"/>
      <c r="T1522" s="12"/>
    </row>
    <row r="1523" spans="2:20" ht="15.75" customHeight="1" x14ac:dyDescent="0.25">
      <c r="B1523" s="8"/>
      <c r="C1523" s="8"/>
      <c r="D1523" s="9"/>
      <c r="T1523" s="12"/>
    </row>
    <row r="1524" spans="2:20" ht="15.75" customHeight="1" x14ac:dyDescent="0.25">
      <c r="B1524" s="8"/>
      <c r="C1524" s="8"/>
      <c r="D1524" s="9"/>
      <c r="T1524" s="12"/>
    </row>
    <row r="1525" spans="2:20" ht="15.75" customHeight="1" x14ac:dyDescent="0.25">
      <c r="B1525" s="8"/>
      <c r="C1525" s="8"/>
      <c r="D1525" s="9"/>
      <c r="T1525" s="12"/>
    </row>
    <row r="1526" spans="2:20" ht="15.75" customHeight="1" x14ac:dyDescent="0.25">
      <c r="B1526" s="8"/>
      <c r="C1526" s="8"/>
      <c r="D1526" s="9"/>
      <c r="T1526" s="12"/>
    </row>
    <row r="1527" spans="2:20" ht="15.75" customHeight="1" x14ac:dyDescent="0.25">
      <c r="B1527" s="8"/>
      <c r="C1527" s="8"/>
      <c r="D1527" s="9"/>
      <c r="T1527" s="12"/>
    </row>
    <row r="1528" spans="2:20" ht="15.75" customHeight="1" x14ac:dyDescent="0.25">
      <c r="B1528" s="8"/>
      <c r="C1528" s="8"/>
      <c r="D1528" s="9"/>
      <c r="T1528" s="12"/>
    </row>
    <row r="1529" spans="2:20" ht="15.75" customHeight="1" x14ac:dyDescent="0.25">
      <c r="B1529" s="8"/>
      <c r="C1529" s="8"/>
      <c r="D1529" s="9"/>
      <c r="T1529" s="12"/>
    </row>
    <row r="1530" spans="2:20" ht="15.75" customHeight="1" x14ac:dyDescent="0.25">
      <c r="B1530" s="8"/>
      <c r="C1530" s="8"/>
      <c r="D1530" s="9"/>
      <c r="T1530" s="12"/>
    </row>
    <row r="1531" spans="2:20" ht="15.75" customHeight="1" x14ac:dyDescent="0.25">
      <c r="B1531" s="8"/>
      <c r="C1531" s="8"/>
      <c r="D1531" s="9"/>
      <c r="T1531" s="12"/>
    </row>
    <row r="1532" spans="2:20" ht="15.75" customHeight="1" x14ac:dyDescent="0.25">
      <c r="B1532" s="8"/>
      <c r="C1532" s="8"/>
      <c r="D1532" s="9"/>
      <c r="T1532" s="12"/>
    </row>
    <row r="1533" spans="2:20" ht="15.75" customHeight="1" x14ac:dyDescent="0.25">
      <c r="B1533" s="8"/>
      <c r="C1533" s="8"/>
      <c r="D1533" s="9"/>
      <c r="T1533" s="12"/>
    </row>
    <row r="1534" spans="2:20" ht="15.75" customHeight="1" x14ac:dyDescent="0.25">
      <c r="B1534" s="8"/>
      <c r="C1534" s="8"/>
      <c r="D1534" s="9"/>
      <c r="T1534" s="12"/>
    </row>
    <row r="1535" spans="2:20" ht="15.75" customHeight="1" x14ac:dyDescent="0.25">
      <c r="B1535" s="8"/>
      <c r="C1535" s="8"/>
      <c r="D1535" s="9"/>
      <c r="T1535" s="12"/>
    </row>
    <row r="1536" spans="2:20" ht="15.75" customHeight="1" x14ac:dyDescent="0.25">
      <c r="B1536" s="8"/>
      <c r="C1536" s="8"/>
      <c r="D1536" s="9"/>
      <c r="T1536" s="12"/>
    </row>
    <row r="1537" spans="2:20" ht="15.75" customHeight="1" x14ac:dyDescent="0.25">
      <c r="B1537" s="8"/>
      <c r="C1537" s="8"/>
      <c r="D1537" s="9"/>
      <c r="T1537" s="12"/>
    </row>
    <row r="1538" spans="2:20" ht="15.75" customHeight="1" x14ac:dyDescent="0.25">
      <c r="B1538" s="8"/>
      <c r="C1538" s="8"/>
      <c r="D1538" s="9"/>
      <c r="T1538" s="12"/>
    </row>
    <row r="1539" spans="2:20" ht="15.75" customHeight="1" x14ac:dyDescent="0.25">
      <c r="B1539" s="8"/>
      <c r="C1539" s="8"/>
      <c r="D1539" s="9"/>
      <c r="T1539" s="12"/>
    </row>
    <row r="1540" spans="2:20" ht="15.75" customHeight="1" x14ac:dyDescent="0.25">
      <c r="B1540" s="8"/>
      <c r="C1540" s="8"/>
      <c r="D1540" s="9"/>
      <c r="T1540" s="12"/>
    </row>
    <row r="1541" spans="2:20" ht="15.75" customHeight="1" x14ac:dyDescent="0.25">
      <c r="B1541" s="8"/>
      <c r="C1541" s="8"/>
      <c r="D1541" s="9"/>
      <c r="T1541" s="12"/>
    </row>
    <row r="1542" spans="2:20" ht="15.75" customHeight="1" x14ac:dyDescent="0.25">
      <c r="B1542" s="8"/>
      <c r="C1542" s="8"/>
      <c r="D1542" s="9"/>
      <c r="T1542" s="12"/>
    </row>
    <row r="1543" spans="2:20" ht="15.75" customHeight="1" x14ac:dyDescent="0.25">
      <c r="B1543" s="8"/>
      <c r="C1543" s="8"/>
      <c r="D1543" s="9"/>
      <c r="T1543" s="12"/>
    </row>
    <row r="1544" spans="2:20" ht="15.75" customHeight="1" x14ac:dyDescent="0.25">
      <c r="B1544" s="8"/>
      <c r="C1544" s="8"/>
      <c r="D1544" s="9"/>
      <c r="T1544" s="12"/>
    </row>
    <row r="1545" spans="2:20" ht="15.75" customHeight="1" x14ac:dyDescent="0.25">
      <c r="B1545" s="8"/>
      <c r="C1545" s="8"/>
      <c r="D1545" s="9"/>
      <c r="T1545" s="12"/>
    </row>
    <row r="1546" spans="2:20" ht="15.75" customHeight="1" x14ac:dyDescent="0.25">
      <c r="B1546" s="8"/>
      <c r="C1546" s="8"/>
      <c r="D1546" s="9"/>
      <c r="T1546" s="12"/>
    </row>
    <row r="1547" spans="2:20" ht="15.75" customHeight="1" x14ac:dyDescent="0.25">
      <c r="B1547" s="8"/>
      <c r="C1547" s="8"/>
      <c r="D1547" s="9"/>
      <c r="T1547" s="12"/>
    </row>
    <row r="1548" spans="2:20" ht="15.75" customHeight="1" x14ac:dyDescent="0.25">
      <c r="B1548" s="8"/>
      <c r="C1548" s="8"/>
      <c r="D1548" s="9"/>
      <c r="T1548" s="12"/>
    </row>
    <row r="1549" spans="2:20" ht="15.75" customHeight="1" x14ac:dyDescent="0.25">
      <c r="B1549" s="8"/>
      <c r="C1549" s="8"/>
      <c r="D1549" s="9"/>
      <c r="T1549" s="12"/>
    </row>
    <row r="1550" spans="2:20" ht="15.75" customHeight="1" x14ac:dyDescent="0.25">
      <c r="B1550" s="8"/>
      <c r="C1550" s="8"/>
      <c r="D1550" s="9"/>
      <c r="T1550" s="12"/>
    </row>
    <row r="1551" spans="2:20" ht="15.75" customHeight="1" x14ac:dyDescent="0.25">
      <c r="B1551" s="8"/>
      <c r="C1551" s="8"/>
      <c r="D1551" s="9"/>
      <c r="T1551" s="12"/>
    </row>
    <row r="1552" spans="2:20" ht="15.75" customHeight="1" x14ac:dyDescent="0.25">
      <c r="B1552" s="8"/>
      <c r="C1552" s="8"/>
      <c r="D1552" s="9"/>
      <c r="T1552" s="12"/>
    </row>
    <row r="1553" spans="2:20" ht="15.75" customHeight="1" x14ac:dyDescent="0.25">
      <c r="B1553" s="8"/>
      <c r="C1553" s="8"/>
      <c r="D1553" s="9"/>
      <c r="T1553" s="12"/>
    </row>
    <row r="1554" spans="2:20" ht="15.75" customHeight="1" x14ac:dyDescent="0.25">
      <c r="B1554" s="8"/>
      <c r="C1554" s="8"/>
      <c r="D1554" s="9"/>
      <c r="T1554" s="12"/>
    </row>
    <row r="1555" spans="2:20" ht="15.75" customHeight="1" x14ac:dyDescent="0.25">
      <c r="B1555" s="8"/>
      <c r="C1555" s="8"/>
      <c r="D1555" s="9"/>
      <c r="T1555" s="12"/>
    </row>
    <row r="1556" spans="2:20" ht="15.75" customHeight="1" x14ac:dyDescent="0.25">
      <c r="B1556" s="8"/>
      <c r="C1556" s="8"/>
      <c r="D1556" s="9"/>
      <c r="T1556" s="12"/>
    </row>
    <row r="1557" spans="2:20" ht="15.75" customHeight="1" x14ac:dyDescent="0.25">
      <c r="B1557" s="8"/>
      <c r="C1557" s="8"/>
      <c r="D1557" s="9"/>
      <c r="T1557" s="12"/>
    </row>
    <row r="1558" spans="2:20" ht="15.75" customHeight="1" x14ac:dyDescent="0.25">
      <c r="B1558" s="8"/>
      <c r="C1558" s="8"/>
      <c r="D1558" s="9"/>
      <c r="T1558" s="12"/>
    </row>
    <row r="1559" spans="2:20" ht="15.75" customHeight="1" x14ac:dyDescent="0.25">
      <c r="B1559" s="8"/>
      <c r="C1559" s="8"/>
      <c r="D1559" s="9"/>
      <c r="T1559" s="12"/>
    </row>
    <row r="1560" spans="2:20" ht="15.75" customHeight="1" x14ac:dyDescent="0.25">
      <c r="B1560" s="8"/>
      <c r="C1560" s="8"/>
      <c r="D1560" s="9"/>
      <c r="T1560" s="12"/>
    </row>
    <row r="1561" spans="2:20" ht="15.75" customHeight="1" x14ac:dyDescent="0.25">
      <c r="B1561" s="8"/>
      <c r="C1561" s="8"/>
      <c r="D1561" s="9"/>
      <c r="T1561" s="12"/>
    </row>
    <row r="1562" spans="2:20" ht="15.75" customHeight="1" x14ac:dyDescent="0.25">
      <c r="B1562" s="8"/>
      <c r="C1562" s="8"/>
      <c r="D1562" s="9"/>
      <c r="T1562" s="12"/>
    </row>
    <row r="1563" spans="2:20" ht="15.75" customHeight="1" x14ac:dyDescent="0.25">
      <c r="B1563" s="8"/>
      <c r="C1563" s="8"/>
      <c r="D1563" s="9"/>
      <c r="T1563" s="12"/>
    </row>
    <row r="1564" spans="2:20" ht="15.75" customHeight="1" x14ac:dyDescent="0.25">
      <c r="B1564" s="8"/>
      <c r="C1564" s="8"/>
      <c r="D1564" s="9"/>
      <c r="T1564" s="12"/>
    </row>
    <row r="1565" spans="2:20" ht="15.75" customHeight="1" x14ac:dyDescent="0.25">
      <c r="B1565" s="8"/>
      <c r="C1565" s="8"/>
      <c r="D1565" s="9"/>
      <c r="T1565" s="12"/>
    </row>
    <row r="1566" spans="2:20" ht="15.75" customHeight="1" x14ac:dyDescent="0.25">
      <c r="B1566" s="8"/>
      <c r="C1566" s="8"/>
      <c r="D1566" s="9"/>
      <c r="T1566" s="12"/>
    </row>
    <row r="1567" spans="2:20" ht="15.75" customHeight="1" x14ac:dyDescent="0.25">
      <c r="B1567" s="8"/>
      <c r="C1567" s="8"/>
      <c r="D1567" s="9"/>
      <c r="T1567" s="12"/>
    </row>
    <row r="1568" spans="2:20" ht="15.75" customHeight="1" x14ac:dyDescent="0.25">
      <c r="B1568" s="8"/>
      <c r="C1568" s="8"/>
      <c r="D1568" s="9"/>
      <c r="T1568" s="12"/>
    </row>
    <row r="1569" spans="2:20" ht="15.75" customHeight="1" x14ac:dyDescent="0.25">
      <c r="B1569" s="8"/>
      <c r="C1569" s="8"/>
      <c r="D1569" s="9"/>
      <c r="T1569" s="12"/>
    </row>
    <row r="1570" spans="2:20" ht="15.75" customHeight="1" x14ac:dyDescent="0.25">
      <c r="B1570" s="8"/>
      <c r="C1570" s="8"/>
      <c r="D1570" s="9"/>
      <c r="T1570" s="12"/>
    </row>
    <row r="1571" spans="2:20" ht="15.75" customHeight="1" x14ac:dyDescent="0.25">
      <c r="B1571" s="8"/>
      <c r="C1571" s="8"/>
      <c r="D1571" s="9"/>
      <c r="T1571" s="12"/>
    </row>
    <row r="1572" spans="2:20" ht="15.75" customHeight="1" x14ac:dyDescent="0.25">
      <c r="B1572" s="8"/>
      <c r="C1572" s="8"/>
      <c r="D1572" s="9"/>
      <c r="T1572" s="12"/>
    </row>
    <row r="1573" spans="2:20" ht="15.75" customHeight="1" x14ac:dyDescent="0.25">
      <c r="B1573" s="8"/>
      <c r="C1573" s="8"/>
      <c r="D1573" s="9"/>
      <c r="T1573" s="12"/>
    </row>
    <row r="1574" spans="2:20" ht="15.75" customHeight="1" x14ac:dyDescent="0.25">
      <c r="B1574" s="8"/>
      <c r="C1574" s="8"/>
      <c r="D1574" s="9"/>
      <c r="T1574" s="12"/>
    </row>
    <row r="1575" spans="2:20" ht="15.75" customHeight="1" x14ac:dyDescent="0.25">
      <c r="B1575" s="8"/>
      <c r="C1575" s="8"/>
      <c r="D1575" s="9"/>
      <c r="T1575" s="12"/>
    </row>
    <row r="1576" spans="2:20" ht="15.75" customHeight="1" x14ac:dyDescent="0.25">
      <c r="B1576" s="8"/>
      <c r="C1576" s="8"/>
      <c r="D1576" s="9"/>
      <c r="T1576" s="12"/>
    </row>
    <row r="1577" spans="2:20" ht="15.75" customHeight="1" x14ac:dyDescent="0.25">
      <c r="B1577" s="8"/>
      <c r="C1577" s="8"/>
      <c r="D1577" s="9"/>
      <c r="T1577" s="12"/>
    </row>
    <row r="1578" spans="2:20" ht="15.75" customHeight="1" x14ac:dyDescent="0.25">
      <c r="B1578" s="8"/>
      <c r="C1578" s="8"/>
      <c r="D1578" s="9"/>
      <c r="T1578" s="12"/>
    </row>
    <row r="1579" spans="2:20" ht="15.75" customHeight="1" x14ac:dyDescent="0.25">
      <c r="B1579" s="8"/>
      <c r="C1579" s="8"/>
      <c r="D1579" s="9"/>
      <c r="T1579" s="12"/>
    </row>
    <row r="1580" spans="2:20" ht="15.75" customHeight="1" x14ac:dyDescent="0.25">
      <c r="B1580" s="8"/>
      <c r="C1580" s="8"/>
      <c r="D1580" s="9"/>
      <c r="T1580" s="12"/>
    </row>
    <row r="1581" spans="2:20" ht="15.75" customHeight="1" x14ac:dyDescent="0.25">
      <c r="B1581" s="8"/>
      <c r="C1581" s="8"/>
      <c r="D1581" s="9"/>
      <c r="T1581" s="12"/>
    </row>
    <row r="1582" spans="2:20" ht="15.75" customHeight="1" x14ac:dyDescent="0.25">
      <c r="B1582" s="8"/>
      <c r="C1582" s="8"/>
      <c r="D1582" s="9"/>
      <c r="T1582" s="12"/>
    </row>
    <row r="1583" spans="2:20" ht="15.75" customHeight="1" x14ac:dyDescent="0.25">
      <c r="B1583" s="8"/>
      <c r="C1583" s="8"/>
      <c r="D1583" s="9"/>
      <c r="T1583" s="12"/>
    </row>
    <row r="1584" spans="2:20" ht="15.75" customHeight="1" x14ac:dyDescent="0.25">
      <c r="B1584" s="8"/>
      <c r="C1584" s="8"/>
      <c r="D1584" s="9"/>
      <c r="T1584" s="12"/>
    </row>
    <row r="1585" spans="2:20" ht="15.75" customHeight="1" x14ac:dyDescent="0.25">
      <c r="B1585" s="8"/>
      <c r="C1585" s="8"/>
      <c r="D1585" s="9"/>
      <c r="T1585" s="12"/>
    </row>
    <row r="1586" spans="2:20" ht="15.75" customHeight="1" x14ac:dyDescent="0.25">
      <c r="B1586" s="8"/>
      <c r="C1586" s="8"/>
      <c r="D1586" s="9"/>
      <c r="T1586" s="12"/>
    </row>
    <row r="1587" spans="2:20" ht="15.75" customHeight="1" x14ac:dyDescent="0.25">
      <c r="B1587" s="8"/>
      <c r="C1587" s="8"/>
      <c r="D1587" s="9"/>
      <c r="T1587" s="12"/>
    </row>
    <row r="1588" spans="2:20" ht="15.75" customHeight="1" x14ac:dyDescent="0.25">
      <c r="B1588" s="8"/>
      <c r="C1588" s="8"/>
      <c r="D1588" s="9"/>
      <c r="T1588" s="12"/>
    </row>
    <row r="1589" spans="2:20" ht="15.75" customHeight="1" x14ac:dyDescent="0.25">
      <c r="B1589" s="8"/>
      <c r="C1589" s="8"/>
      <c r="D1589" s="9"/>
      <c r="T1589" s="12"/>
    </row>
    <row r="1590" spans="2:20" ht="15.75" customHeight="1" x14ac:dyDescent="0.25">
      <c r="B1590" s="8"/>
      <c r="C1590" s="8"/>
      <c r="D1590" s="9"/>
      <c r="T1590" s="12"/>
    </row>
    <row r="1591" spans="2:20" ht="15.75" customHeight="1" x14ac:dyDescent="0.25">
      <c r="B1591" s="8"/>
      <c r="C1591" s="8"/>
      <c r="D1591" s="9"/>
      <c r="T1591" s="12"/>
    </row>
    <row r="1592" spans="2:20" ht="15.75" customHeight="1" x14ac:dyDescent="0.25">
      <c r="B1592" s="8"/>
      <c r="C1592" s="8"/>
      <c r="D1592" s="9"/>
      <c r="T1592" s="12"/>
    </row>
    <row r="1593" spans="2:20" ht="15.75" customHeight="1" x14ac:dyDescent="0.25">
      <c r="B1593" s="8"/>
      <c r="C1593" s="8"/>
      <c r="D1593" s="9"/>
      <c r="T1593" s="12"/>
    </row>
    <row r="1594" spans="2:20" ht="15.75" customHeight="1" x14ac:dyDescent="0.25">
      <c r="B1594" s="8"/>
      <c r="C1594" s="8"/>
      <c r="D1594" s="9"/>
      <c r="T1594" s="12"/>
    </row>
    <row r="1595" spans="2:20" ht="15.75" customHeight="1" x14ac:dyDescent="0.25">
      <c r="B1595" s="8"/>
      <c r="C1595" s="8"/>
      <c r="D1595" s="9"/>
      <c r="T1595" s="12"/>
    </row>
    <row r="1596" spans="2:20" ht="15.75" customHeight="1" x14ac:dyDescent="0.25">
      <c r="B1596" s="8"/>
      <c r="C1596" s="8"/>
      <c r="D1596" s="9"/>
      <c r="T1596" s="12"/>
    </row>
    <row r="1597" spans="2:20" ht="15.75" customHeight="1" x14ac:dyDescent="0.25">
      <c r="B1597" s="8"/>
      <c r="C1597" s="8"/>
      <c r="D1597" s="9"/>
      <c r="T1597" s="12"/>
    </row>
    <row r="1598" spans="2:20" ht="15.75" customHeight="1" x14ac:dyDescent="0.25">
      <c r="B1598" s="8"/>
      <c r="C1598" s="8"/>
      <c r="D1598" s="9"/>
      <c r="T1598" s="12"/>
    </row>
    <row r="1599" spans="2:20" ht="15.75" customHeight="1" x14ac:dyDescent="0.25">
      <c r="B1599" s="8"/>
      <c r="C1599" s="8"/>
      <c r="D1599" s="9"/>
      <c r="T1599" s="12"/>
    </row>
    <row r="1600" spans="2:20" ht="15.75" customHeight="1" x14ac:dyDescent="0.25">
      <c r="B1600" s="8"/>
      <c r="C1600" s="8"/>
      <c r="D1600" s="9"/>
      <c r="T1600" s="12"/>
    </row>
    <row r="1601" spans="2:20" ht="15.75" customHeight="1" x14ac:dyDescent="0.25">
      <c r="B1601" s="8"/>
      <c r="C1601" s="8"/>
      <c r="D1601" s="9"/>
      <c r="T1601" s="12"/>
    </row>
    <row r="1602" spans="2:20" ht="15.75" customHeight="1" x14ac:dyDescent="0.25">
      <c r="B1602" s="8"/>
      <c r="C1602" s="8"/>
      <c r="D1602" s="9"/>
      <c r="T1602" s="12"/>
    </row>
    <row r="1603" spans="2:20" ht="15.75" customHeight="1" x14ac:dyDescent="0.25">
      <c r="B1603" s="8"/>
      <c r="C1603" s="8"/>
      <c r="D1603" s="9"/>
      <c r="T1603" s="12"/>
    </row>
    <row r="1604" spans="2:20" ht="15.75" customHeight="1" x14ac:dyDescent="0.25">
      <c r="B1604" s="8"/>
      <c r="C1604" s="8"/>
      <c r="D1604" s="9"/>
      <c r="T1604" s="12"/>
    </row>
    <row r="1605" spans="2:20" ht="15.75" customHeight="1" x14ac:dyDescent="0.25">
      <c r="B1605" s="8"/>
      <c r="C1605" s="8"/>
      <c r="D1605" s="9"/>
      <c r="T1605" s="12"/>
    </row>
    <row r="1606" spans="2:20" ht="15.75" customHeight="1" x14ac:dyDescent="0.25">
      <c r="B1606" s="8"/>
      <c r="C1606" s="8"/>
      <c r="D1606" s="9"/>
      <c r="T1606" s="12"/>
    </row>
    <row r="1607" spans="2:20" ht="15.75" customHeight="1" x14ac:dyDescent="0.25">
      <c r="B1607" s="8"/>
      <c r="C1607" s="8"/>
      <c r="D1607" s="9"/>
      <c r="T1607" s="12"/>
    </row>
    <row r="1608" spans="2:20" ht="15.75" customHeight="1" x14ac:dyDescent="0.25">
      <c r="B1608" s="8"/>
      <c r="C1608" s="8"/>
      <c r="D1608" s="9"/>
      <c r="T1608" s="12"/>
    </row>
    <row r="1609" spans="2:20" ht="15.75" customHeight="1" x14ac:dyDescent="0.25">
      <c r="B1609" s="8"/>
      <c r="C1609" s="8"/>
      <c r="D1609" s="9"/>
      <c r="T1609" s="12"/>
    </row>
    <row r="1610" spans="2:20" ht="15.75" customHeight="1" x14ac:dyDescent="0.25">
      <c r="B1610" s="8"/>
      <c r="C1610" s="8"/>
      <c r="D1610" s="9"/>
      <c r="T1610" s="12"/>
    </row>
    <row r="1611" spans="2:20" ht="15.75" customHeight="1" x14ac:dyDescent="0.25">
      <c r="B1611" s="8"/>
      <c r="C1611" s="8"/>
      <c r="D1611" s="9"/>
      <c r="T1611" s="12"/>
    </row>
    <row r="1612" spans="2:20" ht="15.75" customHeight="1" x14ac:dyDescent="0.25">
      <c r="B1612" s="8"/>
      <c r="C1612" s="8"/>
      <c r="D1612" s="9"/>
      <c r="T1612" s="12"/>
    </row>
    <row r="1613" spans="2:20" ht="15.75" customHeight="1" x14ac:dyDescent="0.25">
      <c r="B1613" s="8"/>
      <c r="C1613" s="8"/>
      <c r="D1613" s="9"/>
      <c r="T1613" s="12"/>
    </row>
    <row r="1614" spans="2:20" ht="15.75" customHeight="1" x14ac:dyDescent="0.25">
      <c r="B1614" s="8"/>
      <c r="C1614" s="8"/>
      <c r="D1614" s="9"/>
      <c r="T1614" s="12"/>
    </row>
    <row r="1615" spans="2:20" ht="15.75" customHeight="1" x14ac:dyDescent="0.25">
      <c r="B1615" s="8"/>
      <c r="C1615" s="8"/>
      <c r="D1615" s="9"/>
      <c r="T1615" s="12"/>
    </row>
    <row r="1616" spans="2:20" ht="15.75" customHeight="1" x14ac:dyDescent="0.25">
      <c r="B1616" s="8"/>
      <c r="C1616" s="8"/>
      <c r="D1616" s="9"/>
      <c r="T1616" s="12"/>
    </row>
    <row r="1617" spans="2:20" ht="15.75" customHeight="1" x14ac:dyDescent="0.25">
      <c r="B1617" s="8"/>
      <c r="C1617" s="8"/>
      <c r="D1617" s="9"/>
      <c r="T1617" s="12"/>
    </row>
    <row r="1618" spans="2:20" ht="15.75" customHeight="1" x14ac:dyDescent="0.25">
      <c r="B1618" s="8"/>
      <c r="C1618" s="8"/>
      <c r="D1618" s="9"/>
      <c r="T1618" s="12"/>
    </row>
    <row r="1619" spans="2:20" ht="15.75" customHeight="1" x14ac:dyDescent="0.25">
      <c r="B1619" s="8"/>
      <c r="C1619" s="8"/>
      <c r="D1619" s="9"/>
      <c r="T1619" s="12"/>
    </row>
    <row r="1620" spans="2:20" ht="15.75" customHeight="1" x14ac:dyDescent="0.25">
      <c r="B1620" s="8"/>
      <c r="C1620" s="8"/>
      <c r="D1620" s="9"/>
      <c r="T1620" s="12"/>
    </row>
    <row r="1621" spans="2:20" ht="15.75" customHeight="1" x14ac:dyDescent="0.25">
      <c r="B1621" s="8"/>
      <c r="C1621" s="8"/>
      <c r="D1621" s="9"/>
      <c r="T1621" s="12"/>
    </row>
    <row r="1622" spans="2:20" ht="15.75" customHeight="1" x14ac:dyDescent="0.25">
      <c r="B1622" s="8"/>
      <c r="C1622" s="8"/>
      <c r="D1622" s="9"/>
      <c r="T1622" s="12"/>
    </row>
    <row r="1623" spans="2:20" ht="15.75" customHeight="1" x14ac:dyDescent="0.25">
      <c r="B1623" s="8"/>
      <c r="C1623" s="8"/>
      <c r="D1623" s="9"/>
      <c r="T1623" s="12"/>
    </row>
    <row r="1624" spans="2:20" ht="15.75" customHeight="1" x14ac:dyDescent="0.25">
      <c r="B1624" s="8"/>
      <c r="C1624" s="8"/>
      <c r="D1624" s="9"/>
      <c r="T1624" s="12"/>
    </row>
    <row r="1625" spans="2:20" ht="15.75" customHeight="1" x14ac:dyDescent="0.25">
      <c r="B1625" s="8"/>
      <c r="C1625" s="8"/>
      <c r="D1625" s="9"/>
      <c r="T1625" s="12"/>
    </row>
    <row r="1626" spans="2:20" ht="15.75" customHeight="1" x14ac:dyDescent="0.25">
      <c r="B1626" s="8"/>
      <c r="C1626" s="8"/>
      <c r="D1626" s="9"/>
      <c r="T1626" s="12"/>
    </row>
    <row r="1627" spans="2:20" ht="15.75" customHeight="1" x14ac:dyDescent="0.25">
      <c r="B1627" s="8"/>
      <c r="C1627" s="8"/>
      <c r="D1627" s="9"/>
      <c r="T1627" s="12"/>
    </row>
    <row r="1628" spans="2:20" ht="15.75" customHeight="1" x14ac:dyDescent="0.25">
      <c r="B1628" s="8"/>
      <c r="C1628" s="8"/>
      <c r="D1628" s="9"/>
      <c r="T1628" s="12"/>
    </row>
    <row r="1629" spans="2:20" ht="15.75" customHeight="1" x14ac:dyDescent="0.25">
      <c r="B1629" s="8"/>
      <c r="C1629" s="8"/>
      <c r="D1629" s="9"/>
      <c r="T1629" s="12"/>
    </row>
    <row r="1630" spans="2:20" ht="15.75" customHeight="1" x14ac:dyDescent="0.25">
      <c r="B1630" s="8"/>
      <c r="C1630" s="8"/>
      <c r="D1630" s="9"/>
      <c r="T1630" s="12"/>
    </row>
    <row r="1631" spans="2:20" ht="15.75" customHeight="1" x14ac:dyDescent="0.25">
      <c r="B1631" s="8"/>
      <c r="C1631" s="8"/>
      <c r="D1631" s="9"/>
      <c r="T1631" s="12"/>
    </row>
    <row r="1632" spans="2:20" ht="15.75" customHeight="1" x14ac:dyDescent="0.25">
      <c r="B1632" s="8"/>
      <c r="C1632" s="8"/>
      <c r="D1632" s="9"/>
      <c r="T1632" s="12"/>
    </row>
    <row r="1633" spans="2:20" ht="15.75" customHeight="1" x14ac:dyDescent="0.25">
      <c r="B1633" s="8"/>
      <c r="C1633" s="8"/>
      <c r="D1633" s="9"/>
      <c r="T1633" s="12"/>
    </row>
    <row r="1634" spans="2:20" ht="15.75" customHeight="1" x14ac:dyDescent="0.25">
      <c r="B1634" s="8"/>
      <c r="C1634" s="8"/>
      <c r="D1634" s="9"/>
      <c r="T1634" s="12"/>
    </row>
    <row r="1635" spans="2:20" ht="15.75" customHeight="1" x14ac:dyDescent="0.25">
      <c r="B1635" s="8"/>
      <c r="C1635" s="8"/>
      <c r="D1635" s="9"/>
      <c r="T1635" s="12"/>
    </row>
    <row r="1636" spans="2:20" ht="15.75" customHeight="1" x14ac:dyDescent="0.25">
      <c r="B1636" s="8"/>
      <c r="C1636" s="8"/>
      <c r="D1636" s="9"/>
      <c r="T1636" s="12"/>
    </row>
    <row r="1637" spans="2:20" ht="15.75" customHeight="1" x14ac:dyDescent="0.25">
      <c r="B1637" s="8"/>
      <c r="C1637" s="8"/>
      <c r="D1637" s="9"/>
      <c r="T1637" s="12"/>
    </row>
    <row r="1638" spans="2:20" ht="15.75" customHeight="1" x14ac:dyDescent="0.25">
      <c r="B1638" s="8"/>
      <c r="C1638" s="8"/>
      <c r="D1638" s="9"/>
      <c r="T1638" s="12"/>
    </row>
    <row r="1639" spans="2:20" ht="15.75" customHeight="1" x14ac:dyDescent="0.25">
      <c r="B1639" s="8"/>
      <c r="C1639" s="8"/>
      <c r="D1639" s="9"/>
      <c r="T1639" s="12"/>
    </row>
    <row r="1640" spans="2:20" ht="15.75" customHeight="1" x14ac:dyDescent="0.25">
      <c r="B1640" s="8"/>
      <c r="C1640" s="8"/>
      <c r="D1640" s="9"/>
      <c r="T1640" s="12"/>
    </row>
    <row r="1641" spans="2:20" ht="15.75" customHeight="1" x14ac:dyDescent="0.25">
      <c r="B1641" s="8"/>
      <c r="C1641" s="8"/>
      <c r="D1641" s="9"/>
      <c r="T1641" s="12"/>
    </row>
    <row r="1642" spans="2:20" ht="15.75" customHeight="1" x14ac:dyDescent="0.25">
      <c r="B1642" s="8"/>
      <c r="C1642" s="8"/>
      <c r="D1642" s="9"/>
      <c r="T1642" s="12"/>
    </row>
    <row r="1643" spans="2:20" ht="15.75" customHeight="1" x14ac:dyDescent="0.25">
      <c r="B1643" s="8"/>
      <c r="C1643" s="8"/>
      <c r="D1643" s="9"/>
      <c r="T1643" s="12"/>
    </row>
    <row r="1644" spans="2:20" ht="15.75" customHeight="1" x14ac:dyDescent="0.25">
      <c r="B1644" s="8"/>
      <c r="C1644" s="8"/>
      <c r="D1644" s="9"/>
      <c r="T1644" s="12"/>
    </row>
    <row r="1645" spans="2:20" ht="15.75" customHeight="1" x14ac:dyDescent="0.25">
      <c r="B1645" s="8"/>
      <c r="C1645" s="8"/>
      <c r="D1645" s="9"/>
      <c r="T1645" s="12"/>
    </row>
    <row r="1646" spans="2:20" ht="15.75" customHeight="1" x14ac:dyDescent="0.25">
      <c r="B1646" s="8"/>
      <c r="C1646" s="8"/>
      <c r="D1646" s="9"/>
      <c r="T1646" s="12"/>
    </row>
    <row r="1647" spans="2:20" ht="15.75" customHeight="1" x14ac:dyDescent="0.25">
      <c r="B1647" s="8"/>
      <c r="C1647" s="8"/>
      <c r="D1647" s="9"/>
      <c r="T1647" s="12"/>
    </row>
    <row r="1648" spans="2:20" ht="15.75" customHeight="1" x14ac:dyDescent="0.25">
      <c r="B1648" s="8"/>
      <c r="C1648" s="8"/>
      <c r="D1648" s="9"/>
      <c r="T1648" s="12"/>
    </row>
    <row r="1649" spans="2:20" ht="15.75" customHeight="1" x14ac:dyDescent="0.25">
      <c r="B1649" s="8"/>
      <c r="C1649" s="8"/>
      <c r="D1649" s="9"/>
      <c r="T1649" s="12"/>
    </row>
    <row r="1650" spans="2:20" ht="15.75" customHeight="1" x14ac:dyDescent="0.25">
      <c r="B1650" s="8"/>
      <c r="C1650" s="8"/>
      <c r="D1650" s="9"/>
      <c r="T1650" s="12"/>
    </row>
    <row r="1651" spans="2:20" ht="15.75" customHeight="1" x14ac:dyDescent="0.25">
      <c r="B1651" s="8"/>
      <c r="C1651" s="8"/>
      <c r="D1651" s="9"/>
      <c r="T1651" s="12"/>
    </row>
    <row r="1652" spans="2:20" ht="15.75" customHeight="1" x14ac:dyDescent="0.25">
      <c r="B1652" s="8"/>
      <c r="C1652" s="8"/>
      <c r="D1652" s="9"/>
      <c r="T1652" s="12"/>
    </row>
    <row r="1653" spans="2:20" ht="15.75" customHeight="1" x14ac:dyDescent="0.25">
      <c r="B1653" s="8"/>
      <c r="C1653" s="8"/>
      <c r="D1653" s="9"/>
      <c r="T1653" s="12"/>
    </row>
    <row r="1654" spans="2:20" ht="15.75" customHeight="1" x14ac:dyDescent="0.25">
      <c r="B1654" s="8"/>
      <c r="C1654" s="8"/>
      <c r="D1654" s="9"/>
      <c r="T1654" s="12"/>
    </row>
    <row r="1655" spans="2:20" ht="15.75" customHeight="1" x14ac:dyDescent="0.25">
      <c r="B1655" s="8"/>
      <c r="C1655" s="8"/>
      <c r="D1655" s="9"/>
      <c r="T1655" s="12"/>
    </row>
    <row r="1656" spans="2:20" ht="15.75" customHeight="1" x14ac:dyDescent="0.25">
      <c r="B1656" s="8"/>
      <c r="C1656" s="8"/>
      <c r="D1656" s="9"/>
      <c r="T1656" s="12"/>
    </row>
    <row r="1657" spans="2:20" ht="15.75" customHeight="1" x14ac:dyDescent="0.25">
      <c r="B1657" s="8"/>
      <c r="C1657" s="8"/>
      <c r="D1657" s="9"/>
      <c r="T1657" s="12"/>
    </row>
    <row r="1658" spans="2:20" ht="15.75" customHeight="1" x14ac:dyDescent="0.25">
      <c r="B1658" s="8"/>
      <c r="C1658" s="8"/>
      <c r="D1658" s="9"/>
      <c r="T1658" s="12"/>
    </row>
    <row r="1659" spans="2:20" ht="15.75" customHeight="1" x14ac:dyDescent="0.25">
      <c r="B1659" s="8"/>
      <c r="C1659" s="8"/>
      <c r="D1659" s="9"/>
      <c r="T1659" s="12"/>
    </row>
    <row r="1660" spans="2:20" ht="15.75" customHeight="1" x14ac:dyDescent="0.25">
      <c r="B1660" s="8"/>
      <c r="C1660" s="8"/>
      <c r="D1660" s="9"/>
      <c r="T1660" s="12"/>
    </row>
    <row r="1661" spans="2:20" ht="15.75" customHeight="1" x14ac:dyDescent="0.25">
      <c r="B1661" s="8"/>
      <c r="C1661" s="8"/>
      <c r="D1661" s="9"/>
      <c r="T1661" s="12"/>
    </row>
    <row r="1662" spans="2:20" ht="15.75" customHeight="1" x14ac:dyDescent="0.25">
      <c r="B1662" s="8"/>
      <c r="C1662" s="8"/>
      <c r="D1662" s="9"/>
      <c r="T1662" s="12"/>
    </row>
    <row r="1663" spans="2:20" ht="15.75" customHeight="1" x14ac:dyDescent="0.25">
      <c r="B1663" s="8"/>
      <c r="C1663" s="8"/>
      <c r="D1663" s="9"/>
      <c r="T1663" s="12"/>
    </row>
    <row r="1664" spans="2:20" ht="15.75" customHeight="1" x14ac:dyDescent="0.25">
      <c r="B1664" s="8"/>
      <c r="C1664" s="8"/>
      <c r="D1664" s="9"/>
      <c r="T1664" s="12"/>
    </row>
    <row r="1665" spans="2:20" ht="15.75" customHeight="1" x14ac:dyDescent="0.25">
      <c r="B1665" s="8"/>
      <c r="C1665" s="8"/>
      <c r="D1665" s="9"/>
      <c r="T1665" s="12"/>
    </row>
    <row r="1666" spans="2:20" ht="15.75" customHeight="1" x14ac:dyDescent="0.25">
      <c r="B1666" s="8"/>
      <c r="C1666" s="8"/>
      <c r="D1666" s="9"/>
      <c r="T1666" s="12"/>
    </row>
    <row r="1667" spans="2:20" ht="15.75" customHeight="1" x14ac:dyDescent="0.25">
      <c r="B1667" s="8"/>
      <c r="C1667" s="8"/>
      <c r="D1667" s="9"/>
      <c r="T1667" s="12"/>
    </row>
    <row r="1668" spans="2:20" ht="15.75" customHeight="1" x14ac:dyDescent="0.25">
      <c r="B1668" s="8"/>
      <c r="C1668" s="8"/>
      <c r="D1668" s="9"/>
      <c r="T1668" s="12"/>
    </row>
    <row r="1669" spans="2:20" ht="15.75" customHeight="1" x14ac:dyDescent="0.25">
      <c r="B1669" s="8"/>
      <c r="C1669" s="8"/>
      <c r="D1669" s="9"/>
      <c r="T1669" s="12"/>
    </row>
    <row r="1670" spans="2:20" ht="15.75" customHeight="1" x14ac:dyDescent="0.25">
      <c r="B1670" s="8"/>
      <c r="C1670" s="8"/>
      <c r="D1670" s="9"/>
      <c r="T1670" s="12"/>
    </row>
    <row r="1671" spans="2:20" ht="15.75" customHeight="1" x14ac:dyDescent="0.25">
      <c r="B1671" s="8"/>
      <c r="C1671" s="8"/>
      <c r="D1671" s="9"/>
      <c r="T1671" s="12"/>
    </row>
    <row r="1672" spans="2:20" ht="15.75" customHeight="1" x14ac:dyDescent="0.25">
      <c r="B1672" s="8"/>
      <c r="C1672" s="8"/>
      <c r="D1672" s="9"/>
      <c r="T1672" s="12"/>
    </row>
    <row r="1673" spans="2:20" ht="15.75" customHeight="1" x14ac:dyDescent="0.25">
      <c r="B1673" s="8"/>
      <c r="C1673" s="8"/>
      <c r="D1673" s="9"/>
      <c r="T1673" s="12"/>
    </row>
    <row r="1674" spans="2:20" ht="15.75" customHeight="1" x14ac:dyDescent="0.25">
      <c r="B1674" s="8"/>
      <c r="C1674" s="8"/>
      <c r="D1674" s="9"/>
      <c r="T1674" s="12"/>
    </row>
    <row r="1675" spans="2:20" ht="15.75" customHeight="1" x14ac:dyDescent="0.25">
      <c r="B1675" s="8"/>
      <c r="C1675" s="8"/>
      <c r="D1675" s="9"/>
      <c r="T1675" s="12"/>
    </row>
    <row r="1676" spans="2:20" ht="15.75" customHeight="1" x14ac:dyDescent="0.25">
      <c r="B1676" s="8"/>
      <c r="C1676" s="8"/>
      <c r="D1676" s="9"/>
      <c r="T1676" s="12"/>
    </row>
    <row r="1677" spans="2:20" ht="15.75" customHeight="1" x14ac:dyDescent="0.25">
      <c r="B1677" s="8"/>
      <c r="C1677" s="8"/>
      <c r="D1677" s="9"/>
      <c r="T1677" s="12"/>
    </row>
    <row r="1678" spans="2:20" ht="15.75" customHeight="1" x14ac:dyDescent="0.25">
      <c r="B1678" s="8"/>
      <c r="C1678" s="8"/>
      <c r="D1678" s="9"/>
      <c r="T1678" s="12"/>
    </row>
    <row r="1679" spans="2:20" ht="15.75" customHeight="1" x14ac:dyDescent="0.25">
      <c r="B1679" s="8"/>
      <c r="C1679" s="8"/>
      <c r="D1679" s="9"/>
      <c r="T1679" s="12"/>
    </row>
    <row r="1680" spans="2:20" ht="15.75" customHeight="1" x14ac:dyDescent="0.25">
      <c r="B1680" s="8"/>
      <c r="C1680" s="8"/>
      <c r="D1680" s="9"/>
      <c r="T1680" s="12"/>
    </row>
    <row r="1681" spans="2:20" ht="15.75" customHeight="1" x14ac:dyDescent="0.25">
      <c r="B1681" s="8"/>
      <c r="C1681" s="8"/>
      <c r="D1681" s="9"/>
      <c r="T1681" s="12"/>
    </row>
    <row r="1682" spans="2:20" ht="15.75" customHeight="1" x14ac:dyDescent="0.25">
      <c r="B1682" s="8"/>
      <c r="C1682" s="8"/>
      <c r="D1682" s="9"/>
      <c r="T1682" s="12"/>
    </row>
    <row r="1683" spans="2:20" ht="15.75" customHeight="1" x14ac:dyDescent="0.25">
      <c r="B1683" s="8"/>
      <c r="C1683" s="8"/>
      <c r="D1683" s="9"/>
      <c r="T1683" s="12"/>
    </row>
    <row r="1684" spans="2:20" ht="15.75" customHeight="1" x14ac:dyDescent="0.25">
      <c r="B1684" s="8"/>
      <c r="C1684" s="8"/>
      <c r="D1684" s="9"/>
      <c r="T1684" s="12"/>
    </row>
    <row r="1685" spans="2:20" ht="15.75" customHeight="1" x14ac:dyDescent="0.25">
      <c r="B1685" s="8"/>
      <c r="C1685" s="8"/>
      <c r="D1685" s="9"/>
      <c r="T1685" s="12"/>
    </row>
    <row r="1686" spans="2:20" ht="15.75" customHeight="1" x14ac:dyDescent="0.25">
      <c r="B1686" s="8"/>
      <c r="C1686" s="8"/>
      <c r="D1686" s="9"/>
      <c r="T1686" s="12"/>
    </row>
    <row r="1687" spans="2:20" ht="15.75" customHeight="1" x14ac:dyDescent="0.25">
      <c r="B1687" s="8"/>
      <c r="C1687" s="8"/>
      <c r="D1687" s="9"/>
      <c r="T1687" s="12"/>
    </row>
    <row r="1688" spans="2:20" ht="15.75" customHeight="1" x14ac:dyDescent="0.25">
      <c r="B1688" s="8"/>
      <c r="C1688" s="8"/>
      <c r="D1688" s="9"/>
      <c r="T1688" s="12"/>
    </row>
    <row r="1689" spans="2:20" ht="15.75" customHeight="1" x14ac:dyDescent="0.25">
      <c r="B1689" s="8"/>
      <c r="C1689" s="8"/>
      <c r="D1689" s="9"/>
      <c r="T1689" s="12"/>
    </row>
    <row r="1690" spans="2:20" ht="15.75" customHeight="1" x14ac:dyDescent="0.25">
      <c r="B1690" s="8"/>
      <c r="C1690" s="8"/>
      <c r="D1690" s="9"/>
      <c r="T1690" s="12"/>
    </row>
    <row r="1691" spans="2:20" ht="15.75" customHeight="1" x14ac:dyDescent="0.25">
      <c r="B1691" s="8"/>
      <c r="C1691" s="8"/>
      <c r="D1691" s="9"/>
      <c r="T1691" s="12"/>
    </row>
    <row r="1692" spans="2:20" ht="15.75" customHeight="1" x14ac:dyDescent="0.25">
      <c r="B1692" s="8"/>
      <c r="C1692" s="8"/>
      <c r="D1692" s="9"/>
      <c r="T1692" s="12"/>
    </row>
    <row r="1693" spans="2:20" ht="15.75" customHeight="1" x14ac:dyDescent="0.25">
      <c r="B1693" s="8"/>
      <c r="C1693" s="8"/>
      <c r="D1693" s="9"/>
      <c r="T1693" s="12"/>
    </row>
    <row r="1694" spans="2:20" ht="15.75" customHeight="1" x14ac:dyDescent="0.25">
      <c r="B1694" s="8"/>
      <c r="C1694" s="8"/>
      <c r="D1694" s="9"/>
      <c r="T1694" s="12"/>
    </row>
    <row r="1695" spans="2:20" ht="15.75" customHeight="1" x14ac:dyDescent="0.25">
      <c r="B1695" s="8"/>
      <c r="C1695" s="8"/>
      <c r="D1695" s="9"/>
      <c r="T1695" s="12"/>
    </row>
    <row r="1696" spans="2:20" ht="15.75" customHeight="1" x14ac:dyDescent="0.25">
      <c r="B1696" s="8"/>
      <c r="C1696" s="8"/>
      <c r="D1696" s="9"/>
      <c r="T1696" s="12"/>
    </row>
    <row r="1697" spans="2:20" ht="15.75" customHeight="1" x14ac:dyDescent="0.25">
      <c r="B1697" s="8"/>
      <c r="C1697" s="8"/>
      <c r="D1697" s="9"/>
      <c r="T1697" s="12"/>
    </row>
    <row r="1698" spans="2:20" ht="15.75" customHeight="1" x14ac:dyDescent="0.25">
      <c r="B1698" s="8"/>
      <c r="C1698" s="8"/>
      <c r="D1698" s="9"/>
      <c r="T1698" s="12"/>
    </row>
    <row r="1699" spans="2:20" ht="15.75" customHeight="1" x14ac:dyDescent="0.25">
      <c r="B1699" s="8"/>
      <c r="C1699" s="8"/>
      <c r="D1699" s="9"/>
      <c r="T1699" s="12"/>
    </row>
    <row r="1700" spans="2:20" ht="15.75" customHeight="1" x14ac:dyDescent="0.25">
      <c r="B1700" s="8"/>
      <c r="C1700" s="8"/>
      <c r="D1700" s="9"/>
      <c r="T1700" s="12"/>
    </row>
    <row r="1701" spans="2:20" ht="15.75" customHeight="1" x14ac:dyDescent="0.25">
      <c r="B1701" s="8"/>
      <c r="C1701" s="8"/>
      <c r="D1701" s="9"/>
      <c r="T1701" s="12"/>
    </row>
    <row r="1702" spans="2:20" ht="15.75" customHeight="1" x14ac:dyDescent="0.25">
      <c r="B1702" s="8"/>
      <c r="C1702" s="8"/>
      <c r="D1702" s="9"/>
      <c r="T1702" s="12"/>
    </row>
    <row r="1703" spans="2:20" ht="15.75" customHeight="1" x14ac:dyDescent="0.25">
      <c r="B1703" s="8"/>
      <c r="C1703" s="8"/>
      <c r="D1703" s="9"/>
      <c r="T1703" s="12"/>
    </row>
    <row r="1704" spans="2:20" ht="15.75" customHeight="1" x14ac:dyDescent="0.25">
      <c r="B1704" s="8"/>
      <c r="C1704" s="8"/>
      <c r="D1704" s="9"/>
      <c r="T1704" s="12"/>
    </row>
    <row r="1705" spans="2:20" ht="15.75" customHeight="1" x14ac:dyDescent="0.25">
      <c r="B1705" s="8"/>
      <c r="C1705" s="8"/>
      <c r="D1705" s="9"/>
      <c r="T1705" s="12"/>
    </row>
    <row r="1706" spans="2:20" ht="15.75" customHeight="1" x14ac:dyDescent="0.25">
      <c r="B1706" s="8"/>
      <c r="C1706" s="8"/>
      <c r="D1706" s="9"/>
      <c r="T1706" s="12"/>
    </row>
    <row r="1707" spans="2:20" ht="15.75" customHeight="1" x14ac:dyDescent="0.25">
      <c r="B1707" s="8"/>
      <c r="C1707" s="8"/>
      <c r="D1707" s="9"/>
      <c r="T1707" s="12"/>
    </row>
    <row r="1708" spans="2:20" ht="15.75" customHeight="1" x14ac:dyDescent="0.25">
      <c r="B1708" s="8"/>
      <c r="C1708" s="8"/>
      <c r="D1708" s="9"/>
      <c r="T1708" s="12"/>
    </row>
    <row r="1709" spans="2:20" ht="15.75" customHeight="1" x14ac:dyDescent="0.25">
      <c r="B1709" s="8"/>
      <c r="C1709" s="8"/>
      <c r="D1709" s="9"/>
      <c r="T1709" s="12"/>
    </row>
    <row r="1710" spans="2:20" ht="15.75" customHeight="1" x14ac:dyDescent="0.25">
      <c r="B1710" s="8"/>
      <c r="C1710" s="8"/>
      <c r="D1710" s="9"/>
      <c r="T1710" s="12"/>
    </row>
    <row r="1711" spans="2:20" ht="15.75" customHeight="1" x14ac:dyDescent="0.25">
      <c r="B1711" s="8"/>
      <c r="C1711" s="8"/>
      <c r="D1711" s="9"/>
      <c r="T1711" s="12"/>
    </row>
    <row r="1712" spans="2:20" ht="15.75" customHeight="1" x14ac:dyDescent="0.25">
      <c r="B1712" s="8"/>
      <c r="C1712" s="8"/>
      <c r="D1712" s="9"/>
      <c r="T1712" s="12"/>
    </row>
    <row r="1713" spans="2:20" ht="15.75" customHeight="1" x14ac:dyDescent="0.25">
      <c r="B1713" s="8"/>
      <c r="C1713" s="8"/>
      <c r="D1713" s="9"/>
      <c r="T1713" s="12"/>
    </row>
    <row r="1714" spans="2:20" ht="15.75" customHeight="1" x14ac:dyDescent="0.25">
      <c r="B1714" s="8"/>
      <c r="C1714" s="8"/>
      <c r="D1714" s="9"/>
      <c r="T1714" s="12"/>
    </row>
    <row r="1715" spans="2:20" ht="15.75" customHeight="1" x14ac:dyDescent="0.25">
      <c r="B1715" s="8"/>
      <c r="C1715" s="8"/>
      <c r="D1715" s="9"/>
      <c r="T1715" s="12"/>
    </row>
    <row r="1716" spans="2:20" ht="15.75" customHeight="1" x14ac:dyDescent="0.25">
      <c r="B1716" s="8"/>
      <c r="C1716" s="8"/>
      <c r="D1716" s="9"/>
      <c r="T1716" s="12"/>
    </row>
    <row r="1717" spans="2:20" ht="15.75" customHeight="1" x14ac:dyDescent="0.25">
      <c r="B1717" s="8"/>
      <c r="C1717" s="8"/>
      <c r="D1717" s="9"/>
      <c r="T1717" s="12"/>
    </row>
    <row r="1718" spans="2:20" ht="15.75" customHeight="1" x14ac:dyDescent="0.25">
      <c r="B1718" s="8"/>
      <c r="C1718" s="8"/>
      <c r="D1718" s="9"/>
      <c r="T1718" s="12"/>
    </row>
    <row r="1719" spans="2:20" ht="15.75" customHeight="1" x14ac:dyDescent="0.25">
      <c r="B1719" s="8"/>
      <c r="C1719" s="8"/>
      <c r="D1719" s="9"/>
      <c r="T1719" s="12"/>
    </row>
    <row r="1720" spans="2:20" ht="15.75" customHeight="1" x14ac:dyDescent="0.25">
      <c r="B1720" s="8"/>
      <c r="C1720" s="8"/>
      <c r="D1720" s="9"/>
      <c r="T1720" s="12"/>
    </row>
    <row r="1721" spans="2:20" ht="15.75" customHeight="1" x14ac:dyDescent="0.25">
      <c r="B1721" s="8"/>
      <c r="C1721" s="8"/>
      <c r="D1721" s="9"/>
      <c r="T1721" s="12"/>
    </row>
    <row r="1722" spans="2:20" ht="15.75" customHeight="1" x14ac:dyDescent="0.25">
      <c r="B1722" s="8"/>
      <c r="C1722" s="8"/>
      <c r="D1722" s="9"/>
      <c r="T1722" s="12"/>
    </row>
    <row r="1723" spans="2:20" ht="15.75" customHeight="1" x14ac:dyDescent="0.25">
      <c r="B1723" s="8"/>
      <c r="C1723" s="8"/>
      <c r="D1723" s="9"/>
      <c r="T1723" s="12"/>
    </row>
    <row r="1724" spans="2:20" ht="15.75" customHeight="1" x14ac:dyDescent="0.25">
      <c r="B1724" s="8"/>
      <c r="C1724" s="8"/>
      <c r="D1724" s="9"/>
      <c r="T1724" s="12"/>
    </row>
    <row r="1725" spans="2:20" ht="15.75" customHeight="1" x14ac:dyDescent="0.25">
      <c r="B1725" s="8"/>
      <c r="C1725" s="8"/>
      <c r="D1725" s="9"/>
      <c r="T1725" s="12"/>
    </row>
    <row r="1726" spans="2:20" ht="15.75" customHeight="1" x14ac:dyDescent="0.25">
      <c r="B1726" s="8"/>
      <c r="C1726" s="8"/>
      <c r="D1726" s="9"/>
      <c r="T1726" s="12"/>
    </row>
    <row r="1727" spans="2:20" ht="15.75" customHeight="1" x14ac:dyDescent="0.25">
      <c r="B1727" s="8"/>
      <c r="C1727" s="8"/>
      <c r="D1727" s="9"/>
      <c r="T1727" s="12"/>
    </row>
    <row r="1728" spans="2:20" ht="15.75" customHeight="1" x14ac:dyDescent="0.25">
      <c r="B1728" s="8"/>
      <c r="C1728" s="8"/>
      <c r="D1728" s="9"/>
      <c r="T1728" s="12"/>
    </row>
    <row r="1729" spans="2:20" ht="15.75" customHeight="1" x14ac:dyDescent="0.25">
      <c r="B1729" s="8"/>
      <c r="C1729" s="8"/>
      <c r="D1729" s="9"/>
      <c r="T1729" s="12"/>
    </row>
    <row r="1730" spans="2:20" ht="15.75" customHeight="1" x14ac:dyDescent="0.25">
      <c r="B1730" s="8"/>
      <c r="C1730" s="8"/>
      <c r="D1730" s="9"/>
      <c r="T1730" s="12"/>
    </row>
    <row r="1731" spans="2:20" ht="15.75" customHeight="1" x14ac:dyDescent="0.25">
      <c r="B1731" s="8"/>
      <c r="C1731" s="8"/>
      <c r="D1731" s="9"/>
      <c r="T1731" s="12"/>
    </row>
    <row r="1732" spans="2:20" ht="15.75" customHeight="1" x14ac:dyDescent="0.25">
      <c r="B1732" s="8"/>
      <c r="C1732" s="8"/>
      <c r="D1732" s="9"/>
      <c r="T1732" s="12"/>
    </row>
    <row r="1733" spans="2:20" ht="15.75" customHeight="1" x14ac:dyDescent="0.25">
      <c r="B1733" s="8"/>
      <c r="C1733" s="8"/>
      <c r="D1733" s="9"/>
      <c r="T1733" s="12"/>
    </row>
    <row r="1734" spans="2:20" ht="15.75" customHeight="1" x14ac:dyDescent="0.25">
      <c r="B1734" s="8"/>
      <c r="C1734" s="8"/>
      <c r="D1734" s="9"/>
      <c r="T1734" s="12"/>
    </row>
    <row r="1735" spans="2:20" ht="15.75" customHeight="1" x14ac:dyDescent="0.25">
      <c r="B1735" s="8"/>
      <c r="C1735" s="8"/>
      <c r="D1735" s="9"/>
      <c r="T1735" s="12"/>
    </row>
    <row r="1736" spans="2:20" ht="15.75" customHeight="1" x14ac:dyDescent="0.25">
      <c r="B1736" s="8"/>
      <c r="C1736" s="8"/>
      <c r="D1736" s="9"/>
      <c r="T1736" s="12"/>
    </row>
    <row r="1737" spans="2:20" ht="15.75" customHeight="1" x14ac:dyDescent="0.25">
      <c r="B1737" s="8"/>
      <c r="C1737" s="8"/>
      <c r="D1737" s="9"/>
      <c r="T1737" s="12"/>
    </row>
    <row r="1738" spans="2:20" ht="15.75" customHeight="1" x14ac:dyDescent="0.25">
      <c r="B1738" s="8"/>
      <c r="C1738" s="8"/>
      <c r="D1738" s="9"/>
      <c r="T1738" s="12"/>
    </row>
    <row r="1739" spans="2:20" ht="15.75" customHeight="1" x14ac:dyDescent="0.25">
      <c r="B1739" s="8"/>
      <c r="C1739" s="8"/>
      <c r="D1739" s="9"/>
      <c r="T1739" s="12"/>
    </row>
    <row r="1740" spans="2:20" ht="15.75" customHeight="1" x14ac:dyDescent="0.25">
      <c r="B1740" s="8"/>
      <c r="C1740" s="8"/>
      <c r="D1740" s="9"/>
      <c r="T1740" s="12"/>
    </row>
    <row r="1741" spans="2:20" ht="15.75" customHeight="1" x14ac:dyDescent="0.25">
      <c r="B1741" s="8"/>
      <c r="C1741" s="8"/>
      <c r="D1741" s="9"/>
      <c r="T1741" s="12"/>
    </row>
    <row r="1742" spans="2:20" ht="15.75" customHeight="1" x14ac:dyDescent="0.25">
      <c r="B1742" s="8"/>
      <c r="C1742" s="8"/>
      <c r="D1742" s="9"/>
      <c r="T1742" s="12"/>
    </row>
    <row r="1743" spans="2:20" ht="15.75" customHeight="1" x14ac:dyDescent="0.25">
      <c r="B1743" s="8"/>
      <c r="C1743" s="8"/>
      <c r="D1743" s="9"/>
      <c r="T1743" s="12"/>
    </row>
    <row r="1744" spans="2:20" ht="15.75" customHeight="1" x14ac:dyDescent="0.25">
      <c r="B1744" s="8"/>
      <c r="C1744" s="8"/>
      <c r="D1744" s="9"/>
      <c r="T1744" s="12"/>
    </row>
    <row r="1745" spans="2:20" ht="15.75" customHeight="1" x14ac:dyDescent="0.25">
      <c r="B1745" s="8"/>
      <c r="C1745" s="8"/>
      <c r="D1745" s="9"/>
      <c r="T1745" s="12"/>
    </row>
    <row r="1746" spans="2:20" ht="15.75" customHeight="1" x14ac:dyDescent="0.25">
      <c r="B1746" s="8"/>
      <c r="C1746" s="8"/>
      <c r="D1746" s="9"/>
      <c r="T1746" s="12"/>
    </row>
    <row r="1747" spans="2:20" ht="15.75" customHeight="1" x14ac:dyDescent="0.25">
      <c r="B1747" s="8"/>
      <c r="C1747" s="8"/>
      <c r="D1747" s="9"/>
      <c r="T1747" s="12"/>
    </row>
    <row r="1748" spans="2:20" ht="15.75" customHeight="1" x14ac:dyDescent="0.25">
      <c r="B1748" s="8"/>
      <c r="C1748" s="8"/>
      <c r="D1748" s="9"/>
      <c r="T1748" s="12"/>
    </row>
    <row r="1749" spans="2:20" ht="15.75" customHeight="1" x14ac:dyDescent="0.25">
      <c r="B1749" s="8"/>
      <c r="C1749" s="8"/>
      <c r="D1749" s="9"/>
      <c r="T1749" s="12"/>
    </row>
    <row r="1750" spans="2:20" ht="15.75" customHeight="1" x14ac:dyDescent="0.25">
      <c r="B1750" s="8"/>
      <c r="C1750" s="8"/>
      <c r="D1750" s="9"/>
      <c r="T1750" s="12"/>
    </row>
    <row r="1751" spans="2:20" ht="15.75" customHeight="1" x14ac:dyDescent="0.25">
      <c r="B1751" s="8"/>
      <c r="C1751" s="8"/>
      <c r="D1751" s="9"/>
      <c r="T1751" s="12"/>
    </row>
    <row r="1752" spans="2:20" ht="15.75" customHeight="1" x14ac:dyDescent="0.25">
      <c r="B1752" s="8"/>
      <c r="C1752" s="8"/>
      <c r="D1752" s="9"/>
      <c r="T1752" s="12"/>
    </row>
    <row r="1753" spans="2:20" ht="15.75" customHeight="1" x14ac:dyDescent="0.25">
      <c r="B1753" s="8"/>
      <c r="C1753" s="8"/>
      <c r="D1753" s="9"/>
      <c r="T1753" s="12"/>
    </row>
    <row r="1754" spans="2:20" ht="15.75" customHeight="1" x14ac:dyDescent="0.25">
      <c r="B1754" s="8"/>
      <c r="C1754" s="8"/>
      <c r="D1754" s="9"/>
      <c r="T1754" s="12"/>
    </row>
    <row r="1755" spans="2:20" ht="15.75" customHeight="1" x14ac:dyDescent="0.25">
      <c r="B1755" s="8"/>
      <c r="C1755" s="8"/>
      <c r="D1755" s="9"/>
      <c r="T1755" s="12"/>
    </row>
    <row r="1756" spans="2:20" ht="15.75" customHeight="1" x14ac:dyDescent="0.25">
      <c r="B1756" s="8"/>
      <c r="C1756" s="8"/>
      <c r="D1756" s="9"/>
      <c r="T1756" s="12"/>
    </row>
    <row r="1757" spans="2:20" ht="15.75" customHeight="1" x14ac:dyDescent="0.25">
      <c r="B1757" s="8"/>
      <c r="C1757" s="8"/>
      <c r="D1757" s="9"/>
      <c r="T1757" s="12"/>
    </row>
    <row r="1758" spans="2:20" ht="15.75" customHeight="1" x14ac:dyDescent="0.25">
      <c r="B1758" s="8"/>
      <c r="C1758" s="8"/>
      <c r="D1758" s="9"/>
      <c r="T1758" s="12"/>
    </row>
    <row r="1759" spans="2:20" ht="15.75" customHeight="1" x14ac:dyDescent="0.25">
      <c r="B1759" s="8"/>
      <c r="C1759" s="8"/>
      <c r="D1759" s="9"/>
      <c r="T1759" s="12"/>
    </row>
    <row r="1760" spans="2:20" ht="15.75" customHeight="1" x14ac:dyDescent="0.25">
      <c r="B1760" s="8"/>
      <c r="C1760" s="8"/>
      <c r="D1760" s="9"/>
      <c r="T1760" s="12"/>
    </row>
    <row r="1761" spans="2:20" ht="15.75" customHeight="1" x14ac:dyDescent="0.25">
      <c r="B1761" s="8"/>
      <c r="C1761" s="8"/>
      <c r="D1761" s="9"/>
      <c r="T1761" s="12"/>
    </row>
    <row r="1762" spans="2:20" ht="15.75" customHeight="1" x14ac:dyDescent="0.25">
      <c r="B1762" s="8"/>
      <c r="C1762" s="8"/>
      <c r="D1762" s="9"/>
      <c r="T1762" s="12"/>
    </row>
    <row r="1763" spans="2:20" ht="15.75" customHeight="1" x14ac:dyDescent="0.25">
      <c r="B1763" s="8"/>
      <c r="C1763" s="8"/>
      <c r="D1763" s="9"/>
      <c r="T1763" s="12"/>
    </row>
    <row r="1764" spans="2:20" ht="15.75" customHeight="1" x14ac:dyDescent="0.25">
      <c r="B1764" s="8"/>
      <c r="C1764" s="8"/>
      <c r="D1764" s="9"/>
      <c r="T1764" s="12"/>
    </row>
    <row r="1765" spans="2:20" ht="15.75" customHeight="1" x14ac:dyDescent="0.25">
      <c r="B1765" s="8"/>
      <c r="C1765" s="8"/>
      <c r="D1765" s="9"/>
      <c r="T1765" s="12"/>
    </row>
    <row r="1766" spans="2:20" ht="15.75" customHeight="1" x14ac:dyDescent="0.25">
      <c r="B1766" s="8"/>
      <c r="C1766" s="8"/>
      <c r="D1766" s="9"/>
      <c r="T1766" s="12"/>
    </row>
    <row r="1767" spans="2:20" ht="15.75" customHeight="1" x14ac:dyDescent="0.25">
      <c r="B1767" s="8"/>
      <c r="C1767" s="8"/>
      <c r="D1767" s="9"/>
      <c r="T1767" s="12"/>
    </row>
    <row r="1768" spans="2:20" ht="15.75" customHeight="1" x14ac:dyDescent="0.25">
      <c r="B1768" s="8"/>
      <c r="C1768" s="8"/>
      <c r="D1768" s="9"/>
      <c r="T1768" s="12"/>
    </row>
    <row r="1769" spans="2:20" ht="15.75" customHeight="1" x14ac:dyDescent="0.25">
      <c r="B1769" s="8"/>
      <c r="C1769" s="8"/>
      <c r="D1769" s="9"/>
      <c r="T1769" s="12"/>
    </row>
    <row r="1770" spans="2:20" ht="15.75" customHeight="1" x14ac:dyDescent="0.25">
      <c r="B1770" s="8"/>
      <c r="C1770" s="8"/>
      <c r="D1770" s="9"/>
      <c r="T1770" s="12"/>
    </row>
    <row r="1771" spans="2:20" ht="15.75" customHeight="1" x14ac:dyDescent="0.25">
      <c r="B1771" s="8"/>
      <c r="C1771" s="8"/>
      <c r="D1771" s="9"/>
      <c r="T1771" s="12"/>
    </row>
    <row r="1772" spans="2:20" ht="15.75" customHeight="1" x14ac:dyDescent="0.25">
      <c r="B1772" s="8"/>
      <c r="C1772" s="8"/>
      <c r="D1772" s="9"/>
      <c r="T1772" s="12"/>
    </row>
    <row r="1773" spans="2:20" ht="15.75" customHeight="1" x14ac:dyDescent="0.25">
      <c r="B1773" s="8"/>
      <c r="C1773" s="8"/>
      <c r="D1773" s="9"/>
      <c r="T1773" s="12"/>
    </row>
    <row r="1774" spans="2:20" ht="15.75" customHeight="1" x14ac:dyDescent="0.25">
      <c r="B1774" s="8"/>
      <c r="C1774" s="8"/>
      <c r="D1774" s="9"/>
      <c r="T1774" s="12"/>
    </row>
    <row r="1775" spans="2:20" ht="15.75" customHeight="1" x14ac:dyDescent="0.25">
      <c r="B1775" s="8"/>
      <c r="C1775" s="8"/>
      <c r="D1775" s="9"/>
      <c r="T1775" s="12"/>
    </row>
    <row r="1776" spans="2:20" ht="15.75" customHeight="1" x14ac:dyDescent="0.25">
      <c r="B1776" s="8"/>
      <c r="C1776" s="8"/>
      <c r="D1776" s="9"/>
      <c r="T1776" s="12"/>
    </row>
    <row r="1777" spans="2:20" ht="15.75" customHeight="1" x14ac:dyDescent="0.25">
      <c r="B1777" s="8"/>
      <c r="C1777" s="8"/>
      <c r="D1777" s="9"/>
      <c r="T1777" s="12"/>
    </row>
    <row r="1778" spans="2:20" ht="15.75" customHeight="1" x14ac:dyDescent="0.25">
      <c r="B1778" s="8"/>
      <c r="C1778" s="8"/>
      <c r="D1778" s="9"/>
      <c r="T1778" s="12"/>
    </row>
    <row r="1779" spans="2:20" ht="15.75" customHeight="1" x14ac:dyDescent="0.25">
      <c r="B1779" s="8"/>
      <c r="C1779" s="8"/>
      <c r="D1779" s="9"/>
      <c r="T1779" s="12"/>
    </row>
    <row r="1780" spans="2:20" ht="15.75" customHeight="1" x14ac:dyDescent="0.25">
      <c r="B1780" s="8"/>
      <c r="C1780" s="8"/>
      <c r="D1780" s="9"/>
      <c r="T1780" s="12"/>
    </row>
    <row r="1781" spans="2:20" ht="15.75" customHeight="1" x14ac:dyDescent="0.25">
      <c r="B1781" s="8"/>
      <c r="C1781" s="8"/>
      <c r="D1781" s="9"/>
      <c r="T1781" s="12"/>
    </row>
    <row r="1782" spans="2:20" ht="15.75" customHeight="1" x14ac:dyDescent="0.25">
      <c r="B1782" s="8"/>
      <c r="C1782" s="8"/>
      <c r="D1782" s="9"/>
      <c r="T1782" s="12"/>
    </row>
    <row r="1783" spans="2:20" ht="15.75" customHeight="1" x14ac:dyDescent="0.25">
      <c r="B1783" s="8"/>
      <c r="C1783" s="8"/>
      <c r="D1783" s="9"/>
      <c r="T1783" s="12"/>
    </row>
    <row r="1784" spans="2:20" ht="15.75" customHeight="1" x14ac:dyDescent="0.25">
      <c r="B1784" s="8"/>
      <c r="C1784" s="8"/>
      <c r="D1784" s="9"/>
      <c r="T1784" s="12"/>
    </row>
    <row r="1785" spans="2:20" ht="15.75" customHeight="1" x14ac:dyDescent="0.25">
      <c r="B1785" s="8"/>
      <c r="C1785" s="8"/>
      <c r="D1785" s="9"/>
      <c r="T1785" s="12"/>
    </row>
    <row r="1786" spans="2:20" ht="15.75" customHeight="1" x14ac:dyDescent="0.25">
      <c r="B1786" s="8"/>
      <c r="C1786" s="8"/>
      <c r="D1786" s="9"/>
      <c r="T1786" s="12"/>
    </row>
    <row r="1787" spans="2:20" ht="15.75" customHeight="1" x14ac:dyDescent="0.25">
      <c r="B1787" s="8"/>
      <c r="C1787" s="8"/>
      <c r="D1787" s="9"/>
      <c r="T1787" s="12"/>
    </row>
    <row r="1788" spans="2:20" ht="15.75" customHeight="1" x14ac:dyDescent="0.25">
      <c r="B1788" s="8"/>
      <c r="C1788" s="8"/>
      <c r="D1788" s="9"/>
      <c r="T1788" s="12"/>
    </row>
    <row r="1789" spans="2:20" ht="15.75" customHeight="1" x14ac:dyDescent="0.25">
      <c r="B1789" s="8"/>
      <c r="C1789" s="8"/>
      <c r="D1789" s="9"/>
      <c r="T1789" s="12"/>
    </row>
    <row r="1790" spans="2:20" ht="15.75" customHeight="1" x14ac:dyDescent="0.25">
      <c r="B1790" s="8"/>
      <c r="C1790" s="8"/>
      <c r="D1790" s="9"/>
      <c r="T1790" s="12"/>
    </row>
    <row r="1791" spans="2:20" ht="15.75" customHeight="1" x14ac:dyDescent="0.25">
      <c r="B1791" s="8"/>
      <c r="C1791" s="8"/>
      <c r="D1791" s="9"/>
      <c r="T1791" s="12"/>
    </row>
    <row r="1792" spans="2:20" ht="15.75" customHeight="1" x14ac:dyDescent="0.25">
      <c r="B1792" s="8"/>
      <c r="C1792" s="8"/>
      <c r="D1792" s="9"/>
      <c r="T1792" s="12"/>
    </row>
    <row r="1793" spans="2:20" ht="15.75" customHeight="1" x14ac:dyDescent="0.25">
      <c r="B1793" s="8"/>
      <c r="C1793" s="8"/>
      <c r="D1793" s="9"/>
      <c r="T1793" s="12"/>
    </row>
    <row r="1794" spans="2:20" ht="15.75" customHeight="1" x14ac:dyDescent="0.25">
      <c r="B1794" s="8"/>
      <c r="C1794" s="8"/>
      <c r="D1794" s="9"/>
      <c r="T1794" s="12"/>
    </row>
    <row r="1795" spans="2:20" ht="15.75" customHeight="1" x14ac:dyDescent="0.25">
      <c r="B1795" s="8"/>
      <c r="C1795" s="8"/>
      <c r="D1795" s="9"/>
      <c r="T1795" s="12"/>
    </row>
    <row r="1796" spans="2:20" ht="15.75" customHeight="1" x14ac:dyDescent="0.25">
      <c r="B1796" s="8"/>
      <c r="C1796" s="8"/>
      <c r="D1796" s="9"/>
      <c r="T1796" s="12"/>
    </row>
    <row r="1797" spans="2:20" ht="15.75" customHeight="1" x14ac:dyDescent="0.25">
      <c r="B1797" s="8"/>
      <c r="C1797" s="8"/>
      <c r="D1797" s="9"/>
      <c r="T1797" s="12"/>
    </row>
    <row r="1798" spans="2:20" ht="15.75" customHeight="1" x14ac:dyDescent="0.25">
      <c r="B1798" s="8"/>
      <c r="C1798" s="8"/>
      <c r="D1798" s="9"/>
      <c r="T1798" s="12"/>
    </row>
    <row r="1799" spans="2:20" ht="15.75" customHeight="1" x14ac:dyDescent="0.25">
      <c r="B1799" s="8"/>
      <c r="C1799" s="8"/>
      <c r="D1799" s="9"/>
      <c r="T1799" s="12"/>
    </row>
    <row r="1800" spans="2:20" ht="15.75" customHeight="1" x14ac:dyDescent="0.25">
      <c r="B1800" s="8"/>
      <c r="C1800" s="8"/>
      <c r="D1800" s="9"/>
      <c r="T1800" s="12"/>
    </row>
    <row r="1801" spans="2:20" ht="15.75" customHeight="1" x14ac:dyDescent="0.25">
      <c r="B1801" s="8"/>
      <c r="C1801" s="8"/>
      <c r="D1801" s="9"/>
      <c r="T1801" s="12"/>
    </row>
    <row r="1802" spans="2:20" ht="15.75" customHeight="1" x14ac:dyDescent="0.25">
      <c r="B1802" s="8"/>
      <c r="C1802" s="8"/>
      <c r="D1802" s="9"/>
      <c r="T1802" s="12"/>
    </row>
    <row r="1803" spans="2:20" ht="15.75" customHeight="1" x14ac:dyDescent="0.25">
      <c r="B1803" s="8"/>
      <c r="C1803" s="8"/>
      <c r="D1803" s="9"/>
      <c r="T1803" s="12"/>
    </row>
    <row r="1804" spans="2:20" ht="15.75" customHeight="1" x14ac:dyDescent="0.25">
      <c r="B1804" s="8"/>
      <c r="C1804" s="8"/>
      <c r="D1804" s="9"/>
      <c r="T1804" s="12"/>
    </row>
    <row r="1805" spans="2:20" ht="15.75" customHeight="1" x14ac:dyDescent="0.25">
      <c r="B1805" s="8"/>
      <c r="C1805" s="8"/>
      <c r="D1805" s="9"/>
      <c r="T1805" s="12"/>
    </row>
    <row r="1806" spans="2:20" ht="15.75" customHeight="1" x14ac:dyDescent="0.25">
      <c r="B1806" s="8"/>
      <c r="C1806" s="8"/>
      <c r="D1806" s="9"/>
      <c r="T1806" s="12"/>
    </row>
    <row r="1807" spans="2:20" ht="15.75" customHeight="1" x14ac:dyDescent="0.25">
      <c r="B1807" s="8"/>
      <c r="C1807" s="8"/>
      <c r="D1807" s="9"/>
      <c r="T1807" s="12"/>
    </row>
    <row r="1808" spans="2:20" ht="15.75" customHeight="1" x14ac:dyDescent="0.25">
      <c r="B1808" s="8"/>
      <c r="C1808" s="8"/>
      <c r="D1808" s="9"/>
      <c r="T1808" s="12"/>
    </row>
    <row r="1809" spans="2:20" ht="15.75" customHeight="1" x14ac:dyDescent="0.25">
      <c r="B1809" s="8"/>
      <c r="C1809" s="8"/>
      <c r="D1809" s="9"/>
      <c r="T1809" s="12"/>
    </row>
    <row r="1810" spans="2:20" ht="15.75" customHeight="1" x14ac:dyDescent="0.25">
      <c r="B1810" s="8"/>
      <c r="C1810" s="8"/>
      <c r="D1810" s="9"/>
      <c r="T1810" s="12"/>
    </row>
    <row r="1811" spans="2:20" ht="15.75" customHeight="1" x14ac:dyDescent="0.25">
      <c r="B1811" s="8"/>
      <c r="C1811" s="8"/>
      <c r="D1811" s="9"/>
      <c r="T1811" s="12"/>
    </row>
    <row r="1812" spans="2:20" ht="15.75" customHeight="1" x14ac:dyDescent="0.25">
      <c r="B1812" s="8"/>
      <c r="C1812" s="8"/>
      <c r="D1812" s="9"/>
      <c r="T1812" s="12"/>
    </row>
    <row r="1813" spans="2:20" ht="15.75" customHeight="1" x14ac:dyDescent="0.25">
      <c r="B1813" s="8"/>
      <c r="C1813" s="8"/>
      <c r="D1813" s="9"/>
      <c r="T1813" s="12"/>
    </row>
    <row r="1814" spans="2:20" ht="15.75" customHeight="1" x14ac:dyDescent="0.25">
      <c r="B1814" s="8"/>
      <c r="C1814" s="8"/>
      <c r="D1814" s="9"/>
      <c r="T1814" s="12"/>
    </row>
    <row r="1815" spans="2:20" ht="15.75" customHeight="1" x14ac:dyDescent="0.25">
      <c r="B1815" s="8"/>
      <c r="C1815" s="8"/>
      <c r="D1815" s="9"/>
      <c r="T1815" s="12"/>
    </row>
    <row r="1816" spans="2:20" ht="15.75" customHeight="1" x14ac:dyDescent="0.25">
      <c r="B1816" s="8"/>
      <c r="C1816" s="8"/>
      <c r="D1816" s="9"/>
      <c r="T1816" s="12"/>
    </row>
    <row r="1817" spans="2:20" ht="15.75" customHeight="1" x14ac:dyDescent="0.25">
      <c r="B1817" s="8"/>
      <c r="C1817" s="8"/>
      <c r="D1817" s="9"/>
      <c r="T1817" s="12"/>
    </row>
    <row r="1818" spans="2:20" ht="15.75" customHeight="1" x14ac:dyDescent="0.25">
      <c r="B1818" s="8"/>
      <c r="C1818" s="8"/>
      <c r="D1818" s="9"/>
      <c r="T1818" s="12"/>
    </row>
    <row r="1819" spans="2:20" ht="15.75" customHeight="1" x14ac:dyDescent="0.25">
      <c r="B1819" s="8"/>
      <c r="C1819" s="8"/>
      <c r="D1819" s="9"/>
      <c r="T1819" s="12"/>
    </row>
    <row r="1820" spans="2:20" ht="15.75" customHeight="1" x14ac:dyDescent="0.25">
      <c r="B1820" s="8"/>
      <c r="C1820" s="8"/>
      <c r="D1820" s="9"/>
      <c r="T1820" s="12"/>
    </row>
    <row r="1821" spans="2:20" ht="15.75" customHeight="1" x14ac:dyDescent="0.25">
      <c r="B1821" s="8"/>
      <c r="C1821" s="8"/>
      <c r="D1821" s="9"/>
      <c r="T1821" s="12"/>
    </row>
    <row r="1822" spans="2:20" ht="15.75" customHeight="1" x14ac:dyDescent="0.25">
      <c r="B1822" s="8"/>
      <c r="C1822" s="8"/>
      <c r="D1822" s="9"/>
      <c r="T1822" s="12"/>
    </row>
    <row r="1823" spans="2:20" ht="15.75" customHeight="1" x14ac:dyDescent="0.25">
      <c r="B1823" s="8"/>
      <c r="C1823" s="8"/>
      <c r="D1823" s="9"/>
      <c r="T1823" s="12"/>
    </row>
    <row r="1824" spans="2:20" ht="15.75" customHeight="1" x14ac:dyDescent="0.25">
      <c r="B1824" s="8"/>
      <c r="C1824" s="8"/>
      <c r="D1824" s="9"/>
      <c r="T1824" s="12"/>
    </row>
    <row r="1825" spans="2:20" ht="15.75" customHeight="1" x14ac:dyDescent="0.25">
      <c r="B1825" s="8"/>
      <c r="C1825" s="8"/>
      <c r="D1825" s="9"/>
      <c r="T1825" s="12"/>
    </row>
    <row r="1826" spans="2:20" ht="15.75" customHeight="1" x14ac:dyDescent="0.25">
      <c r="B1826" s="8"/>
      <c r="C1826" s="8"/>
      <c r="D1826" s="9"/>
      <c r="T1826" s="12"/>
    </row>
    <row r="1827" spans="2:20" ht="15.75" customHeight="1" x14ac:dyDescent="0.25">
      <c r="B1827" s="8"/>
      <c r="C1827" s="8"/>
      <c r="D1827" s="9"/>
      <c r="T1827" s="12"/>
    </row>
    <row r="1828" spans="2:20" ht="15.75" customHeight="1" x14ac:dyDescent="0.25">
      <c r="B1828" s="8"/>
      <c r="C1828" s="8"/>
      <c r="D1828" s="9"/>
      <c r="T1828" s="12"/>
    </row>
    <row r="1829" spans="2:20" ht="15.75" customHeight="1" x14ac:dyDescent="0.25">
      <c r="B1829" s="8"/>
      <c r="C1829" s="8"/>
      <c r="D1829" s="9"/>
      <c r="T1829" s="12"/>
    </row>
    <row r="1830" spans="2:20" ht="15.75" customHeight="1" x14ac:dyDescent="0.25">
      <c r="B1830" s="8"/>
      <c r="C1830" s="8"/>
      <c r="D1830" s="9"/>
      <c r="T1830" s="12"/>
    </row>
    <row r="1831" spans="2:20" ht="15.75" customHeight="1" x14ac:dyDescent="0.25">
      <c r="B1831" s="8"/>
      <c r="C1831" s="8"/>
      <c r="D1831" s="9"/>
      <c r="T1831" s="12"/>
    </row>
    <row r="1832" spans="2:20" ht="15.75" customHeight="1" x14ac:dyDescent="0.25">
      <c r="B1832" s="8"/>
      <c r="C1832" s="8"/>
      <c r="D1832" s="9"/>
      <c r="T1832" s="12"/>
    </row>
    <row r="1833" spans="2:20" ht="15.75" customHeight="1" x14ac:dyDescent="0.25">
      <c r="B1833" s="8"/>
      <c r="C1833" s="8"/>
      <c r="D1833" s="9"/>
      <c r="T1833" s="12"/>
    </row>
    <row r="1834" spans="2:20" ht="15.75" customHeight="1" x14ac:dyDescent="0.25">
      <c r="B1834" s="8"/>
      <c r="C1834" s="8"/>
      <c r="D1834" s="9"/>
      <c r="T1834" s="12"/>
    </row>
    <row r="1835" spans="2:20" ht="15.75" customHeight="1" x14ac:dyDescent="0.25">
      <c r="B1835" s="8"/>
      <c r="C1835" s="8"/>
      <c r="D1835" s="9"/>
      <c r="T1835" s="12"/>
    </row>
    <row r="1836" spans="2:20" ht="15.75" customHeight="1" x14ac:dyDescent="0.25">
      <c r="B1836" s="8"/>
      <c r="C1836" s="8"/>
      <c r="D1836" s="9"/>
      <c r="T1836" s="12"/>
    </row>
    <row r="1837" spans="2:20" ht="15.75" customHeight="1" x14ac:dyDescent="0.25">
      <c r="B1837" s="8"/>
      <c r="C1837" s="8"/>
      <c r="D1837" s="9"/>
      <c r="T1837" s="12"/>
    </row>
    <row r="1838" spans="2:20" ht="15.75" customHeight="1" x14ac:dyDescent="0.25">
      <c r="B1838" s="8"/>
      <c r="C1838" s="8"/>
      <c r="D1838" s="9"/>
      <c r="T1838" s="12"/>
    </row>
    <row r="1839" spans="2:20" ht="15.75" customHeight="1" x14ac:dyDescent="0.25">
      <c r="B1839" s="8"/>
      <c r="C1839" s="8"/>
      <c r="D1839" s="9"/>
      <c r="T1839" s="12"/>
    </row>
    <row r="1840" spans="2:20" ht="15.75" customHeight="1" x14ac:dyDescent="0.25">
      <c r="B1840" s="8"/>
      <c r="C1840" s="8"/>
      <c r="D1840" s="9"/>
      <c r="T1840" s="12"/>
    </row>
    <row r="1841" spans="2:20" ht="15.75" customHeight="1" x14ac:dyDescent="0.25">
      <c r="B1841" s="8"/>
      <c r="C1841" s="8"/>
      <c r="D1841" s="9"/>
      <c r="T1841" s="12"/>
    </row>
    <row r="1842" spans="2:20" ht="15.75" customHeight="1" x14ac:dyDescent="0.25">
      <c r="B1842" s="8"/>
      <c r="C1842" s="8"/>
      <c r="D1842" s="9"/>
      <c r="T1842" s="12"/>
    </row>
    <row r="1843" spans="2:20" ht="15.75" customHeight="1" x14ac:dyDescent="0.25">
      <c r="B1843" s="8"/>
      <c r="C1843" s="8"/>
      <c r="D1843" s="9"/>
      <c r="T1843" s="12"/>
    </row>
    <row r="1844" spans="2:20" ht="15.75" customHeight="1" x14ac:dyDescent="0.25">
      <c r="B1844" s="8"/>
      <c r="C1844" s="8"/>
      <c r="D1844" s="9"/>
      <c r="T1844" s="12"/>
    </row>
    <row r="1845" spans="2:20" ht="15.75" customHeight="1" x14ac:dyDescent="0.25">
      <c r="B1845" s="8"/>
      <c r="C1845" s="8"/>
      <c r="D1845" s="9"/>
      <c r="T1845" s="12"/>
    </row>
    <row r="1846" spans="2:20" ht="15.75" customHeight="1" x14ac:dyDescent="0.25">
      <c r="B1846" s="8"/>
      <c r="C1846" s="8"/>
      <c r="D1846" s="9"/>
      <c r="T1846" s="12"/>
    </row>
    <row r="1847" spans="2:20" ht="15.75" customHeight="1" x14ac:dyDescent="0.25">
      <c r="B1847" s="8"/>
      <c r="C1847" s="8"/>
      <c r="D1847" s="9"/>
      <c r="T1847" s="12"/>
    </row>
    <row r="1848" spans="2:20" ht="15.75" customHeight="1" x14ac:dyDescent="0.25">
      <c r="B1848" s="8"/>
      <c r="C1848" s="8"/>
      <c r="D1848" s="9"/>
      <c r="T1848" s="12"/>
    </row>
    <row r="1849" spans="2:20" ht="15.75" customHeight="1" x14ac:dyDescent="0.25">
      <c r="B1849" s="8"/>
      <c r="C1849" s="8"/>
      <c r="D1849" s="9"/>
      <c r="T1849" s="12"/>
    </row>
    <row r="1850" spans="2:20" ht="15.75" customHeight="1" x14ac:dyDescent="0.25">
      <c r="B1850" s="8"/>
      <c r="C1850" s="8"/>
      <c r="D1850" s="9"/>
      <c r="T1850" s="12"/>
    </row>
    <row r="1851" spans="2:20" ht="15.75" customHeight="1" x14ac:dyDescent="0.25">
      <c r="B1851" s="8"/>
      <c r="C1851" s="8"/>
      <c r="D1851" s="9"/>
      <c r="T1851" s="12"/>
    </row>
    <row r="1852" spans="2:20" ht="15.75" customHeight="1" x14ac:dyDescent="0.25">
      <c r="B1852" s="8"/>
      <c r="C1852" s="8"/>
      <c r="D1852" s="9"/>
      <c r="T1852" s="12"/>
    </row>
    <row r="1853" spans="2:20" ht="15.75" customHeight="1" x14ac:dyDescent="0.25">
      <c r="B1853" s="8"/>
      <c r="C1853" s="8"/>
      <c r="D1853" s="9"/>
      <c r="T1853" s="12"/>
    </row>
    <row r="1854" spans="2:20" ht="15.75" customHeight="1" x14ac:dyDescent="0.25">
      <c r="B1854" s="8"/>
      <c r="C1854" s="8"/>
      <c r="D1854" s="9"/>
      <c r="T1854" s="12"/>
    </row>
    <row r="1855" spans="2:20" ht="15.75" customHeight="1" x14ac:dyDescent="0.25">
      <c r="B1855" s="8"/>
      <c r="C1855" s="8"/>
      <c r="D1855" s="9"/>
      <c r="T1855" s="12"/>
    </row>
    <row r="1856" spans="2:20" ht="15.75" customHeight="1" x14ac:dyDescent="0.25">
      <c r="B1856" s="8"/>
      <c r="C1856" s="8"/>
      <c r="D1856" s="9"/>
      <c r="T1856" s="12"/>
    </row>
    <row r="1857" spans="2:20" ht="15.75" customHeight="1" x14ac:dyDescent="0.25">
      <c r="B1857" s="8"/>
      <c r="C1857" s="8"/>
      <c r="D1857" s="9"/>
      <c r="T1857" s="12"/>
    </row>
    <row r="1858" spans="2:20" ht="15.75" customHeight="1" x14ac:dyDescent="0.25">
      <c r="B1858" s="8"/>
      <c r="C1858" s="8"/>
      <c r="D1858" s="9"/>
      <c r="T1858" s="12"/>
    </row>
    <row r="1859" spans="2:20" ht="15.75" customHeight="1" x14ac:dyDescent="0.25">
      <c r="B1859" s="8"/>
      <c r="C1859" s="8"/>
      <c r="D1859" s="9"/>
      <c r="T1859" s="12"/>
    </row>
    <row r="1860" spans="2:20" ht="15.75" customHeight="1" x14ac:dyDescent="0.25">
      <c r="B1860" s="8"/>
      <c r="C1860" s="8"/>
      <c r="D1860" s="9"/>
      <c r="T1860" s="12"/>
    </row>
    <row r="1861" spans="2:20" ht="15.75" customHeight="1" x14ac:dyDescent="0.25">
      <c r="B1861" s="8"/>
      <c r="C1861" s="8"/>
      <c r="D1861" s="9"/>
      <c r="T1861" s="12"/>
    </row>
    <row r="1862" spans="2:20" ht="15.75" customHeight="1" x14ac:dyDescent="0.25">
      <c r="B1862" s="8"/>
      <c r="C1862" s="8"/>
      <c r="D1862" s="9"/>
      <c r="T1862" s="12"/>
    </row>
    <row r="1863" spans="2:20" ht="15.75" customHeight="1" x14ac:dyDescent="0.25">
      <c r="B1863" s="8"/>
      <c r="C1863" s="8"/>
      <c r="D1863" s="9"/>
      <c r="T1863" s="12"/>
    </row>
    <row r="1864" spans="2:20" ht="15.75" customHeight="1" x14ac:dyDescent="0.25">
      <c r="B1864" s="8"/>
      <c r="C1864" s="8"/>
      <c r="D1864" s="9"/>
      <c r="T1864" s="12"/>
    </row>
    <row r="1865" spans="2:20" ht="15.75" customHeight="1" x14ac:dyDescent="0.25">
      <c r="B1865" s="8"/>
      <c r="C1865" s="8"/>
      <c r="D1865" s="9"/>
      <c r="T1865" s="12"/>
    </row>
    <row r="1866" spans="2:20" ht="15.75" customHeight="1" x14ac:dyDescent="0.25">
      <c r="B1866" s="8"/>
      <c r="C1866" s="8"/>
      <c r="D1866" s="9"/>
      <c r="T1866" s="12"/>
    </row>
    <row r="1867" spans="2:20" ht="15.75" customHeight="1" x14ac:dyDescent="0.25">
      <c r="B1867" s="8"/>
      <c r="C1867" s="8"/>
      <c r="D1867" s="9"/>
      <c r="T1867" s="12"/>
    </row>
    <row r="1868" spans="2:20" ht="15.75" customHeight="1" x14ac:dyDescent="0.25">
      <c r="B1868" s="8"/>
      <c r="C1868" s="8"/>
      <c r="D1868" s="9"/>
      <c r="T1868" s="12"/>
    </row>
    <row r="1869" spans="2:20" ht="15.75" customHeight="1" x14ac:dyDescent="0.25">
      <c r="B1869" s="8"/>
      <c r="C1869" s="8"/>
      <c r="D1869" s="9"/>
      <c r="T1869" s="12"/>
    </row>
    <row r="1870" spans="2:20" ht="15.75" customHeight="1" x14ac:dyDescent="0.25">
      <c r="B1870" s="8"/>
      <c r="C1870" s="8"/>
      <c r="D1870" s="9"/>
      <c r="T1870" s="12"/>
    </row>
    <row r="1871" spans="2:20" ht="15.75" customHeight="1" x14ac:dyDescent="0.25">
      <c r="B1871" s="8"/>
      <c r="C1871" s="8"/>
      <c r="D1871" s="9"/>
      <c r="T1871" s="12"/>
    </row>
    <row r="1872" spans="2:20" ht="15.75" customHeight="1" x14ac:dyDescent="0.25">
      <c r="B1872" s="8"/>
      <c r="C1872" s="8"/>
      <c r="D1872" s="9"/>
      <c r="T1872" s="12"/>
    </row>
    <row r="1873" spans="2:20" ht="15.75" customHeight="1" x14ac:dyDescent="0.25">
      <c r="B1873" s="8"/>
      <c r="C1873" s="8"/>
      <c r="D1873" s="9"/>
      <c r="T1873" s="12"/>
    </row>
    <row r="1874" spans="2:20" ht="15.75" customHeight="1" x14ac:dyDescent="0.25">
      <c r="B1874" s="8"/>
      <c r="C1874" s="8"/>
      <c r="D1874" s="9"/>
      <c r="T1874" s="12"/>
    </row>
    <row r="1875" spans="2:20" ht="15.75" customHeight="1" x14ac:dyDescent="0.25">
      <c r="B1875" s="8"/>
      <c r="C1875" s="8"/>
      <c r="D1875" s="9"/>
      <c r="T1875" s="12"/>
    </row>
    <row r="1876" spans="2:20" ht="15.75" customHeight="1" x14ac:dyDescent="0.25">
      <c r="B1876" s="8"/>
      <c r="C1876" s="8"/>
      <c r="D1876" s="9"/>
      <c r="T1876" s="12"/>
    </row>
    <row r="1877" spans="2:20" ht="15.75" customHeight="1" x14ac:dyDescent="0.25">
      <c r="B1877" s="8"/>
      <c r="C1877" s="8"/>
      <c r="D1877" s="9"/>
      <c r="T1877" s="12"/>
    </row>
    <row r="1878" spans="2:20" ht="15.75" customHeight="1" x14ac:dyDescent="0.25">
      <c r="B1878" s="8"/>
      <c r="C1878" s="8"/>
      <c r="D1878" s="9"/>
      <c r="T1878" s="12"/>
    </row>
    <row r="1879" spans="2:20" ht="15.75" customHeight="1" x14ac:dyDescent="0.25">
      <c r="B1879" s="8"/>
      <c r="C1879" s="8"/>
      <c r="D1879" s="9"/>
      <c r="T1879" s="12"/>
    </row>
    <row r="1880" spans="2:20" ht="15.75" customHeight="1" x14ac:dyDescent="0.25">
      <c r="B1880" s="8"/>
      <c r="C1880" s="8"/>
      <c r="D1880" s="9"/>
      <c r="T1880" s="12"/>
    </row>
    <row r="1881" spans="2:20" ht="15.75" customHeight="1" x14ac:dyDescent="0.25">
      <c r="B1881" s="8"/>
      <c r="C1881" s="8"/>
      <c r="D1881" s="9"/>
      <c r="T1881" s="12"/>
    </row>
    <row r="1882" spans="2:20" ht="15.75" customHeight="1" x14ac:dyDescent="0.25">
      <c r="B1882" s="8"/>
      <c r="C1882" s="8"/>
      <c r="D1882" s="9"/>
      <c r="T1882" s="12"/>
    </row>
    <row r="1883" spans="2:20" ht="15.75" customHeight="1" x14ac:dyDescent="0.25">
      <c r="B1883" s="8"/>
      <c r="C1883" s="8"/>
      <c r="D1883" s="9"/>
      <c r="T1883" s="12"/>
    </row>
    <row r="1884" spans="2:20" ht="15.75" customHeight="1" x14ac:dyDescent="0.25">
      <c r="B1884" s="8"/>
      <c r="C1884" s="8"/>
      <c r="D1884" s="9"/>
      <c r="T1884" s="12"/>
    </row>
    <row r="1885" spans="2:20" ht="15.75" customHeight="1" x14ac:dyDescent="0.25">
      <c r="B1885" s="8"/>
      <c r="C1885" s="8"/>
      <c r="D1885" s="9"/>
      <c r="T1885" s="12"/>
    </row>
    <row r="1886" spans="2:20" ht="15.75" customHeight="1" x14ac:dyDescent="0.25">
      <c r="B1886" s="8"/>
      <c r="C1886" s="8"/>
      <c r="D1886" s="9"/>
      <c r="T1886" s="12"/>
    </row>
    <row r="1887" spans="2:20" ht="15.75" customHeight="1" x14ac:dyDescent="0.25">
      <c r="B1887" s="8"/>
      <c r="C1887" s="8"/>
      <c r="D1887" s="9"/>
      <c r="T1887" s="12"/>
    </row>
    <row r="1888" spans="2:20" ht="15.75" customHeight="1" x14ac:dyDescent="0.25">
      <c r="B1888" s="8"/>
      <c r="C1888" s="8"/>
      <c r="D1888" s="9"/>
      <c r="T1888" s="12"/>
    </row>
    <row r="1889" spans="2:20" ht="15.75" customHeight="1" x14ac:dyDescent="0.25">
      <c r="B1889" s="8"/>
      <c r="C1889" s="8"/>
      <c r="D1889" s="9"/>
      <c r="T1889" s="12"/>
    </row>
    <row r="1890" spans="2:20" ht="15.75" customHeight="1" x14ac:dyDescent="0.25">
      <c r="B1890" s="8"/>
      <c r="C1890" s="8"/>
      <c r="D1890" s="9"/>
      <c r="T1890" s="12"/>
    </row>
    <row r="1891" spans="2:20" ht="15.75" customHeight="1" x14ac:dyDescent="0.25">
      <c r="B1891" s="8"/>
      <c r="C1891" s="8"/>
      <c r="D1891" s="9"/>
      <c r="T1891" s="12"/>
    </row>
    <row r="1892" spans="2:20" ht="15.75" customHeight="1" x14ac:dyDescent="0.25">
      <c r="B1892" s="8"/>
      <c r="C1892" s="8"/>
      <c r="D1892" s="9"/>
      <c r="T1892" s="12"/>
    </row>
    <row r="1893" spans="2:20" ht="15.75" customHeight="1" x14ac:dyDescent="0.25">
      <c r="B1893" s="8"/>
      <c r="C1893" s="8"/>
      <c r="D1893" s="9"/>
      <c r="T1893" s="12"/>
    </row>
    <row r="1894" spans="2:20" ht="15.75" customHeight="1" x14ac:dyDescent="0.25">
      <c r="B1894" s="8"/>
      <c r="C1894" s="8"/>
      <c r="D1894" s="9"/>
      <c r="T1894" s="12"/>
    </row>
    <row r="1895" spans="2:20" ht="15.75" customHeight="1" x14ac:dyDescent="0.25">
      <c r="B1895" s="8"/>
      <c r="C1895" s="8"/>
      <c r="D1895" s="9"/>
      <c r="T1895" s="12"/>
    </row>
    <row r="1896" spans="2:20" ht="15.75" customHeight="1" x14ac:dyDescent="0.25">
      <c r="B1896" s="8"/>
      <c r="C1896" s="8"/>
      <c r="D1896" s="9"/>
      <c r="T1896" s="12"/>
    </row>
    <row r="1897" spans="2:20" ht="15.75" customHeight="1" x14ac:dyDescent="0.25">
      <c r="B1897" s="8"/>
      <c r="C1897" s="8"/>
      <c r="D1897" s="9"/>
      <c r="T1897" s="12"/>
    </row>
    <row r="1898" spans="2:20" ht="15.75" customHeight="1" x14ac:dyDescent="0.25">
      <c r="B1898" s="8"/>
      <c r="C1898" s="8"/>
      <c r="D1898" s="9"/>
      <c r="T1898" s="12"/>
    </row>
    <row r="1899" spans="2:20" ht="15.75" customHeight="1" x14ac:dyDescent="0.25">
      <c r="B1899" s="8"/>
      <c r="C1899" s="8"/>
      <c r="D1899" s="9"/>
      <c r="T1899" s="12"/>
    </row>
    <row r="1900" spans="2:20" ht="15.75" customHeight="1" x14ac:dyDescent="0.25">
      <c r="B1900" s="8"/>
      <c r="C1900" s="8"/>
      <c r="D1900" s="9"/>
      <c r="T1900" s="12"/>
    </row>
    <row r="1901" spans="2:20" ht="15.75" customHeight="1" x14ac:dyDescent="0.25">
      <c r="B1901" s="8"/>
      <c r="C1901" s="8"/>
      <c r="D1901" s="9"/>
      <c r="T1901" s="12"/>
    </row>
    <row r="1902" spans="2:20" ht="15.75" customHeight="1" x14ac:dyDescent="0.25">
      <c r="B1902" s="8"/>
      <c r="C1902" s="8"/>
      <c r="D1902" s="9"/>
      <c r="T1902" s="12"/>
    </row>
    <row r="1903" spans="2:20" ht="15.75" customHeight="1" x14ac:dyDescent="0.25">
      <c r="B1903" s="8"/>
      <c r="C1903" s="8"/>
      <c r="D1903" s="9"/>
      <c r="T1903" s="12"/>
    </row>
    <row r="1904" spans="2:20" ht="15.75" customHeight="1" x14ac:dyDescent="0.25">
      <c r="B1904" s="8"/>
      <c r="C1904" s="8"/>
      <c r="D1904" s="9"/>
      <c r="T1904" s="12"/>
    </row>
    <row r="1905" spans="2:20" ht="15.75" customHeight="1" x14ac:dyDescent="0.25">
      <c r="B1905" s="8"/>
      <c r="C1905" s="8"/>
      <c r="D1905" s="9"/>
      <c r="T1905" s="12"/>
    </row>
    <row r="1906" spans="2:20" ht="15.75" customHeight="1" x14ac:dyDescent="0.25">
      <c r="B1906" s="8"/>
      <c r="C1906" s="8"/>
      <c r="D1906" s="9"/>
      <c r="T1906" s="12"/>
    </row>
    <row r="1907" spans="2:20" ht="15.75" customHeight="1" x14ac:dyDescent="0.25">
      <c r="B1907" s="8"/>
      <c r="C1907" s="8"/>
      <c r="D1907" s="9"/>
      <c r="T1907" s="12"/>
    </row>
    <row r="1908" spans="2:20" ht="15.75" customHeight="1" x14ac:dyDescent="0.25">
      <c r="B1908" s="8"/>
      <c r="C1908" s="8"/>
      <c r="D1908" s="9"/>
      <c r="T1908" s="12"/>
    </row>
    <row r="1909" spans="2:20" ht="15.75" customHeight="1" x14ac:dyDescent="0.25">
      <c r="B1909" s="8"/>
      <c r="C1909" s="8"/>
      <c r="D1909" s="9"/>
      <c r="T1909" s="12"/>
    </row>
    <row r="1910" spans="2:20" ht="15.75" customHeight="1" x14ac:dyDescent="0.25">
      <c r="B1910" s="8"/>
      <c r="C1910" s="8"/>
      <c r="D1910" s="9"/>
      <c r="T1910" s="12"/>
    </row>
    <row r="1911" spans="2:20" ht="15.75" customHeight="1" x14ac:dyDescent="0.25">
      <c r="B1911" s="8"/>
      <c r="C1911" s="8"/>
      <c r="D1911" s="9"/>
      <c r="T1911" s="12"/>
    </row>
    <row r="1912" spans="2:20" ht="15.75" customHeight="1" x14ac:dyDescent="0.25">
      <c r="B1912" s="8"/>
      <c r="C1912" s="8"/>
      <c r="D1912" s="9"/>
      <c r="T1912" s="12"/>
    </row>
    <row r="1913" spans="2:20" ht="15.75" customHeight="1" x14ac:dyDescent="0.25">
      <c r="B1913" s="8"/>
      <c r="C1913" s="8"/>
      <c r="D1913" s="9"/>
      <c r="T1913" s="12"/>
    </row>
    <row r="1914" spans="2:20" ht="15.75" customHeight="1" x14ac:dyDescent="0.25">
      <c r="B1914" s="8"/>
      <c r="C1914" s="8"/>
      <c r="D1914" s="9"/>
      <c r="T1914" s="12"/>
    </row>
    <row r="1915" spans="2:20" ht="15.75" customHeight="1" x14ac:dyDescent="0.25">
      <c r="B1915" s="8"/>
      <c r="C1915" s="8"/>
      <c r="D1915" s="9"/>
      <c r="T1915" s="12"/>
    </row>
    <row r="1916" spans="2:20" ht="15.75" customHeight="1" x14ac:dyDescent="0.25">
      <c r="B1916" s="8"/>
      <c r="C1916" s="8"/>
      <c r="D1916" s="9"/>
      <c r="T1916" s="12"/>
    </row>
    <row r="1917" spans="2:20" ht="15.75" customHeight="1" x14ac:dyDescent="0.25">
      <c r="B1917" s="8"/>
      <c r="C1917" s="8"/>
      <c r="D1917" s="9"/>
      <c r="T1917" s="12"/>
    </row>
    <row r="1918" spans="2:20" ht="15.75" customHeight="1" x14ac:dyDescent="0.25">
      <c r="B1918" s="8"/>
      <c r="C1918" s="8"/>
      <c r="D1918" s="9"/>
      <c r="T1918" s="12"/>
    </row>
    <row r="1919" spans="2:20" ht="15.75" customHeight="1" x14ac:dyDescent="0.25">
      <c r="B1919" s="8"/>
      <c r="C1919" s="8"/>
      <c r="D1919" s="9"/>
      <c r="T1919" s="12"/>
    </row>
    <row r="1920" spans="2:20" ht="15.75" customHeight="1" x14ac:dyDescent="0.25">
      <c r="B1920" s="8"/>
      <c r="C1920" s="8"/>
      <c r="D1920" s="9"/>
      <c r="T1920" s="12"/>
    </row>
    <row r="1921" spans="2:20" ht="15.75" customHeight="1" x14ac:dyDescent="0.25">
      <c r="B1921" s="8"/>
      <c r="C1921" s="8"/>
      <c r="D1921" s="9"/>
      <c r="T1921" s="12"/>
    </row>
    <row r="1922" spans="2:20" ht="15.75" customHeight="1" x14ac:dyDescent="0.25">
      <c r="B1922" s="8"/>
      <c r="C1922" s="8"/>
      <c r="D1922" s="9"/>
      <c r="T1922" s="12"/>
    </row>
    <row r="1923" spans="2:20" ht="15.75" customHeight="1" x14ac:dyDescent="0.25">
      <c r="B1923" s="8"/>
      <c r="C1923" s="8"/>
      <c r="D1923" s="9"/>
      <c r="T1923" s="12"/>
    </row>
    <row r="1924" spans="2:20" ht="15.75" customHeight="1" x14ac:dyDescent="0.25">
      <c r="B1924" s="8"/>
      <c r="C1924" s="8"/>
      <c r="D1924" s="9"/>
      <c r="T1924" s="12"/>
    </row>
    <row r="1925" spans="2:20" ht="15.75" customHeight="1" x14ac:dyDescent="0.25">
      <c r="B1925" s="8"/>
      <c r="C1925" s="8"/>
      <c r="D1925" s="9"/>
      <c r="T1925" s="12"/>
    </row>
    <row r="1926" spans="2:20" ht="15.75" customHeight="1" x14ac:dyDescent="0.25">
      <c r="B1926" s="8"/>
      <c r="C1926" s="8"/>
      <c r="D1926" s="9"/>
      <c r="T1926" s="12"/>
    </row>
    <row r="1927" spans="2:20" ht="15.75" customHeight="1" x14ac:dyDescent="0.25">
      <c r="B1927" s="8"/>
      <c r="C1927" s="8"/>
      <c r="D1927" s="9"/>
      <c r="T1927" s="12"/>
    </row>
    <row r="1928" spans="2:20" ht="15.75" customHeight="1" x14ac:dyDescent="0.25">
      <c r="B1928" s="8"/>
      <c r="C1928" s="8"/>
      <c r="D1928" s="9"/>
      <c r="T1928" s="12"/>
    </row>
    <row r="1929" spans="2:20" ht="15.75" customHeight="1" x14ac:dyDescent="0.25">
      <c r="B1929" s="8"/>
      <c r="C1929" s="8"/>
      <c r="D1929" s="9"/>
      <c r="T1929" s="12"/>
    </row>
    <row r="1930" spans="2:20" ht="15.75" customHeight="1" x14ac:dyDescent="0.25">
      <c r="B1930" s="8"/>
      <c r="C1930" s="8"/>
      <c r="D1930" s="9"/>
      <c r="T1930" s="12"/>
    </row>
    <row r="1931" spans="2:20" ht="15.75" customHeight="1" x14ac:dyDescent="0.25">
      <c r="B1931" s="8"/>
      <c r="C1931" s="8"/>
      <c r="D1931" s="9"/>
      <c r="T1931" s="12"/>
    </row>
    <row r="1932" spans="2:20" ht="15.75" customHeight="1" x14ac:dyDescent="0.25">
      <c r="B1932" s="8"/>
      <c r="C1932" s="8"/>
      <c r="D1932" s="9"/>
      <c r="T1932" s="12"/>
    </row>
    <row r="1933" spans="2:20" ht="15.75" customHeight="1" x14ac:dyDescent="0.25">
      <c r="B1933" s="8"/>
      <c r="C1933" s="8"/>
      <c r="D1933" s="9"/>
      <c r="T1933" s="12"/>
    </row>
    <row r="1934" spans="2:20" ht="15.75" customHeight="1" x14ac:dyDescent="0.25">
      <c r="B1934" s="8"/>
      <c r="C1934" s="8"/>
      <c r="D1934" s="9"/>
      <c r="T1934" s="12"/>
    </row>
    <row r="1935" spans="2:20" ht="15.75" customHeight="1" x14ac:dyDescent="0.25">
      <c r="B1935" s="8"/>
      <c r="C1935" s="8"/>
      <c r="D1935" s="9"/>
      <c r="T1935" s="12"/>
    </row>
    <row r="1936" spans="2:20" ht="15.75" customHeight="1" x14ac:dyDescent="0.25">
      <c r="B1936" s="8"/>
      <c r="C1936" s="8"/>
      <c r="D1936" s="9"/>
      <c r="T1936" s="12"/>
    </row>
    <row r="1937" spans="2:20" ht="15.75" customHeight="1" x14ac:dyDescent="0.25">
      <c r="B1937" s="8"/>
      <c r="C1937" s="8"/>
      <c r="D1937" s="9"/>
      <c r="T1937" s="12"/>
    </row>
    <row r="1938" spans="2:20" ht="15.75" customHeight="1" x14ac:dyDescent="0.25">
      <c r="B1938" s="8"/>
      <c r="C1938" s="8"/>
      <c r="D1938" s="9"/>
      <c r="T1938" s="12"/>
    </row>
    <row r="1939" spans="2:20" ht="15.75" customHeight="1" x14ac:dyDescent="0.25">
      <c r="B1939" s="8"/>
      <c r="C1939" s="8"/>
      <c r="D1939" s="9"/>
      <c r="T1939" s="12"/>
    </row>
    <row r="1940" spans="2:20" ht="15.75" customHeight="1" x14ac:dyDescent="0.25">
      <c r="B1940" s="8"/>
      <c r="C1940" s="8"/>
      <c r="D1940" s="9"/>
      <c r="T1940" s="12"/>
    </row>
    <row r="1941" spans="2:20" ht="15.75" customHeight="1" x14ac:dyDescent="0.25">
      <c r="B1941" s="8"/>
      <c r="C1941" s="8"/>
      <c r="D1941" s="9"/>
      <c r="T1941" s="12"/>
    </row>
    <row r="1942" spans="2:20" ht="15.75" customHeight="1" x14ac:dyDescent="0.25">
      <c r="B1942" s="8"/>
      <c r="C1942" s="8"/>
      <c r="D1942" s="9"/>
      <c r="T1942" s="12"/>
    </row>
    <row r="1943" spans="2:20" ht="15.75" customHeight="1" x14ac:dyDescent="0.25">
      <c r="B1943" s="8"/>
      <c r="C1943" s="8"/>
      <c r="D1943" s="9"/>
      <c r="T1943" s="12"/>
    </row>
    <row r="1944" spans="2:20" ht="15.75" customHeight="1" x14ac:dyDescent="0.25">
      <c r="B1944" s="8"/>
      <c r="C1944" s="8"/>
      <c r="D1944" s="9"/>
      <c r="T1944" s="12"/>
    </row>
    <row r="1945" spans="2:20" ht="15.75" customHeight="1" x14ac:dyDescent="0.25">
      <c r="B1945" s="8"/>
      <c r="C1945" s="8"/>
      <c r="D1945" s="9"/>
      <c r="T1945" s="12"/>
    </row>
    <row r="1946" spans="2:20" ht="15.75" customHeight="1" x14ac:dyDescent="0.25">
      <c r="B1946" s="8"/>
      <c r="C1946" s="8"/>
      <c r="D1946" s="9"/>
      <c r="T1946" s="12"/>
    </row>
    <row r="1947" spans="2:20" ht="15.75" customHeight="1" x14ac:dyDescent="0.25">
      <c r="B1947" s="8"/>
      <c r="C1947" s="8"/>
      <c r="D1947" s="9"/>
      <c r="T1947" s="12"/>
    </row>
    <row r="1948" spans="2:20" ht="15.75" customHeight="1" x14ac:dyDescent="0.25">
      <c r="B1948" s="8"/>
      <c r="C1948" s="8"/>
      <c r="D1948" s="9"/>
      <c r="T1948" s="12"/>
    </row>
    <row r="1949" spans="2:20" ht="15.75" customHeight="1" x14ac:dyDescent="0.25">
      <c r="B1949" s="8"/>
      <c r="C1949" s="8"/>
      <c r="D1949" s="9"/>
      <c r="T1949" s="12"/>
    </row>
    <row r="1950" spans="2:20" ht="15.75" customHeight="1" x14ac:dyDescent="0.25">
      <c r="B1950" s="8"/>
      <c r="C1950" s="8"/>
      <c r="D1950" s="9"/>
      <c r="T1950" s="12"/>
    </row>
    <row r="1951" spans="2:20" ht="15.75" customHeight="1" x14ac:dyDescent="0.25">
      <c r="B1951" s="8"/>
      <c r="C1951" s="8"/>
      <c r="D1951" s="9"/>
      <c r="T1951" s="12"/>
    </row>
    <row r="1952" spans="2:20" ht="15.75" customHeight="1" x14ac:dyDescent="0.25">
      <c r="B1952" s="8"/>
      <c r="C1952" s="8"/>
      <c r="D1952" s="9"/>
      <c r="T1952" s="12"/>
    </row>
    <row r="1953" spans="2:20" ht="15.75" customHeight="1" x14ac:dyDescent="0.25">
      <c r="B1953" s="8"/>
      <c r="C1953" s="8"/>
      <c r="D1953" s="9"/>
      <c r="T1953" s="12"/>
    </row>
    <row r="1954" spans="2:20" ht="15.75" customHeight="1" x14ac:dyDescent="0.25">
      <c r="B1954" s="8"/>
      <c r="C1954" s="8"/>
      <c r="D1954" s="9"/>
      <c r="T1954" s="12"/>
    </row>
    <row r="1955" spans="2:20" ht="15.75" customHeight="1" x14ac:dyDescent="0.25">
      <c r="B1955" s="8"/>
      <c r="C1955" s="8"/>
      <c r="D1955" s="9"/>
      <c r="T1955" s="12"/>
    </row>
    <row r="1956" spans="2:20" ht="15.75" customHeight="1" x14ac:dyDescent="0.25">
      <c r="B1956" s="8"/>
      <c r="C1956" s="8"/>
      <c r="D1956" s="9"/>
      <c r="T1956" s="12"/>
    </row>
    <row r="1957" spans="2:20" ht="15.75" customHeight="1" x14ac:dyDescent="0.25">
      <c r="B1957" s="8"/>
      <c r="C1957" s="8"/>
      <c r="D1957" s="9"/>
      <c r="T1957" s="12"/>
    </row>
    <row r="1958" spans="2:20" ht="15.75" customHeight="1" x14ac:dyDescent="0.25">
      <c r="B1958" s="8"/>
      <c r="C1958" s="8"/>
      <c r="D1958" s="9"/>
      <c r="T1958" s="12"/>
    </row>
    <row r="1959" spans="2:20" ht="15.75" customHeight="1" x14ac:dyDescent="0.25">
      <c r="B1959" s="8"/>
      <c r="C1959" s="8"/>
      <c r="D1959" s="9"/>
      <c r="T1959" s="12"/>
    </row>
    <row r="1960" spans="2:20" ht="15.75" customHeight="1" x14ac:dyDescent="0.25">
      <c r="B1960" s="8"/>
      <c r="C1960" s="8"/>
      <c r="D1960" s="9"/>
      <c r="T1960" s="12"/>
    </row>
    <row r="1961" spans="2:20" ht="15.75" customHeight="1" x14ac:dyDescent="0.25">
      <c r="B1961" s="8"/>
      <c r="C1961" s="8"/>
      <c r="D1961" s="9"/>
      <c r="T1961" s="12"/>
    </row>
    <row r="1962" spans="2:20" ht="15.75" customHeight="1" x14ac:dyDescent="0.25">
      <c r="B1962" s="8"/>
      <c r="C1962" s="8"/>
      <c r="D1962" s="9"/>
      <c r="T1962" s="12"/>
    </row>
    <row r="1963" spans="2:20" ht="15.75" customHeight="1" x14ac:dyDescent="0.25">
      <c r="B1963" s="8"/>
      <c r="C1963" s="8"/>
      <c r="D1963" s="9"/>
      <c r="T1963" s="12"/>
    </row>
    <row r="1964" spans="2:20" ht="15.75" customHeight="1" x14ac:dyDescent="0.25">
      <c r="B1964" s="8"/>
      <c r="C1964" s="8"/>
      <c r="D1964" s="9"/>
      <c r="T1964" s="12"/>
    </row>
    <row r="1965" spans="2:20" ht="15.75" customHeight="1" x14ac:dyDescent="0.25">
      <c r="B1965" s="8"/>
      <c r="C1965" s="8"/>
      <c r="D1965" s="9"/>
      <c r="T1965" s="12"/>
    </row>
    <row r="1966" spans="2:20" ht="15.75" customHeight="1" x14ac:dyDescent="0.25">
      <c r="B1966" s="8"/>
      <c r="C1966" s="8"/>
      <c r="D1966" s="9"/>
      <c r="T1966" s="12"/>
    </row>
    <row r="1967" spans="2:20" ht="15.75" customHeight="1" x14ac:dyDescent="0.25">
      <c r="B1967" s="8"/>
      <c r="C1967" s="8"/>
      <c r="D1967" s="9"/>
      <c r="T1967" s="12"/>
    </row>
    <row r="1968" spans="2:20" ht="15.75" customHeight="1" x14ac:dyDescent="0.25">
      <c r="B1968" s="8"/>
      <c r="C1968" s="8"/>
      <c r="D1968" s="9"/>
      <c r="T1968" s="12"/>
    </row>
    <row r="1969" spans="2:20" ht="15.75" customHeight="1" x14ac:dyDescent="0.25">
      <c r="B1969" s="8"/>
      <c r="C1969" s="8"/>
      <c r="D1969" s="9"/>
      <c r="T1969" s="12"/>
    </row>
    <row r="1970" spans="2:20" ht="15.75" customHeight="1" x14ac:dyDescent="0.25">
      <c r="B1970" s="8"/>
      <c r="C1970" s="8"/>
      <c r="D1970" s="9"/>
      <c r="T1970" s="12"/>
    </row>
    <row r="1971" spans="2:20" ht="15.75" customHeight="1" x14ac:dyDescent="0.25">
      <c r="B1971" s="8"/>
      <c r="C1971" s="8"/>
      <c r="D1971" s="9"/>
      <c r="T1971" s="12"/>
    </row>
    <row r="1972" spans="2:20" ht="15.75" customHeight="1" x14ac:dyDescent="0.25">
      <c r="B1972" s="8"/>
      <c r="C1972" s="8"/>
      <c r="D1972" s="9"/>
      <c r="T1972" s="12"/>
    </row>
    <row r="1973" spans="2:20" ht="15.75" customHeight="1" x14ac:dyDescent="0.25">
      <c r="B1973" s="8"/>
      <c r="C1973" s="8"/>
      <c r="D1973" s="9"/>
      <c r="T1973" s="12"/>
    </row>
    <row r="1974" spans="2:20" ht="15.75" customHeight="1" x14ac:dyDescent="0.25">
      <c r="B1974" s="8"/>
      <c r="C1974" s="8"/>
      <c r="D1974" s="9"/>
      <c r="T1974" s="12"/>
    </row>
    <row r="1975" spans="2:20" ht="15.75" customHeight="1" x14ac:dyDescent="0.25">
      <c r="B1975" s="8"/>
      <c r="C1975" s="8"/>
      <c r="D1975" s="9"/>
      <c r="T1975" s="12"/>
    </row>
    <row r="1976" spans="2:20" ht="15.75" customHeight="1" x14ac:dyDescent="0.25">
      <c r="B1976" s="8"/>
      <c r="C1976" s="8"/>
      <c r="D1976" s="9"/>
      <c r="T1976" s="12"/>
    </row>
    <row r="1977" spans="2:20" ht="15.75" customHeight="1" x14ac:dyDescent="0.25">
      <c r="B1977" s="8"/>
      <c r="C1977" s="8"/>
      <c r="D1977" s="9"/>
      <c r="T1977" s="12"/>
    </row>
    <row r="1978" spans="2:20" ht="15.75" customHeight="1" x14ac:dyDescent="0.25">
      <c r="B1978" s="8"/>
      <c r="C1978" s="8"/>
      <c r="D1978" s="9"/>
      <c r="T1978" s="12"/>
    </row>
    <row r="1979" spans="2:20" ht="15.75" customHeight="1" x14ac:dyDescent="0.25">
      <c r="B1979" s="8"/>
      <c r="C1979" s="8"/>
      <c r="D1979" s="9"/>
      <c r="T1979" s="12"/>
    </row>
    <row r="1980" spans="2:20" ht="15.75" customHeight="1" x14ac:dyDescent="0.25">
      <c r="B1980" s="8"/>
      <c r="C1980" s="8"/>
      <c r="D1980" s="9"/>
      <c r="T1980" s="12"/>
    </row>
    <row r="1981" spans="2:20" ht="15.75" customHeight="1" x14ac:dyDescent="0.25">
      <c r="B1981" s="8"/>
      <c r="C1981" s="8"/>
      <c r="D1981" s="9"/>
      <c r="T1981" s="12"/>
    </row>
    <row r="1982" spans="2:20" ht="15.75" customHeight="1" x14ac:dyDescent="0.25">
      <c r="B1982" s="8"/>
      <c r="C1982" s="8"/>
      <c r="D1982" s="9"/>
      <c r="T1982" s="12"/>
    </row>
    <row r="1983" spans="2:20" ht="15.75" customHeight="1" x14ac:dyDescent="0.25">
      <c r="B1983" s="8"/>
      <c r="C1983" s="8"/>
      <c r="D1983" s="9"/>
      <c r="T1983" s="12"/>
    </row>
    <row r="1984" spans="2:20" ht="15.75" customHeight="1" x14ac:dyDescent="0.25">
      <c r="B1984" s="8"/>
      <c r="C1984" s="8"/>
      <c r="D1984" s="9"/>
      <c r="T1984" s="12"/>
    </row>
    <row r="1985" spans="2:20" ht="15.75" customHeight="1" x14ac:dyDescent="0.25">
      <c r="B1985" s="8"/>
      <c r="C1985" s="8"/>
      <c r="D1985" s="9"/>
      <c r="T1985" s="12"/>
    </row>
    <row r="1986" spans="2:20" ht="15.75" customHeight="1" x14ac:dyDescent="0.25">
      <c r="B1986" s="8"/>
      <c r="C1986" s="8"/>
      <c r="D1986" s="9"/>
      <c r="T1986" s="12"/>
    </row>
    <row r="1987" spans="2:20" ht="15.75" customHeight="1" x14ac:dyDescent="0.25">
      <c r="B1987" s="8"/>
      <c r="C1987" s="8"/>
      <c r="D1987" s="9"/>
      <c r="T1987" s="12"/>
    </row>
    <row r="1988" spans="2:20" ht="15.75" customHeight="1" x14ac:dyDescent="0.25">
      <c r="B1988" s="8"/>
      <c r="C1988" s="8"/>
      <c r="D1988" s="9"/>
      <c r="T1988" s="12"/>
    </row>
    <row r="1989" spans="2:20" ht="15.75" customHeight="1" x14ac:dyDescent="0.25">
      <c r="B1989" s="8"/>
      <c r="C1989" s="8"/>
      <c r="D1989" s="9"/>
      <c r="T1989" s="12"/>
    </row>
    <row r="1990" spans="2:20" ht="15.75" customHeight="1" x14ac:dyDescent="0.25">
      <c r="B1990" s="8"/>
      <c r="C1990" s="8"/>
      <c r="D1990" s="9"/>
      <c r="T1990" s="12"/>
    </row>
    <row r="1991" spans="2:20" ht="15.75" customHeight="1" x14ac:dyDescent="0.25">
      <c r="B1991" s="8"/>
      <c r="C1991" s="8"/>
      <c r="D1991" s="9"/>
      <c r="T1991" s="12"/>
    </row>
    <row r="1992" spans="2:20" ht="15.75" customHeight="1" x14ac:dyDescent="0.25">
      <c r="B1992" s="8"/>
      <c r="C1992" s="8"/>
      <c r="D1992" s="9"/>
      <c r="T1992" s="12"/>
    </row>
    <row r="1993" spans="2:20" ht="15.75" customHeight="1" x14ac:dyDescent="0.25">
      <c r="B1993" s="8"/>
      <c r="C1993" s="8"/>
      <c r="D1993" s="9"/>
      <c r="T1993" s="12"/>
    </row>
    <row r="1994" spans="2:20" ht="15.75" customHeight="1" x14ac:dyDescent="0.25">
      <c r="B1994" s="8"/>
      <c r="C1994" s="8"/>
      <c r="D1994" s="9"/>
      <c r="T1994" s="12"/>
    </row>
    <row r="1995" spans="2:20" ht="15.75" customHeight="1" x14ac:dyDescent="0.25">
      <c r="B1995" s="8"/>
      <c r="C1995" s="8"/>
      <c r="D1995" s="9"/>
      <c r="T1995" s="12"/>
    </row>
    <row r="1996" spans="2:20" ht="15.75" customHeight="1" x14ac:dyDescent="0.25">
      <c r="B1996" s="8"/>
      <c r="C1996" s="8"/>
      <c r="D1996" s="9"/>
      <c r="T1996" s="12"/>
    </row>
    <row r="1997" spans="2:20" ht="15.75" customHeight="1" x14ac:dyDescent="0.25">
      <c r="B1997" s="8"/>
      <c r="C1997" s="8"/>
      <c r="D1997" s="9"/>
      <c r="T1997" s="12"/>
    </row>
    <row r="1998" spans="2:20" ht="15.75" customHeight="1" x14ac:dyDescent="0.25">
      <c r="B1998" s="8"/>
      <c r="C1998" s="8"/>
      <c r="D1998" s="9"/>
      <c r="T1998" s="12"/>
    </row>
    <row r="1999" spans="2:20" ht="15.75" customHeight="1" x14ac:dyDescent="0.25">
      <c r="B1999" s="8"/>
      <c r="C1999" s="8"/>
      <c r="D1999" s="9"/>
      <c r="T1999" s="12"/>
    </row>
    <row r="2000" spans="2:20" ht="15.75" customHeight="1" x14ac:dyDescent="0.25">
      <c r="B2000" s="8"/>
      <c r="C2000" s="8"/>
      <c r="D2000" s="9"/>
      <c r="T2000" s="12"/>
    </row>
  </sheetData>
  <autoFilter ref="A1:AL1403" xr:uid="{00000000-0009-0000-0000-000000000000}">
    <filterColumn colId="0">
      <filters>
        <filter val="1981-0001"/>
        <filter val="1981-0002"/>
        <filter val="1981-0003"/>
      </filters>
    </filterColumn>
    <filterColumn colId="2">
      <filters>
        <filter val="koeye (8-3)"/>
      </filters>
    </filterColumn>
  </autoFilter>
  <pageMargins left="0.7" right="0.7" top="0.75" bottom="0.75" header="0" footer="0"/>
  <pageSetup orientation="landscape"/>
  <headerFooter>
    <oddHeader>&amp;R&amp;"Calibri"&amp;12&amp;K000000 Unclassified - Non-Classifié&amp;1#_x000D_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Sheet1</vt:lpstr>
      <vt:lpstr>ages pivot</vt:lpstr>
      <vt:lpstr>by sample #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McGivney, Kate</dc:creator>
  <cp:lastModifiedBy>McGivney, Kate (she, her / elle, la) (DFO/MPO)</cp:lastModifiedBy>
  <dcterms:created xsi:type="dcterms:W3CDTF">2022-08-10T21:51:01Z</dcterms:created>
  <dcterms:modified xsi:type="dcterms:W3CDTF">2026-07-13T18:57:20Z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2026-03-12T22:20:26Z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2eb7341f-6af6-42fd-a047-32a8b8680dfd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