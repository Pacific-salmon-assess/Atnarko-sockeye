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00_GitHub\Atnarko-sockeye\data\age\raw\"/>
    </mc:Choice>
  </mc:AlternateContent>
  <xr:revisionPtr revIDLastSave="0" documentId="13_ncr:1_{1644B9A3-7F11-41D6-8E59-2B4E5FAEFBB5}" xr6:coauthVersionLast="47" xr6:coauthVersionMax="47" xr10:uidLastSave="{00000000-0000-0000-0000-000000000000}"/>
  <bookViews>
    <workbookView xWindow="28680" yWindow="-1680" windowWidth="29040" windowHeight="15720" xr2:uid="{00000000-000D-0000-FFFF-FFFF00000000}"/>
  </bookViews>
  <sheets>
    <sheet name="Age Batch Details" sheetId="1" r:id="rId1"/>
    <sheet name="Age Batch Containers" sheetId="2" r:id="rId2"/>
    <sheet name="Age Scale Read" sheetId="3" r:id="rId3"/>
    <sheet name="Archive Bin" sheetId="4" r:id="rId4"/>
    <sheet name="Archive Transfer" sheetId="5" r:id="rId5"/>
    <sheet name="Pivot" sheetId="7" r:id="rId6"/>
    <sheet name="FSC_table" sheetId="9" r:id="rId7"/>
    <sheet name="escapement_table" sheetId="10" r:id="rId8"/>
    <sheet name="Glossary" sheetId="6" r:id="rId9"/>
  </sheets>
  <definedNames>
    <definedName name="_xlnm._FilterDatabase" localSheetId="2" hidden="1">'Age Scale Read'!$A$1:$S$1</definedName>
  </definedNames>
  <calcPr calcId="191029"/>
  <pivotCaches>
    <pivotCache cacheId="9"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 i="10" l="1"/>
  <c r="R16" i="10"/>
  <c r="Q17" i="10"/>
  <c r="Q16" i="10"/>
  <c r="P17" i="10"/>
  <c r="P16" i="10"/>
  <c r="R10" i="10"/>
  <c r="Q10" i="10"/>
  <c r="P10" i="10"/>
  <c r="R9" i="10"/>
  <c r="Q9" i="10"/>
  <c r="P9" i="10"/>
  <c r="R8" i="10"/>
  <c r="Q8" i="10"/>
  <c r="P8" i="10"/>
  <c r="R7" i="10"/>
  <c r="Q7" i="10"/>
  <c r="P7" i="10"/>
  <c r="R6" i="10"/>
  <c r="Q6" i="10"/>
  <c r="P6" i="10"/>
  <c r="R9" i="9"/>
  <c r="R7" i="9"/>
  <c r="R8" i="9"/>
  <c r="R6" i="9"/>
  <c r="Q9" i="9"/>
  <c r="Q7" i="9"/>
  <c r="Q8" i="9"/>
  <c r="Q6" i="9"/>
  <c r="T6" i="9" s="1"/>
  <c r="P7" i="9"/>
  <c r="T7" i="9" s="1"/>
  <c r="P8" i="9"/>
  <c r="T8" i="9" s="1"/>
  <c r="P9" i="9"/>
  <c r="T9" i="9" s="1"/>
  <c r="P6" i="9"/>
</calcChain>
</file>

<file path=xl/sharedStrings.xml><?xml version="1.0" encoding="utf-8"?>
<sst xmlns="http://schemas.openxmlformats.org/spreadsheetml/2006/main" count="17514" uniqueCount="463">
  <si>
    <t>BATCH ID</t>
  </si>
  <si>
    <t>BATCH STATUS</t>
  </si>
  <si>
    <t>SAMPLE YEAR</t>
  </si>
  <si>
    <t>YEAR PROCESSED</t>
  </si>
  <si>
    <t>PROJECT</t>
  </si>
  <si>
    <t>SECTOR</t>
  </si>
  <si>
    <t>AREA</t>
  </si>
  <si>
    <t>LOCATION</t>
  </si>
  <si>
    <t>SAMPLE START DATE</t>
  </si>
  <si>
    <t>SAMPLE END DATE</t>
  </si>
  <si>
    <t>PROJECT PRIORITY</t>
  </si>
  <si>
    <t>SPECIES</t>
  </si>
  <si>
    <t>LIFE STAGE</t>
  </si>
  <si>
    <t>FISHERY</t>
  </si>
  <si>
    <t>GEAR</t>
  </si>
  <si>
    <t>NUM CONTAINERS RECEIVED</t>
  </si>
  <si>
    <t>CONTAINER FORMAT</t>
  </si>
  <si>
    <t>SPECIMEN TYPE</t>
  </si>
  <si>
    <t>DATE BATCH RECEIVED</t>
  </si>
  <si>
    <t>DATE DUE</t>
  </si>
  <si>
    <t>TOTAL SPECIMENS RECEIVED</t>
  </si>
  <si>
    <t>TOTAL SPECIMENS AGED</t>
  </si>
  <si>
    <t>MGL STATUS</t>
  </si>
  <si>
    <t>Archived</t>
  </si>
  <si>
    <t>Bella Coola FN (in-river net)</t>
  </si>
  <si>
    <t>NC</t>
  </si>
  <si>
    <t>8</t>
  </si>
  <si>
    <t>Lower Bella Coola River</t>
  </si>
  <si>
    <t>2022-06-13</t>
  </si>
  <si>
    <t>2022-07-20</t>
  </si>
  <si>
    <t>Medium</t>
  </si>
  <si>
    <t>Sockeye</t>
  </si>
  <si>
    <t>Adult</t>
  </si>
  <si>
    <t>First Nations - FSC</t>
  </si>
  <si>
    <t>Gillnet</t>
  </si>
  <si>
    <t>2A</t>
  </si>
  <si>
    <t>Scales</t>
  </si>
  <si>
    <t>2022-12-01</t>
  </si>
  <si>
    <t>2023-01-05</t>
  </si>
  <si>
    <t>CONTAINER ID</t>
  </si>
  <si>
    <t>FIELD CONTAINER ID</t>
  </si>
  <si>
    <t>DATE SAMPLE START</t>
  </si>
  <si>
    <t>DATE SAMPLE END</t>
  </si>
  <si>
    <t>CONTAINER TYPE</t>
  </si>
  <si>
    <t>NUM SPECIMENS</t>
  </si>
  <si>
    <t>COMMENTS</t>
  </si>
  <si>
    <t>1034101</t>
  </si>
  <si>
    <t>Scalebook</t>
  </si>
  <si>
    <t>2 scales across per fish</t>
  </si>
  <si>
    <t>1034102</t>
  </si>
  <si>
    <t>scale #2 from upper Bella Coola River</t>
  </si>
  <si>
    <t>SPECIMEN NUMBER</t>
  </si>
  <si>
    <t>EU AGE</t>
  </si>
  <si>
    <t>PARTIAL AGE</t>
  </si>
  <si>
    <t>SCALE CONDITION DESCRIPTION</t>
  </si>
  <si>
    <t>EDGE CODE</t>
  </si>
  <si>
    <t>GR AGE</t>
  </si>
  <si>
    <t>12</t>
  </si>
  <si>
    <t>42</t>
  </si>
  <si>
    <t>Regenerate Scale</t>
  </si>
  <si>
    <t>M2</t>
  </si>
  <si>
    <t>2M</t>
  </si>
  <si>
    <t>Coho</t>
  </si>
  <si>
    <t>11</t>
  </si>
  <si>
    <t>32</t>
  </si>
  <si>
    <t>Mixed Fish</t>
  </si>
  <si>
    <t>02</t>
  </si>
  <si>
    <t>31</t>
  </si>
  <si>
    <t>13</t>
  </si>
  <si>
    <t>52</t>
  </si>
  <si>
    <t>M3</t>
  </si>
  <si>
    <t>3M</t>
  </si>
  <si>
    <t>Upside Down</t>
  </si>
  <si>
    <t>ARCHIVE BIN CODE</t>
  </si>
  <si>
    <t>ROOM</t>
  </si>
  <si>
    <t>RACK</t>
  </si>
  <si>
    <t>SHELF</t>
  </si>
  <si>
    <t>104mrj</t>
  </si>
  <si>
    <t>SCLSL</t>
  </si>
  <si>
    <t>P</t>
  </si>
  <si>
    <t>10</t>
  </si>
  <si>
    <t>Scale book</t>
  </si>
  <si>
    <t>TRANSFER ID</t>
  </si>
  <si>
    <t>TRANSFER DEST LOCATION NAME</t>
  </si>
  <si>
    <t>TRANSFER CONTACT</t>
  </si>
  <si>
    <t>TRANSFER USER</t>
  </si>
  <si>
    <t>TRANSFER DT</t>
  </si>
  <si>
    <t>EXPECTED RETURN DATE</t>
  </si>
  <si>
    <t>TRANSFER NOTES</t>
  </si>
  <si>
    <t>Glossary of some key terms for salmon age interpretation</t>
  </si>
  <si>
    <t>Partial Age Codes</t>
  </si>
  <si>
    <t>European Partial Age Code</t>
  </si>
  <si>
    <t>Gilbert-Rich Partial Age Code</t>
  </si>
  <si>
    <t>Freshwater Annuli</t>
  </si>
  <si>
    <t>Marine Annuli</t>
  </si>
  <si>
    <t>F0</t>
  </si>
  <si>
    <t>0F</t>
  </si>
  <si>
    <t>0</t>
  </si>
  <si>
    <t>N/A</t>
  </si>
  <si>
    <t>F1</t>
  </si>
  <si>
    <t>1F</t>
  </si>
  <si>
    <t>1</t>
  </si>
  <si>
    <t>F2</t>
  </si>
  <si>
    <t>2F</t>
  </si>
  <si>
    <t>2</t>
  </si>
  <si>
    <t>F3</t>
  </si>
  <si>
    <t>3F</t>
  </si>
  <si>
    <t>3</t>
  </si>
  <si>
    <t>F4</t>
  </si>
  <si>
    <t>4F</t>
  </si>
  <si>
    <t>4</t>
  </si>
  <si>
    <t>F5</t>
  </si>
  <si>
    <t>5F</t>
  </si>
  <si>
    <t>5</t>
  </si>
  <si>
    <t>M0</t>
  </si>
  <si>
    <t>0M</t>
  </si>
  <si>
    <t>M1</t>
  </si>
  <si>
    <t>1M</t>
  </si>
  <si>
    <t>M4</t>
  </si>
  <si>
    <t>4M</t>
  </si>
  <si>
    <t>M5</t>
  </si>
  <si>
    <t>5M</t>
  </si>
  <si>
    <t>Condition Codes</t>
  </si>
  <si>
    <t>Code</t>
  </si>
  <si>
    <t>Explanation</t>
  </si>
  <si>
    <t>RG</t>
  </si>
  <si>
    <t>MF</t>
  </si>
  <si>
    <t>FV</t>
  </si>
  <si>
    <t>Failed Verification</t>
  </si>
  <si>
    <t>W</t>
  </si>
  <si>
    <t>Wet Scale</t>
  </si>
  <si>
    <t>UD</t>
  </si>
  <si>
    <t>UM</t>
  </si>
  <si>
    <t>Unresolved Marine Age</t>
  </si>
  <si>
    <t>UF</t>
  </si>
  <si>
    <t>Unresolved Freshwater Age</t>
  </si>
  <si>
    <t>FS</t>
  </si>
  <si>
    <t>Folded Scale</t>
  </si>
  <si>
    <t>LL</t>
  </si>
  <si>
    <t>Lateral Line Scale</t>
  </si>
  <si>
    <t>DF</t>
  </si>
  <si>
    <t>Double Focus</t>
  </si>
  <si>
    <t>DM</t>
  </si>
  <si>
    <t>Damaged Scale</t>
  </si>
  <si>
    <t>DS</t>
  </si>
  <si>
    <t>Double Scale</t>
  </si>
  <si>
    <t>NP</t>
  </si>
  <si>
    <t>Non-Preferred Scale</t>
  </si>
  <si>
    <t>RS</t>
  </si>
  <si>
    <t>Resorbed Scale</t>
  </si>
  <si>
    <t>NS</t>
  </si>
  <si>
    <t>No Structure</t>
  </si>
  <si>
    <t>PP</t>
  </si>
  <si>
    <t>Poor Pressing</t>
  </si>
  <si>
    <t>OF</t>
  </si>
  <si>
    <t>Obscure Freshwater Annulus</t>
  </si>
  <si>
    <t>OM</t>
  </si>
  <si>
    <t>Obscure Marine Annulus</t>
  </si>
  <si>
    <t>OP</t>
  </si>
  <si>
    <t>Opaque</t>
  </si>
  <si>
    <t>BO</t>
  </si>
  <si>
    <t>Broken Otolith</t>
  </si>
  <si>
    <t>OT</t>
  </si>
  <si>
    <t>Other - See Comments</t>
  </si>
  <si>
    <t>OA</t>
  </si>
  <si>
    <t>Otolith Age - No scale age expected</t>
  </si>
  <si>
    <t>SA</t>
  </si>
  <si>
    <t>Scale Age - No otolith age expected</t>
  </si>
  <si>
    <t>NA</t>
  </si>
  <si>
    <t>2 structures; ages do no agree/another abbrev. does not provide the reason</t>
  </si>
  <si>
    <t>Age Types</t>
  </si>
  <si>
    <t>Type</t>
  </si>
  <si>
    <t>Description</t>
  </si>
  <si>
    <t>European Age</t>
  </si>
  <si>
    <t>European Age (EU) is expressed as two digits seperated by a decimal, eg. 1.2  The first digit equals the number of winters spent in freshwater and the second digit is equal to the number of winters spent in the ocean.  Adding the two numbers gives total age.</t>
  </si>
  <si>
    <t>Gilbert-Rich Age</t>
  </si>
  <si>
    <t>Gilbert-Rich Age (GR) is expressed as two digits with the second being subscript, eg. 4₂  The first digit indicates the year of life that the fish was caught and the subscript indicates the year of life the fish went to sea.</t>
  </si>
  <si>
    <t>Bella Coola River</t>
  </si>
  <si>
    <t>2023-06-27</t>
  </si>
  <si>
    <t>2023-07-12</t>
  </si>
  <si>
    <t>High</t>
  </si>
  <si>
    <t>Drift Net</t>
  </si>
  <si>
    <t>2023-12-07</t>
  </si>
  <si>
    <t>2024-01-31</t>
  </si>
  <si>
    <t>1012012</t>
  </si>
  <si>
    <t>2023-06-29</t>
  </si>
  <si>
    <t>1010144</t>
  </si>
  <si>
    <t>2023-07-04</t>
  </si>
  <si>
    <t>1010145</t>
  </si>
  <si>
    <t>2023-07-11</t>
  </si>
  <si>
    <t>Resorption present but not enough to suspect an annuli is missing.  Age unaffected.</t>
  </si>
  <si>
    <t>8u934n</t>
  </si>
  <si>
    <t>2024-06-18</t>
  </si>
  <si>
    <t>2024-07-25</t>
  </si>
  <si>
    <t>2024-11-13</t>
  </si>
  <si>
    <t>2025-01-05</t>
  </si>
  <si>
    <t>1048453</t>
  </si>
  <si>
    <t>03</t>
  </si>
  <si>
    <t>41</t>
  </si>
  <si>
    <t>2mweti</t>
  </si>
  <si>
    <t>Atnarko River Escapement</t>
  </si>
  <si>
    <t>Atnarko River</t>
  </si>
  <si>
    <t>2022-09-23</t>
  </si>
  <si>
    <t>Escapement</t>
  </si>
  <si>
    <t>Gaff</t>
  </si>
  <si>
    <t>1ABOX</t>
  </si>
  <si>
    <t>Otoliths and Scales</t>
  </si>
  <si>
    <t>2022-11-10</t>
  </si>
  <si>
    <t>2023-03-21</t>
  </si>
  <si>
    <t>1034096</t>
  </si>
  <si>
    <t>1036218</t>
  </si>
  <si>
    <t>Box 8</t>
  </si>
  <si>
    <t>Otolith Box/Tray</t>
  </si>
  <si>
    <t>1 otolith across (box)</t>
  </si>
  <si>
    <t>Ager comments, oto's broken and dirty.
vial 6 is empty.
Ages are '7 final ages' plus '7 otolith ages'</t>
  </si>
  <si>
    <t>fap756</t>
  </si>
  <si>
    <t>A100</t>
  </si>
  <si>
    <t>A</t>
  </si>
  <si>
    <t>km2vhe</t>
  </si>
  <si>
    <t>2022-09-12</t>
  </si>
  <si>
    <t>2022-10-03</t>
  </si>
  <si>
    <t>2023-03-31</t>
  </si>
  <si>
    <t>1036519</t>
  </si>
  <si>
    <t>20079</t>
  </si>
  <si>
    <t>no oto for fish #1 &amp; 10 - used scale to determine final age.
Total of 15 fish aged</t>
  </si>
  <si>
    <t>1036520</t>
  </si>
  <si>
    <t>20080</t>
  </si>
  <si>
    <t>Fish #1 is an oto age. 
Fish 2 &amp; 3 have no otos, used scales to determine final age</t>
  </si>
  <si>
    <t>1036219</t>
  </si>
  <si>
    <t>Box 6B</t>
  </si>
  <si>
    <t>2022-09-17</t>
  </si>
  <si>
    <t>13 oto ages+ 5 final ages</t>
  </si>
  <si>
    <t>2022-09-28</t>
  </si>
  <si>
    <t>1036220</t>
  </si>
  <si>
    <t>Box 4B</t>
  </si>
  <si>
    <t>2 oto ages</t>
  </si>
  <si>
    <t>1036521</t>
  </si>
  <si>
    <t>1013089</t>
  </si>
  <si>
    <t>5 scales down per fish</t>
  </si>
  <si>
    <t>no scale ages</t>
  </si>
  <si>
    <t>2022-09-14</t>
  </si>
  <si>
    <t>1036523</t>
  </si>
  <si>
    <t>1013075</t>
  </si>
  <si>
    <t>2022-09-21</t>
  </si>
  <si>
    <t>1036522</t>
  </si>
  <si>
    <t>1013076</t>
  </si>
  <si>
    <t>1036524</t>
  </si>
  <si>
    <t>1013090</t>
  </si>
  <si>
    <t>Unknown amount of resorption. Cannot assess the number of marine annuli missing. Only freshwater age given, no marine age given.</t>
  </si>
  <si>
    <t>Resorbed Age Interpretation. Resorption affecting age and missing 1 marine annulus</t>
  </si>
  <si>
    <t>1036221</t>
  </si>
  <si>
    <t>Box 5B</t>
  </si>
  <si>
    <t>Otolith Vial</t>
  </si>
  <si>
    <t>5 oto's aged</t>
  </si>
  <si>
    <t>1036525</t>
  </si>
  <si>
    <t>1013091</t>
  </si>
  <si>
    <t>oto's aged - no scale ages</t>
  </si>
  <si>
    <t>1036526</t>
  </si>
  <si>
    <t>1013086</t>
  </si>
  <si>
    <t>1036527</t>
  </si>
  <si>
    <t>1013092</t>
  </si>
  <si>
    <t>1034095</t>
  </si>
  <si>
    <t>1036222</t>
  </si>
  <si>
    <t>Box 7B</t>
  </si>
  <si>
    <t>ages are from Vials 2 and 3, there is NO sample in vial #1</t>
  </si>
  <si>
    <t>S Atnarko R abv Lonesome Lk</t>
  </si>
  <si>
    <t>2022-09-26</t>
  </si>
  <si>
    <t>2022-09-27</t>
  </si>
  <si>
    <t>2023-02-06</t>
  </si>
  <si>
    <t>1010817</t>
  </si>
  <si>
    <t>1010818</t>
  </si>
  <si>
    <t>1036784</t>
  </si>
  <si>
    <t>1 otolith across (tray)</t>
  </si>
  <si>
    <t>93 vials, 86 samples.
Vials 44 - 50 are empty
Ages include 80 oto ages and 2 scale ages
Age for # 38 is a scale age from book 1010815 fish # 10.
Age for # 63 is a scale age from book 1010817 fish # 13 - otolith was damaged.
Age for # 83 is a scale age from book 1010818 fish # 8.</t>
  </si>
  <si>
    <t>1010815</t>
  </si>
  <si>
    <t>22</t>
  </si>
  <si>
    <t>53</t>
  </si>
  <si>
    <t>23</t>
  </si>
  <si>
    <t>63</t>
  </si>
  <si>
    <t>S Atnarko R bel Stillwater</t>
  </si>
  <si>
    <t>2022-10-05</t>
  </si>
  <si>
    <t>2023-01-06</t>
  </si>
  <si>
    <t>1010813</t>
  </si>
  <si>
    <t>1036804</t>
  </si>
  <si>
    <t/>
  </si>
  <si>
    <t>no otoliths in Vials 43 - 50</t>
  </si>
  <si>
    <t>1010814</t>
  </si>
  <si>
    <t>1010819</t>
  </si>
  <si>
    <t>2022-09-29</t>
  </si>
  <si>
    <t>1012648</t>
  </si>
  <si>
    <t>Atnarko River mainstem</t>
  </si>
  <si>
    <t>2023-09-22</t>
  </si>
  <si>
    <t>2023-10-05</t>
  </si>
  <si>
    <t>2023-11-06</t>
  </si>
  <si>
    <t>2024-03-31</t>
  </si>
  <si>
    <t>1010202</t>
  </si>
  <si>
    <t>above Lonesome Lake sample is Fish 11, batch 113253
mainstem vials 92-100</t>
  </si>
  <si>
    <t>1049190</t>
  </si>
  <si>
    <t>Box 1</t>
  </si>
  <si>
    <t>2023-09-25</t>
  </si>
  <si>
    <t>Otoliths aged from vials 92 - 100
9 otoliths 10 is scale age from book 1010202</t>
  </si>
  <si>
    <t>kd7bgj</t>
  </si>
  <si>
    <t>2024-03-30</t>
  </si>
  <si>
    <t>1049194</t>
  </si>
  <si>
    <t>Vial 91, scale in Book 1010202 Batch 113245</t>
  </si>
  <si>
    <t>S Atnarko R abv Rainbow</t>
  </si>
  <si>
    <t>1010201</t>
  </si>
  <si>
    <t>2024-09-14</t>
  </si>
  <si>
    <t>2024-10-07</t>
  </si>
  <si>
    <t>1ATRAY</t>
  </si>
  <si>
    <t>2025-03-31</t>
  </si>
  <si>
    <t>1063351</t>
  </si>
  <si>
    <t>2024-09-25</t>
  </si>
  <si>
    <t>11, 12 doesn't exist</t>
  </si>
  <si>
    <t>1048455</t>
  </si>
  <si>
    <t>2024-09-18</t>
  </si>
  <si>
    <t>oto ages. Vials 11, 12 do not exist.</t>
  </si>
  <si>
    <t>1048456</t>
  </si>
  <si>
    <t>some Oto ages, some final ages.</t>
  </si>
  <si>
    <t>56wvkn</t>
  </si>
  <si>
    <t>Atnarko R abv Tenas</t>
  </si>
  <si>
    <t>Dip Net</t>
  </si>
  <si>
    <t>1013160</t>
  </si>
  <si>
    <t>1048459</t>
  </si>
  <si>
    <t>1013161</t>
  </si>
  <si>
    <t>Fish 10 matches vial 53</t>
  </si>
  <si>
    <t>1013162</t>
  </si>
  <si>
    <t>1063354</t>
  </si>
  <si>
    <t>1048458</t>
  </si>
  <si>
    <t xml:space="preserve">different scales format.
age 51 &amp; 52 are oto  </t>
  </si>
  <si>
    <t>S Atnarko R abv Stillwater</t>
  </si>
  <si>
    <t>1048457</t>
  </si>
  <si>
    <t>Vials 41 - 43 aged.</t>
  </si>
  <si>
    <t>1063353</t>
  </si>
  <si>
    <t>vials 41-43</t>
  </si>
  <si>
    <t>Row Labels</t>
  </si>
  <si>
    <t>(blank)</t>
  </si>
  <si>
    <t>Grand Total</t>
  </si>
  <si>
    <t>Column Labels</t>
  </si>
  <si>
    <t>Count of GR AGE</t>
  </si>
  <si>
    <t>2025-07-07</t>
  </si>
  <si>
    <t>2025-07-27</t>
  </si>
  <si>
    <t>2025-11-18</t>
  </si>
  <si>
    <t>2026-01-05</t>
  </si>
  <si>
    <t>1080831</t>
  </si>
  <si>
    <t>1080832</t>
  </si>
  <si>
    <t>2025-07-21</t>
  </si>
  <si>
    <t>Fish # 18 is Coho.</t>
  </si>
  <si>
    <t>md1bcr</t>
  </si>
  <si>
    <t>(Multiple Items)</t>
  </si>
  <si>
    <t>total</t>
  </si>
  <si>
    <t>2025-08-25</t>
  </si>
  <si>
    <t>2025-10-17</t>
  </si>
  <si>
    <t>2025-12-08</t>
  </si>
  <si>
    <t>2026-03-31</t>
  </si>
  <si>
    <t>1069318</t>
  </si>
  <si>
    <t>box A</t>
  </si>
  <si>
    <t>2025-10-08</t>
  </si>
  <si>
    <t xml:space="preserve">Ager note: Many crystalized otoliths and poor sampling - membranes attached and many broken oto pieces in both boxes.
</t>
  </si>
  <si>
    <t>1080809</t>
  </si>
  <si>
    <t>2025-09-29</t>
  </si>
  <si>
    <t xml:space="preserve">
</t>
  </si>
  <si>
    <t>1069319</t>
  </si>
  <si>
    <t>box b</t>
  </si>
  <si>
    <t>2025-09-19</t>
  </si>
  <si>
    <t>1080814</t>
  </si>
  <si>
    <t>2025-09-27</t>
  </si>
  <si>
    <t>1080810</t>
  </si>
  <si>
    <t>2025-10-02</t>
  </si>
  <si>
    <t>1080811</t>
  </si>
  <si>
    <t>2025-10-07</t>
  </si>
  <si>
    <t>1080812</t>
  </si>
  <si>
    <t>1080813</t>
  </si>
  <si>
    <t>21</t>
  </si>
  <si>
    <t>43</t>
  </si>
  <si>
    <t>No Age - See Container Comments</t>
  </si>
  <si>
    <t>2bq7mn</t>
  </si>
  <si>
    <t>Snootli Creek Hatchery</t>
  </si>
  <si>
    <t>SP</t>
  </si>
  <si>
    <t>Atnarko R abv Lonesome Lk</t>
  </si>
  <si>
    <t>2025-09-24</t>
  </si>
  <si>
    <t>2025-09-25</t>
  </si>
  <si>
    <t>2025-11-05</t>
  </si>
  <si>
    <t>1069307</t>
  </si>
  <si>
    <t>box 1</t>
  </si>
  <si>
    <t>1069308</t>
  </si>
  <si>
    <t>box 2</t>
  </si>
  <si>
    <t>1080048</t>
  </si>
  <si>
    <t>1080049</t>
  </si>
  <si>
    <t>1080050</t>
  </si>
  <si>
    <t>Fish #4 is a final age - scale age used to confirm otolith age.</t>
  </si>
  <si>
    <t>1080051</t>
  </si>
  <si>
    <t>1080052</t>
  </si>
  <si>
    <t>1080053</t>
  </si>
  <si>
    <t>20</t>
  </si>
  <si>
    <t>33</t>
  </si>
  <si>
    <t>ivj9d1</t>
  </si>
  <si>
    <t>SCL</t>
  </si>
  <si>
    <t>Judy McArthur</t>
  </si>
  <si>
    <t>ENT\DEGROOTD</t>
  </si>
  <si>
    <t>2026-06-06 12:00:00 AM</t>
  </si>
  <si>
    <t>only scale books</t>
  </si>
  <si>
    <t>Completed</t>
  </si>
  <si>
    <t>Atnarko R bel Stillwater</t>
  </si>
  <si>
    <t>2025-10-01</t>
  </si>
  <si>
    <t>1069306</t>
  </si>
  <si>
    <t>1080044</t>
  </si>
  <si>
    <t>fish # 21 is a final age</t>
  </si>
  <si>
    <t>1080045</t>
  </si>
  <si>
    <t>fish #16  (Vial 41) is a final age.</t>
  </si>
  <si>
    <t>1080046</t>
  </si>
  <si>
    <t>Fish 16 - vial 66 is a final age.
Fish 23 - vial 73 is a final age.</t>
  </si>
  <si>
    <t>1080047</t>
  </si>
  <si>
    <t xml:space="preserve">Fish 2 - vial 77 is a final age.
Fish 9 &amp; 10 - vials 84 &amp; 85 are a final age.
</t>
  </si>
  <si>
    <t>Reading Method - Otolith Only</t>
  </si>
  <si>
    <t>2024-09-24</t>
  </si>
  <si>
    <t>2024-11-25</t>
  </si>
  <si>
    <t>2025-04-30</t>
  </si>
  <si>
    <t>1048305</t>
  </si>
  <si>
    <t>1048306</t>
  </si>
  <si>
    <t>1048307</t>
  </si>
  <si>
    <t>1048398</t>
  </si>
  <si>
    <t>1048399</t>
  </si>
  <si>
    <t>1048400</t>
  </si>
  <si>
    <t>1063389</t>
  </si>
  <si>
    <t>Oto ages</t>
  </si>
  <si>
    <t>1063390</t>
  </si>
  <si>
    <t>e3h0a9</t>
  </si>
  <si>
    <t>2024-09-19</t>
  </si>
  <si>
    <t>2024-10-11</t>
  </si>
  <si>
    <t>1048301</t>
  </si>
  <si>
    <t>Both otos and scales were used to determine final age.  Fish 1, 2, 3,15, 19 &amp; 25 are final ages</t>
  </si>
  <si>
    <t>1048302</t>
  </si>
  <si>
    <t>fish 6, 7, 9, 16, 18 &amp; 20 are final ages.</t>
  </si>
  <si>
    <t>1048303</t>
  </si>
  <si>
    <t>1063388</t>
  </si>
  <si>
    <t>30</t>
  </si>
  <si>
    <t>44</t>
  </si>
  <si>
    <t>both scales and otoliths</t>
  </si>
  <si>
    <t>Archives</t>
  </si>
  <si>
    <t>Darian Degroot</t>
  </si>
  <si>
    <t>2026-03-31 12:00:00 AM</t>
  </si>
  <si>
    <t>2023-09-24</t>
  </si>
  <si>
    <t>2023-09-28</t>
  </si>
  <si>
    <t>2023-10-30</t>
  </si>
  <si>
    <t>1035019</t>
  </si>
  <si>
    <t>1035018</t>
  </si>
  <si>
    <t>2023-09-27</t>
  </si>
  <si>
    <t>1035020</t>
  </si>
  <si>
    <t>1035021</t>
  </si>
  <si>
    <t>1049176</t>
  </si>
  <si>
    <t>dagidw</t>
  </si>
  <si>
    <t>2023-09-19</t>
  </si>
  <si>
    <t>2023-10-03</t>
  </si>
  <si>
    <t>1035014</t>
  </si>
  <si>
    <t>#8 has m3 as final age</t>
  </si>
  <si>
    <t>1035015</t>
  </si>
  <si>
    <t>1035016</t>
  </si>
  <si>
    <t>1035017</t>
  </si>
  <si>
    <t>1049175</t>
  </si>
  <si>
    <t>yp8jbn</t>
  </si>
  <si>
    <t>ATN RIVER (adding R and be stillwater)</t>
  </si>
  <si>
    <t>adding mainstem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</si>
</sst>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name val="Calibri"/>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xf numFmtId="0" fontId="0" fillId="0" borderId="1" xfId="0" applyBorder="1"/>
    <xf numFmtId="0" fontId="1" fillId="0" borderId="1" xfId="0" applyFont="1" applyBorder="1"/>
    <xf numFmtId="0" fontId="1" fillId="0" borderId="1" xfId="0" applyFont="1" applyBorder="1" applyAlignment="1">
      <alignment wrapText="1"/>
    </xf>
    <xf numFmtId="0" fontId="0" fillId="0" borderId="1" xfId="0" applyBorder="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2"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Givney, Kate" refreshedDate="46258.489362499997" createdVersion="8" refreshedVersion="8" minRefreshableVersion="3" recordCount="1148" xr:uid="{3967CD6F-56B5-4C91-B43B-FA1C69547DD2}">
  <cacheSource type="worksheet">
    <worksheetSource ref="A1:S1048576" sheet="Age Scale Read"/>
  </cacheSource>
  <cacheFields count="19">
    <cacheField name="BATCH ID" numFmtId="0">
      <sharedItems containsString="0" containsBlank="1" containsNumber="1" containsInteger="1" minValue="101623" maxValue="145267"/>
    </cacheField>
    <cacheField name="SAMPLE YEAR" numFmtId="0">
      <sharedItems containsString="0" containsBlank="1" containsNumber="1" containsInteger="1" minValue="2022" maxValue="2025" count="5">
        <n v="2022"/>
        <n v="2023"/>
        <n v="2024"/>
        <n v="2025"/>
        <m/>
      </sharedItems>
    </cacheField>
    <cacheField name="PROJECT" numFmtId="0">
      <sharedItems containsBlank="1" count="4">
        <s v="Bella Coola FN (in-river net)"/>
        <s v="Atnarko River Escapement"/>
        <s v="Snootli Creek Hatchery"/>
        <m/>
      </sharedItems>
    </cacheField>
    <cacheField name="AREA" numFmtId="0">
      <sharedItems containsBlank="1"/>
    </cacheField>
    <cacheField name="LOCATION" numFmtId="0">
      <sharedItems containsBlank="1" count="12">
        <s v="Lower Bella Coola River"/>
        <s v="Bella Coola River"/>
        <s v="Atnarko River"/>
        <s v="S Atnarko R abv Lonesome Lk"/>
        <s v="S Atnarko R bel Stillwater"/>
        <s v="Atnarko River mainstem"/>
        <s v="S Atnarko R abv Rainbow"/>
        <s v="Atnarko R abv Tenas"/>
        <s v="S Atnarko R abv Stillwater"/>
        <s v="Atnarko R abv Lonesome Lk"/>
        <s v="Atnarko R bel Stillwater"/>
        <m/>
      </sharedItems>
    </cacheField>
    <cacheField name="CONTAINER ID" numFmtId="0">
      <sharedItems containsBlank="1"/>
    </cacheField>
    <cacheField name="DATE SAMPLE START" numFmtId="0">
      <sharedItems containsBlank="1"/>
    </cacheField>
    <cacheField name="DATE SAMPLE END" numFmtId="0">
      <sharedItems containsBlank="1"/>
    </cacheField>
    <cacheField name="SPECIES" numFmtId="0">
      <sharedItems containsBlank="1" count="3">
        <s v="Sockeye"/>
        <s v="Coho"/>
        <m/>
      </sharedItems>
    </cacheField>
    <cacheField name="LIFE STAGE" numFmtId="0">
      <sharedItems containsBlank="1"/>
    </cacheField>
    <cacheField name="FISHERY" numFmtId="0">
      <sharedItems containsBlank="1"/>
    </cacheField>
    <cacheField name="GEAR" numFmtId="0">
      <sharedItems containsBlank="1"/>
    </cacheField>
    <cacheField name="SPECIMEN TYPE" numFmtId="0">
      <sharedItems containsBlank="1"/>
    </cacheField>
    <cacheField name="SPECIMEN NUMBER" numFmtId="0">
      <sharedItems containsString="0" containsBlank="1" containsNumber="1" containsInteger="1" minValue="1" maxValue="100"/>
    </cacheField>
    <cacheField name="EU AGE" numFmtId="0">
      <sharedItems containsBlank="1"/>
    </cacheField>
    <cacheField name="PARTIAL AGE" numFmtId="0">
      <sharedItems containsBlank="1"/>
    </cacheField>
    <cacheField name="SCALE CONDITION DESCRIPTION" numFmtId="0">
      <sharedItems containsBlank="1"/>
    </cacheField>
    <cacheField name="EDGE CODE" numFmtId="0">
      <sharedItems containsBlank="1"/>
    </cacheField>
    <cacheField name="GR AGE" numFmtId="0">
      <sharedItems containsBlank="1" count="18">
        <s v="42"/>
        <m/>
        <s v="2M"/>
        <s v="32"/>
        <s v="31"/>
        <s v="52"/>
        <s v="3M"/>
        <s v="41"/>
        <s v="1F"/>
        <s v="53"/>
        <s v="63"/>
        <s v="0F"/>
        <s v="1M"/>
        <s v="43"/>
        <s v="2F"/>
        <s v="22"/>
        <s v="33"/>
        <s v="4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8">
  <r>
    <n v="102061"/>
    <x v="0"/>
    <x v="0"/>
    <s v="8"/>
    <x v="0"/>
    <s v="1034101"/>
    <s v="2022-06-13"/>
    <s v="2022-07-20"/>
    <x v="0"/>
    <s v="Adult"/>
    <s v="First Nations - FSC"/>
    <s v="Gillnet"/>
    <s v="Scales"/>
    <n v="1"/>
    <s v="12"/>
    <m/>
    <m/>
    <m/>
    <x v="0"/>
  </r>
  <r>
    <n v="102061"/>
    <x v="0"/>
    <x v="0"/>
    <s v="8"/>
    <x v="0"/>
    <s v="1034101"/>
    <s v="2022-06-13"/>
    <s v="2022-07-20"/>
    <x v="0"/>
    <s v="Adult"/>
    <s v="First Nations - FSC"/>
    <s v="Gillnet"/>
    <s v="Scales"/>
    <n v="2"/>
    <s v="12"/>
    <m/>
    <m/>
    <m/>
    <x v="0"/>
  </r>
  <r>
    <n v="102061"/>
    <x v="0"/>
    <x v="0"/>
    <s v="8"/>
    <x v="0"/>
    <s v="1034101"/>
    <s v="2022-06-13"/>
    <s v="2022-07-20"/>
    <x v="0"/>
    <s v="Adult"/>
    <s v="First Nations - FSC"/>
    <s v="Gillnet"/>
    <s v="Scales"/>
    <n v="3"/>
    <m/>
    <m/>
    <s v="Regenerate Scale"/>
    <m/>
    <x v="1"/>
  </r>
  <r>
    <n v="102061"/>
    <x v="0"/>
    <x v="0"/>
    <s v="8"/>
    <x v="0"/>
    <s v="1034101"/>
    <s v="2022-06-13"/>
    <s v="2022-07-20"/>
    <x v="0"/>
    <s v="Adult"/>
    <s v="First Nations - FSC"/>
    <s v="Gillnet"/>
    <s v="Scales"/>
    <n v="4"/>
    <m/>
    <s v="M2"/>
    <s v="Regenerate Scale"/>
    <m/>
    <x v="2"/>
  </r>
  <r>
    <n v="102061"/>
    <x v="0"/>
    <x v="0"/>
    <s v="8"/>
    <x v="0"/>
    <s v="1034101"/>
    <s v="2022-06-13"/>
    <s v="2022-07-20"/>
    <x v="0"/>
    <s v="Adult"/>
    <s v="First Nations - FSC"/>
    <s v="Gillnet"/>
    <s v="Scales"/>
    <n v="5"/>
    <s v="12"/>
    <m/>
    <m/>
    <m/>
    <x v="0"/>
  </r>
  <r>
    <n v="102061"/>
    <x v="0"/>
    <x v="0"/>
    <s v="8"/>
    <x v="0"/>
    <s v="1034101"/>
    <s v="2022-06-13"/>
    <s v="2022-07-20"/>
    <x v="0"/>
    <s v="Adult"/>
    <s v="First Nations - FSC"/>
    <s v="Gillnet"/>
    <s v="Scales"/>
    <n v="6"/>
    <s v="12"/>
    <m/>
    <m/>
    <m/>
    <x v="0"/>
  </r>
  <r>
    <n v="102061"/>
    <x v="0"/>
    <x v="0"/>
    <s v="8"/>
    <x v="0"/>
    <s v="1034101"/>
    <s v="2022-06-13"/>
    <s v="2022-07-20"/>
    <x v="1"/>
    <s v="Adult"/>
    <s v="First Nations - FSC"/>
    <s v="Gillnet"/>
    <s v="Scales"/>
    <n v="7"/>
    <s v="11"/>
    <m/>
    <m/>
    <m/>
    <x v="3"/>
  </r>
  <r>
    <n v="102061"/>
    <x v="0"/>
    <x v="0"/>
    <s v="8"/>
    <x v="0"/>
    <s v="1034101"/>
    <s v="2022-06-13"/>
    <s v="2022-07-20"/>
    <x v="0"/>
    <s v="Adult"/>
    <s v="First Nations - FSC"/>
    <s v="Gillnet"/>
    <s v="Scales"/>
    <n v="8"/>
    <m/>
    <m/>
    <s v="Mixed Fish"/>
    <m/>
    <x v="1"/>
  </r>
  <r>
    <n v="102061"/>
    <x v="0"/>
    <x v="0"/>
    <s v="8"/>
    <x v="0"/>
    <s v="1034101"/>
    <s v="2022-06-13"/>
    <s v="2022-07-20"/>
    <x v="0"/>
    <s v="Adult"/>
    <s v="First Nations - FSC"/>
    <s v="Gillnet"/>
    <s v="Scales"/>
    <n v="9"/>
    <m/>
    <s v="M2"/>
    <s v="Regenerate Scale"/>
    <m/>
    <x v="2"/>
  </r>
  <r>
    <n v="102061"/>
    <x v="0"/>
    <x v="0"/>
    <s v="8"/>
    <x v="0"/>
    <s v="1034101"/>
    <s v="2022-06-13"/>
    <s v="2022-07-20"/>
    <x v="0"/>
    <s v="Adult"/>
    <s v="First Nations - FSC"/>
    <s v="Gillnet"/>
    <s v="Scales"/>
    <n v="10"/>
    <s v="12"/>
    <m/>
    <m/>
    <m/>
    <x v="0"/>
  </r>
  <r>
    <n v="102061"/>
    <x v="0"/>
    <x v="0"/>
    <s v="8"/>
    <x v="0"/>
    <s v="1034101"/>
    <s v="2022-06-13"/>
    <s v="2022-07-20"/>
    <x v="0"/>
    <s v="Adult"/>
    <s v="First Nations - FSC"/>
    <s v="Gillnet"/>
    <s v="Scales"/>
    <n v="11"/>
    <m/>
    <s v="M2"/>
    <s v="Regenerate Scale"/>
    <m/>
    <x v="2"/>
  </r>
  <r>
    <n v="102061"/>
    <x v="0"/>
    <x v="0"/>
    <s v="8"/>
    <x v="0"/>
    <s v="1034101"/>
    <s v="2022-06-13"/>
    <s v="2022-07-20"/>
    <x v="0"/>
    <s v="Adult"/>
    <s v="First Nations - FSC"/>
    <s v="Gillnet"/>
    <s v="Scales"/>
    <n v="12"/>
    <s v="12"/>
    <m/>
    <m/>
    <m/>
    <x v="0"/>
  </r>
  <r>
    <n v="102061"/>
    <x v="0"/>
    <x v="0"/>
    <s v="8"/>
    <x v="0"/>
    <s v="1034101"/>
    <s v="2022-06-13"/>
    <s v="2022-07-20"/>
    <x v="0"/>
    <s v="Adult"/>
    <s v="First Nations - FSC"/>
    <s v="Gillnet"/>
    <s v="Scales"/>
    <n v="13"/>
    <s v="02"/>
    <m/>
    <m/>
    <m/>
    <x v="4"/>
  </r>
  <r>
    <n v="102061"/>
    <x v="0"/>
    <x v="0"/>
    <s v="8"/>
    <x v="0"/>
    <s v="1034101"/>
    <s v="2022-06-13"/>
    <s v="2022-07-20"/>
    <x v="0"/>
    <s v="Adult"/>
    <s v="First Nations - FSC"/>
    <s v="Gillnet"/>
    <s v="Scales"/>
    <n v="14"/>
    <m/>
    <m/>
    <s v="Regenerate Scale"/>
    <m/>
    <x v="1"/>
  </r>
  <r>
    <n v="102061"/>
    <x v="0"/>
    <x v="0"/>
    <s v="8"/>
    <x v="0"/>
    <s v="1034101"/>
    <s v="2022-06-13"/>
    <s v="2022-07-20"/>
    <x v="0"/>
    <s v="Adult"/>
    <s v="First Nations - FSC"/>
    <s v="Gillnet"/>
    <s v="Scales"/>
    <n v="15"/>
    <s v="12"/>
    <m/>
    <m/>
    <m/>
    <x v="0"/>
  </r>
  <r>
    <n v="102061"/>
    <x v="0"/>
    <x v="0"/>
    <s v="8"/>
    <x v="0"/>
    <s v="1034101"/>
    <s v="2022-06-13"/>
    <s v="2022-07-20"/>
    <x v="0"/>
    <s v="Adult"/>
    <s v="First Nations - FSC"/>
    <s v="Gillnet"/>
    <s v="Scales"/>
    <n v="16"/>
    <s v="13"/>
    <m/>
    <m/>
    <m/>
    <x v="5"/>
  </r>
  <r>
    <n v="102061"/>
    <x v="0"/>
    <x v="0"/>
    <s v="8"/>
    <x v="0"/>
    <s v="1034101"/>
    <s v="2022-06-13"/>
    <s v="2022-07-20"/>
    <x v="1"/>
    <s v="Adult"/>
    <s v="First Nations - FSC"/>
    <s v="Gillnet"/>
    <s v="Scales"/>
    <n v="17"/>
    <s v="11"/>
    <m/>
    <m/>
    <m/>
    <x v="3"/>
  </r>
  <r>
    <n v="102061"/>
    <x v="0"/>
    <x v="0"/>
    <s v="8"/>
    <x v="0"/>
    <s v="1034101"/>
    <s v="2022-06-13"/>
    <s v="2022-07-20"/>
    <x v="0"/>
    <s v="Adult"/>
    <s v="First Nations - FSC"/>
    <s v="Gillnet"/>
    <s v="Scales"/>
    <n v="18"/>
    <m/>
    <s v="M3"/>
    <s v="Regenerate Scale"/>
    <m/>
    <x v="6"/>
  </r>
  <r>
    <n v="102061"/>
    <x v="0"/>
    <x v="0"/>
    <s v="8"/>
    <x v="0"/>
    <s v="1034101"/>
    <s v="2022-06-13"/>
    <s v="2022-07-20"/>
    <x v="0"/>
    <s v="Adult"/>
    <s v="First Nations - FSC"/>
    <s v="Gillnet"/>
    <s v="Scales"/>
    <n v="19"/>
    <s v="13"/>
    <m/>
    <m/>
    <m/>
    <x v="5"/>
  </r>
  <r>
    <n v="102061"/>
    <x v="0"/>
    <x v="0"/>
    <s v="8"/>
    <x v="0"/>
    <s v="1034101"/>
    <s v="2022-06-13"/>
    <s v="2022-07-20"/>
    <x v="0"/>
    <s v="Adult"/>
    <s v="First Nations - FSC"/>
    <s v="Gillnet"/>
    <s v="Scales"/>
    <n v="20"/>
    <s v="12"/>
    <m/>
    <m/>
    <m/>
    <x v="0"/>
  </r>
  <r>
    <n v="102061"/>
    <x v="0"/>
    <x v="0"/>
    <s v="8"/>
    <x v="0"/>
    <s v="1034101"/>
    <s v="2022-06-13"/>
    <s v="2022-07-20"/>
    <x v="0"/>
    <s v="Adult"/>
    <s v="First Nations - FSC"/>
    <s v="Gillnet"/>
    <s v="Scales"/>
    <n v="21"/>
    <m/>
    <m/>
    <s v="Regenerate Scale"/>
    <m/>
    <x v="1"/>
  </r>
  <r>
    <n v="102061"/>
    <x v="0"/>
    <x v="0"/>
    <s v="8"/>
    <x v="0"/>
    <s v="1034101"/>
    <s v="2022-06-13"/>
    <s v="2022-07-20"/>
    <x v="0"/>
    <s v="Adult"/>
    <s v="First Nations - FSC"/>
    <s v="Gillnet"/>
    <s v="Scales"/>
    <n v="22"/>
    <m/>
    <m/>
    <s v="Regenerate Scale"/>
    <m/>
    <x v="1"/>
  </r>
  <r>
    <n v="102061"/>
    <x v="0"/>
    <x v="0"/>
    <s v="8"/>
    <x v="0"/>
    <s v="1034101"/>
    <s v="2022-06-13"/>
    <s v="2022-07-20"/>
    <x v="0"/>
    <s v="Adult"/>
    <s v="First Nations - FSC"/>
    <s v="Gillnet"/>
    <s v="Scales"/>
    <n v="23"/>
    <m/>
    <m/>
    <s v="Upside Down"/>
    <m/>
    <x v="1"/>
  </r>
  <r>
    <n v="102061"/>
    <x v="0"/>
    <x v="0"/>
    <s v="8"/>
    <x v="0"/>
    <s v="1034101"/>
    <s v="2022-06-13"/>
    <s v="2022-07-20"/>
    <x v="0"/>
    <s v="Adult"/>
    <s v="First Nations - FSC"/>
    <s v="Gillnet"/>
    <s v="Scales"/>
    <n v="24"/>
    <m/>
    <m/>
    <s v="Upside Down"/>
    <m/>
    <x v="1"/>
  </r>
  <r>
    <n v="102061"/>
    <x v="0"/>
    <x v="0"/>
    <s v="8"/>
    <x v="0"/>
    <s v="1034101"/>
    <s v="2022-06-13"/>
    <s v="2022-07-20"/>
    <x v="0"/>
    <s v="Adult"/>
    <s v="First Nations - FSC"/>
    <s v="Gillnet"/>
    <s v="Scales"/>
    <n v="25"/>
    <m/>
    <m/>
    <s v="Upside Down"/>
    <m/>
    <x v="1"/>
  </r>
  <r>
    <n v="102061"/>
    <x v="0"/>
    <x v="0"/>
    <s v="8"/>
    <x v="0"/>
    <s v="1034102"/>
    <s v="2022-06-13"/>
    <s v="2022-07-20"/>
    <x v="0"/>
    <s v="Adult"/>
    <s v="First Nations - FSC"/>
    <s v="Gillnet"/>
    <s v="Scales"/>
    <n v="1"/>
    <m/>
    <m/>
    <s v="Upside Down"/>
    <m/>
    <x v="1"/>
  </r>
  <r>
    <n v="102061"/>
    <x v="0"/>
    <x v="0"/>
    <s v="8"/>
    <x v="0"/>
    <s v="1034102"/>
    <s v="2022-06-13"/>
    <s v="2022-07-20"/>
    <x v="0"/>
    <s v="Adult"/>
    <s v="First Nations - FSC"/>
    <s v="Gillnet"/>
    <s v="Scales"/>
    <n v="2"/>
    <m/>
    <s v="M3"/>
    <s v="Regenerate Scale"/>
    <m/>
    <x v="6"/>
  </r>
  <r>
    <n v="114303"/>
    <x v="1"/>
    <x v="0"/>
    <s v="8"/>
    <x v="1"/>
    <s v="1010144"/>
    <s v="2023-07-04"/>
    <s v="2023-07-04"/>
    <x v="0"/>
    <s v="Adult"/>
    <s v="First Nations - FSC"/>
    <s v="Drift Net"/>
    <s v="Scales"/>
    <n v="1"/>
    <m/>
    <s v="M2"/>
    <s v="Wet Scale"/>
    <m/>
    <x v="2"/>
  </r>
  <r>
    <n v="114303"/>
    <x v="1"/>
    <x v="0"/>
    <s v="8"/>
    <x v="1"/>
    <s v="1010144"/>
    <s v="2023-07-04"/>
    <s v="2023-07-04"/>
    <x v="0"/>
    <s v="Adult"/>
    <s v="First Nations - FSC"/>
    <s v="Drift Net"/>
    <s v="Scales"/>
    <n v="2"/>
    <s v="12"/>
    <m/>
    <m/>
    <m/>
    <x v="0"/>
  </r>
  <r>
    <n v="114303"/>
    <x v="1"/>
    <x v="0"/>
    <s v="8"/>
    <x v="1"/>
    <s v="1010144"/>
    <s v="2023-07-04"/>
    <s v="2023-07-04"/>
    <x v="0"/>
    <s v="Adult"/>
    <s v="First Nations - FSC"/>
    <s v="Drift Net"/>
    <s v="Scales"/>
    <n v="3"/>
    <s v="12"/>
    <m/>
    <m/>
    <m/>
    <x v="0"/>
  </r>
  <r>
    <n v="114303"/>
    <x v="1"/>
    <x v="0"/>
    <s v="8"/>
    <x v="1"/>
    <s v="1010144"/>
    <s v="2023-07-04"/>
    <s v="2023-07-04"/>
    <x v="0"/>
    <s v="Adult"/>
    <s v="First Nations - FSC"/>
    <s v="Drift Net"/>
    <s v="Scales"/>
    <n v="4"/>
    <m/>
    <m/>
    <s v="Upside Down"/>
    <m/>
    <x v="1"/>
  </r>
  <r>
    <n v="114303"/>
    <x v="1"/>
    <x v="0"/>
    <s v="8"/>
    <x v="1"/>
    <s v="1010144"/>
    <s v="2023-07-04"/>
    <s v="2023-07-04"/>
    <x v="0"/>
    <s v="Adult"/>
    <s v="First Nations - FSC"/>
    <s v="Drift Net"/>
    <s v="Scales"/>
    <n v="5"/>
    <s v="13"/>
    <m/>
    <m/>
    <s v="Resorption present but not enough to suspect an annuli is missing.  Age unaffected."/>
    <x v="5"/>
  </r>
  <r>
    <n v="114303"/>
    <x v="1"/>
    <x v="0"/>
    <s v="8"/>
    <x v="1"/>
    <s v="1010144"/>
    <s v="2023-07-04"/>
    <s v="2023-07-04"/>
    <x v="0"/>
    <s v="Adult"/>
    <s v="First Nations - FSC"/>
    <s v="Drift Net"/>
    <s v="Scales"/>
    <n v="6"/>
    <s v="12"/>
    <m/>
    <m/>
    <m/>
    <x v="0"/>
  </r>
  <r>
    <n v="114303"/>
    <x v="1"/>
    <x v="0"/>
    <s v="8"/>
    <x v="1"/>
    <s v="1010144"/>
    <s v="2023-07-04"/>
    <s v="2023-07-04"/>
    <x v="0"/>
    <s v="Adult"/>
    <s v="First Nations - FSC"/>
    <s v="Drift Net"/>
    <s v="Scales"/>
    <n v="7"/>
    <m/>
    <s v="M2"/>
    <s v="Wet Scale"/>
    <m/>
    <x v="2"/>
  </r>
  <r>
    <n v="114303"/>
    <x v="1"/>
    <x v="0"/>
    <s v="8"/>
    <x v="1"/>
    <s v="1010145"/>
    <s v="2023-07-11"/>
    <s v="2023-07-12"/>
    <x v="0"/>
    <s v="Adult"/>
    <s v="First Nations - FSC"/>
    <s v="Drift Net"/>
    <s v="Scales"/>
    <n v="1"/>
    <m/>
    <m/>
    <s v="No Structure"/>
    <m/>
    <x v="1"/>
  </r>
  <r>
    <n v="114303"/>
    <x v="1"/>
    <x v="0"/>
    <s v="8"/>
    <x v="1"/>
    <s v="1010145"/>
    <s v="2023-07-11"/>
    <s v="2023-07-12"/>
    <x v="0"/>
    <s v="Adult"/>
    <s v="First Nations - FSC"/>
    <s v="Drift Net"/>
    <s v="Scales"/>
    <n v="2"/>
    <m/>
    <m/>
    <s v="No Structure"/>
    <m/>
    <x v="1"/>
  </r>
  <r>
    <n v="114303"/>
    <x v="1"/>
    <x v="0"/>
    <s v="8"/>
    <x v="1"/>
    <s v="1010145"/>
    <s v="2023-07-11"/>
    <s v="2023-07-12"/>
    <x v="0"/>
    <s v="Adult"/>
    <s v="First Nations - FSC"/>
    <s v="Drift Net"/>
    <s v="Scales"/>
    <n v="3"/>
    <s v="12"/>
    <m/>
    <m/>
    <m/>
    <x v="0"/>
  </r>
  <r>
    <n v="114303"/>
    <x v="1"/>
    <x v="0"/>
    <s v="8"/>
    <x v="1"/>
    <s v="1010145"/>
    <s v="2023-07-11"/>
    <s v="2023-07-12"/>
    <x v="0"/>
    <s v="Adult"/>
    <s v="First Nations - FSC"/>
    <s v="Drift Net"/>
    <s v="Scales"/>
    <n v="4"/>
    <m/>
    <m/>
    <s v="Upside Down"/>
    <m/>
    <x v="1"/>
  </r>
  <r>
    <n v="114303"/>
    <x v="1"/>
    <x v="0"/>
    <s v="8"/>
    <x v="1"/>
    <s v="1010145"/>
    <s v="2023-07-11"/>
    <s v="2023-07-12"/>
    <x v="0"/>
    <s v="Adult"/>
    <s v="First Nations - FSC"/>
    <s v="Drift Net"/>
    <s v="Scales"/>
    <n v="5"/>
    <m/>
    <m/>
    <s v="Upside Down"/>
    <m/>
    <x v="1"/>
  </r>
  <r>
    <n v="114303"/>
    <x v="1"/>
    <x v="0"/>
    <s v="8"/>
    <x v="1"/>
    <s v="1010145"/>
    <s v="2023-07-11"/>
    <s v="2023-07-12"/>
    <x v="0"/>
    <s v="Adult"/>
    <s v="First Nations - FSC"/>
    <s v="Drift Net"/>
    <s v="Scales"/>
    <n v="6"/>
    <s v="12"/>
    <m/>
    <m/>
    <m/>
    <x v="0"/>
  </r>
  <r>
    <n v="114303"/>
    <x v="1"/>
    <x v="0"/>
    <s v="8"/>
    <x v="1"/>
    <s v="1012012"/>
    <s v="2023-06-27"/>
    <s v="2023-06-29"/>
    <x v="0"/>
    <s v="Adult"/>
    <s v="First Nations - FSC"/>
    <s v="Drift Net"/>
    <s v="Scales"/>
    <n v="1"/>
    <m/>
    <s v="M3"/>
    <s v="Regenerate Scale"/>
    <m/>
    <x v="6"/>
  </r>
  <r>
    <n v="114303"/>
    <x v="1"/>
    <x v="0"/>
    <s v="8"/>
    <x v="1"/>
    <s v="1012012"/>
    <s v="2023-06-27"/>
    <s v="2023-06-29"/>
    <x v="0"/>
    <s v="Adult"/>
    <s v="First Nations - FSC"/>
    <s v="Drift Net"/>
    <s v="Scales"/>
    <n v="2"/>
    <m/>
    <m/>
    <s v="Upside Down"/>
    <m/>
    <x v="1"/>
  </r>
  <r>
    <n v="114303"/>
    <x v="1"/>
    <x v="0"/>
    <s v="8"/>
    <x v="1"/>
    <s v="1012012"/>
    <s v="2023-06-27"/>
    <s v="2023-06-29"/>
    <x v="0"/>
    <s v="Adult"/>
    <s v="First Nations - FSC"/>
    <s v="Drift Net"/>
    <s v="Scales"/>
    <n v="3"/>
    <m/>
    <s v="M3"/>
    <s v="Regenerate Scale"/>
    <m/>
    <x v="6"/>
  </r>
  <r>
    <n v="114303"/>
    <x v="1"/>
    <x v="0"/>
    <s v="8"/>
    <x v="1"/>
    <s v="1012012"/>
    <s v="2023-06-27"/>
    <s v="2023-06-29"/>
    <x v="0"/>
    <s v="Adult"/>
    <s v="First Nations - FSC"/>
    <s v="Drift Net"/>
    <s v="Scales"/>
    <n v="4"/>
    <s v="12"/>
    <m/>
    <m/>
    <m/>
    <x v="0"/>
  </r>
  <r>
    <n v="128623"/>
    <x v="2"/>
    <x v="0"/>
    <s v="8"/>
    <x v="1"/>
    <s v="1048453"/>
    <s v="2024-06-18"/>
    <s v="2024-07-25"/>
    <x v="0"/>
    <s v="Adult"/>
    <s v="First Nations - FSC"/>
    <s v="Gillnet"/>
    <s v="Scales"/>
    <n v="1"/>
    <m/>
    <s v="M3"/>
    <m/>
    <m/>
    <x v="6"/>
  </r>
  <r>
    <n v="128623"/>
    <x v="2"/>
    <x v="0"/>
    <s v="8"/>
    <x v="1"/>
    <s v="1048453"/>
    <s v="2024-06-18"/>
    <s v="2024-07-25"/>
    <x v="0"/>
    <s v="Adult"/>
    <s v="First Nations - FSC"/>
    <s v="Gillnet"/>
    <s v="Scales"/>
    <n v="2"/>
    <s v="13"/>
    <m/>
    <m/>
    <m/>
    <x v="5"/>
  </r>
  <r>
    <n v="128623"/>
    <x v="2"/>
    <x v="0"/>
    <s v="8"/>
    <x v="1"/>
    <s v="1048453"/>
    <s v="2024-06-18"/>
    <s v="2024-07-25"/>
    <x v="0"/>
    <s v="Adult"/>
    <s v="First Nations - FSC"/>
    <s v="Gillnet"/>
    <s v="Scales"/>
    <n v="3"/>
    <s v="12"/>
    <m/>
    <m/>
    <s v="Resorption present but not enough to suspect an annuli is missing.  Age unaffected."/>
    <x v="0"/>
  </r>
  <r>
    <n v="128623"/>
    <x v="2"/>
    <x v="0"/>
    <s v="8"/>
    <x v="1"/>
    <s v="1048453"/>
    <s v="2024-06-18"/>
    <s v="2024-07-25"/>
    <x v="0"/>
    <s v="Adult"/>
    <s v="First Nations - FSC"/>
    <s v="Gillnet"/>
    <s v="Scales"/>
    <n v="4"/>
    <m/>
    <m/>
    <s v="Mixed Fish"/>
    <m/>
    <x v="1"/>
  </r>
  <r>
    <n v="128623"/>
    <x v="2"/>
    <x v="0"/>
    <s v="8"/>
    <x v="1"/>
    <s v="1048453"/>
    <s v="2024-06-18"/>
    <s v="2024-07-25"/>
    <x v="0"/>
    <s v="Adult"/>
    <s v="First Nations - FSC"/>
    <s v="Gillnet"/>
    <s v="Scales"/>
    <n v="5"/>
    <s v="12"/>
    <m/>
    <m/>
    <s v="Resorption present but not enough to suspect an annuli is missing.  Age unaffected."/>
    <x v="0"/>
  </r>
  <r>
    <n v="128623"/>
    <x v="2"/>
    <x v="0"/>
    <s v="8"/>
    <x v="1"/>
    <s v="1048453"/>
    <s v="2024-06-18"/>
    <s v="2024-07-25"/>
    <x v="0"/>
    <s v="Adult"/>
    <s v="First Nations - FSC"/>
    <s v="Gillnet"/>
    <s v="Scales"/>
    <n v="6"/>
    <s v="03"/>
    <m/>
    <m/>
    <s v="Resorption present but not enough to suspect an annuli is missing.  Age unaffected."/>
    <x v="7"/>
  </r>
  <r>
    <n v="128623"/>
    <x v="2"/>
    <x v="0"/>
    <s v="8"/>
    <x v="1"/>
    <s v="1048453"/>
    <s v="2024-06-18"/>
    <s v="2024-07-25"/>
    <x v="0"/>
    <s v="Adult"/>
    <s v="First Nations - FSC"/>
    <s v="Gillnet"/>
    <s v="Scales"/>
    <n v="7"/>
    <s v="12"/>
    <m/>
    <m/>
    <s v="Resorption present but not enough to suspect an annuli is missing.  Age unaffected."/>
    <x v="0"/>
  </r>
  <r>
    <n v="128623"/>
    <x v="2"/>
    <x v="0"/>
    <s v="8"/>
    <x v="1"/>
    <s v="1048453"/>
    <s v="2024-06-18"/>
    <s v="2024-07-25"/>
    <x v="0"/>
    <s v="Adult"/>
    <s v="First Nations - FSC"/>
    <s v="Gillnet"/>
    <s v="Scales"/>
    <n v="8"/>
    <s v="03"/>
    <m/>
    <m/>
    <s v="Resorption present but not enough to suspect an annuli is missing.  Age unaffected."/>
    <x v="7"/>
  </r>
  <r>
    <n v="128623"/>
    <x v="2"/>
    <x v="0"/>
    <s v="8"/>
    <x v="1"/>
    <s v="1048453"/>
    <s v="2024-06-18"/>
    <s v="2024-07-25"/>
    <x v="0"/>
    <s v="Adult"/>
    <s v="First Nations - FSC"/>
    <s v="Gillnet"/>
    <s v="Scales"/>
    <n v="9"/>
    <s v="12"/>
    <m/>
    <m/>
    <s v="Resorption present but not enough to suspect an annuli is missing.  Age unaffected."/>
    <x v="0"/>
  </r>
  <r>
    <n v="128623"/>
    <x v="2"/>
    <x v="0"/>
    <s v="8"/>
    <x v="1"/>
    <s v="1048453"/>
    <s v="2024-06-18"/>
    <s v="2024-07-25"/>
    <x v="0"/>
    <s v="Adult"/>
    <s v="First Nations - FSC"/>
    <s v="Gillnet"/>
    <s v="Scales"/>
    <n v="10"/>
    <s v="12"/>
    <m/>
    <m/>
    <s v="Resorption present but not enough to suspect an annuli is missing.  Age unaffected."/>
    <x v="0"/>
  </r>
  <r>
    <n v="128623"/>
    <x v="2"/>
    <x v="0"/>
    <s v="8"/>
    <x v="1"/>
    <s v="1048453"/>
    <s v="2024-06-18"/>
    <s v="2024-07-25"/>
    <x v="0"/>
    <s v="Adult"/>
    <s v="First Nations - FSC"/>
    <s v="Gillnet"/>
    <s v="Scales"/>
    <n v="11"/>
    <m/>
    <m/>
    <s v="Regenerate Scale"/>
    <m/>
    <x v="1"/>
  </r>
  <r>
    <n v="128623"/>
    <x v="2"/>
    <x v="0"/>
    <s v="8"/>
    <x v="1"/>
    <s v="1048453"/>
    <s v="2024-06-18"/>
    <s v="2024-07-25"/>
    <x v="0"/>
    <s v="Adult"/>
    <s v="First Nations - FSC"/>
    <s v="Gillnet"/>
    <s v="Scales"/>
    <n v="12"/>
    <s v="12"/>
    <m/>
    <m/>
    <s v="Resorption present but not enough to suspect an annuli is missing.  Age unaffected."/>
    <x v="0"/>
  </r>
  <r>
    <n v="101623"/>
    <x v="0"/>
    <x v="1"/>
    <s v="8"/>
    <x v="2"/>
    <s v="1036218"/>
    <s v="2022-09-23"/>
    <s v="2022-09-23"/>
    <x v="0"/>
    <s v="Adult"/>
    <s v="Escapement"/>
    <s v="Gaff"/>
    <s v="Otoliths and Scales"/>
    <n v="1"/>
    <s v="13"/>
    <m/>
    <m/>
    <m/>
    <x v="5"/>
  </r>
  <r>
    <n v="101623"/>
    <x v="0"/>
    <x v="1"/>
    <s v="8"/>
    <x v="2"/>
    <s v="1036218"/>
    <s v="2022-09-23"/>
    <s v="2022-09-23"/>
    <x v="0"/>
    <s v="Adult"/>
    <s v="Escapement"/>
    <s v="Gaff"/>
    <s v="Otoliths and Scales"/>
    <n v="2"/>
    <s v="12"/>
    <m/>
    <m/>
    <s v="Resorption present but not enough to suspect an annuli is missing.  Age unaffected."/>
    <x v="0"/>
  </r>
  <r>
    <n v="101623"/>
    <x v="0"/>
    <x v="1"/>
    <s v="8"/>
    <x v="2"/>
    <s v="1036218"/>
    <s v="2022-09-23"/>
    <s v="2022-09-23"/>
    <x v="0"/>
    <s v="Adult"/>
    <s v="Escapement"/>
    <s v="Gaff"/>
    <s v="Otoliths and Scales"/>
    <n v="3"/>
    <s v="12"/>
    <m/>
    <m/>
    <m/>
    <x v="0"/>
  </r>
  <r>
    <n v="101623"/>
    <x v="0"/>
    <x v="1"/>
    <s v="8"/>
    <x v="2"/>
    <s v="1036218"/>
    <s v="2022-09-23"/>
    <s v="2022-09-23"/>
    <x v="0"/>
    <s v="Adult"/>
    <s v="Escapement"/>
    <s v="Gaff"/>
    <s v="Otoliths and Scales"/>
    <n v="4"/>
    <s v="12"/>
    <m/>
    <m/>
    <m/>
    <x v="0"/>
  </r>
  <r>
    <n v="101623"/>
    <x v="0"/>
    <x v="1"/>
    <s v="8"/>
    <x v="2"/>
    <s v="1036218"/>
    <s v="2022-09-23"/>
    <s v="2022-09-23"/>
    <x v="0"/>
    <s v="Adult"/>
    <s v="Escapement"/>
    <s v="Gaff"/>
    <s v="Otoliths and Scales"/>
    <n v="5"/>
    <s v="12"/>
    <m/>
    <m/>
    <m/>
    <x v="0"/>
  </r>
  <r>
    <n v="101623"/>
    <x v="0"/>
    <x v="1"/>
    <s v="8"/>
    <x v="2"/>
    <s v="1036218"/>
    <s v="2022-09-23"/>
    <s v="2022-09-23"/>
    <x v="0"/>
    <s v="Adult"/>
    <s v="Escapement"/>
    <s v="Gaff"/>
    <s v="Otoliths and Scales"/>
    <n v="6"/>
    <m/>
    <m/>
    <s v="2 structures; ages do no agree/another abbrev. does not provide the reason"/>
    <m/>
    <x v="1"/>
  </r>
  <r>
    <n v="101623"/>
    <x v="0"/>
    <x v="1"/>
    <s v="8"/>
    <x v="2"/>
    <s v="1036218"/>
    <s v="2022-09-23"/>
    <s v="2022-09-23"/>
    <x v="0"/>
    <s v="Adult"/>
    <s v="Escapement"/>
    <s v="Gaff"/>
    <s v="Otoliths and Scales"/>
    <n v="7"/>
    <s v="12"/>
    <m/>
    <m/>
    <m/>
    <x v="0"/>
  </r>
  <r>
    <n v="101623"/>
    <x v="0"/>
    <x v="1"/>
    <s v="8"/>
    <x v="2"/>
    <s v="1036218"/>
    <s v="2022-09-23"/>
    <s v="2022-09-23"/>
    <x v="0"/>
    <s v="Adult"/>
    <s v="Escapement"/>
    <s v="Gaff"/>
    <s v="Otoliths and Scales"/>
    <n v="8"/>
    <s v="12"/>
    <m/>
    <m/>
    <m/>
    <x v="0"/>
  </r>
  <r>
    <n v="101623"/>
    <x v="0"/>
    <x v="1"/>
    <s v="8"/>
    <x v="2"/>
    <s v="1036218"/>
    <s v="2022-09-23"/>
    <s v="2022-09-23"/>
    <x v="0"/>
    <s v="Adult"/>
    <s v="Escapement"/>
    <s v="Gaff"/>
    <s v="Otoliths and Scales"/>
    <n v="9"/>
    <s v="13"/>
    <m/>
    <m/>
    <m/>
    <x v="5"/>
  </r>
  <r>
    <n v="101623"/>
    <x v="0"/>
    <x v="1"/>
    <s v="8"/>
    <x v="2"/>
    <s v="1036218"/>
    <s v="2022-09-23"/>
    <s v="2022-09-23"/>
    <x v="0"/>
    <s v="Adult"/>
    <s v="Escapement"/>
    <s v="Gaff"/>
    <s v="Otoliths and Scales"/>
    <n v="10"/>
    <s v="12"/>
    <m/>
    <m/>
    <m/>
    <x v="0"/>
  </r>
  <r>
    <n v="101623"/>
    <x v="0"/>
    <x v="1"/>
    <s v="8"/>
    <x v="2"/>
    <s v="1036218"/>
    <s v="2022-09-23"/>
    <s v="2022-09-23"/>
    <x v="0"/>
    <s v="Adult"/>
    <s v="Escapement"/>
    <s v="Gaff"/>
    <s v="Otoliths and Scales"/>
    <n v="11"/>
    <s v="12"/>
    <m/>
    <m/>
    <m/>
    <x v="0"/>
  </r>
  <r>
    <n v="101623"/>
    <x v="0"/>
    <x v="1"/>
    <s v="8"/>
    <x v="2"/>
    <s v="1036218"/>
    <s v="2022-09-23"/>
    <s v="2022-09-23"/>
    <x v="0"/>
    <s v="Adult"/>
    <s v="Escapement"/>
    <s v="Gaff"/>
    <s v="Otoliths and Scales"/>
    <n v="12"/>
    <s v="12"/>
    <m/>
    <m/>
    <m/>
    <x v="0"/>
  </r>
  <r>
    <n v="101623"/>
    <x v="0"/>
    <x v="1"/>
    <s v="8"/>
    <x v="2"/>
    <s v="1036218"/>
    <s v="2022-09-23"/>
    <s v="2022-09-23"/>
    <x v="0"/>
    <s v="Adult"/>
    <s v="Escapement"/>
    <s v="Gaff"/>
    <s v="Otoliths and Scales"/>
    <n v="13"/>
    <s v="12"/>
    <m/>
    <m/>
    <m/>
    <x v="0"/>
  </r>
  <r>
    <n v="101623"/>
    <x v="0"/>
    <x v="1"/>
    <s v="8"/>
    <x v="2"/>
    <s v="1036218"/>
    <s v="2022-09-23"/>
    <s v="2022-09-23"/>
    <x v="0"/>
    <s v="Adult"/>
    <s v="Escapement"/>
    <s v="Gaff"/>
    <s v="Otoliths and Scales"/>
    <n v="14"/>
    <s v="12"/>
    <m/>
    <m/>
    <s v="Resorption present but not enough to suspect an annuli is missing.  Age unaffected."/>
    <x v="0"/>
  </r>
  <r>
    <n v="101625"/>
    <x v="0"/>
    <x v="1"/>
    <s v="8"/>
    <x v="2"/>
    <s v="1036519"/>
    <s v="2022-09-12"/>
    <s v="2022-10-03"/>
    <x v="0"/>
    <s v="Adult"/>
    <s v="Escapement"/>
    <s v="Gaff"/>
    <s v="Otoliths and Scales"/>
    <n v="1"/>
    <m/>
    <s v="F1"/>
    <m/>
    <m/>
    <x v="8"/>
  </r>
  <r>
    <n v="101625"/>
    <x v="0"/>
    <x v="1"/>
    <s v="8"/>
    <x v="2"/>
    <s v="1036519"/>
    <s v="2022-09-12"/>
    <s v="2022-10-03"/>
    <x v="0"/>
    <s v="Adult"/>
    <s v="Escapement"/>
    <s v="Gaff"/>
    <s v="Otoliths and Scales"/>
    <n v="2"/>
    <s v="12"/>
    <m/>
    <m/>
    <m/>
    <x v="0"/>
  </r>
  <r>
    <n v="101625"/>
    <x v="0"/>
    <x v="1"/>
    <s v="8"/>
    <x v="2"/>
    <s v="1036519"/>
    <s v="2022-09-12"/>
    <s v="2022-10-03"/>
    <x v="0"/>
    <s v="Adult"/>
    <s v="Escapement"/>
    <s v="Gaff"/>
    <s v="Otoliths and Scales"/>
    <n v="3"/>
    <s v="12"/>
    <m/>
    <m/>
    <m/>
    <x v="0"/>
  </r>
  <r>
    <n v="101625"/>
    <x v="0"/>
    <x v="1"/>
    <s v="8"/>
    <x v="2"/>
    <s v="1036519"/>
    <s v="2022-09-12"/>
    <s v="2022-10-03"/>
    <x v="0"/>
    <s v="Adult"/>
    <s v="Escapement"/>
    <s v="Gaff"/>
    <s v="Otoliths and Scales"/>
    <n v="4"/>
    <s v="12"/>
    <m/>
    <m/>
    <m/>
    <x v="0"/>
  </r>
  <r>
    <n v="101625"/>
    <x v="0"/>
    <x v="1"/>
    <s v="8"/>
    <x v="2"/>
    <s v="1036519"/>
    <s v="2022-09-12"/>
    <s v="2022-10-03"/>
    <x v="0"/>
    <s v="Adult"/>
    <s v="Escapement"/>
    <s v="Gaff"/>
    <s v="Otoliths and Scales"/>
    <n v="5"/>
    <s v="12"/>
    <m/>
    <m/>
    <m/>
    <x v="0"/>
  </r>
  <r>
    <n v="101625"/>
    <x v="0"/>
    <x v="1"/>
    <s v="8"/>
    <x v="2"/>
    <s v="1036519"/>
    <s v="2022-09-12"/>
    <s v="2022-10-03"/>
    <x v="0"/>
    <s v="Adult"/>
    <s v="Escapement"/>
    <s v="Gaff"/>
    <s v="Otoliths and Scales"/>
    <n v="6"/>
    <s v="12"/>
    <m/>
    <m/>
    <s v="Resorption present but not enough to suspect an annuli is missing.  Age unaffected."/>
    <x v="0"/>
  </r>
  <r>
    <n v="101625"/>
    <x v="0"/>
    <x v="1"/>
    <s v="8"/>
    <x v="2"/>
    <s v="1036519"/>
    <s v="2022-09-12"/>
    <s v="2022-10-03"/>
    <x v="0"/>
    <s v="Adult"/>
    <s v="Escapement"/>
    <s v="Gaff"/>
    <s v="Otoliths and Scales"/>
    <n v="7"/>
    <s v="12"/>
    <m/>
    <m/>
    <m/>
    <x v="0"/>
  </r>
  <r>
    <n v="101625"/>
    <x v="0"/>
    <x v="1"/>
    <s v="8"/>
    <x v="2"/>
    <s v="1036519"/>
    <s v="2022-09-12"/>
    <s v="2022-10-03"/>
    <x v="0"/>
    <s v="Adult"/>
    <s v="Escapement"/>
    <s v="Gaff"/>
    <s v="Otoliths and Scales"/>
    <n v="8"/>
    <s v="12"/>
    <m/>
    <m/>
    <s v="Resorption present but not enough to suspect an annuli is missing.  Age unaffected."/>
    <x v="0"/>
  </r>
  <r>
    <n v="101625"/>
    <x v="0"/>
    <x v="1"/>
    <s v="8"/>
    <x v="2"/>
    <s v="1036519"/>
    <s v="2022-09-12"/>
    <s v="2022-10-03"/>
    <x v="0"/>
    <s v="Adult"/>
    <s v="Escapement"/>
    <s v="Gaff"/>
    <s v="Otoliths and Scales"/>
    <n v="9"/>
    <s v="12"/>
    <m/>
    <m/>
    <m/>
    <x v="0"/>
  </r>
  <r>
    <n v="101625"/>
    <x v="0"/>
    <x v="1"/>
    <s v="8"/>
    <x v="2"/>
    <s v="1036519"/>
    <s v="2022-09-12"/>
    <s v="2022-10-03"/>
    <x v="0"/>
    <s v="Adult"/>
    <s v="Escapement"/>
    <s v="Gaff"/>
    <s v="Otoliths and Scales"/>
    <n v="10"/>
    <m/>
    <s v="F1"/>
    <m/>
    <m/>
    <x v="8"/>
  </r>
  <r>
    <n v="101625"/>
    <x v="0"/>
    <x v="1"/>
    <s v="8"/>
    <x v="2"/>
    <s v="1036519"/>
    <s v="2022-09-12"/>
    <s v="2022-10-03"/>
    <x v="0"/>
    <s v="Adult"/>
    <s v="Escapement"/>
    <s v="Gaff"/>
    <s v="Otoliths and Scales"/>
    <n v="11"/>
    <s v="13"/>
    <m/>
    <m/>
    <m/>
    <x v="5"/>
  </r>
  <r>
    <n v="101625"/>
    <x v="0"/>
    <x v="1"/>
    <s v="8"/>
    <x v="2"/>
    <s v="1036519"/>
    <s v="2022-09-12"/>
    <s v="2022-10-03"/>
    <x v="0"/>
    <s v="Adult"/>
    <s v="Escapement"/>
    <s v="Gaff"/>
    <s v="Otoliths and Scales"/>
    <n v="12"/>
    <s v="12"/>
    <m/>
    <m/>
    <m/>
    <x v="0"/>
  </r>
  <r>
    <n v="101625"/>
    <x v="0"/>
    <x v="1"/>
    <s v="8"/>
    <x v="2"/>
    <s v="1036519"/>
    <s v="2022-09-12"/>
    <s v="2022-10-03"/>
    <x v="0"/>
    <s v="Adult"/>
    <s v="Escapement"/>
    <s v="Gaff"/>
    <s v="Otoliths and Scales"/>
    <n v="13"/>
    <s v="13"/>
    <m/>
    <m/>
    <s v="Resorption present but not enough to suspect an annuli is missing.  Age unaffected."/>
    <x v="5"/>
  </r>
  <r>
    <n v="101625"/>
    <x v="0"/>
    <x v="1"/>
    <s v="8"/>
    <x v="2"/>
    <s v="1036519"/>
    <s v="2022-09-12"/>
    <s v="2022-10-03"/>
    <x v="0"/>
    <s v="Adult"/>
    <s v="Escapement"/>
    <s v="Gaff"/>
    <s v="Otoliths and Scales"/>
    <n v="14"/>
    <s v="12"/>
    <m/>
    <m/>
    <s v="Resorption present but not enough to suspect an annuli is missing.  Age unaffected."/>
    <x v="0"/>
  </r>
  <r>
    <n v="101625"/>
    <x v="0"/>
    <x v="1"/>
    <s v="8"/>
    <x v="2"/>
    <s v="1036519"/>
    <s v="2022-09-12"/>
    <s v="2022-10-03"/>
    <x v="0"/>
    <s v="Adult"/>
    <s v="Escapement"/>
    <s v="Gaff"/>
    <s v="Otoliths and Scales"/>
    <n v="15"/>
    <s v="12"/>
    <m/>
    <m/>
    <m/>
    <x v="0"/>
  </r>
  <r>
    <n v="101625"/>
    <x v="0"/>
    <x v="1"/>
    <s v="8"/>
    <x v="2"/>
    <s v="1036520"/>
    <s v="2022-09-12"/>
    <s v="2022-10-03"/>
    <x v="0"/>
    <s v="Adult"/>
    <s v="Escapement"/>
    <s v="Gaff"/>
    <s v="Otoliths and Scales"/>
    <n v="1"/>
    <s v="12"/>
    <m/>
    <m/>
    <m/>
    <x v="0"/>
  </r>
  <r>
    <n v="101625"/>
    <x v="0"/>
    <x v="1"/>
    <s v="8"/>
    <x v="2"/>
    <s v="1036520"/>
    <s v="2022-09-12"/>
    <s v="2022-10-03"/>
    <x v="0"/>
    <s v="Adult"/>
    <s v="Escapement"/>
    <s v="Gaff"/>
    <s v="Otoliths and Scales"/>
    <n v="2"/>
    <m/>
    <s v="F1"/>
    <m/>
    <m/>
    <x v="8"/>
  </r>
  <r>
    <n v="101625"/>
    <x v="0"/>
    <x v="1"/>
    <s v="8"/>
    <x v="2"/>
    <s v="1036520"/>
    <s v="2022-09-12"/>
    <s v="2022-10-03"/>
    <x v="0"/>
    <s v="Adult"/>
    <s v="Escapement"/>
    <s v="Gaff"/>
    <s v="Otoliths and Scales"/>
    <n v="3"/>
    <m/>
    <s v="F1"/>
    <m/>
    <m/>
    <x v="8"/>
  </r>
  <r>
    <n v="101627"/>
    <x v="0"/>
    <x v="1"/>
    <s v="8"/>
    <x v="2"/>
    <s v="1036220"/>
    <s v="2022-09-28"/>
    <s v="2022-09-28"/>
    <x v="0"/>
    <s v="Adult"/>
    <s v="Escapement"/>
    <s v="Gaff"/>
    <s v="Otoliths and Scales"/>
    <n v="1"/>
    <s v="12"/>
    <m/>
    <m/>
    <m/>
    <x v="0"/>
  </r>
  <r>
    <n v="101627"/>
    <x v="0"/>
    <x v="1"/>
    <s v="8"/>
    <x v="2"/>
    <s v="1036220"/>
    <s v="2022-09-28"/>
    <s v="2022-09-28"/>
    <x v="0"/>
    <s v="Adult"/>
    <s v="Escapement"/>
    <s v="Gaff"/>
    <s v="Otoliths and Scales"/>
    <n v="2"/>
    <s v="13"/>
    <m/>
    <m/>
    <m/>
    <x v="5"/>
  </r>
  <r>
    <n v="101629"/>
    <x v="0"/>
    <x v="1"/>
    <s v="8"/>
    <x v="2"/>
    <s v="1036522"/>
    <s v="2022-09-21"/>
    <s v="2022-09-28"/>
    <x v="0"/>
    <s v="Adult"/>
    <s v="Escapement"/>
    <s v="Gillnet"/>
    <s v="Scales"/>
    <n v="1"/>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2"/>
    <m/>
    <s v="M2"/>
    <s v="Regenerate Scale"/>
    <s v="Resorbed Age Interpretation. Resorption affecting age and missing 1 marine annulus"/>
    <x v="2"/>
  </r>
  <r>
    <n v="101629"/>
    <x v="0"/>
    <x v="1"/>
    <s v="8"/>
    <x v="2"/>
    <s v="1036522"/>
    <s v="2022-09-21"/>
    <s v="2022-09-28"/>
    <x v="0"/>
    <s v="Adult"/>
    <s v="Escapement"/>
    <s v="Gillnet"/>
    <s v="Scales"/>
    <n v="3"/>
    <m/>
    <s v="M2"/>
    <s v="Regenerate Scale"/>
    <s v="Resorbed Age Interpretation. Resorption affecting age and missing 1 marine annulus"/>
    <x v="2"/>
  </r>
  <r>
    <n v="101629"/>
    <x v="0"/>
    <x v="1"/>
    <s v="8"/>
    <x v="2"/>
    <s v="1036522"/>
    <s v="2022-09-21"/>
    <s v="2022-09-28"/>
    <x v="0"/>
    <s v="Adult"/>
    <s v="Escapement"/>
    <s v="Gillnet"/>
    <s v="Scales"/>
    <n v="4"/>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5"/>
    <s v="12"/>
    <m/>
    <m/>
    <s v="Resorbed Age Interpretation. Resorption affecting age and missing 1 marine annulus"/>
    <x v="0"/>
  </r>
  <r>
    <n v="101629"/>
    <x v="0"/>
    <x v="1"/>
    <s v="8"/>
    <x v="2"/>
    <s v="1036522"/>
    <s v="2022-09-21"/>
    <s v="2022-09-28"/>
    <x v="0"/>
    <s v="Adult"/>
    <s v="Escapement"/>
    <s v="Gillnet"/>
    <s v="Scales"/>
    <n v="6"/>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7"/>
    <s v="12"/>
    <m/>
    <m/>
    <s v="Resorbed Age Interpretation. Resorption affecting age and missing 1 marine annulus"/>
    <x v="0"/>
  </r>
  <r>
    <n v="101629"/>
    <x v="0"/>
    <x v="1"/>
    <s v="8"/>
    <x v="2"/>
    <s v="1036522"/>
    <s v="2022-09-21"/>
    <s v="2022-09-28"/>
    <x v="0"/>
    <s v="Adult"/>
    <s v="Escapement"/>
    <s v="Gillnet"/>
    <s v="Scales"/>
    <n v="8"/>
    <m/>
    <s v="F1"/>
    <s v="Resorbed Scale"/>
    <s v="Unknown amount of resorption. Cannot assess the number of marine annuli missing. Only freshwater age given, no marine age given."/>
    <x v="8"/>
  </r>
  <r>
    <n v="101629"/>
    <x v="0"/>
    <x v="1"/>
    <s v="8"/>
    <x v="2"/>
    <s v="1036522"/>
    <s v="2022-09-21"/>
    <s v="2022-09-28"/>
    <x v="0"/>
    <s v="Adult"/>
    <s v="Escapement"/>
    <s v="Gillnet"/>
    <s v="Scales"/>
    <n v="9"/>
    <s v="12"/>
    <m/>
    <m/>
    <s v="Resorbed Age Interpretation. Resorption affecting age and missing 1 marine annulus"/>
    <x v="0"/>
  </r>
  <r>
    <n v="101629"/>
    <x v="0"/>
    <x v="1"/>
    <s v="8"/>
    <x v="2"/>
    <s v="1036522"/>
    <s v="2022-09-21"/>
    <s v="2022-09-28"/>
    <x v="0"/>
    <s v="Adult"/>
    <s v="Escapement"/>
    <s v="Gillnet"/>
    <s v="Scales"/>
    <n v="10"/>
    <m/>
    <s v="F1"/>
    <s v="Resorbed Scale"/>
    <s v="Unknown amount of resorption. Cannot assess the number of marine annuli missing. Only freshwater age given, no marine age given."/>
    <x v="8"/>
  </r>
  <r>
    <n v="101629"/>
    <x v="0"/>
    <x v="1"/>
    <s v="8"/>
    <x v="2"/>
    <s v="1036523"/>
    <s v="2022-09-14"/>
    <s v="2022-09-21"/>
    <x v="0"/>
    <s v="Adult"/>
    <s v="Escapement"/>
    <s v="Gillnet"/>
    <s v="Scales"/>
    <n v="1"/>
    <s v="13"/>
    <m/>
    <m/>
    <s v="Resorption present but not enough to suspect an annuli is missing.  Age unaffected."/>
    <x v="5"/>
  </r>
  <r>
    <n v="101629"/>
    <x v="0"/>
    <x v="1"/>
    <s v="8"/>
    <x v="2"/>
    <s v="1036523"/>
    <s v="2022-09-14"/>
    <s v="2022-09-21"/>
    <x v="0"/>
    <s v="Adult"/>
    <s v="Escapement"/>
    <s v="Gillnet"/>
    <s v="Scales"/>
    <n v="2"/>
    <s v="11"/>
    <m/>
    <m/>
    <s v="Resorbed Age Interpretation. Resorption affecting age and missing 1 marine annulus"/>
    <x v="3"/>
  </r>
  <r>
    <n v="101629"/>
    <x v="0"/>
    <x v="1"/>
    <s v="8"/>
    <x v="2"/>
    <s v="1036523"/>
    <s v="2022-09-14"/>
    <s v="2022-09-21"/>
    <x v="0"/>
    <s v="Adult"/>
    <s v="Escapement"/>
    <s v="Gillnet"/>
    <s v="Scales"/>
    <n v="3"/>
    <m/>
    <s v="F1"/>
    <s v="Resorbed Scale"/>
    <s v="Unknown amount of resorption. Cannot assess the number of marine annuli missing. Only freshwater age given, no marine age given."/>
    <x v="8"/>
  </r>
  <r>
    <n v="101629"/>
    <x v="0"/>
    <x v="1"/>
    <s v="8"/>
    <x v="2"/>
    <s v="1036523"/>
    <s v="2022-09-14"/>
    <s v="2022-09-21"/>
    <x v="0"/>
    <s v="Adult"/>
    <s v="Escapement"/>
    <s v="Gillnet"/>
    <s v="Scales"/>
    <n v="4"/>
    <s v="13"/>
    <m/>
    <m/>
    <s v="Resorption present but not enough to suspect an annuli is missing.  Age unaffected."/>
    <x v="5"/>
  </r>
  <r>
    <n v="101629"/>
    <x v="0"/>
    <x v="1"/>
    <s v="8"/>
    <x v="2"/>
    <s v="1036523"/>
    <s v="2022-09-14"/>
    <s v="2022-09-21"/>
    <x v="0"/>
    <s v="Adult"/>
    <s v="Escapement"/>
    <s v="Gillnet"/>
    <s v="Scales"/>
    <n v="5"/>
    <m/>
    <s v="F1"/>
    <s v="Resorbed Scale"/>
    <s v="Unknown amount of resorption. Cannot assess the number of marine annuli missing. Only freshwater age given, no marine age given."/>
    <x v="8"/>
  </r>
  <r>
    <n v="101629"/>
    <x v="0"/>
    <x v="1"/>
    <s v="8"/>
    <x v="2"/>
    <s v="1036523"/>
    <s v="2022-09-14"/>
    <s v="2022-09-21"/>
    <x v="0"/>
    <s v="Adult"/>
    <s v="Escapement"/>
    <s v="Gillnet"/>
    <s v="Scales"/>
    <n v="6"/>
    <s v="12"/>
    <m/>
    <m/>
    <s v="Resorbed Age Interpretation. Resorption affecting age and missing 1 marine annulus"/>
    <x v="0"/>
  </r>
  <r>
    <n v="101629"/>
    <x v="0"/>
    <x v="1"/>
    <s v="8"/>
    <x v="2"/>
    <s v="1036523"/>
    <s v="2022-09-14"/>
    <s v="2022-09-21"/>
    <x v="0"/>
    <s v="Adult"/>
    <s v="Escapement"/>
    <s v="Gillnet"/>
    <s v="Scales"/>
    <n v="7"/>
    <s v="12"/>
    <m/>
    <m/>
    <s v="Resorbed Age Interpretation. Resorption affecting age and missing 1 marine annulus"/>
    <x v="0"/>
  </r>
  <r>
    <n v="101629"/>
    <x v="0"/>
    <x v="1"/>
    <s v="8"/>
    <x v="2"/>
    <s v="1036523"/>
    <s v="2022-09-14"/>
    <s v="2022-09-21"/>
    <x v="0"/>
    <s v="Adult"/>
    <s v="Escapement"/>
    <s v="Gillnet"/>
    <s v="Scales"/>
    <n v="8"/>
    <s v="12"/>
    <m/>
    <m/>
    <s v="Resorbed Age Interpretation. Resorption affecting age and missing 1 marine annulus"/>
    <x v="0"/>
  </r>
  <r>
    <n v="101629"/>
    <x v="0"/>
    <x v="1"/>
    <s v="8"/>
    <x v="2"/>
    <s v="1036523"/>
    <s v="2022-09-14"/>
    <s v="2022-09-21"/>
    <x v="0"/>
    <s v="Adult"/>
    <s v="Escapement"/>
    <s v="Gillnet"/>
    <s v="Scales"/>
    <n v="9"/>
    <m/>
    <m/>
    <s v="Regenerate Scale"/>
    <s v="Unknown amount of resorption. Cannot assess the number of marine annuli missing. Only freshwater age given, no marine age given."/>
    <x v="1"/>
  </r>
  <r>
    <n v="101629"/>
    <x v="0"/>
    <x v="1"/>
    <s v="8"/>
    <x v="2"/>
    <s v="1036523"/>
    <s v="2022-09-14"/>
    <s v="2022-09-21"/>
    <x v="0"/>
    <s v="Adult"/>
    <s v="Escapement"/>
    <s v="Gillnet"/>
    <s v="Scales"/>
    <n v="10"/>
    <m/>
    <s v="F1"/>
    <s v="Resorbed Scale"/>
    <s v="Unknown amount of resorption. Cannot assess the number of marine annuli missing. Only freshwater age given, no marine age given."/>
    <x v="8"/>
  </r>
  <r>
    <n v="101629"/>
    <x v="0"/>
    <x v="1"/>
    <s v="8"/>
    <x v="2"/>
    <s v="1036524"/>
    <s v="2022-09-23"/>
    <s v="2022-09-28"/>
    <x v="0"/>
    <s v="Adult"/>
    <s v="Escapement"/>
    <s v="Gillnet"/>
    <s v="Scales"/>
    <n v="1"/>
    <s v="12"/>
    <m/>
    <m/>
    <s v="Resorbed Age Interpretation. Resorption affecting age and missing 1 marine annulus"/>
    <x v="0"/>
  </r>
  <r>
    <n v="101629"/>
    <x v="0"/>
    <x v="1"/>
    <s v="8"/>
    <x v="2"/>
    <s v="1036524"/>
    <s v="2022-09-23"/>
    <s v="2022-09-28"/>
    <x v="0"/>
    <s v="Adult"/>
    <s v="Escapement"/>
    <s v="Gillnet"/>
    <s v="Scales"/>
    <n v="2"/>
    <s v="12"/>
    <m/>
    <m/>
    <s v="Resorbed Age Interpretation. Resorption affecting age and missing 1 marine annulus"/>
    <x v="0"/>
  </r>
  <r>
    <n v="101629"/>
    <x v="0"/>
    <x v="1"/>
    <s v="8"/>
    <x v="2"/>
    <s v="1036524"/>
    <s v="2022-09-23"/>
    <s v="2022-09-28"/>
    <x v="0"/>
    <s v="Adult"/>
    <s v="Escapement"/>
    <s v="Gillnet"/>
    <s v="Scales"/>
    <n v="3"/>
    <m/>
    <s v="F1"/>
    <s v="Resorbed Scale"/>
    <s v="Unknown amount of resorption. Cannot assess the number of marine annuli missing. Only freshwater age given, no marine age given."/>
    <x v="8"/>
  </r>
  <r>
    <n v="101629"/>
    <x v="0"/>
    <x v="1"/>
    <s v="8"/>
    <x v="2"/>
    <s v="1036524"/>
    <s v="2022-09-23"/>
    <s v="2022-09-28"/>
    <x v="0"/>
    <s v="Adult"/>
    <s v="Escapement"/>
    <s v="Gillnet"/>
    <s v="Scales"/>
    <n v="4"/>
    <s v="12"/>
    <m/>
    <m/>
    <s v="Resorption present but not enough to suspect an annuli is missing.  Age unaffected."/>
    <x v="0"/>
  </r>
  <r>
    <n v="101629"/>
    <x v="0"/>
    <x v="1"/>
    <s v="8"/>
    <x v="2"/>
    <s v="1036524"/>
    <s v="2022-09-23"/>
    <s v="2022-09-28"/>
    <x v="0"/>
    <s v="Adult"/>
    <s v="Escapement"/>
    <s v="Gillnet"/>
    <s v="Scales"/>
    <n v="5"/>
    <m/>
    <s v="F1"/>
    <s v="Resorbed Scale"/>
    <s v="Unknown amount of resorption. Cannot assess the number of marine annuli missing. Only freshwater age given, no marine age given."/>
    <x v="8"/>
  </r>
  <r>
    <n v="101629"/>
    <x v="0"/>
    <x v="1"/>
    <s v="8"/>
    <x v="2"/>
    <s v="1036524"/>
    <s v="2022-09-23"/>
    <s v="2022-09-28"/>
    <x v="0"/>
    <s v="Adult"/>
    <s v="Escapement"/>
    <s v="Gillnet"/>
    <s v="Scales"/>
    <n v="6"/>
    <s v="12"/>
    <m/>
    <m/>
    <s v="Resorbed Age Interpretation. Resorption affecting age and missing 1 marine annulus"/>
    <x v="0"/>
  </r>
  <r>
    <n v="101629"/>
    <x v="0"/>
    <x v="1"/>
    <s v="8"/>
    <x v="2"/>
    <s v="1036524"/>
    <s v="2022-09-23"/>
    <s v="2022-09-28"/>
    <x v="0"/>
    <s v="Adult"/>
    <s v="Escapement"/>
    <s v="Gillnet"/>
    <s v="Scales"/>
    <n v="7"/>
    <s v="12"/>
    <m/>
    <m/>
    <s v="Resorbed Age Interpretation. Resorption affecting age and missing 1 marine annulus"/>
    <x v="0"/>
  </r>
  <r>
    <n v="101629"/>
    <x v="0"/>
    <x v="1"/>
    <s v="8"/>
    <x v="2"/>
    <s v="1036524"/>
    <s v="2022-09-23"/>
    <s v="2022-09-28"/>
    <x v="0"/>
    <s v="Adult"/>
    <s v="Escapement"/>
    <s v="Gillnet"/>
    <s v="Scales"/>
    <n v="8"/>
    <s v="12"/>
    <m/>
    <m/>
    <s v="Resorbed Age Interpretation. Resorption affecting age and missing 1 marine annulus"/>
    <x v="0"/>
  </r>
  <r>
    <n v="101629"/>
    <x v="0"/>
    <x v="1"/>
    <s v="8"/>
    <x v="2"/>
    <s v="1036524"/>
    <s v="2022-09-23"/>
    <s v="2022-09-28"/>
    <x v="0"/>
    <s v="Adult"/>
    <s v="Escapement"/>
    <s v="Gillnet"/>
    <s v="Scales"/>
    <n v="9"/>
    <m/>
    <s v="F1"/>
    <s v="Resorbed Scale"/>
    <s v="Unknown amount of resorption. Cannot assess the number of marine annuli missing. Only freshwater age given, no marine age given."/>
    <x v="8"/>
  </r>
  <r>
    <n v="101631"/>
    <x v="0"/>
    <x v="1"/>
    <s v="8"/>
    <x v="2"/>
    <s v="1036221"/>
    <s v="2022-09-23"/>
    <s v="2022-09-28"/>
    <x v="0"/>
    <s v="Adult"/>
    <s v="Escapement"/>
    <s v="Gaff"/>
    <s v="Otoliths and Scales"/>
    <n v="1"/>
    <s v="13"/>
    <m/>
    <m/>
    <m/>
    <x v="5"/>
  </r>
  <r>
    <n v="101631"/>
    <x v="0"/>
    <x v="1"/>
    <s v="8"/>
    <x v="2"/>
    <s v="1036221"/>
    <s v="2022-09-23"/>
    <s v="2022-09-28"/>
    <x v="0"/>
    <s v="Adult"/>
    <s v="Escapement"/>
    <s v="Gaff"/>
    <s v="Otoliths and Scales"/>
    <n v="2"/>
    <s v="12"/>
    <m/>
    <m/>
    <m/>
    <x v="0"/>
  </r>
  <r>
    <n v="101631"/>
    <x v="0"/>
    <x v="1"/>
    <s v="8"/>
    <x v="2"/>
    <s v="1036221"/>
    <s v="2022-09-23"/>
    <s v="2022-09-28"/>
    <x v="0"/>
    <s v="Adult"/>
    <s v="Escapement"/>
    <s v="Gaff"/>
    <s v="Otoliths and Scales"/>
    <n v="3"/>
    <s v="12"/>
    <m/>
    <m/>
    <m/>
    <x v="0"/>
  </r>
  <r>
    <n v="101631"/>
    <x v="0"/>
    <x v="1"/>
    <s v="8"/>
    <x v="2"/>
    <s v="1036221"/>
    <s v="2022-09-23"/>
    <s v="2022-09-28"/>
    <x v="0"/>
    <s v="Adult"/>
    <s v="Escapement"/>
    <s v="Gaff"/>
    <s v="Otoliths and Scales"/>
    <n v="4"/>
    <s v="13"/>
    <m/>
    <m/>
    <m/>
    <x v="5"/>
  </r>
  <r>
    <n v="101631"/>
    <x v="0"/>
    <x v="1"/>
    <s v="8"/>
    <x v="2"/>
    <s v="1036221"/>
    <s v="2022-09-23"/>
    <s v="2022-09-28"/>
    <x v="0"/>
    <s v="Adult"/>
    <s v="Escapement"/>
    <s v="Gaff"/>
    <s v="Otoliths and Scales"/>
    <n v="5"/>
    <s v="03"/>
    <m/>
    <m/>
    <m/>
    <x v="7"/>
  </r>
  <r>
    <n v="101633"/>
    <x v="0"/>
    <x v="1"/>
    <s v="8"/>
    <x v="2"/>
    <s v="1036526"/>
    <s v="2022-09-21"/>
    <s v="2022-09-21"/>
    <x v="0"/>
    <s v="Adult"/>
    <s v="Escapement"/>
    <s v="Gillnet"/>
    <s v="Scales"/>
    <n v="1"/>
    <s v="12"/>
    <m/>
    <m/>
    <s v="Resorbed Age Interpretation. Resorption affecting age and missing 1 marine annulus"/>
    <x v="0"/>
  </r>
  <r>
    <n v="101633"/>
    <x v="0"/>
    <x v="1"/>
    <s v="8"/>
    <x v="2"/>
    <s v="1036526"/>
    <s v="2022-09-21"/>
    <s v="2022-09-21"/>
    <x v="0"/>
    <s v="Adult"/>
    <s v="Escapement"/>
    <s v="Gillnet"/>
    <s v="Scales"/>
    <n v="2"/>
    <s v="12"/>
    <m/>
    <m/>
    <s v="Resorbed Age Interpretation. Resorption affecting age and missing 1 marine annulus"/>
    <x v="0"/>
  </r>
  <r>
    <n v="101633"/>
    <x v="0"/>
    <x v="1"/>
    <s v="8"/>
    <x v="2"/>
    <s v="1036526"/>
    <s v="2022-09-21"/>
    <s v="2022-09-21"/>
    <x v="0"/>
    <s v="Adult"/>
    <s v="Escapement"/>
    <s v="Gillnet"/>
    <s v="Scales"/>
    <n v="3"/>
    <m/>
    <s v="F1"/>
    <s v="Resorbed Scale"/>
    <s v="Unknown amount of resorption. Cannot assess the number of marine annuli missing. Only freshwater age given, no marine age given."/>
    <x v="8"/>
  </r>
  <r>
    <n v="101633"/>
    <x v="0"/>
    <x v="1"/>
    <s v="8"/>
    <x v="2"/>
    <s v="1036526"/>
    <s v="2022-09-21"/>
    <s v="2022-09-21"/>
    <x v="0"/>
    <s v="Adult"/>
    <s v="Escapement"/>
    <s v="Gillnet"/>
    <s v="Scales"/>
    <n v="4"/>
    <s v="13"/>
    <m/>
    <m/>
    <s v="Resorption present but not enough to suspect an annuli is missing.  Age unaffected."/>
    <x v="5"/>
  </r>
  <r>
    <n v="101633"/>
    <x v="0"/>
    <x v="1"/>
    <s v="8"/>
    <x v="2"/>
    <s v="1036526"/>
    <s v="2022-09-21"/>
    <s v="2022-09-21"/>
    <x v="0"/>
    <s v="Adult"/>
    <s v="Escapement"/>
    <s v="Gillnet"/>
    <s v="Scales"/>
    <n v="5"/>
    <s v="12"/>
    <m/>
    <m/>
    <s v="Resorbed Age Interpretation. Resorption affecting age and missing 1 marine annulus"/>
    <x v="0"/>
  </r>
  <r>
    <n v="101633"/>
    <x v="0"/>
    <x v="1"/>
    <s v="8"/>
    <x v="2"/>
    <s v="1036526"/>
    <s v="2022-09-21"/>
    <s v="2022-09-21"/>
    <x v="0"/>
    <s v="Adult"/>
    <s v="Escapement"/>
    <s v="Gillnet"/>
    <s v="Scales"/>
    <n v="6"/>
    <s v="13"/>
    <m/>
    <m/>
    <s v="Resorption present but not enough to suspect an annuli is missing.  Age unaffected."/>
    <x v="5"/>
  </r>
  <r>
    <n v="101633"/>
    <x v="0"/>
    <x v="1"/>
    <s v="8"/>
    <x v="2"/>
    <s v="1036526"/>
    <s v="2022-09-21"/>
    <s v="2022-09-21"/>
    <x v="0"/>
    <s v="Adult"/>
    <s v="Escapement"/>
    <s v="Gillnet"/>
    <s v="Scales"/>
    <n v="7"/>
    <s v="13"/>
    <m/>
    <m/>
    <s v="Resorbed Age Interpretation. Resorption affecting age and missing 1 marine annulus"/>
    <x v="5"/>
  </r>
  <r>
    <n v="101633"/>
    <x v="0"/>
    <x v="1"/>
    <s v="8"/>
    <x v="2"/>
    <s v="1036527"/>
    <s v="2022-09-21"/>
    <s v="2022-09-28"/>
    <x v="0"/>
    <s v="Adult"/>
    <s v="Escapement"/>
    <s v="Gillnet"/>
    <s v="Scales"/>
    <n v="1"/>
    <m/>
    <s v="F1"/>
    <s v="Resorbed Scale"/>
    <s v="Unknown amount of resorption. Cannot assess the number of marine annuli missing. Only freshwater age given, no marine age given."/>
    <x v="8"/>
  </r>
  <r>
    <n v="101633"/>
    <x v="0"/>
    <x v="1"/>
    <s v="8"/>
    <x v="2"/>
    <s v="1036527"/>
    <s v="2022-09-21"/>
    <s v="2022-09-28"/>
    <x v="0"/>
    <s v="Adult"/>
    <s v="Escapement"/>
    <s v="Gillnet"/>
    <s v="Scales"/>
    <n v="2"/>
    <m/>
    <s v="F1"/>
    <s v="Resorbed Scale"/>
    <s v="Unknown amount of resorption. Cannot assess the number of marine annuli missing. Only freshwater age given, no marine age given."/>
    <x v="8"/>
  </r>
  <r>
    <n v="101633"/>
    <x v="0"/>
    <x v="1"/>
    <s v="8"/>
    <x v="2"/>
    <s v="1036527"/>
    <s v="2022-09-21"/>
    <s v="2022-09-28"/>
    <x v="0"/>
    <s v="Adult"/>
    <s v="Escapement"/>
    <s v="Gillnet"/>
    <s v="Scales"/>
    <n v="3"/>
    <s v="12"/>
    <m/>
    <m/>
    <s v="Resorbed Age Interpretation. Resorption affecting age and missing 1 marine annulus"/>
    <x v="0"/>
  </r>
  <r>
    <n v="101633"/>
    <x v="0"/>
    <x v="1"/>
    <s v="8"/>
    <x v="2"/>
    <s v="1036527"/>
    <s v="2022-09-21"/>
    <s v="2022-09-28"/>
    <x v="0"/>
    <s v="Adult"/>
    <s v="Escapement"/>
    <s v="Gillnet"/>
    <s v="Scales"/>
    <n v="4"/>
    <s v="12"/>
    <m/>
    <m/>
    <s v="Resorbed Age Interpretation. Resorption affecting age and missing 1 marine annulus"/>
    <x v="0"/>
  </r>
  <r>
    <n v="101633"/>
    <x v="0"/>
    <x v="1"/>
    <s v="8"/>
    <x v="2"/>
    <s v="1036527"/>
    <s v="2022-09-21"/>
    <s v="2022-09-28"/>
    <x v="0"/>
    <s v="Adult"/>
    <s v="Escapement"/>
    <s v="Gillnet"/>
    <s v="Scales"/>
    <n v="5"/>
    <m/>
    <s v="F1"/>
    <s v="Resorbed Scale"/>
    <s v="Unknown amount of resorption. Cannot assess the number of marine annuli missing. Only freshwater age given, no marine age given."/>
    <x v="8"/>
  </r>
  <r>
    <n v="101633"/>
    <x v="0"/>
    <x v="1"/>
    <s v="8"/>
    <x v="2"/>
    <s v="1036527"/>
    <s v="2022-09-21"/>
    <s v="2022-09-28"/>
    <x v="0"/>
    <s v="Adult"/>
    <s v="Escapement"/>
    <s v="Gillnet"/>
    <s v="Scales"/>
    <n v="6"/>
    <s v="12"/>
    <m/>
    <m/>
    <s v="Resorption present but not enough to suspect an annuli is missing.  Age unaffected."/>
    <x v="0"/>
  </r>
  <r>
    <n v="101633"/>
    <x v="0"/>
    <x v="1"/>
    <s v="8"/>
    <x v="2"/>
    <s v="1036527"/>
    <s v="2022-09-21"/>
    <s v="2022-09-28"/>
    <x v="0"/>
    <s v="Adult"/>
    <s v="Escapement"/>
    <s v="Gillnet"/>
    <s v="Scales"/>
    <n v="7"/>
    <s v="13"/>
    <m/>
    <m/>
    <s v="Resorption present but not enough to suspect an annuli is missing.  Age unaffected."/>
    <x v="5"/>
  </r>
  <r>
    <n v="101633"/>
    <x v="0"/>
    <x v="1"/>
    <s v="8"/>
    <x v="2"/>
    <s v="1036527"/>
    <s v="2022-09-21"/>
    <s v="2022-09-28"/>
    <x v="0"/>
    <s v="Adult"/>
    <s v="Escapement"/>
    <s v="Gillnet"/>
    <s v="Scales"/>
    <n v="8"/>
    <m/>
    <s v="F1"/>
    <s v="Resorbed Scale"/>
    <s v="Unknown amount of resorption. Cannot assess the number of marine annuli missing. Only freshwater age given, no marine age given."/>
    <x v="8"/>
  </r>
  <r>
    <n v="101635"/>
    <x v="0"/>
    <x v="1"/>
    <s v="8"/>
    <x v="2"/>
    <s v="1036222"/>
    <s v="2022-09-23"/>
    <s v="2022-09-23"/>
    <x v="0"/>
    <s v="Adult"/>
    <s v="Escapement"/>
    <s v="Gaff"/>
    <s v="Otoliths and Scales"/>
    <n v="1"/>
    <m/>
    <m/>
    <s v="No Structure"/>
    <m/>
    <x v="1"/>
  </r>
  <r>
    <n v="101635"/>
    <x v="0"/>
    <x v="1"/>
    <s v="8"/>
    <x v="2"/>
    <s v="1036222"/>
    <s v="2022-09-23"/>
    <s v="2022-09-23"/>
    <x v="0"/>
    <s v="Adult"/>
    <s v="Escapement"/>
    <s v="Gaff"/>
    <s v="Otoliths and Scales"/>
    <n v="2"/>
    <s v="12"/>
    <m/>
    <m/>
    <m/>
    <x v="0"/>
  </r>
  <r>
    <n v="101635"/>
    <x v="0"/>
    <x v="1"/>
    <s v="8"/>
    <x v="2"/>
    <s v="1036222"/>
    <s v="2022-09-23"/>
    <s v="2022-09-23"/>
    <x v="0"/>
    <s v="Adult"/>
    <s v="Escapement"/>
    <s v="Gaff"/>
    <s v="Otoliths and Scales"/>
    <n v="3"/>
    <s v="13"/>
    <m/>
    <m/>
    <m/>
    <x v="5"/>
  </r>
  <r>
    <n v="102641"/>
    <x v="0"/>
    <x v="1"/>
    <s v="8"/>
    <x v="3"/>
    <s v="1036784"/>
    <s v="2022-09-26"/>
    <s v="2022-09-27"/>
    <x v="0"/>
    <s v="Adult"/>
    <s v="Escapement"/>
    <s v="Gillnet"/>
    <s v="Otoliths and Scales"/>
    <n v="1"/>
    <s v="12"/>
    <m/>
    <m/>
    <m/>
    <x v="0"/>
  </r>
  <r>
    <n v="102641"/>
    <x v="0"/>
    <x v="1"/>
    <s v="8"/>
    <x v="3"/>
    <s v="1036784"/>
    <s v="2022-09-26"/>
    <s v="2022-09-27"/>
    <x v="0"/>
    <s v="Adult"/>
    <s v="Escapement"/>
    <s v="Gillnet"/>
    <s v="Otoliths and Scales"/>
    <n v="2"/>
    <s v="12"/>
    <m/>
    <m/>
    <m/>
    <x v="0"/>
  </r>
  <r>
    <n v="102641"/>
    <x v="0"/>
    <x v="1"/>
    <s v="8"/>
    <x v="3"/>
    <s v="1036784"/>
    <s v="2022-09-26"/>
    <s v="2022-09-27"/>
    <x v="0"/>
    <s v="Adult"/>
    <s v="Escapement"/>
    <s v="Gillnet"/>
    <s v="Otoliths and Scales"/>
    <n v="3"/>
    <s v="12"/>
    <m/>
    <m/>
    <m/>
    <x v="0"/>
  </r>
  <r>
    <n v="102641"/>
    <x v="0"/>
    <x v="1"/>
    <s v="8"/>
    <x v="3"/>
    <s v="1036784"/>
    <s v="2022-09-26"/>
    <s v="2022-09-27"/>
    <x v="0"/>
    <s v="Adult"/>
    <s v="Escapement"/>
    <s v="Gillnet"/>
    <s v="Otoliths and Scales"/>
    <n v="4"/>
    <s v="12"/>
    <m/>
    <m/>
    <m/>
    <x v="0"/>
  </r>
  <r>
    <n v="102641"/>
    <x v="0"/>
    <x v="1"/>
    <s v="8"/>
    <x v="3"/>
    <s v="1036784"/>
    <s v="2022-09-26"/>
    <s v="2022-09-27"/>
    <x v="0"/>
    <s v="Adult"/>
    <s v="Escapement"/>
    <s v="Gillnet"/>
    <s v="Otoliths and Scales"/>
    <n v="5"/>
    <s v="12"/>
    <m/>
    <m/>
    <m/>
    <x v="0"/>
  </r>
  <r>
    <n v="102641"/>
    <x v="0"/>
    <x v="1"/>
    <s v="8"/>
    <x v="3"/>
    <s v="1036784"/>
    <s v="2022-09-26"/>
    <s v="2022-09-27"/>
    <x v="0"/>
    <s v="Adult"/>
    <s v="Escapement"/>
    <s v="Gillnet"/>
    <s v="Otoliths and Scales"/>
    <n v="6"/>
    <s v="22"/>
    <m/>
    <m/>
    <m/>
    <x v="9"/>
  </r>
  <r>
    <n v="102641"/>
    <x v="0"/>
    <x v="1"/>
    <s v="8"/>
    <x v="3"/>
    <s v="1036784"/>
    <s v="2022-09-26"/>
    <s v="2022-09-27"/>
    <x v="0"/>
    <s v="Adult"/>
    <s v="Escapement"/>
    <s v="Gillnet"/>
    <s v="Otoliths and Scales"/>
    <n v="7"/>
    <s v="13"/>
    <m/>
    <m/>
    <m/>
    <x v="5"/>
  </r>
  <r>
    <n v="102641"/>
    <x v="0"/>
    <x v="1"/>
    <s v="8"/>
    <x v="3"/>
    <s v="1036784"/>
    <s v="2022-09-26"/>
    <s v="2022-09-27"/>
    <x v="0"/>
    <s v="Adult"/>
    <s v="Escapement"/>
    <s v="Gillnet"/>
    <s v="Otoliths and Scales"/>
    <n v="8"/>
    <s v="12"/>
    <m/>
    <m/>
    <m/>
    <x v="0"/>
  </r>
  <r>
    <n v="102641"/>
    <x v="0"/>
    <x v="1"/>
    <s v="8"/>
    <x v="3"/>
    <s v="1036784"/>
    <s v="2022-09-26"/>
    <s v="2022-09-27"/>
    <x v="0"/>
    <s v="Adult"/>
    <s v="Escapement"/>
    <s v="Gillnet"/>
    <s v="Otoliths and Scales"/>
    <n v="9"/>
    <s v="13"/>
    <m/>
    <m/>
    <m/>
    <x v="5"/>
  </r>
  <r>
    <n v="102641"/>
    <x v="0"/>
    <x v="1"/>
    <s v="8"/>
    <x v="3"/>
    <s v="1036784"/>
    <s v="2022-09-26"/>
    <s v="2022-09-27"/>
    <x v="0"/>
    <s v="Adult"/>
    <s v="Escapement"/>
    <s v="Gillnet"/>
    <s v="Otoliths and Scales"/>
    <n v="10"/>
    <s v="12"/>
    <m/>
    <m/>
    <m/>
    <x v="0"/>
  </r>
  <r>
    <n v="102641"/>
    <x v="0"/>
    <x v="1"/>
    <s v="8"/>
    <x v="3"/>
    <s v="1036784"/>
    <s v="2022-09-26"/>
    <s v="2022-09-27"/>
    <x v="0"/>
    <s v="Adult"/>
    <s v="Escapement"/>
    <s v="Gillnet"/>
    <s v="Otoliths and Scales"/>
    <n v="11"/>
    <s v="13"/>
    <m/>
    <m/>
    <m/>
    <x v="5"/>
  </r>
  <r>
    <n v="102641"/>
    <x v="0"/>
    <x v="1"/>
    <s v="8"/>
    <x v="3"/>
    <s v="1036784"/>
    <s v="2022-09-26"/>
    <s v="2022-09-27"/>
    <x v="0"/>
    <s v="Adult"/>
    <s v="Escapement"/>
    <s v="Gillnet"/>
    <s v="Otoliths and Scales"/>
    <n v="12"/>
    <s v="13"/>
    <m/>
    <m/>
    <m/>
    <x v="5"/>
  </r>
  <r>
    <n v="102641"/>
    <x v="0"/>
    <x v="1"/>
    <s v="8"/>
    <x v="3"/>
    <s v="1036784"/>
    <s v="2022-09-26"/>
    <s v="2022-09-27"/>
    <x v="0"/>
    <s v="Adult"/>
    <s v="Escapement"/>
    <s v="Gillnet"/>
    <s v="Otoliths and Scales"/>
    <n v="13"/>
    <s v="12"/>
    <m/>
    <m/>
    <m/>
    <x v="0"/>
  </r>
  <r>
    <n v="102641"/>
    <x v="0"/>
    <x v="1"/>
    <s v="8"/>
    <x v="3"/>
    <s v="1036784"/>
    <s v="2022-09-26"/>
    <s v="2022-09-27"/>
    <x v="0"/>
    <s v="Adult"/>
    <s v="Escapement"/>
    <s v="Gillnet"/>
    <s v="Otoliths and Scales"/>
    <n v="14"/>
    <s v="12"/>
    <m/>
    <m/>
    <m/>
    <x v="0"/>
  </r>
  <r>
    <n v="102641"/>
    <x v="0"/>
    <x v="1"/>
    <s v="8"/>
    <x v="3"/>
    <s v="1036784"/>
    <s v="2022-09-26"/>
    <s v="2022-09-27"/>
    <x v="0"/>
    <s v="Adult"/>
    <s v="Escapement"/>
    <s v="Gillnet"/>
    <s v="Otoliths and Scales"/>
    <n v="15"/>
    <s v="12"/>
    <m/>
    <m/>
    <m/>
    <x v="0"/>
  </r>
  <r>
    <n v="102641"/>
    <x v="0"/>
    <x v="1"/>
    <s v="8"/>
    <x v="3"/>
    <s v="1036784"/>
    <s v="2022-09-26"/>
    <s v="2022-09-27"/>
    <x v="0"/>
    <s v="Adult"/>
    <s v="Escapement"/>
    <s v="Gillnet"/>
    <s v="Otoliths and Scales"/>
    <n v="16"/>
    <s v="12"/>
    <m/>
    <m/>
    <m/>
    <x v="0"/>
  </r>
  <r>
    <n v="102641"/>
    <x v="0"/>
    <x v="1"/>
    <s v="8"/>
    <x v="3"/>
    <s v="1036784"/>
    <s v="2022-09-26"/>
    <s v="2022-09-27"/>
    <x v="0"/>
    <s v="Adult"/>
    <s v="Escapement"/>
    <s v="Gillnet"/>
    <s v="Otoliths and Scales"/>
    <n v="17"/>
    <s v="22"/>
    <m/>
    <m/>
    <m/>
    <x v="9"/>
  </r>
  <r>
    <n v="102641"/>
    <x v="0"/>
    <x v="1"/>
    <s v="8"/>
    <x v="3"/>
    <s v="1036784"/>
    <s v="2022-09-26"/>
    <s v="2022-09-27"/>
    <x v="0"/>
    <s v="Adult"/>
    <s v="Escapement"/>
    <s v="Gillnet"/>
    <s v="Otoliths and Scales"/>
    <n v="18"/>
    <m/>
    <m/>
    <s v="No Structure"/>
    <m/>
    <x v="1"/>
  </r>
  <r>
    <n v="102641"/>
    <x v="0"/>
    <x v="1"/>
    <s v="8"/>
    <x v="3"/>
    <s v="1036784"/>
    <s v="2022-09-26"/>
    <s v="2022-09-27"/>
    <x v="0"/>
    <s v="Adult"/>
    <s v="Escapement"/>
    <s v="Gillnet"/>
    <s v="Otoliths and Scales"/>
    <n v="19"/>
    <m/>
    <s v="M2"/>
    <s v="Unresolved Freshwater Age"/>
    <m/>
    <x v="2"/>
  </r>
  <r>
    <n v="102641"/>
    <x v="0"/>
    <x v="1"/>
    <s v="8"/>
    <x v="3"/>
    <s v="1036784"/>
    <s v="2022-09-26"/>
    <s v="2022-09-27"/>
    <x v="0"/>
    <s v="Adult"/>
    <s v="Escapement"/>
    <s v="Gillnet"/>
    <s v="Otoliths and Scales"/>
    <n v="20"/>
    <s v="12"/>
    <m/>
    <m/>
    <m/>
    <x v="0"/>
  </r>
  <r>
    <n v="102641"/>
    <x v="0"/>
    <x v="1"/>
    <s v="8"/>
    <x v="3"/>
    <s v="1036784"/>
    <s v="2022-09-26"/>
    <s v="2022-09-27"/>
    <x v="0"/>
    <s v="Adult"/>
    <s v="Escapement"/>
    <s v="Gillnet"/>
    <s v="Otoliths and Scales"/>
    <n v="21"/>
    <s v="13"/>
    <m/>
    <m/>
    <m/>
    <x v="5"/>
  </r>
  <r>
    <n v="102641"/>
    <x v="0"/>
    <x v="1"/>
    <s v="8"/>
    <x v="3"/>
    <s v="1036784"/>
    <s v="2022-09-26"/>
    <s v="2022-09-27"/>
    <x v="0"/>
    <s v="Adult"/>
    <s v="Escapement"/>
    <s v="Gillnet"/>
    <s v="Otoliths and Scales"/>
    <n v="22"/>
    <s v="12"/>
    <m/>
    <m/>
    <m/>
    <x v="0"/>
  </r>
  <r>
    <n v="102641"/>
    <x v="0"/>
    <x v="1"/>
    <s v="8"/>
    <x v="3"/>
    <s v="1036784"/>
    <s v="2022-09-26"/>
    <s v="2022-09-27"/>
    <x v="0"/>
    <s v="Adult"/>
    <s v="Escapement"/>
    <s v="Gillnet"/>
    <s v="Otoliths and Scales"/>
    <n v="23"/>
    <s v="12"/>
    <m/>
    <m/>
    <m/>
    <x v="0"/>
  </r>
  <r>
    <n v="102641"/>
    <x v="0"/>
    <x v="1"/>
    <s v="8"/>
    <x v="3"/>
    <s v="1036784"/>
    <s v="2022-09-26"/>
    <s v="2022-09-27"/>
    <x v="0"/>
    <s v="Adult"/>
    <s v="Escapement"/>
    <s v="Gillnet"/>
    <s v="Otoliths and Scales"/>
    <n v="24"/>
    <s v="12"/>
    <m/>
    <m/>
    <m/>
    <x v="0"/>
  </r>
  <r>
    <n v="102641"/>
    <x v="0"/>
    <x v="1"/>
    <s v="8"/>
    <x v="3"/>
    <s v="1036784"/>
    <s v="2022-09-26"/>
    <s v="2022-09-27"/>
    <x v="0"/>
    <s v="Adult"/>
    <s v="Escapement"/>
    <s v="Gillnet"/>
    <s v="Otoliths and Scales"/>
    <n v="25"/>
    <s v="12"/>
    <m/>
    <m/>
    <m/>
    <x v="0"/>
  </r>
  <r>
    <n v="102641"/>
    <x v="0"/>
    <x v="1"/>
    <s v="8"/>
    <x v="3"/>
    <s v="1036784"/>
    <s v="2022-09-26"/>
    <s v="2022-09-27"/>
    <x v="0"/>
    <s v="Adult"/>
    <s v="Escapement"/>
    <s v="Gillnet"/>
    <s v="Otoliths and Scales"/>
    <n v="26"/>
    <s v="22"/>
    <m/>
    <m/>
    <m/>
    <x v="9"/>
  </r>
  <r>
    <n v="102641"/>
    <x v="0"/>
    <x v="1"/>
    <s v="8"/>
    <x v="3"/>
    <s v="1036784"/>
    <s v="2022-09-26"/>
    <s v="2022-09-27"/>
    <x v="0"/>
    <s v="Adult"/>
    <s v="Escapement"/>
    <s v="Gillnet"/>
    <s v="Otoliths and Scales"/>
    <n v="27"/>
    <s v="12"/>
    <m/>
    <m/>
    <m/>
    <x v="0"/>
  </r>
  <r>
    <n v="102641"/>
    <x v="0"/>
    <x v="1"/>
    <s v="8"/>
    <x v="3"/>
    <s v="1036784"/>
    <s v="2022-09-26"/>
    <s v="2022-09-27"/>
    <x v="0"/>
    <s v="Adult"/>
    <s v="Escapement"/>
    <s v="Gillnet"/>
    <s v="Otoliths and Scales"/>
    <n v="28"/>
    <s v="12"/>
    <m/>
    <m/>
    <m/>
    <x v="0"/>
  </r>
  <r>
    <n v="102641"/>
    <x v="0"/>
    <x v="1"/>
    <s v="8"/>
    <x v="3"/>
    <s v="1036784"/>
    <s v="2022-09-26"/>
    <s v="2022-09-27"/>
    <x v="0"/>
    <s v="Adult"/>
    <s v="Escapement"/>
    <s v="Gillnet"/>
    <s v="Otoliths and Scales"/>
    <n v="29"/>
    <s v="12"/>
    <m/>
    <m/>
    <m/>
    <x v="0"/>
  </r>
  <r>
    <n v="102641"/>
    <x v="0"/>
    <x v="1"/>
    <s v="8"/>
    <x v="3"/>
    <s v="1036784"/>
    <s v="2022-09-26"/>
    <s v="2022-09-27"/>
    <x v="0"/>
    <s v="Adult"/>
    <s v="Escapement"/>
    <s v="Gillnet"/>
    <s v="Otoliths and Scales"/>
    <n v="30"/>
    <s v="12"/>
    <m/>
    <m/>
    <m/>
    <x v="0"/>
  </r>
  <r>
    <n v="102641"/>
    <x v="0"/>
    <x v="1"/>
    <s v="8"/>
    <x v="3"/>
    <s v="1036784"/>
    <s v="2022-09-26"/>
    <s v="2022-09-27"/>
    <x v="0"/>
    <s v="Adult"/>
    <s v="Escapement"/>
    <s v="Gillnet"/>
    <s v="Otoliths and Scales"/>
    <n v="31"/>
    <s v="12"/>
    <m/>
    <m/>
    <m/>
    <x v="0"/>
  </r>
  <r>
    <n v="102641"/>
    <x v="0"/>
    <x v="1"/>
    <s v="8"/>
    <x v="3"/>
    <s v="1036784"/>
    <s v="2022-09-26"/>
    <s v="2022-09-27"/>
    <x v="0"/>
    <s v="Adult"/>
    <s v="Escapement"/>
    <s v="Gillnet"/>
    <s v="Otoliths and Scales"/>
    <n v="32"/>
    <s v="12"/>
    <m/>
    <m/>
    <m/>
    <x v="0"/>
  </r>
  <r>
    <n v="102641"/>
    <x v="0"/>
    <x v="1"/>
    <s v="8"/>
    <x v="3"/>
    <s v="1036784"/>
    <s v="2022-09-26"/>
    <s v="2022-09-27"/>
    <x v="0"/>
    <s v="Adult"/>
    <s v="Escapement"/>
    <s v="Gillnet"/>
    <s v="Otoliths and Scales"/>
    <n v="33"/>
    <s v="12"/>
    <m/>
    <m/>
    <m/>
    <x v="0"/>
  </r>
  <r>
    <n v="102641"/>
    <x v="0"/>
    <x v="1"/>
    <s v="8"/>
    <x v="3"/>
    <s v="1036784"/>
    <s v="2022-09-26"/>
    <s v="2022-09-27"/>
    <x v="0"/>
    <s v="Adult"/>
    <s v="Escapement"/>
    <s v="Gillnet"/>
    <s v="Otoliths and Scales"/>
    <n v="34"/>
    <s v="13"/>
    <m/>
    <m/>
    <m/>
    <x v="5"/>
  </r>
  <r>
    <n v="102641"/>
    <x v="0"/>
    <x v="1"/>
    <s v="8"/>
    <x v="3"/>
    <s v="1036784"/>
    <s v="2022-09-26"/>
    <s v="2022-09-27"/>
    <x v="0"/>
    <s v="Adult"/>
    <s v="Escapement"/>
    <s v="Gillnet"/>
    <s v="Otoliths and Scales"/>
    <n v="35"/>
    <s v="13"/>
    <m/>
    <m/>
    <m/>
    <x v="5"/>
  </r>
  <r>
    <n v="102641"/>
    <x v="0"/>
    <x v="1"/>
    <s v="8"/>
    <x v="3"/>
    <s v="1036784"/>
    <s v="2022-09-26"/>
    <s v="2022-09-27"/>
    <x v="0"/>
    <s v="Adult"/>
    <s v="Escapement"/>
    <s v="Gillnet"/>
    <s v="Otoliths and Scales"/>
    <n v="36"/>
    <s v="12"/>
    <m/>
    <m/>
    <m/>
    <x v="0"/>
  </r>
  <r>
    <n v="102641"/>
    <x v="0"/>
    <x v="1"/>
    <s v="8"/>
    <x v="3"/>
    <s v="1036784"/>
    <s v="2022-09-26"/>
    <s v="2022-09-27"/>
    <x v="0"/>
    <s v="Adult"/>
    <s v="Escapement"/>
    <s v="Gillnet"/>
    <s v="Otoliths and Scales"/>
    <n v="37"/>
    <s v="13"/>
    <m/>
    <m/>
    <m/>
    <x v="5"/>
  </r>
  <r>
    <n v="102641"/>
    <x v="0"/>
    <x v="1"/>
    <s v="8"/>
    <x v="3"/>
    <s v="1036784"/>
    <s v="2022-09-26"/>
    <s v="2022-09-27"/>
    <x v="0"/>
    <s v="Adult"/>
    <s v="Escapement"/>
    <s v="Gillnet"/>
    <s v="Otoliths and Scales"/>
    <n v="38"/>
    <s v="12"/>
    <m/>
    <m/>
    <s v="Resorbed Age Interpretation. Resorption affecting age and missing 1 marine annulus"/>
    <x v="0"/>
  </r>
  <r>
    <n v="102641"/>
    <x v="0"/>
    <x v="1"/>
    <s v="8"/>
    <x v="3"/>
    <s v="1036784"/>
    <s v="2022-09-26"/>
    <s v="2022-09-27"/>
    <x v="0"/>
    <s v="Adult"/>
    <s v="Escapement"/>
    <s v="Gillnet"/>
    <s v="Otoliths and Scales"/>
    <n v="39"/>
    <s v="12"/>
    <m/>
    <m/>
    <m/>
    <x v="0"/>
  </r>
  <r>
    <n v="102641"/>
    <x v="0"/>
    <x v="1"/>
    <s v="8"/>
    <x v="3"/>
    <s v="1036784"/>
    <s v="2022-09-26"/>
    <s v="2022-09-27"/>
    <x v="0"/>
    <s v="Adult"/>
    <s v="Escapement"/>
    <s v="Gillnet"/>
    <s v="Otoliths and Scales"/>
    <n v="40"/>
    <s v="23"/>
    <m/>
    <m/>
    <m/>
    <x v="10"/>
  </r>
  <r>
    <n v="102641"/>
    <x v="0"/>
    <x v="1"/>
    <s v="8"/>
    <x v="3"/>
    <s v="1036784"/>
    <s v="2022-09-26"/>
    <s v="2022-09-27"/>
    <x v="0"/>
    <s v="Adult"/>
    <s v="Escapement"/>
    <s v="Gillnet"/>
    <s v="Otoliths and Scales"/>
    <n v="41"/>
    <s v="12"/>
    <m/>
    <m/>
    <m/>
    <x v="0"/>
  </r>
  <r>
    <n v="102641"/>
    <x v="0"/>
    <x v="1"/>
    <s v="8"/>
    <x v="3"/>
    <s v="1036784"/>
    <s v="2022-09-26"/>
    <s v="2022-09-27"/>
    <x v="0"/>
    <s v="Adult"/>
    <s v="Escapement"/>
    <s v="Gillnet"/>
    <s v="Otoliths and Scales"/>
    <n v="42"/>
    <s v="12"/>
    <m/>
    <m/>
    <m/>
    <x v="0"/>
  </r>
  <r>
    <n v="102641"/>
    <x v="0"/>
    <x v="1"/>
    <s v="8"/>
    <x v="3"/>
    <s v="1036784"/>
    <s v="2022-09-26"/>
    <s v="2022-09-27"/>
    <x v="0"/>
    <s v="Adult"/>
    <s v="Escapement"/>
    <s v="Gillnet"/>
    <s v="Otoliths and Scales"/>
    <n v="43"/>
    <s v="12"/>
    <m/>
    <m/>
    <m/>
    <x v="0"/>
  </r>
  <r>
    <n v="102641"/>
    <x v="0"/>
    <x v="1"/>
    <s v="8"/>
    <x v="3"/>
    <s v="1036784"/>
    <s v="2022-09-26"/>
    <s v="2022-09-27"/>
    <x v="0"/>
    <s v="Adult"/>
    <s v="Escapement"/>
    <s v="Gillnet"/>
    <s v="Otoliths and Scales"/>
    <n v="44"/>
    <m/>
    <m/>
    <s v="No Structure"/>
    <m/>
    <x v="1"/>
  </r>
  <r>
    <n v="102641"/>
    <x v="0"/>
    <x v="1"/>
    <s v="8"/>
    <x v="3"/>
    <s v="1036784"/>
    <s v="2022-09-26"/>
    <s v="2022-09-27"/>
    <x v="0"/>
    <s v="Adult"/>
    <s v="Escapement"/>
    <s v="Gillnet"/>
    <s v="Otoliths and Scales"/>
    <n v="45"/>
    <m/>
    <m/>
    <s v="No Structure"/>
    <m/>
    <x v="1"/>
  </r>
  <r>
    <n v="102641"/>
    <x v="0"/>
    <x v="1"/>
    <s v="8"/>
    <x v="3"/>
    <s v="1036784"/>
    <s v="2022-09-26"/>
    <s v="2022-09-27"/>
    <x v="0"/>
    <s v="Adult"/>
    <s v="Escapement"/>
    <s v="Gillnet"/>
    <s v="Otoliths and Scales"/>
    <n v="46"/>
    <m/>
    <m/>
    <s v="No Structure"/>
    <m/>
    <x v="1"/>
  </r>
  <r>
    <n v="102641"/>
    <x v="0"/>
    <x v="1"/>
    <s v="8"/>
    <x v="3"/>
    <s v="1036784"/>
    <s v="2022-09-26"/>
    <s v="2022-09-27"/>
    <x v="0"/>
    <s v="Adult"/>
    <s v="Escapement"/>
    <s v="Gillnet"/>
    <s v="Otoliths and Scales"/>
    <n v="47"/>
    <m/>
    <m/>
    <s v="No Structure"/>
    <m/>
    <x v="1"/>
  </r>
  <r>
    <n v="102641"/>
    <x v="0"/>
    <x v="1"/>
    <s v="8"/>
    <x v="3"/>
    <s v="1036784"/>
    <s v="2022-09-26"/>
    <s v="2022-09-27"/>
    <x v="0"/>
    <s v="Adult"/>
    <s v="Escapement"/>
    <s v="Gillnet"/>
    <s v="Otoliths and Scales"/>
    <n v="48"/>
    <m/>
    <m/>
    <s v="No Structure"/>
    <m/>
    <x v="1"/>
  </r>
  <r>
    <n v="102641"/>
    <x v="0"/>
    <x v="1"/>
    <s v="8"/>
    <x v="3"/>
    <s v="1036784"/>
    <s v="2022-09-26"/>
    <s v="2022-09-27"/>
    <x v="0"/>
    <s v="Adult"/>
    <s v="Escapement"/>
    <s v="Gillnet"/>
    <s v="Otoliths and Scales"/>
    <n v="49"/>
    <m/>
    <m/>
    <s v="No Structure"/>
    <m/>
    <x v="1"/>
  </r>
  <r>
    <n v="102641"/>
    <x v="0"/>
    <x v="1"/>
    <s v="8"/>
    <x v="3"/>
    <s v="1036784"/>
    <s v="2022-09-26"/>
    <s v="2022-09-27"/>
    <x v="0"/>
    <s v="Adult"/>
    <s v="Escapement"/>
    <s v="Gillnet"/>
    <s v="Otoliths and Scales"/>
    <n v="50"/>
    <m/>
    <m/>
    <s v="No Structure"/>
    <m/>
    <x v="1"/>
  </r>
  <r>
    <n v="102641"/>
    <x v="0"/>
    <x v="1"/>
    <s v="8"/>
    <x v="3"/>
    <s v="1036784"/>
    <s v="2022-09-26"/>
    <s v="2022-09-27"/>
    <x v="0"/>
    <s v="Adult"/>
    <s v="Escapement"/>
    <s v="Gillnet"/>
    <s v="Otoliths and Scales"/>
    <n v="51"/>
    <s v="12"/>
    <m/>
    <m/>
    <m/>
    <x v="0"/>
  </r>
  <r>
    <n v="102641"/>
    <x v="0"/>
    <x v="1"/>
    <s v="8"/>
    <x v="3"/>
    <s v="1036784"/>
    <s v="2022-09-26"/>
    <s v="2022-09-27"/>
    <x v="0"/>
    <s v="Adult"/>
    <s v="Escapement"/>
    <s v="Gillnet"/>
    <s v="Otoliths and Scales"/>
    <n v="52"/>
    <s v="13"/>
    <m/>
    <m/>
    <m/>
    <x v="5"/>
  </r>
  <r>
    <n v="102641"/>
    <x v="0"/>
    <x v="1"/>
    <s v="8"/>
    <x v="3"/>
    <s v="1036784"/>
    <s v="2022-09-26"/>
    <s v="2022-09-27"/>
    <x v="0"/>
    <s v="Adult"/>
    <s v="Escapement"/>
    <s v="Gillnet"/>
    <s v="Otoliths and Scales"/>
    <n v="53"/>
    <s v="12"/>
    <m/>
    <m/>
    <m/>
    <x v="0"/>
  </r>
  <r>
    <n v="102641"/>
    <x v="0"/>
    <x v="1"/>
    <s v="8"/>
    <x v="3"/>
    <s v="1036784"/>
    <s v="2022-09-26"/>
    <s v="2022-09-27"/>
    <x v="0"/>
    <s v="Adult"/>
    <s v="Escapement"/>
    <s v="Gillnet"/>
    <s v="Otoliths and Scales"/>
    <n v="54"/>
    <s v="12"/>
    <m/>
    <m/>
    <m/>
    <x v="0"/>
  </r>
  <r>
    <n v="102641"/>
    <x v="0"/>
    <x v="1"/>
    <s v="8"/>
    <x v="3"/>
    <s v="1036784"/>
    <s v="2022-09-26"/>
    <s v="2022-09-27"/>
    <x v="0"/>
    <s v="Adult"/>
    <s v="Escapement"/>
    <s v="Gillnet"/>
    <s v="Otoliths and Scales"/>
    <n v="55"/>
    <s v="13"/>
    <m/>
    <m/>
    <m/>
    <x v="5"/>
  </r>
  <r>
    <n v="102641"/>
    <x v="0"/>
    <x v="1"/>
    <s v="8"/>
    <x v="3"/>
    <s v="1036784"/>
    <s v="2022-09-26"/>
    <s v="2022-09-27"/>
    <x v="0"/>
    <s v="Adult"/>
    <s v="Escapement"/>
    <s v="Gillnet"/>
    <s v="Otoliths and Scales"/>
    <n v="56"/>
    <s v="12"/>
    <m/>
    <m/>
    <m/>
    <x v="0"/>
  </r>
  <r>
    <n v="102641"/>
    <x v="0"/>
    <x v="1"/>
    <s v="8"/>
    <x v="3"/>
    <s v="1036784"/>
    <s v="2022-09-26"/>
    <s v="2022-09-27"/>
    <x v="0"/>
    <s v="Adult"/>
    <s v="Escapement"/>
    <s v="Gillnet"/>
    <s v="Otoliths and Scales"/>
    <n v="57"/>
    <s v="13"/>
    <m/>
    <m/>
    <m/>
    <x v="5"/>
  </r>
  <r>
    <n v="102641"/>
    <x v="0"/>
    <x v="1"/>
    <s v="8"/>
    <x v="3"/>
    <s v="1036784"/>
    <s v="2022-09-26"/>
    <s v="2022-09-27"/>
    <x v="0"/>
    <s v="Adult"/>
    <s v="Escapement"/>
    <s v="Gillnet"/>
    <s v="Otoliths and Scales"/>
    <n v="58"/>
    <s v="12"/>
    <m/>
    <m/>
    <m/>
    <x v="0"/>
  </r>
  <r>
    <n v="102641"/>
    <x v="0"/>
    <x v="1"/>
    <s v="8"/>
    <x v="3"/>
    <s v="1036784"/>
    <s v="2022-09-26"/>
    <s v="2022-09-27"/>
    <x v="0"/>
    <s v="Adult"/>
    <s v="Escapement"/>
    <s v="Gillnet"/>
    <s v="Otoliths and Scales"/>
    <n v="59"/>
    <s v="13"/>
    <m/>
    <m/>
    <m/>
    <x v="5"/>
  </r>
  <r>
    <n v="102641"/>
    <x v="0"/>
    <x v="1"/>
    <s v="8"/>
    <x v="3"/>
    <s v="1036784"/>
    <s v="2022-09-26"/>
    <s v="2022-09-27"/>
    <x v="0"/>
    <s v="Adult"/>
    <s v="Escapement"/>
    <s v="Gillnet"/>
    <s v="Otoliths and Scales"/>
    <n v="60"/>
    <s v="12"/>
    <m/>
    <m/>
    <m/>
    <x v="0"/>
  </r>
  <r>
    <n v="102641"/>
    <x v="0"/>
    <x v="1"/>
    <s v="8"/>
    <x v="3"/>
    <s v="1036784"/>
    <s v="2022-09-26"/>
    <s v="2022-09-27"/>
    <x v="0"/>
    <s v="Adult"/>
    <s v="Escapement"/>
    <s v="Gillnet"/>
    <s v="Otoliths and Scales"/>
    <n v="61"/>
    <s v="13"/>
    <m/>
    <m/>
    <m/>
    <x v="5"/>
  </r>
  <r>
    <n v="102641"/>
    <x v="0"/>
    <x v="1"/>
    <s v="8"/>
    <x v="3"/>
    <s v="1036784"/>
    <s v="2022-09-26"/>
    <s v="2022-09-27"/>
    <x v="0"/>
    <s v="Adult"/>
    <s v="Escapement"/>
    <s v="Gillnet"/>
    <s v="Otoliths and Scales"/>
    <n v="62"/>
    <s v="12"/>
    <m/>
    <m/>
    <m/>
    <x v="0"/>
  </r>
  <r>
    <n v="102641"/>
    <x v="0"/>
    <x v="1"/>
    <s v="8"/>
    <x v="3"/>
    <s v="1036784"/>
    <s v="2022-09-26"/>
    <s v="2022-09-27"/>
    <x v="0"/>
    <s v="Adult"/>
    <s v="Escapement"/>
    <s v="Gillnet"/>
    <s v="Otoliths and Scales"/>
    <n v="63"/>
    <s v="12"/>
    <m/>
    <m/>
    <m/>
    <x v="0"/>
  </r>
  <r>
    <n v="102641"/>
    <x v="0"/>
    <x v="1"/>
    <s v="8"/>
    <x v="3"/>
    <s v="1036784"/>
    <s v="2022-09-26"/>
    <s v="2022-09-27"/>
    <x v="0"/>
    <s v="Adult"/>
    <s v="Escapement"/>
    <s v="Gillnet"/>
    <s v="Otoliths and Scales"/>
    <n v="64"/>
    <s v="12"/>
    <m/>
    <m/>
    <m/>
    <x v="0"/>
  </r>
  <r>
    <n v="102641"/>
    <x v="0"/>
    <x v="1"/>
    <s v="8"/>
    <x v="3"/>
    <s v="1036784"/>
    <s v="2022-09-26"/>
    <s v="2022-09-27"/>
    <x v="0"/>
    <s v="Adult"/>
    <s v="Escapement"/>
    <s v="Gillnet"/>
    <s v="Otoliths and Scales"/>
    <n v="65"/>
    <s v="13"/>
    <m/>
    <m/>
    <m/>
    <x v="5"/>
  </r>
  <r>
    <n v="102641"/>
    <x v="0"/>
    <x v="1"/>
    <s v="8"/>
    <x v="3"/>
    <s v="1036784"/>
    <s v="2022-09-26"/>
    <s v="2022-09-27"/>
    <x v="0"/>
    <s v="Adult"/>
    <s v="Escapement"/>
    <s v="Gillnet"/>
    <s v="Otoliths and Scales"/>
    <n v="66"/>
    <s v="13"/>
    <m/>
    <m/>
    <m/>
    <x v="5"/>
  </r>
  <r>
    <n v="102641"/>
    <x v="0"/>
    <x v="1"/>
    <s v="8"/>
    <x v="3"/>
    <s v="1036784"/>
    <s v="2022-09-26"/>
    <s v="2022-09-27"/>
    <x v="0"/>
    <s v="Adult"/>
    <s v="Escapement"/>
    <s v="Gillnet"/>
    <s v="Otoliths and Scales"/>
    <n v="67"/>
    <s v="12"/>
    <m/>
    <m/>
    <m/>
    <x v="0"/>
  </r>
  <r>
    <n v="102641"/>
    <x v="0"/>
    <x v="1"/>
    <s v="8"/>
    <x v="3"/>
    <s v="1036784"/>
    <s v="2022-09-26"/>
    <s v="2022-09-27"/>
    <x v="0"/>
    <s v="Adult"/>
    <s v="Escapement"/>
    <s v="Gillnet"/>
    <s v="Otoliths and Scales"/>
    <n v="68"/>
    <s v="03"/>
    <m/>
    <m/>
    <m/>
    <x v="7"/>
  </r>
  <r>
    <n v="102641"/>
    <x v="0"/>
    <x v="1"/>
    <s v="8"/>
    <x v="3"/>
    <s v="1036784"/>
    <s v="2022-09-26"/>
    <s v="2022-09-27"/>
    <x v="0"/>
    <s v="Adult"/>
    <s v="Escapement"/>
    <s v="Gillnet"/>
    <s v="Otoliths and Scales"/>
    <n v="69"/>
    <s v="12"/>
    <m/>
    <m/>
    <m/>
    <x v="0"/>
  </r>
  <r>
    <n v="102641"/>
    <x v="0"/>
    <x v="1"/>
    <s v="8"/>
    <x v="3"/>
    <s v="1036784"/>
    <s v="2022-09-26"/>
    <s v="2022-09-27"/>
    <x v="0"/>
    <s v="Adult"/>
    <s v="Escapement"/>
    <s v="Gillnet"/>
    <s v="Otoliths and Scales"/>
    <n v="70"/>
    <s v="12"/>
    <m/>
    <m/>
    <m/>
    <x v="0"/>
  </r>
  <r>
    <n v="102641"/>
    <x v="0"/>
    <x v="1"/>
    <s v="8"/>
    <x v="3"/>
    <s v="1036784"/>
    <s v="2022-09-26"/>
    <s v="2022-09-27"/>
    <x v="0"/>
    <s v="Adult"/>
    <s v="Escapement"/>
    <s v="Gillnet"/>
    <s v="Otoliths and Scales"/>
    <n v="71"/>
    <s v="13"/>
    <m/>
    <m/>
    <m/>
    <x v="5"/>
  </r>
  <r>
    <n v="102641"/>
    <x v="0"/>
    <x v="1"/>
    <s v="8"/>
    <x v="3"/>
    <s v="1036784"/>
    <s v="2022-09-26"/>
    <s v="2022-09-27"/>
    <x v="0"/>
    <s v="Adult"/>
    <s v="Escapement"/>
    <s v="Gillnet"/>
    <s v="Otoliths and Scales"/>
    <n v="72"/>
    <s v="13"/>
    <m/>
    <m/>
    <m/>
    <x v="5"/>
  </r>
  <r>
    <n v="102641"/>
    <x v="0"/>
    <x v="1"/>
    <s v="8"/>
    <x v="3"/>
    <s v="1036784"/>
    <s v="2022-09-26"/>
    <s v="2022-09-27"/>
    <x v="0"/>
    <s v="Adult"/>
    <s v="Escapement"/>
    <s v="Gillnet"/>
    <s v="Otoliths and Scales"/>
    <n v="73"/>
    <s v="13"/>
    <m/>
    <m/>
    <m/>
    <x v="5"/>
  </r>
  <r>
    <n v="102641"/>
    <x v="0"/>
    <x v="1"/>
    <s v="8"/>
    <x v="3"/>
    <s v="1036784"/>
    <s v="2022-09-26"/>
    <s v="2022-09-27"/>
    <x v="0"/>
    <s v="Adult"/>
    <s v="Escapement"/>
    <s v="Gillnet"/>
    <s v="Otoliths and Scales"/>
    <n v="74"/>
    <s v="13"/>
    <m/>
    <m/>
    <m/>
    <x v="5"/>
  </r>
  <r>
    <n v="102641"/>
    <x v="0"/>
    <x v="1"/>
    <s v="8"/>
    <x v="3"/>
    <s v="1036784"/>
    <s v="2022-09-26"/>
    <s v="2022-09-27"/>
    <x v="0"/>
    <s v="Adult"/>
    <s v="Escapement"/>
    <s v="Gillnet"/>
    <s v="Otoliths and Scales"/>
    <n v="75"/>
    <s v="12"/>
    <m/>
    <m/>
    <m/>
    <x v="0"/>
  </r>
  <r>
    <n v="102641"/>
    <x v="0"/>
    <x v="1"/>
    <s v="8"/>
    <x v="3"/>
    <s v="1036784"/>
    <s v="2022-09-26"/>
    <s v="2022-09-27"/>
    <x v="0"/>
    <s v="Adult"/>
    <s v="Escapement"/>
    <s v="Gillnet"/>
    <s v="Otoliths and Scales"/>
    <n v="76"/>
    <s v="13"/>
    <m/>
    <m/>
    <m/>
    <x v="5"/>
  </r>
  <r>
    <n v="102641"/>
    <x v="0"/>
    <x v="1"/>
    <s v="8"/>
    <x v="3"/>
    <s v="1036784"/>
    <s v="2022-09-26"/>
    <s v="2022-09-27"/>
    <x v="0"/>
    <s v="Adult"/>
    <s v="Escapement"/>
    <s v="Gillnet"/>
    <s v="Otoliths and Scales"/>
    <n v="77"/>
    <s v="12"/>
    <m/>
    <m/>
    <m/>
    <x v="0"/>
  </r>
  <r>
    <n v="102641"/>
    <x v="0"/>
    <x v="1"/>
    <s v="8"/>
    <x v="3"/>
    <s v="1036784"/>
    <s v="2022-09-26"/>
    <s v="2022-09-27"/>
    <x v="0"/>
    <s v="Adult"/>
    <s v="Escapement"/>
    <s v="Gillnet"/>
    <s v="Otoliths and Scales"/>
    <n v="78"/>
    <s v="12"/>
    <m/>
    <m/>
    <m/>
    <x v="0"/>
  </r>
  <r>
    <n v="102641"/>
    <x v="0"/>
    <x v="1"/>
    <s v="8"/>
    <x v="3"/>
    <s v="1036784"/>
    <s v="2022-09-26"/>
    <s v="2022-09-27"/>
    <x v="0"/>
    <s v="Adult"/>
    <s v="Escapement"/>
    <s v="Gillnet"/>
    <s v="Otoliths and Scales"/>
    <n v="79"/>
    <s v="12"/>
    <m/>
    <m/>
    <m/>
    <x v="0"/>
  </r>
  <r>
    <n v="102641"/>
    <x v="0"/>
    <x v="1"/>
    <s v="8"/>
    <x v="3"/>
    <s v="1036784"/>
    <s v="2022-09-26"/>
    <s v="2022-09-27"/>
    <x v="0"/>
    <s v="Adult"/>
    <s v="Escapement"/>
    <s v="Gillnet"/>
    <s v="Otoliths and Scales"/>
    <n v="80"/>
    <s v="23"/>
    <m/>
    <m/>
    <m/>
    <x v="10"/>
  </r>
  <r>
    <n v="102641"/>
    <x v="0"/>
    <x v="1"/>
    <s v="8"/>
    <x v="3"/>
    <s v="1036784"/>
    <s v="2022-09-26"/>
    <s v="2022-09-27"/>
    <x v="0"/>
    <s v="Adult"/>
    <s v="Escapement"/>
    <s v="Gillnet"/>
    <s v="Otoliths and Scales"/>
    <n v="81"/>
    <s v="12"/>
    <m/>
    <m/>
    <m/>
    <x v="0"/>
  </r>
  <r>
    <n v="102641"/>
    <x v="0"/>
    <x v="1"/>
    <s v="8"/>
    <x v="3"/>
    <s v="1036784"/>
    <s v="2022-09-26"/>
    <s v="2022-09-27"/>
    <x v="0"/>
    <s v="Adult"/>
    <s v="Escapement"/>
    <s v="Gillnet"/>
    <s v="Otoliths and Scales"/>
    <n v="82"/>
    <s v="12"/>
    <m/>
    <m/>
    <m/>
    <x v="0"/>
  </r>
  <r>
    <n v="102641"/>
    <x v="0"/>
    <x v="1"/>
    <s v="8"/>
    <x v="3"/>
    <s v="1036784"/>
    <s v="2022-09-26"/>
    <s v="2022-09-27"/>
    <x v="0"/>
    <s v="Adult"/>
    <s v="Escapement"/>
    <s v="Gillnet"/>
    <s v="Otoliths and Scales"/>
    <n v="83"/>
    <m/>
    <s v="F1"/>
    <s v="Resorbed Scale"/>
    <s v="Unknown amount of resorption. Cannot assess the number of marine annuli missing. Only freshwater age given, no marine age given."/>
    <x v="8"/>
  </r>
  <r>
    <n v="102641"/>
    <x v="0"/>
    <x v="1"/>
    <s v="8"/>
    <x v="3"/>
    <s v="1036784"/>
    <s v="2022-09-26"/>
    <s v="2022-09-27"/>
    <x v="0"/>
    <s v="Adult"/>
    <s v="Escapement"/>
    <s v="Gillnet"/>
    <s v="Otoliths and Scales"/>
    <n v="84"/>
    <s v="13"/>
    <m/>
    <m/>
    <m/>
    <x v="5"/>
  </r>
  <r>
    <n v="102641"/>
    <x v="0"/>
    <x v="1"/>
    <s v="8"/>
    <x v="3"/>
    <s v="1036784"/>
    <s v="2022-09-26"/>
    <s v="2022-09-27"/>
    <x v="0"/>
    <s v="Adult"/>
    <s v="Escapement"/>
    <s v="Gillnet"/>
    <s v="Otoliths and Scales"/>
    <n v="85"/>
    <s v="12"/>
    <m/>
    <m/>
    <m/>
    <x v="0"/>
  </r>
  <r>
    <n v="102641"/>
    <x v="0"/>
    <x v="1"/>
    <s v="8"/>
    <x v="3"/>
    <s v="1036784"/>
    <s v="2022-09-26"/>
    <s v="2022-09-27"/>
    <x v="0"/>
    <s v="Adult"/>
    <s v="Escapement"/>
    <s v="Gillnet"/>
    <s v="Otoliths and Scales"/>
    <n v="86"/>
    <s v="12"/>
    <m/>
    <m/>
    <m/>
    <x v="0"/>
  </r>
  <r>
    <n v="102641"/>
    <x v="0"/>
    <x v="1"/>
    <s v="8"/>
    <x v="3"/>
    <s v="1036784"/>
    <s v="2022-09-26"/>
    <s v="2022-09-27"/>
    <x v="0"/>
    <s v="Adult"/>
    <s v="Escapement"/>
    <s v="Gillnet"/>
    <s v="Otoliths and Scales"/>
    <n v="87"/>
    <s v="13"/>
    <m/>
    <m/>
    <m/>
    <x v="5"/>
  </r>
  <r>
    <n v="102641"/>
    <x v="0"/>
    <x v="1"/>
    <s v="8"/>
    <x v="3"/>
    <s v="1036784"/>
    <s v="2022-09-26"/>
    <s v="2022-09-27"/>
    <x v="0"/>
    <s v="Adult"/>
    <s v="Escapement"/>
    <s v="Gillnet"/>
    <s v="Otoliths and Scales"/>
    <n v="88"/>
    <s v="12"/>
    <m/>
    <m/>
    <m/>
    <x v="0"/>
  </r>
  <r>
    <n v="102641"/>
    <x v="0"/>
    <x v="1"/>
    <s v="8"/>
    <x v="3"/>
    <s v="1036784"/>
    <s v="2022-09-26"/>
    <s v="2022-09-27"/>
    <x v="0"/>
    <s v="Adult"/>
    <s v="Escapement"/>
    <s v="Gillnet"/>
    <s v="Otoliths and Scales"/>
    <n v="89"/>
    <s v="13"/>
    <m/>
    <m/>
    <m/>
    <x v="5"/>
  </r>
  <r>
    <n v="102641"/>
    <x v="0"/>
    <x v="1"/>
    <s v="8"/>
    <x v="3"/>
    <s v="1036784"/>
    <s v="2022-09-26"/>
    <s v="2022-09-27"/>
    <x v="0"/>
    <s v="Adult"/>
    <s v="Escapement"/>
    <s v="Gillnet"/>
    <s v="Otoliths and Scales"/>
    <n v="90"/>
    <s v="12"/>
    <m/>
    <m/>
    <m/>
    <x v="0"/>
  </r>
  <r>
    <n v="102641"/>
    <x v="0"/>
    <x v="1"/>
    <s v="8"/>
    <x v="3"/>
    <s v="1036784"/>
    <s v="2022-09-26"/>
    <s v="2022-09-27"/>
    <x v="0"/>
    <s v="Adult"/>
    <s v="Escapement"/>
    <s v="Gillnet"/>
    <s v="Otoliths and Scales"/>
    <n v="91"/>
    <s v="12"/>
    <m/>
    <m/>
    <m/>
    <x v="0"/>
  </r>
  <r>
    <n v="102641"/>
    <x v="0"/>
    <x v="1"/>
    <s v="8"/>
    <x v="3"/>
    <s v="1036784"/>
    <s v="2022-09-26"/>
    <s v="2022-09-27"/>
    <x v="0"/>
    <s v="Adult"/>
    <s v="Escapement"/>
    <s v="Gillnet"/>
    <s v="Otoliths and Scales"/>
    <n v="92"/>
    <s v="12"/>
    <m/>
    <m/>
    <m/>
    <x v="0"/>
  </r>
  <r>
    <n v="102641"/>
    <x v="0"/>
    <x v="1"/>
    <s v="8"/>
    <x v="3"/>
    <s v="1036784"/>
    <s v="2022-09-26"/>
    <s v="2022-09-27"/>
    <x v="0"/>
    <s v="Adult"/>
    <s v="Escapement"/>
    <s v="Gillnet"/>
    <s v="Otoliths and Scales"/>
    <n v="93"/>
    <s v="13"/>
    <m/>
    <m/>
    <m/>
    <x v="5"/>
  </r>
  <r>
    <n v="102661"/>
    <x v="0"/>
    <x v="1"/>
    <s v="8"/>
    <x v="4"/>
    <s v="1036804"/>
    <s v="2022-09-21"/>
    <s v=""/>
    <x v="0"/>
    <s v="Adult"/>
    <s v="Escapement"/>
    <s v="Gillnet"/>
    <s v="Otoliths and Scales"/>
    <n v="1"/>
    <s v="03"/>
    <m/>
    <m/>
    <s v="Resorption present but not enough to suspect an annuli is missing.  Age unaffected."/>
    <x v="7"/>
  </r>
  <r>
    <n v="102661"/>
    <x v="0"/>
    <x v="1"/>
    <s v="8"/>
    <x v="4"/>
    <s v="1036804"/>
    <s v="2022-09-21"/>
    <s v=""/>
    <x v="0"/>
    <s v="Adult"/>
    <s v="Escapement"/>
    <s v="Gillnet"/>
    <s v="Otoliths and Scales"/>
    <n v="2"/>
    <s v="12"/>
    <m/>
    <m/>
    <s v="Resorption present but not enough to suspect an annuli is missing.  Age unaffected."/>
    <x v="0"/>
  </r>
  <r>
    <n v="102661"/>
    <x v="0"/>
    <x v="1"/>
    <s v="8"/>
    <x v="4"/>
    <s v="1036804"/>
    <s v="2022-09-21"/>
    <s v=""/>
    <x v="0"/>
    <s v="Adult"/>
    <s v="Escapement"/>
    <s v="Gillnet"/>
    <s v="Otoliths and Scales"/>
    <n v="3"/>
    <s v="12"/>
    <m/>
    <m/>
    <m/>
    <x v="0"/>
  </r>
  <r>
    <n v="102661"/>
    <x v="0"/>
    <x v="1"/>
    <s v="8"/>
    <x v="4"/>
    <s v="1036804"/>
    <s v="2022-09-21"/>
    <s v=""/>
    <x v="0"/>
    <s v="Adult"/>
    <s v="Escapement"/>
    <s v="Gillnet"/>
    <s v="Otoliths and Scales"/>
    <n v="4"/>
    <s v="12"/>
    <m/>
    <m/>
    <m/>
    <x v="0"/>
  </r>
  <r>
    <n v="102661"/>
    <x v="0"/>
    <x v="1"/>
    <s v="8"/>
    <x v="4"/>
    <s v="1036804"/>
    <s v="2022-09-21"/>
    <s v=""/>
    <x v="0"/>
    <s v="Adult"/>
    <s v="Escapement"/>
    <s v="Gillnet"/>
    <s v="Otoliths and Scales"/>
    <n v="5"/>
    <s v="12"/>
    <m/>
    <m/>
    <m/>
    <x v="0"/>
  </r>
  <r>
    <n v="102661"/>
    <x v="0"/>
    <x v="1"/>
    <s v="8"/>
    <x v="4"/>
    <s v="1036804"/>
    <s v="2022-09-21"/>
    <s v=""/>
    <x v="0"/>
    <s v="Adult"/>
    <s v="Escapement"/>
    <s v="Gillnet"/>
    <s v="Otoliths and Scales"/>
    <n v="6"/>
    <s v="12"/>
    <m/>
    <m/>
    <m/>
    <x v="0"/>
  </r>
  <r>
    <n v="102661"/>
    <x v="0"/>
    <x v="1"/>
    <s v="8"/>
    <x v="4"/>
    <s v="1036804"/>
    <s v="2022-09-21"/>
    <s v=""/>
    <x v="0"/>
    <s v="Adult"/>
    <s v="Escapement"/>
    <s v="Gillnet"/>
    <s v="Otoliths and Scales"/>
    <n v="7"/>
    <s v="12"/>
    <m/>
    <m/>
    <m/>
    <x v="0"/>
  </r>
  <r>
    <n v="102661"/>
    <x v="0"/>
    <x v="1"/>
    <s v="8"/>
    <x v="4"/>
    <s v="1036804"/>
    <s v="2022-09-21"/>
    <s v=""/>
    <x v="0"/>
    <s v="Adult"/>
    <s v="Escapement"/>
    <s v="Gillnet"/>
    <s v="Otoliths and Scales"/>
    <n v="8"/>
    <s v="13"/>
    <m/>
    <m/>
    <m/>
    <x v="5"/>
  </r>
  <r>
    <n v="102661"/>
    <x v="0"/>
    <x v="1"/>
    <s v="8"/>
    <x v="4"/>
    <s v="1036804"/>
    <s v="2022-09-21"/>
    <s v=""/>
    <x v="0"/>
    <s v="Adult"/>
    <s v="Escapement"/>
    <s v="Gillnet"/>
    <s v="Otoliths and Scales"/>
    <n v="9"/>
    <s v="12"/>
    <m/>
    <m/>
    <s v="Resorption present but not enough to suspect an annuli is missing.  Age unaffected."/>
    <x v="0"/>
  </r>
  <r>
    <n v="102661"/>
    <x v="0"/>
    <x v="1"/>
    <s v="8"/>
    <x v="4"/>
    <s v="1036804"/>
    <s v="2022-09-21"/>
    <s v=""/>
    <x v="0"/>
    <s v="Adult"/>
    <s v="Escapement"/>
    <s v="Gillnet"/>
    <s v="Otoliths and Scales"/>
    <n v="10"/>
    <s v="12"/>
    <m/>
    <m/>
    <m/>
    <x v="0"/>
  </r>
  <r>
    <n v="102661"/>
    <x v="0"/>
    <x v="1"/>
    <s v="8"/>
    <x v="4"/>
    <s v="1036804"/>
    <s v="2022-09-21"/>
    <s v=""/>
    <x v="0"/>
    <s v="Adult"/>
    <s v="Escapement"/>
    <s v="Gillnet"/>
    <s v="Otoliths and Scales"/>
    <n v="11"/>
    <s v="12"/>
    <m/>
    <m/>
    <m/>
    <x v="0"/>
  </r>
  <r>
    <n v="102661"/>
    <x v="0"/>
    <x v="1"/>
    <s v="8"/>
    <x v="4"/>
    <s v="1036804"/>
    <s v="2022-09-21"/>
    <s v=""/>
    <x v="0"/>
    <s v="Adult"/>
    <s v="Escapement"/>
    <s v="Gillnet"/>
    <s v="Otoliths and Scales"/>
    <n v="12"/>
    <s v="12"/>
    <m/>
    <m/>
    <m/>
    <x v="0"/>
  </r>
  <r>
    <n v="102661"/>
    <x v="0"/>
    <x v="1"/>
    <s v="8"/>
    <x v="4"/>
    <s v="1036804"/>
    <s v="2022-09-21"/>
    <s v=""/>
    <x v="0"/>
    <s v="Adult"/>
    <s v="Escapement"/>
    <s v="Gillnet"/>
    <s v="Otoliths and Scales"/>
    <n v="13"/>
    <s v="13"/>
    <m/>
    <m/>
    <s v="Resorption present but not enough to suspect an annuli is missing.  Age unaffected."/>
    <x v="5"/>
  </r>
  <r>
    <n v="102661"/>
    <x v="0"/>
    <x v="1"/>
    <s v="8"/>
    <x v="4"/>
    <s v="1036804"/>
    <s v="2022-09-21"/>
    <s v=""/>
    <x v="0"/>
    <s v="Adult"/>
    <s v="Escapement"/>
    <s v="Gillnet"/>
    <s v="Otoliths and Scales"/>
    <n v="14"/>
    <s v="12"/>
    <m/>
    <m/>
    <m/>
    <x v="0"/>
  </r>
  <r>
    <n v="102661"/>
    <x v="0"/>
    <x v="1"/>
    <s v="8"/>
    <x v="4"/>
    <s v="1036804"/>
    <s v="2022-09-21"/>
    <s v=""/>
    <x v="0"/>
    <s v="Adult"/>
    <s v="Escapement"/>
    <s v="Gillnet"/>
    <s v="Otoliths and Scales"/>
    <n v="15"/>
    <s v="13"/>
    <m/>
    <m/>
    <m/>
    <x v="5"/>
  </r>
  <r>
    <n v="102661"/>
    <x v="0"/>
    <x v="1"/>
    <s v="8"/>
    <x v="4"/>
    <s v="1036804"/>
    <s v="2022-09-21"/>
    <s v=""/>
    <x v="0"/>
    <s v="Adult"/>
    <s v="Escapement"/>
    <s v="Gillnet"/>
    <s v="Otoliths and Scales"/>
    <n v="16"/>
    <s v="13"/>
    <m/>
    <m/>
    <m/>
    <x v="5"/>
  </r>
  <r>
    <n v="102661"/>
    <x v="0"/>
    <x v="1"/>
    <s v="8"/>
    <x v="4"/>
    <s v="1036804"/>
    <s v="2022-09-21"/>
    <s v=""/>
    <x v="0"/>
    <s v="Adult"/>
    <s v="Escapement"/>
    <s v="Gillnet"/>
    <s v="Otoliths and Scales"/>
    <n v="17"/>
    <s v="13"/>
    <m/>
    <m/>
    <s v="Resorption present but not enough to suspect an annuli is missing.  Age unaffected."/>
    <x v="5"/>
  </r>
  <r>
    <n v="102661"/>
    <x v="0"/>
    <x v="1"/>
    <s v="8"/>
    <x v="4"/>
    <s v="1036804"/>
    <s v="2022-09-21"/>
    <s v=""/>
    <x v="0"/>
    <s v="Adult"/>
    <s v="Escapement"/>
    <s v="Gillnet"/>
    <s v="Otoliths and Scales"/>
    <n v="18"/>
    <s v="12"/>
    <m/>
    <m/>
    <m/>
    <x v="0"/>
  </r>
  <r>
    <n v="102661"/>
    <x v="0"/>
    <x v="1"/>
    <s v="8"/>
    <x v="4"/>
    <s v="1036804"/>
    <s v="2022-09-21"/>
    <s v=""/>
    <x v="0"/>
    <s v="Adult"/>
    <s v="Escapement"/>
    <s v="Gillnet"/>
    <s v="Otoliths and Scales"/>
    <n v="19"/>
    <s v="03"/>
    <m/>
    <m/>
    <m/>
    <x v="7"/>
  </r>
  <r>
    <n v="102661"/>
    <x v="0"/>
    <x v="1"/>
    <s v="8"/>
    <x v="4"/>
    <s v="1036804"/>
    <s v="2022-09-21"/>
    <s v=""/>
    <x v="0"/>
    <s v="Adult"/>
    <s v="Escapement"/>
    <s v="Gillnet"/>
    <s v="Otoliths and Scales"/>
    <n v="20"/>
    <s v="12"/>
    <m/>
    <m/>
    <m/>
    <x v="0"/>
  </r>
  <r>
    <n v="102661"/>
    <x v="0"/>
    <x v="1"/>
    <s v="8"/>
    <x v="4"/>
    <s v="1036804"/>
    <s v="2022-09-21"/>
    <s v=""/>
    <x v="0"/>
    <s v="Adult"/>
    <s v="Escapement"/>
    <s v="Gillnet"/>
    <s v="Otoliths and Scales"/>
    <n v="21"/>
    <s v="12"/>
    <m/>
    <m/>
    <m/>
    <x v="0"/>
  </r>
  <r>
    <n v="102661"/>
    <x v="0"/>
    <x v="1"/>
    <s v="8"/>
    <x v="4"/>
    <s v="1036804"/>
    <s v="2022-09-21"/>
    <s v=""/>
    <x v="0"/>
    <s v="Adult"/>
    <s v="Escapement"/>
    <s v="Gillnet"/>
    <s v="Otoliths and Scales"/>
    <n v="22"/>
    <s v="12"/>
    <m/>
    <m/>
    <m/>
    <x v="0"/>
  </r>
  <r>
    <n v="102661"/>
    <x v="0"/>
    <x v="1"/>
    <s v="8"/>
    <x v="4"/>
    <s v="1036804"/>
    <s v="2022-09-21"/>
    <s v=""/>
    <x v="0"/>
    <s v="Adult"/>
    <s v="Escapement"/>
    <s v="Gillnet"/>
    <s v="Otoliths and Scales"/>
    <n v="23"/>
    <s v="12"/>
    <m/>
    <m/>
    <m/>
    <x v="0"/>
  </r>
  <r>
    <n v="102661"/>
    <x v="0"/>
    <x v="1"/>
    <s v="8"/>
    <x v="4"/>
    <s v="1036804"/>
    <s v="2022-09-21"/>
    <s v=""/>
    <x v="0"/>
    <s v="Adult"/>
    <s v="Escapement"/>
    <s v="Gillnet"/>
    <s v="Otoliths and Scales"/>
    <n v="24"/>
    <s v="12"/>
    <m/>
    <m/>
    <m/>
    <x v="0"/>
  </r>
  <r>
    <n v="102661"/>
    <x v="0"/>
    <x v="1"/>
    <s v="8"/>
    <x v="4"/>
    <s v="1036804"/>
    <s v="2022-09-21"/>
    <s v=""/>
    <x v="0"/>
    <s v="Adult"/>
    <s v="Escapement"/>
    <s v="Gillnet"/>
    <s v="Otoliths and Scales"/>
    <n v="25"/>
    <s v="12"/>
    <m/>
    <m/>
    <s v="Resorption present but not enough to suspect an annuli is missing.  Age unaffected."/>
    <x v="0"/>
  </r>
  <r>
    <n v="102661"/>
    <x v="0"/>
    <x v="1"/>
    <s v="8"/>
    <x v="4"/>
    <s v="1036804"/>
    <s v="2022-09-21"/>
    <s v=""/>
    <x v="0"/>
    <s v="Adult"/>
    <s v="Escapement"/>
    <s v="Gillnet"/>
    <s v="Otoliths and Scales"/>
    <n v="26"/>
    <s v="13"/>
    <m/>
    <m/>
    <m/>
    <x v="5"/>
  </r>
  <r>
    <n v="102661"/>
    <x v="0"/>
    <x v="1"/>
    <s v="8"/>
    <x v="4"/>
    <s v="1036804"/>
    <s v="2022-09-21"/>
    <s v=""/>
    <x v="0"/>
    <s v="Adult"/>
    <s v="Escapement"/>
    <s v="Gillnet"/>
    <s v="Otoliths and Scales"/>
    <n v="27"/>
    <s v="12"/>
    <m/>
    <m/>
    <s v="Resorption present but not enough to suspect an annuli is missing.  Age unaffected."/>
    <x v="0"/>
  </r>
  <r>
    <n v="102661"/>
    <x v="0"/>
    <x v="1"/>
    <s v="8"/>
    <x v="4"/>
    <s v="1036804"/>
    <s v="2022-09-21"/>
    <s v=""/>
    <x v="0"/>
    <s v="Adult"/>
    <s v="Escapement"/>
    <s v="Gillnet"/>
    <s v="Otoliths and Scales"/>
    <n v="28"/>
    <s v="13"/>
    <m/>
    <m/>
    <s v="Resorption present but not enough to suspect an annuli is missing.  Age unaffected."/>
    <x v="5"/>
  </r>
  <r>
    <n v="102661"/>
    <x v="0"/>
    <x v="1"/>
    <s v="8"/>
    <x v="4"/>
    <s v="1036804"/>
    <s v="2022-09-21"/>
    <s v=""/>
    <x v="0"/>
    <s v="Adult"/>
    <s v="Escapement"/>
    <s v="Gillnet"/>
    <s v="Otoliths and Scales"/>
    <n v="29"/>
    <s v="12"/>
    <m/>
    <m/>
    <m/>
    <x v="0"/>
  </r>
  <r>
    <n v="102661"/>
    <x v="0"/>
    <x v="1"/>
    <s v="8"/>
    <x v="4"/>
    <s v="1036804"/>
    <s v="2022-09-21"/>
    <s v=""/>
    <x v="0"/>
    <s v="Adult"/>
    <s v="Escapement"/>
    <s v="Gillnet"/>
    <s v="Otoliths and Scales"/>
    <n v="30"/>
    <s v="12"/>
    <m/>
    <m/>
    <s v="Resorption present but not enough to suspect an annuli is missing.  Age unaffected."/>
    <x v="0"/>
  </r>
  <r>
    <n v="102661"/>
    <x v="0"/>
    <x v="1"/>
    <s v="8"/>
    <x v="4"/>
    <s v="1036804"/>
    <s v="2022-09-21"/>
    <s v=""/>
    <x v="0"/>
    <s v="Adult"/>
    <s v="Escapement"/>
    <s v="Gillnet"/>
    <s v="Otoliths and Scales"/>
    <n v="31"/>
    <s v="12"/>
    <m/>
    <m/>
    <s v="Resorption present but not enough to suspect an annuli is missing.  Age unaffected."/>
    <x v="0"/>
  </r>
  <r>
    <n v="102661"/>
    <x v="0"/>
    <x v="1"/>
    <s v="8"/>
    <x v="4"/>
    <s v="1036804"/>
    <s v="2022-09-21"/>
    <s v=""/>
    <x v="0"/>
    <s v="Adult"/>
    <s v="Escapement"/>
    <s v="Gillnet"/>
    <s v="Otoliths and Scales"/>
    <n v="32"/>
    <s v="12"/>
    <m/>
    <m/>
    <m/>
    <x v="0"/>
  </r>
  <r>
    <n v="102661"/>
    <x v="0"/>
    <x v="1"/>
    <s v="8"/>
    <x v="4"/>
    <s v="1036804"/>
    <s v="2022-09-21"/>
    <s v=""/>
    <x v="0"/>
    <s v="Adult"/>
    <s v="Escapement"/>
    <s v="Gillnet"/>
    <s v="Otoliths and Scales"/>
    <n v="33"/>
    <s v="12"/>
    <m/>
    <m/>
    <m/>
    <x v="0"/>
  </r>
  <r>
    <n v="102661"/>
    <x v="0"/>
    <x v="1"/>
    <s v="8"/>
    <x v="4"/>
    <s v="1036804"/>
    <s v="2022-09-21"/>
    <s v=""/>
    <x v="0"/>
    <s v="Adult"/>
    <s v="Escapement"/>
    <s v="Gillnet"/>
    <s v="Otoliths and Scales"/>
    <n v="34"/>
    <s v="12"/>
    <m/>
    <m/>
    <m/>
    <x v="0"/>
  </r>
  <r>
    <n v="102661"/>
    <x v="0"/>
    <x v="1"/>
    <s v="8"/>
    <x v="4"/>
    <s v="1036804"/>
    <s v="2022-09-21"/>
    <s v=""/>
    <x v="0"/>
    <s v="Adult"/>
    <s v="Escapement"/>
    <s v="Gillnet"/>
    <s v="Otoliths and Scales"/>
    <n v="35"/>
    <s v="12"/>
    <m/>
    <m/>
    <m/>
    <x v="0"/>
  </r>
  <r>
    <n v="102661"/>
    <x v="0"/>
    <x v="1"/>
    <s v="8"/>
    <x v="4"/>
    <s v="1036804"/>
    <s v="2022-09-21"/>
    <s v=""/>
    <x v="0"/>
    <s v="Adult"/>
    <s v="Escapement"/>
    <s v="Gillnet"/>
    <s v="Otoliths and Scales"/>
    <n v="36"/>
    <s v="12"/>
    <m/>
    <m/>
    <m/>
    <x v="0"/>
  </r>
  <r>
    <n v="102661"/>
    <x v="0"/>
    <x v="1"/>
    <s v="8"/>
    <x v="4"/>
    <s v="1036804"/>
    <s v="2022-09-21"/>
    <s v=""/>
    <x v="0"/>
    <s v="Adult"/>
    <s v="Escapement"/>
    <s v="Gillnet"/>
    <s v="Otoliths and Scales"/>
    <n v="37"/>
    <s v="13"/>
    <m/>
    <m/>
    <s v="Resorption present but not enough to suspect an annuli is missing.  Age unaffected."/>
    <x v="5"/>
  </r>
  <r>
    <n v="102661"/>
    <x v="0"/>
    <x v="1"/>
    <s v="8"/>
    <x v="4"/>
    <s v="1036804"/>
    <s v="2022-09-21"/>
    <s v=""/>
    <x v="0"/>
    <s v="Adult"/>
    <s v="Escapement"/>
    <s v="Gillnet"/>
    <s v="Otoliths and Scales"/>
    <n v="38"/>
    <s v="12"/>
    <m/>
    <m/>
    <m/>
    <x v="0"/>
  </r>
  <r>
    <n v="102661"/>
    <x v="0"/>
    <x v="1"/>
    <s v="8"/>
    <x v="4"/>
    <s v="1036804"/>
    <s v="2022-09-21"/>
    <s v=""/>
    <x v="0"/>
    <s v="Adult"/>
    <s v="Escapement"/>
    <s v="Gillnet"/>
    <s v="Otoliths and Scales"/>
    <n v="39"/>
    <s v="13"/>
    <m/>
    <m/>
    <m/>
    <x v="5"/>
  </r>
  <r>
    <n v="102661"/>
    <x v="0"/>
    <x v="1"/>
    <s v="8"/>
    <x v="4"/>
    <s v="1036804"/>
    <s v="2022-09-21"/>
    <s v=""/>
    <x v="0"/>
    <s v="Adult"/>
    <s v="Escapement"/>
    <s v="Gillnet"/>
    <s v="Otoliths and Scales"/>
    <n v="40"/>
    <s v="03"/>
    <m/>
    <m/>
    <m/>
    <x v="7"/>
  </r>
  <r>
    <n v="102661"/>
    <x v="0"/>
    <x v="1"/>
    <s v="8"/>
    <x v="4"/>
    <s v="1036804"/>
    <s v="2022-09-21"/>
    <s v=""/>
    <x v="0"/>
    <s v="Adult"/>
    <s v="Escapement"/>
    <s v="Gillnet"/>
    <s v="Otoliths and Scales"/>
    <n v="41"/>
    <s v="13"/>
    <m/>
    <m/>
    <m/>
    <x v="5"/>
  </r>
  <r>
    <n v="102661"/>
    <x v="0"/>
    <x v="1"/>
    <s v="8"/>
    <x v="4"/>
    <s v="1036804"/>
    <s v="2022-09-21"/>
    <s v=""/>
    <x v="0"/>
    <s v="Adult"/>
    <s v="Escapement"/>
    <s v="Gillnet"/>
    <s v="Otoliths and Scales"/>
    <n v="42"/>
    <s v="12"/>
    <m/>
    <m/>
    <s v="Resorption present but not enough to suspect an annuli is missing.  Age unaffected."/>
    <x v="0"/>
  </r>
  <r>
    <n v="102661"/>
    <x v="0"/>
    <x v="1"/>
    <s v="8"/>
    <x v="4"/>
    <s v="1036804"/>
    <s v="2022-09-21"/>
    <s v=""/>
    <x v="0"/>
    <s v="Adult"/>
    <s v="Escapement"/>
    <s v="Gillnet"/>
    <s v="Otoliths and Scales"/>
    <n v="43"/>
    <m/>
    <m/>
    <s v="No Structure"/>
    <m/>
    <x v="1"/>
  </r>
  <r>
    <n v="102661"/>
    <x v="0"/>
    <x v="1"/>
    <s v="8"/>
    <x v="4"/>
    <s v="1036804"/>
    <s v="2022-09-21"/>
    <s v=""/>
    <x v="0"/>
    <s v="Adult"/>
    <s v="Escapement"/>
    <s v="Gillnet"/>
    <s v="Otoliths and Scales"/>
    <n v="44"/>
    <m/>
    <m/>
    <s v="No Structure"/>
    <m/>
    <x v="1"/>
  </r>
  <r>
    <n v="102661"/>
    <x v="0"/>
    <x v="1"/>
    <s v="8"/>
    <x v="4"/>
    <s v="1036804"/>
    <s v="2022-09-21"/>
    <s v=""/>
    <x v="0"/>
    <s v="Adult"/>
    <s v="Escapement"/>
    <s v="Gillnet"/>
    <s v="Otoliths and Scales"/>
    <n v="45"/>
    <m/>
    <m/>
    <s v="No Structure"/>
    <m/>
    <x v="1"/>
  </r>
  <r>
    <n v="102661"/>
    <x v="0"/>
    <x v="1"/>
    <s v="8"/>
    <x v="4"/>
    <s v="1036804"/>
    <s v="2022-09-21"/>
    <s v=""/>
    <x v="0"/>
    <s v="Adult"/>
    <s v="Escapement"/>
    <s v="Gillnet"/>
    <s v="Otoliths and Scales"/>
    <n v="46"/>
    <m/>
    <m/>
    <s v="No Structure"/>
    <m/>
    <x v="1"/>
  </r>
  <r>
    <n v="102661"/>
    <x v="0"/>
    <x v="1"/>
    <s v="8"/>
    <x v="4"/>
    <s v="1036804"/>
    <s v="2022-09-21"/>
    <s v=""/>
    <x v="0"/>
    <s v="Adult"/>
    <s v="Escapement"/>
    <s v="Gillnet"/>
    <s v="Otoliths and Scales"/>
    <n v="47"/>
    <m/>
    <m/>
    <s v="No Structure"/>
    <m/>
    <x v="1"/>
  </r>
  <r>
    <n v="102661"/>
    <x v="0"/>
    <x v="1"/>
    <s v="8"/>
    <x v="4"/>
    <s v="1036804"/>
    <s v="2022-09-21"/>
    <s v=""/>
    <x v="0"/>
    <s v="Adult"/>
    <s v="Escapement"/>
    <s v="Gillnet"/>
    <s v="Otoliths and Scales"/>
    <n v="48"/>
    <m/>
    <m/>
    <s v="No Structure"/>
    <m/>
    <x v="1"/>
  </r>
  <r>
    <n v="102661"/>
    <x v="0"/>
    <x v="1"/>
    <s v="8"/>
    <x v="4"/>
    <s v="1036804"/>
    <s v="2022-09-21"/>
    <s v=""/>
    <x v="0"/>
    <s v="Adult"/>
    <s v="Escapement"/>
    <s v="Gillnet"/>
    <s v="Otoliths and Scales"/>
    <n v="49"/>
    <m/>
    <m/>
    <s v="No Structure"/>
    <m/>
    <x v="1"/>
  </r>
  <r>
    <n v="102661"/>
    <x v="0"/>
    <x v="1"/>
    <s v="8"/>
    <x v="4"/>
    <s v="1036804"/>
    <s v="2022-09-21"/>
    <s v=""/>
    <x v="0"/>
    <s v="Adult"/>
    <s v="Escapement"/>
    <s v="Gillnet"/>
    <s v="Otoliths and Scales"/>
    <n v="50"/>
    <m/>
    <m/>
    <s v="No Structure"/>
    <m/>
    <x v="1"/>
  </r>
  <r>
    <n v="102661"/>
    <x v="0"/>
    <x v="1"/>
    <s v="8"/>
    <x v="4"/>
    <s v="1036804"/>
    <s v="2022-09-21"/>
    <s v=""/>
    <x v="0"/>
    <s v="Adult"/>
    <s v="Escapement"/>
    <s v="Gillnet"/>
    <s v="Otoliths and Scales"/>
    <n v="51"/>
    <s v="12"/>
    <m/>
    <m/>
    <m/>
    <x v="0"/>
  </r>
  <r>
    <n v="102661"/>
    <x v="0"/>
    <x v="1"/>
    <s v="8"/>
    <x v="4"/>
    <s v="1036804"/>
    <s v="2022-09-21"/>
    <s v=""/>
    <x v="0"/>
    <s v="Adult"/>
    <s v="Escapement"/>
    <s v="Gillnet"/>
    <s v="Otoliths and Scales"/>
    <n v="52"/>
    <s v="12"/>
    <m/>
    <m/>
    <s v="Resorption present but not enough to suspect an annuli is missing.  Age unaffected."/>
    <x v="0"/>
  </r>
  <r>
    <n v="102661"/>
    <x v="0"/>
    <x v="1"/>
    <s v="8"/>
    <x v="4"/>
    <s v="1036804"/>
    <s v="2022-09-21"/>
    <s v=""/>
    <x v="0"/>
    <s v="Adult"/>
    <s v="Escapement"/>
    <s v="Gillnet"/>
    <s v="Otoliths and Scales"/>
    <n v="53"/>
    <s v="12"/>
    <m/>
    <m/>
    <m/>
    <x v="0"/>
  </r>
  <r>
    <n v="102661"/>
    <x v="0"/>
    <x v="1"/>
    <s v="8"/>
    <x v="4"/>
    <s v="1036804"/>
    <s v="2022-09-21"/>
    <s v=""/>
    <x v="0"/>
    <s v="Adult"/>
    <s v="Escapement"/>
    <s v="Gillnet"/>
    <s v="Otoliths and Scales"/>
    <n v="54"/>
    <s v="12"/>
    <m/>
    <m/>
    <m/>
    <x v="0"/>
  </r>
  <r>
    <n v="102661"/>
    <x v="0"/>
    <x v="1"/>
    <s v="8"/>
    <x v="4"/>
    <s v="1036804"/>
    <s v="2022-09-21"/>
    <s v=""/>
    <x v="0"/>
    <s v="Adult"/>
    <s v="Escapement"/>
    <s v="Gillnet"/>
    <s v="Otoliths and Scales"/>
    <n v="55"/>
    <s v="12"/>
    <m/>
    <m/>
    <s v="Resorption present but not enough to suspect an annuli is missing.  Age unaffected."/>
    <x v="0"/>
  </r>
  <r>
    <n v="102661"/>
    <x v="0"/>
    <x v="1"/>
    <s v="8"/>
    <x v="4"/>
    <s v="1036804"/>
    <s v="2022-09-21"/>
    <s v=""/>
    <x v="0"/>
    <s v="Adult"/>
    <s v="Escapement"/>
    <s v="Gillnet"/>
    <s v="Otoliths and Scales"/>
    <n v="56"/>
    <s v="13"/>
    <m/>
    <m/>
    <m/>
    <x v="5"/>
  </r>
  <r>
    <n v="102661"/>
    <x v="0"/>
    <x v="1"/>
    <s v="8"/>
    <x v="4"/>
    <s v="1036804"/>
    <s v="2022-09-21"/>
    <s v=""/>
    <x v="0"/>
    <s v="Adult"/>
    <s v="Escapement"/>
    <s v="Gillnet"/>
    <s v="Otoliths and Scales"/>
    <n v="57"/>
    <s v="12"/>
    <m/>
    <m/>
    <m/>
    <x v="0"/>
  </r>
  <r>
    <n v="102661"/>
    <x v="0"/>
    <x v="1"/>
    <s v="8"/>
    <x v="4"/>
    <s v="1036804"/>
    <s v="2022-09-21"/>
    <s v=""/>
    <x v="0"/>
    <s v="Adult"/>
    <s v="Escapement"/>
    <s v="Gillnet"/>
    <s v="Otoliths and Scales"/>
    <n v="58"/>
    <s v="12"/>
    <m/>
    <m/>
    <s v="Resorption present but not enough to suspect an annuli is missing.  Age unaffected."/>
    <x v="0"/>
  </r>
  <r>
    <n v="102661"/>
    <x v="0"/>
    <x v="1"/>
    <s v="8"/>
    <x v="4"/>
    <s v="1036804"/>
    <s v="2022-09-21"/>
    <s v=""/>
    <x v="0"/>
    <s v="Adult"/>
    <s v="Escapement"/>
    <s v="Gillnet"/>
    <s v="Otoliths and Scales"/>
    <n v="59"/>
    <s v="12"/>
    <m/>
    <m/>
    <m/>
    <x v="0"/>
  </r>
  <r>
    <n v="102661"/>
    <x v="0"/>
    <x v="1"/>
    <s v="8"/>
    <x v="4"/>
    <s v="1036804"/>
    <s v="2022-09-21"/>
    <s v=""/>
    <x v="0"/>
    <s v="Adult"/>
    <s v="Escapement"/>
    <s v="Gillnet"/>
    <s v="Otoliths and Scales"/>
    <n v="60"/>
    <s v="12"/>
    <m/>
    <m/>
    <m/>
    <x v="0"/>
  </r>
  <r>
    <n v="102661"/>
    <x v="0"/>
    <x v="1"/>
    <s v="8"/>
    <x v="4"/>
    <s v="1036804"/>
    <s v="2022-09-21"/>
    <s v=""/>
    <x v="0"/>
    <s v="Adult"/>
    <s v="Escapement"/>
    <s v="Gillnet"/>
    <s v="Otoliths and Scales"/>
    <n v="61"/>
    <s v="12"/>
    <m/>
    <m/>
    <s v="Resorption present but not enough to suspect an annuli is missing.  Age unaffected."/>
    <x v="0"/>
  </r>
  <r>
    <n v="102661"/>
    <x v="0"/>
    <x v="1"/>
    <s v="8"/>
    <x v="4"/>
    <s v="1036804"/>
    <s v="2022-09-21"/>
    <s v=""/>
    <x v="0"/>
    <s v="Adult"/>
    <s v="Escapement"/>
    <s v="Gillnet"/>
    <s v="Otoliths and Scales"/>
    <n v="62"/>
    <s v="12"/>
    <m/>
    <m/>
    <m/>
    <x v="0"/>
  </r>
  <r>
    <n v="102661"/>
    <x v="0"/>
    <x v="1"/>
    <s v="8"/>
    <x v="4"/>
    <s v="1036804"/>
    <s v="2022-09-21"/>
    <s v=""/>
    <x v="0"/>
    <s v="Adult"/>
    <s v="Escapement"/>
    <s v="Gillnet"/>
    <s v="Otoliths and Scales"/>
    <n v="63"/>
    <s v="12"/>
    <m/>
    <m/>
    <s v="Resorption present but not enough to suspect an annuli is missing.  Age unaffected."/>
    <x v="0"/>
  </r>
  <r>
    <n v="102661"/>
    <x v="0"/>
    <x v="1"/>
    <s v="8"/>
    <x v="4"/>
    <s v="1036804"/>
    <s v="2022-09-21"/>
    <s v=""/>
    <x v="0"/>
    <s v="Adult"/>
    <s v="Escapement"/>
    <s v="Gillnet"/>
    <s v="Otoliths and Scales"/>
    <n v="64"/>
    <s v="13"/>
    <m/>
    <m/>
    <s v="Resorption present but not enough to suspect an annuli is missing.  Age unaffected."/>
    <x v="5"/>
  </r>
  <r>
    <n v="102661"/>
    <x v="0"/>
    <x v="1"/>
    <s v="8"/>
    <x v="4"/>
    <s v="1036804"/>
    <s v="2022-09-21"/>
    <s v=""/>
    <x v="0"/>
    <s v="Adult"/>
    <s v="Escapement"/>
    <s v="Gillnet"/>
    <s v="Otoliths and Scales"/>
    <n v="65"/>
    <s v="12"/>
    <m/>
    <m/>
    <m/>
    <x v="0"/>
  </r>
  <r>
    <n v="102661"/>
    <x v="0"/>
    <x v="1"/>
    <s v="8"/>
    <x v="4"/>
    <s v="1036804"/>
    <s v="2022-09-21"/>
    <s v=""/>
    <x v="0"/>
    <s v="Adult"/>
    <s v="Escapement"/>
    <s v="Gillnet"/>
    <s v="Otoliths and Scales"/>
    <n v="66"/>
    <s v="11"/>
    <m/>
    <m/>
    <m/>
    <x v="3"/>
  </r>
  <r>
    <n v="102661"/>
    <x v="0"/>
    <x v="1"/>
    <s v="8"/>
    <x v="4"/>
    <s v="1036804"/>
    <s v="2022-09-21"/>
    <s v=""/>
    <x v="0"/>
    <s v="Adult"/>
    <s v="Escapement"/>
    <s v="Gillnet"/>
    <s v="Otoliths and Scales"/>
    <n v="67"/>
    <s v="03"/>
    <m/>
    <m/>
    <m/>
    <x v="7"/>
  </r>
  <r>
    <n v="102661"/>
    <x v="0"/>
    <x v="1"/>
    <s v="8"/>
    <x v="4"/>
    <s v="1036804"/>
    <s v="2022-09-21"/>
    <s v=""/>
    <x v="0"/>
    <s v="Adult"/>
    <s v="Escapement"/>
    <s v="Gillnet"/>
    <s v="Otoliths and Scales"/>
    <n v="68"/>
    <s v="12"/>
    <m/>
    <m/>
    <m/>
    <x v="0"/>
  </r>
  <r>
    <n v="102661"/>
    <x v="0"/>
    <x v="1"/>
    <s v="8"/>
    <x v="4"/>
    <s v="1036804"/>
    <s v="2022-09-21"/>
    <s v=""/>
    <x v="0"/>
    <s v="Adult"/>
    <s v="Escapement"/>
    <s v="Gillnet"/>
    <s v="Otoliths and Scales"/>
    <n v="69"/>
    <s v="13"/>
    <m/>
    <m/>
    <s v="Resorption present but not enough to suspect an annuli is missing.  Age unaffected."/>
    <x v="5"/>
  </r>
  <r>
    <n v="102661"/>
    <x v="0"/>
    <x v="1"/>
    <s v="8"/>
    <x v="4"/>
    <s v="1036804"/>
    <s v="2022-09-21"/>
    <s v=""/>
    <x v="0"/>
    <s v="Adult"/>
    <s v="Escapement"/>
    <s v="Gillnet"/>
    <s v="Otoliths and Scales"/>
    <n v="70"/>
    <s v="13"/>
    <m/>
    <m/>
    <s v="Resorption present but not enough to suspect an annuli is missing.  Age unaffected."/>
    <x v="5"/>
  </r>
  <r>
    <n v="102661"/>
    <x v="0"/>
    <x v="1"/>
    <s v="8"/>
    <x v="4"/>
    <s v="1036804"/>
    <s v="2022-09-21"/>
    <s v=""/>
    <x v="0"/>
    <s v="Adult"/>
    <s v="Escapement"/>
    <s v="Gillnet"/>
    <s v="Otoliths and Scales"/>
    <n v="71"/>
    <s v="12"/>
    <m/>
    <m/>
    <m/>
    <x v="0"/>
  </r>
  <r>
    <n v="102661"/>
    <x v="0"/>
    <x v="1"/>
    <s v="8"/>
    <x v="4"/>
    <s v="1036804"/>
    <s v="2022-09-21"/>
    <s v=""/>
    <x v="0"/>
    <s v="Adult"/>
    <s v="Escapement"/>
    <s v="Gillnet"/>
    <s v="Otoliths and Scales"/>
    <n v="72"/>
    <s v="12"/>
    <m/>
    <m/>
    <m/>
    <x v="0"/>
  </r>
  <r>
    <n v="102661"/>
    <x v="0"/>
    <x v="1"/>
    <s v="8"/>
    <x v="4"/>
    <s v="1036804"/>
    <s v="2022-09-21"/>
    <s v=""/>
    <x v="0"/>
    <s v="Adult"/>
    <s v="Escapement"/>
    <s v="Gillnet"/>
    <s v="Otoliths and Scales"/>
    <n v="73"/>
    <s v="12"/>
    <m/>
    <m/>
    <s v="Resorption present but not enough to suspect an annuli is missing.  Age unaffected."/>
    <x v="0"/>
  </r>
  <r>
    <n v="102661"/>
    <x v="0"/>
    <x v="1"/>
    <s v="8"/>
    <x v="4"/>
    <s v="1036804"/>
    <s v="2022-09-21"/>
    <s v=""/>
    <x v="0"/>
    <s v="Adult"/>
    <s v="Escapement"/>
    <s v="Gillnet"/>
    <s v="Otoliths and Scales"/>
    <n v="74"/>
    <s v="12"/>
    <m/>
    <m/>
    <s v="Resorption present but not enough to suspect an annuli is missing.  Age unaffected."/>
    <x v="0"/>
  </r>
  <r>
    <n v="102661"/>
    <x v="0"/>
    <x v="1"/>
    <s v="8"/>
    <x v="4"/>
    <s v="1036804"/>
    <s v="2022-09-21"/>
    <s v=""/>
    <x v="0"/>
    <s v="Adult"/>
    <s v="Escapement"/>
    <s v="Gillnet"/>
    <s v="Otoliths and Scales"/>
    <n v="75"/>
    <s v="12"/>
    <m/>
    <m/>
    <s v="Resorption present but not enough to suspect an annuli is missing.  Age unaffected."/>
    <x v="0"/>
  </r>
  <r>
    <n v="102661"/>
    <x v="0"/>
    <x v="1"/>
    <s v="8"/>
    <x v="4"/>
    <s v="1036804"/>
    <s v="2022-09-21"/>
    <s v=""/>
    <x v="0"/>
    <s v="Adult"/>
    <s v="Escapement"/>
    <s v="Gillnet"/>
    <s v="Otoliths and Scales"/>
    <n v="76"/>
    <s v="12"/>
    <m/>
    <m/>
    <m/>
    <x v="0"/>
  </r>
  <r>
    <n v="102661"/>
    <x v="0"/>
    <x v="1"/>
    <s v="8"/>
    <x v="4"/>
    <s v="1036804"/>
    <s v="2022-09-21"/>
    <s v=""/>
    <x v="0"/>
    <s v="Adult"/>
    <s v="Escapement"/>
    <s v="Gillnet"/>
    <s v="Otoliths and Scales"/>
    <n v="77"/>
    <s v="12"/>
    <m/>
    <m/>
    <m/>
    <x v="0"/>
  </r>
  <r>
    <n v="102661"/>
    <x v="0"/>
    <x v="1"/>
    <s v="8"/>
    <x v="4"/>
    <s v="1036804"/>
    <s v="2022-09-21"/>
    <s v=""/>
    <x v="0"/>
    <s v="Adult"/>
    <s v="Escapement"/>
    <s v="Gillnet"/>
    <s v="Otoliths and Scales"/>
    <n v="78"/>
    <s v="12"/>
    <m/>
    <m/>
    <s v="Resorption present but not enough to suspect an annuli is missing.  Age unaffected."/>
    <x v="0"/>
  </r>
  <r>
    <n v="102661"/>
    <x v="0"/>
    <x v="1"/>
    <s v="8"/>
    <x v="4"/>
    <s v="1036804"/>
    <s v="2022-09-21"/>
    <s v=""/>
    <x v="0"/>
    <s v="Adult"/>
    <s v="Escapement"/>
    <s v="Gillnet"/>
    <s v="Otoliths and Scales"/>
    <n v="79"/>
    <s v="12"/>
    <m/>
    <m/>
    <m/>
    <x v="0"/>
  </r>
  <r>
    <n v="102661"/>
    <x v="0"/>
    <x v="1"/>
    <s v="8"/>
    <x v="4"/>
    <s v="1036804"/>
    <s v="2022-09-21"/>
    <s v=""/>
    <x v="0"/>
    <s v="Adult"/>
    <s v="Escapement"/>
    <s v="Gillnet"/>
    <s v="Otoliths and Scales"/>
    <n v="80"/>
    <s v="12"/>
    <m/>
    <m/>
    <m/>
    <x v="0"/>
  </r>
  <r>
    <n v="102661"/>
    <x v="0"/>
    <x v="1"/>
    <s v="8"/>
    <x v="4"/>
    <s v="1036804"/>
    <s v="2022-09-21"/>
    <s v=""/>
    <x v="0"/>
    <s v="Adult"/>
    <s v="Escapement"/>
    <s v="Gillnet"/>
    <s v="Otoliths and Scales"/>
    <n v="81"/>
    <s v="12"/>
    <m/>
    <m/>
    <s v="Resorption present but not enough to suspect an annuli is missing.  Age unaffected."/>
    <x v="0"/>
  </r>
  <r>
    <n v="102661"/>
    <x v="0"/>
    <x v="1"/>
    <s v="8"/>
    <x v="4"/>
    <s v="1036804"/>
    <s v="2022-09-21"/>
    <s v=""/>
    <x v="0"/>
    <s v="Adult"/>
    <s v="Escapement"/>
    <s v="Gillnet"/>
    <s v="Otoliths and Scales"/>
    <n v="82"/>
    <s v="13"/>
    <m/>
    <m/>
    <s v="Resorption present but not enough to suspect an annuli is missing.  Age unaffected."/>
    <x v="5"/>
  </r>
  <r>
    <n v="102661"/>
    <x v="0"/>
    <x v="1"/>
    <s v="8"/>
    <x v="4"/>
    <s v="1036804"/>
    <s v="2022-09-21"/>
    <s v=""/>
    <x v="0"/>
    <s v="Adult"/>
    <s v="Escapement"/>
    <s v="Gillnet"/>
    <s v="Otoliths and Scales"/>
    <n v="83"/>
    <s v="12"/>
    <m/>
    <m/>
    <m/>
    <x v="0"/>
  </r>
  <r>
    <n v="102661"/>
    <x v="0"/>
    <x v="1"/>
    <s v="8"/>
    <x v="4"/>
    <s v="1036804"/>
    <s v="2022-09-21"/>
    <s v=""/>
    <x v="0"/>
    <s v="Adult"/>
    <s v="Escapement"/>
    <s v="Gillnet"/>
    <s v="Otoliths and Scales"/>
    <n v="84"/>
    <s v="12"/>
    <m/>
    <m/>
    <s v="Resorption present but not enough to suspect an annuli is missing.  Age unaffected."/>
    <x v="0"/>
  </r>
  <r>
    <n v="102661"/>
    <x v="0"/>
    <x v="1"/>
    <s v="8"/>
    <x v="4"/>
    <s v="1036804"/>
    <s v="2022-09-21"/>
    <s v=""/>
    <x v="0"/>
    <s v="Adult"/>
    <s v="Escapement"/>
    <s v="Gillnet"/>
    <s v="Otoliths and Scales"/>
    <n v="85"/>
    <s v="12"/>
    <m/>
    <m/>
    <s v="Resorption present but not enough to suspect an annuli is missing.  Age unaffected."/>
    <x v="0"/>
  </r>
  <r>
    <n v="102661"/>
    <x v="0"/>
    <x v="1"/>
    <s v="8"/>
    <x v="4"/>
    <s v="1036804"/>
    <s v="2022-09-21"/>
    <s v=""/>
    <x v="0"/>
    <s v="Adult"/>
    <s v="Escapement"/>
    <s v="Gillnet"/>
    <s v="Otoliths and Scales"/>
    <n v="86"/>
    <s v="12"/>
    <m/>
    <m/>
    <m/>
    <x v="0"/>
  </r>
  <r>
    <n v="102661"/>
    <x v="0"/>
    <x v="1"/>
    <s v="8"/>
    <x v="4"/>
    <s v="1036804"/>
    <s v="2022-09-21"/>
    <s v=""/>
    <x v="0"/>
    <s v="Adult"/>
    <s v="Escapement"/>
    <s v="Gillnet"/>
    <s v="Otoliths and Scales"/>
    <n v="87"/>
    <s v="12"/>
    <m/>
    <m/>
    <m/>
    <x v="0"/>
  </r>
  <r>
    <n v="102661"/>
    <x v="0"/>
    <x v="1"/>
    <s v="8"/>
    <x v="4"/>
    <s v="1036804"/>
    <s v="2022-09-21"/>
    <s v=""/>
    <x v="0"/>
    <s v="Adult"/>
    <s v="Escapement"/>
    <s v="Gillnet"/>
    <s v="Otoliths and Scales"/>
    <n v="88"/>
    <s v="12"/>
    <m/>
    <m/>
    <s v="Resorption present but not enough to suspect an annuli is missing.  Age unaffected."/>
    <x v="0"/>
  </r>
  <r>
    <n v="102661"/>
    <x v="0"/>
    <x v="1"/>
    <s v="8"/>
    <x v="4"/>
    <s v="1036804"/>
    <s v="2022-09-21"/>
    <s v=""/>
    <x v="0"/>
    <s v="Adult"/>
    <s v="Escapement"/>
    <s v="Gillnet"/>
    <s v="Otoliths and Scales"/>
    <n v="89"/>
    <s v="03"/>
    <m/>
    <m/>
    <s v="Resorption present but not enough to suspect an annuli is missing.  Age unaffected."/>
    <x v="7"/>
  </r>
  <r>
    <n v="102661"/>
    <x v="0"/>
    <x v="1"/>
    <s v="8"/>
    <x v="4"/>
    <s v="1036804"/>
    <s v="2022-09-21"/>
    <s v=""/>
    <x v="0"/>
    <s v="Adult"/>
    <s v="Escapement"/>
    <s v="Gillnet"/>
    <s v="Otoliths and Scales"/>
    <n v="90"/>
    <s v="12"/>
    <m/>
    <m/>
    <m/>
    <x v="0"/>
  </r>
  <r>
    <n v="102661"/>
    <x v="0"/>
    <x v="1"/>
    <s v="8"/>
    <x v="4"/>
    <s v="1036804"/>
    <s v="2022-09-21"/>
    <s v=""/>
    <x v="0"/>
    <s v="Adult"/>
    <s v="Escapement"/>
    <s v="Gillnet"/>
    <s v="Otoliths and Scales"/>
    <n v="91"/>
    <s v="12"/>
    <m/>
    <m/>
    <m/>
    <x v="0"/>
  </r>
  <r>
    <n v="102661"/>
    <x v="0"/>
    <x v="1"/>
    <s v="8"/>
    <x v="4"/>
    <s v="1036804"/>
    <s v="2022-09-21"/>
    <s v=""/>
    <x v="0"/>
    <s v="Adult"/>
    <s v="Escapement"/>
    <s v="Gillnet"/>
    <s v="Otoliths and Scales"/>
    <n v="92"/>
    <s v="12"/>
    <m/>
    <m/>
    <s v="Resorption present but not enough to suspect an annuli is missing.  Age unaffected."/>
    <x v="0"/>
  </r>
  <r>
    <n v="102661"/>
    <x v="0"/>
    <x v="1"/>
    <s v="8"/>
    <x v="4"/>
    <s v="1036804"/>
    <s v="2022-09-21"/>
    <s v=""/>
    <x v="0"/>
    <s v="Adult"/>
    <s v="Escapement"/>
    <s v="Gillnet"/>
    <s v="Otoliths and Scales"/>
    <n v="93"/>
    <s v="12"/>
    <m/>
    <m/>
    <m/>
    <x v="0"/>
  </r>
  <r>
    <n v="102661"/>
    <x v="0"/>
    <x v="1"/>
    <s v="8"/>
    <x v="4"/>
    <s v="1036804"/>
    <s v="2022-09-21"/>
    <s v=""/>
    <x v="0"/>
    <s v="Adult"/>
    <s v="Escapement"/>
    <s v="Gillnet"/>
    <s v="Otoliths and Scales"/>
    <n v="94"/>
    <s v="03"/>
    <m/>
    <m/>
    <s v="Resorption present but not enough to suspect an annuli is missing.  Age unaffected."/>
    <x v="7"/>
  </r>
  <r>
    <n v="113245"/>
    <x v="1"/>
    <x v="1"/>
    <s v="8"/>
    <x v="5"/>
    <s v="1049190"/>
    <s v="2023-09-25"/>
    <s v="2023-10-05"/>
    <x v="0"/>
    <s v="Adult"/>
    <s v="Escapement"/>
    <s v="Gaff"/>
    <s v="Otoliths and Scales"/>
    <n v="1"/>
    <s v="13"/>
    <m/>
    <m/>
    <s v="Resorption present but not enough to suspect an annuli is missing.  Age unaffected."/>
    <x v="5"/>
  </r>
  <r>
    <n v="113245"/>
    <x v="1"/>
    <x v="1"/>
    <s v="8"/>
    <x v="5"/>
    <s v="1049190"/>
    <s v="2023-09-25"/>
    <s v="2023-10-05"/>
    <x v="0"/>
    <s v="Adult"/>
    <s v="Escapement"/>
    <s v="Gaff"/>
    <s v="Otoliths and Scales"/>
    <n v="2"/>
    <s v="13"/>
    <m/>
    <m/>
    <s v="Resorption present but not enough to suspect an annuli is missing.  Age unaffected."/>
    <x v="5"/>
  </r>
  <r>
    <n v="113245"/>
    <x v="1"/>
    <x v="1"/>
    <s v="8"/>
    <x v="5"/>
    <s v="1049190"/>
    <s v="2023-09-25"/>
    <s v="2023-10-05"/>
    <x v="0"/>
    <s v="Adult"/>
    <s v="Escapement"/>
    <s v="Gaff"/>
    <s v="Otoliths and Scales"/>
    <n v="3"/>
    <s v="13"/>
    <m/>
    <m/>
    <s v="Resorption present but not enough to suspect an annuli is missing.  Age unaffected."/>
    <x v="5"/>
  </r>
  <r>
    <n v="113245"/>
    <x v="1"/>
    <x v="1"/>
    <s v="8"/>
    <x v="5"/>
    <s v="1049190"/>
    <s v="2023-09-25"/>
    <s v="2023-10-05"/>
    <x v="0"/>
    <s v="Adult"/>
    <s v="Escapement"/>
    <s v="Gaff"/>
    <s v="Otoliths and Scales"/>
    <n v="4"/>
    <s v="13"/>
    <m/>
    <m/>
    <s v="Resorption present but not enough to suspect an annuli is missing.  Age unaffected."/>
    <x v="5"/>
  </r>
  <r>
    <n v="113245"/>
    <x v="1"/>
    <x v="1"/>
    <s v="8"/>
    <x v="5"/>
    <s v="1049190"/>
    <s v="2023-09-25"/>
    <s v="2023-10-05"/>
    <x v="0"/>
    <s v="Adult"/>
    <s v="Escapement"/>
    <s v="Gaff"/>
    <s v="Otoliths and Scales"/>
    <n v="5"/>
    <s v="13"/>
    <m/>
    <m/>
    <s v="Resorption present but not enough to suspect an annuli is missing.  Age unaffected."/>
    <x v="5"/>
  </r>
  <r>
    <n v="113245"/>
    <x v="1"/>
    <x v="1"/>
    <s v="8"/>
    <x v="5"/>
    <s v="1049190"/>
    <s v="2023-09-25"/>
    <s v="2023-10-05"/>
    <x v="0"/>
    <s v="Adult"/>
    <s v="Escapement"/>
    <s v="Gaff"/>
    <s v="Otoliths and Scales"/>
    <n v="6"/>
    <s v="12"/>
    <m/>
    <m/>
    <s v="Resorption present but not enough to suspect an annuli is missing.  Age unaffected."/>
    <x v="0"/>
  </r>
  <r>
    <n v="113245"/>
    <x v="1"/>
    <x v="1"/>
    <s v="8"/>
    <x v="5"/>
    <s v="1049190"/>
    <s v="2023-09-25"/>
    <s v="2023-10-05"/>
    <x v="0"/>
    <s v="Adult"/>
    <s v="Escapement"/>
    <s v="Gaff"/>
    <s v="Otoliths and Scales"/>
    <n v="7"/>
    <s v="13"/>
    <m/>
    <m/>
    <s v="Resorption present but not enough to suspect an annuli is missing.  Age unaffected."/>
    <x v="5"/>
  </r>
  <r>
    <n v="113245"/>
    <x v="1"/>
    <x v="1"/>
    <s v="8"/>
    <x v="5"/>
    <s v="1049190"/>
    <s v="2023-09-25"/>
    <s v="2023-10-05"/>
    <x v="0"/>
    <s v="Adult"/>
    <s v="Escapement"/>
    <s v="Gaff"/>
    <s v="Otoliths and Scales"/>
    <n v="8"/>
    <s v="12"/>
    <m/>
    <m/>
    <s v="Resorption present but not enough to suspect an annuli is missing.  Age unaffected."/>
    <x v="0"/>
  </r>
  <r>
    <n v="113245"/>
    <x v="1"/>
    <x v="1"/>
    <s v="8"/>
    <x v="5"/>
    <s v="1049190"/>
    <s v="2023-09-25"/>
    <s v="2023-10-05"/>
    <x v="0"/>
    <s v="Adult"/>
    <s v="Escapement"/>
    <s v="Gaff"/>
    <s v="Otoliths and Scales"/>
    <n v="9"/>
    <s v="13"/>
    <m/>
    <m/>
    <s v="Resorption present but not enough to suspect an annuli is missing.  Age unaffected."/>
    <x v="5"/>
  </r>
  <r>
    <n v="113245"/>
    <x v="1"/>
    <x v="1"/>
    <s v="8"/>
    <x v="5"/>
    <s v="1049190"/>
    <s v="2023-09-25"/>
    <s v="2023-10-05"/>
    <x v="0"/>
    <s v="Adult"/>
    <s v="Escapement"/>
    <s v="Gaff"/>
    <s v="Otoliths and Scales"/>
    <n v="10"/>
    <s v="11"/>
    <m/>
    <s v="Scale Age - No otolith age expected"/>
    <s v="Resorption present but not enough to suspect an annuli is missing.  Age unaffected."/>
    <x v="3"/>
  </r>
  <r>
    <n v="113253"/>
    <x v="1"/>
    <x v="1"/>
    <s v="8"/>
    <x v="3"/>
    <s v="1049194"/>
    <s v="2023-09-25"/>
    <s v="2023-10-05"/>
    <x v="0"/>
    <s v="Adult"/>
    <s v="Escapement"/>
    <s v="Gaff"/>
    <s v="Otoliths and Scales"/>
    <n v="1"/>
    <s v="12"/>
    <m/>
    <m/>
    <m/>
    <x v="0"/>
  </r>
  <r>
    <n v="113281"/>
    <x v="1"/>
    <x v="1"/>
    <s v="8"/>
    <x v="6"/>
    <s v="1010201"/>
    <s v="2023-09-22"/>
    <s v="2023-09-25"/>
    <x v="0"/>
    <s v="Adult"/>
    <s v="Escapement"/>
    <s v="Gillnet"/>
    <s v="Scales"/>
    <n v="1"/>
    <s v="12"/>
    <m/>
    <m/>
    <s v="Resorption present but not enough to suspect an annuli is missing.  Age unaffected."/>
    <x v="0"/>
  </r>
  <r>
    <n v="113281"/>
    <x v="1"/>
    <x v="1"/>
    <s v="8"/>
    <x v="6"/>
    <s v="1010201"/>
    <s v="2023-09-22"/>
    <s v="2023-09-25"/>
    <x v="0"/>
    <s v="Adult"/>
    <s v="Escapement"/>
    <s v="Gillnet"/>
    <s v="Scales"/>
    <n v="2"/>
    <s v="12"/>
    <m/>
    <m/>
    <s v="Resorbed Age Interpretation. Resorption affecting age and missing 1 marine annulus"/>
    <x v="0"/>
  </r>
  <r>
    <n v="113281"/>
    <x v="1"/>
    <x v="1"/>
    <s v="8"/>
    <x v="6"/>
    <s v="1010201"/>
    <s v="2023-09-22"/>
    <s v="2023-09-25"/>
    <x v="0"/>
    <s v="Adult"/>
    <s v="Escapement"/>
    <s v="Gillnet"/>
    <s v="Scales"/>
    <n v="3"/>
    <s v="13"/>
    <m/>
    <m/>
    <s v="Resorbed Age Interpretation. Resorption affecting age and missing 1 marine annulus"/>
    <x v="5"/>
  </r>
  <r>
    <n v="113281"/>
    <x v="1"/>
    <x v="1"/>
    <s v="8"/>
    <x v="6"/>
    <s v="1010201"/>
    <s v="2023-09-22"/>
    <s v="2023-09-25"/>
    <x v="0"/>
    <s v="Adult"/>
    <s v="Escapement"/>
    <s v="Gillnet"/>
    <s v="Scales"/>
    <n v="4"/>
    <m/>
    <s v="F1"/>
    <s v="Resorbed Scale"/>
    <s v="Unknown amount of resorption. Cannot assess the number of marine annuli missing. Only freshwater age given, no marine age given."/>
    <x v="8"/>
  </r>
  <r>
    <n v="113281"/>
    <x v="1"/>
    <x v="1"/>
    <s v="8"/>
    <x v="6"/>
    <s v="1010201"/>
    <s v="2023-09-22"/>
    <s v="2023-09-25"/>
    <x v="0"/>
    <s v="Adult"/>
    <s v="Escapement"/>
    <s v="Gillnet"/>
    <s v="Scales"/>
    <n v="5"/>
    <s v="13"/>
    <m/>
    <m/>
    <s v="Resorbed Age Interpretation. Resorption affecting age and missing 1 marine annulus"/>
    <x v="5"/>
  </r>
  <r>
    <n v="113281"/>
    <x v="1"/>
    <x v="1"/>
    <s v="8"/>
    <x v="6"/>
    <s v="1010201"/>
    <s v="2023-09-22"/>
    <s v="2023-09-25"/>
    <x v="0"/>
    <s v="Adult"/>
    <s v="Escapement"/>
    <s v="Gillnet"/>
    <s v="Scales"/>
    <n v="6"/>
    <s v="11"/>
    <m/>
    <m/>
    <s v="Resorption present but not enough to suspect an annuli is missing.  Age unaffected."/>
    <x v="3"/>
  </r>
  <r>
    <n v="113281"/>
    <x v="1"/>
    <x v="1"/>
    <s v="8"/>
    <x v="6"/>
    <s v="1010201"/>
    <s v="2023-09-22"/>
    <s v="2023-09-25"/>
    <x v="0"/>
    <s v="Adult"/>
    <s v="Escapement"/>
    <s v="Gillnet"/>
    <s v="Scales"/>
    <n v="7"/>
    <s v="12"/>
    <m/>
    <m/>
    <s v="Resorption present but not enough to suspect an annuli is missing.  Age unaffected."/>
    <x v="0"/>
  </r>
  <r>
    <n v="113281"/>
    <x v="1"/>
    <x v="1"/>
    <s v="8"/>
    <x v="6"/>
    <s v="1010201"/>
    <s v="2023-09-22"/>
    <s v="2023-09-25"/>
    <x v="0"/>
    <s v="Adult"/>
    <s v="Escapement"/>
    <s v="Gillnet"/>
    <s v="Scales"/>
    <n v="8"/>
    <s v="13"/>
    <m/>
    <m/>
    <s v="Resorbed Age Interpretation. Resorption affecting age and missing 1 marine annulus"/>
    <x v="5"/>
  </r>
  <r>
    <n v="113281"/>
    <x v="1"/>
    <x v="1"/>
    <s v="8"/>
    <x v="6"/>
    <s v="1010201"/>
    <s v="2023-09-22"/>
    <s v="2023-09-25"/>
    <x v="0"/>
    <s v="Adult"/>
    <s v="Escapement"/>
    <s v="Gillnet"/>
    <s v="Scales"/>
    <n v="9"/>
    <m/>
    <s v="F1"/>
    <s v="Resorbed Scale"/>
    <s v="Unknown amount of resorption. Cannot assess the number of marine annuli missing. Only freshwater age given, no marine age given."/>
    <x v="8"/>
  </r>
  <r>
    <n v="113281"/>
    <x v="1"/>
    <x v="1"/>
    <s v="8"/>
    <x v="6"/>
    <s v="1010201"/>
    <s v="2023-09-22"/>
    <s v="2023-09-25"/>
    <x v="0"/>
    <s v="Adult"/>
    <s v="Escapement"/>
    <s v="Gillnet"/>
    <s v="Scales"/>
    <n v="10"/>
    <s v="12"/>
    <m/>
    <m/>
    <s v="Resorbed Age Interpretation. Resorption affecting age and missing 1 marine annulus"/>
    <x v="0"/>
  </r>
  <r>
    <n v="113281"/>
    <x v="1"/>
    <x v="1"/>
    <s v="8"/>
    <x v="6"/>
    <s v="1010201"/>
    <s v="2023-09-22"/>
    <s v="2023-09-25"/>
    <x v="0"/>
    <s v="Adult"/>
    <s v="Escapement"/>
    <s v="Gillnet"/>
    <s v="Scales"/>
    <n v="11"/>
    <s v="12"/>
    <m/>
    <m/>
    <s v="Resorbed Age Interpretation. Resorption affecting age and missing 1 marine annulus"/>
    <x v="0"/>
  </r>
  <r>
    <n v="113281"/>
    <x v="1"/>
    <x v="1"/>
    <s v="8"/>
    <x v="6"/>
    <s v="1010201"/>
    <s v="2023-09-22"/>
    <s v="2023-09-25"/>
    <x v="0"/>
    <s v="Adult"/>
    <s v="Escapement"/>
    <s v="Gillnet"/>
    <s v="Scales"/>
    <n v="12"/>
    <m/>
    <s v="M3"/>
    <s v="Regenerate Scale"/>
    <s v="Resorption present but not enough to suspect an annuli is missing.  Age unaffected."/>
    <x v="6"/>
  </r>
  <r>
    <n v="113281"/>
    <x v="1"/>
    <x v="1"/>
    <s v="8"/>
    <x v="6"/>
    <s v="1010201"/>
    <s v="2023-09-22"/>
    <s v="2023-09-25"/>
    <x v="0"/>
    <s v="Adult"/>
    <s v="Escapement"/>
    <s v="Gillnet"/>
    <s v="Scales"/>
    <n v="13"/>
    <s v="12"/>
    <m/>
    <m/>
    <s v="Resorption present but not enough to suspect an annuli is missing.  Age unaffected."/>
    <x v="0"/>
  </r>
  <r>
    <n v="113281"/>
    <x v="1"/>
    <x v="1"/>
    <s v="8"/>
    <x v="6"/>
    <s v="1010201"/>
    <s v="2023-09-22"/>
    <s v="2023-09-25"/>
    <x v="0"/>
    <s v="Adult"/>
    <s v="Escapement"/>
    <s v="Gillnet"/>
    <s v="Scales"/>
    <n v="14"/>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
    <s v="13"/>
    <m/>
    <m/>
    <s v="Resorption present but not enough to suspect an annuli is missing.  Age unaffected."/>
    <x v="5"/>
  </r>
  <r>
    <n v="131261"/>
    <x v="2"/>
    <x v="1"/>
    <s v="8"/>
    <x v="4"/>
    <s v="1048455"/>
    <s v="2024-09-18"/>
    <s v="2024-10-07"/>
    <x v="0"/>
    <s v="Adult"/>
    <s v="Escapement"/>
    <s v="Gaff"/>
    <s v="Otoliths and Scales"/>
    <n v="2"/>
    <s v="12"/>
    <m/>
    <m/>
    <s v="Resorption present but not enough to suspect an annuli is missing.  Age unaffected."/>
    <x v="0"/>
  </r>
  <r>
    <n v="131261"/>
    <x v="2"/>
    <x v="1"/>
    <s v="8"/>
    <x v="4"/>
    <s v="1048455"/>
    <s v="2024-09-18"/>
    <s v="2024-10-07"/>
    <x v="0"/>
    <s v="Adult"/>
    <s v="Escapement"/>
    <s v="Gaff"/>
    <s v="Otoliths and Scales"/>
    <n v="3"/>
    <s v="12"/>
    <m/>
    <m/>
    <s v="Resorption present but not enough to suspect an annuli is missing.  Age unaffected."/>
    <x v="0"/>
  </r>
  <r>
    <n v="131261"/>
    <x v="2"/>
    <x v="1"/>
    <s v="8"/>
    <x v="4"/>
    <s v="1048455"/>
    <s v="2024-09-18"/>
    <s v="2024-10-07"/>
    <x v="0"/>
    <s v="Adult"/>
    <s v="Escapement"/>
    <s v="Gaff"/>
    <s v="Otoliths and Scales"/>
    <n v="4"/>
    <s v="12"/>
    <m/>
    <m/>
    <m/>
    <x v="0"/>
  </r>
  <r>
    <n v="131261"/>
    <x v="2"/>
    <x v="1"/>
    <s v="8"/>
    <x v="4"/>
    <s v="1048455"/>
    <s v="2024-09-18"/>
    <s v="2024-10-07"/>
    <x v="0"/>
    <s v="Adult"/>
    <s v="Escapement"/>
    <s v="Gaff"/>
    <s v="Otoliths and Scales"/>
    <n v="5"/>
    <s v="02"/>
    <m/>
    <m/>
    <s v="Resorption present but not enough to suspect an annuli is missing.  Age unaffected."/>
    <x v="4"/>
  </r>
  <r>
    <n v="131261"/>
    <x v="2"/>
    <x v="1"/>
    <s v="8"/>
    <x v="4"/>
    <s v="1048455"/>
    <s v="2024-09-18"/>
    <s v="2024-10-07"/>
    <x v="0"/>
    <s v="Adult"/>
    <s v="Escapement"/>
    <s v="Gaff"/>
    <s v="Otoliths and Scales"/>
    <n v="6"/>
    <s v="02"/>
    <m/>
    <m/>
    <m/>
    <x v="4"/>
  </r>
  <r>
    <n v="131261"/>
    <x v="2"/>
    <x v="1"/>
    <s v="8"/>
    <x v="4"/>
    <s v="1048455"/>
    <s v="2024-09-18"/>
    <s v="2024-10-07"/>
    <x v="0"/>
    <s v="Adult"/>
    <s v="Escapement"/>
    <s v="Gaff"/>
    <s v="Otoliths and Scales"/>
    <n v="7"/>
    <s v="02"/>
    <m/>
    <m/>
    <s v="Resorption present but not enough to suspect an annuli is missing.  Age unaffected."/>
    <x v="4"/>
  </r>
  <r>
    <n v="131261"/>
    <x v="2"/>
    <x v="1"/>
    <s v="8"/>
    <x v="4"/>
    <s v="1048455"/>
    <s v="2024-09-18"/>
    <s v="2024-10-07"/>
    <x v="0"/>
    <s v="Adult"/>
    <s v="Escapement"/>
    <s v="Gaff"/>
    <s v="Otoliths and Scales"/>
    <n v="8"/>
    <m/>
    <s v="F0"/>
    <s v="Resorbed Scale"/>
    <s v="Unknown amount of resorption. Cannot assess the number of marine annuli missing. Only freshwater age given, no marine age given."/>
    <x v="11"/>
  </r>
  <r>
    <n v="131261"/>
    <x v="2"/>
    <x v="1"/>
    <s v="8"/>
    <x v="4"/>
    <s v="1048455"/>
    <s v="2024-09-18"/>
    <s v="2024-10-07"/>
    <x v="0"/>
    <s v="Adult"/>
    <s v="Escapement"/>
    <s v="Gaff"/>
    <s v="Otoliths and Scales"/>
    <n v="9"/>
    <s v="13"/>
    <m/>
    <m/>
    <s v="Resorption present but not enough to suspect an annuli is missing.  Age unaffected."/>
    <x v="5"/>
  </r>
  <r>
    <n v="131261"/>
    <x v="2"/>
    <x v="1"/>
    <s v="8"/>
    <x v="4"/>
    <s v="1048455"/>
    <s v="2024-09-18"/>
    <s v="2024-10-07"/>
    <x v="0"/>
    <s v="Adult"/>
    <s v="Escapement"/>
    <s v="Gaff"/>
    <s v="Otoliths and Scales"/>
    <n v="10"/>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1"/>
    <s v="12"/>
    <m/>
    <m/>
    <m/>
    <x v="0"/>
  </r>
  <r>
    <n v="131261"/>
    <x v="2"/>
    <x v="1"/>
    <s v="8"/>
    <x v="4"/>
    <s v="1048455"/>
    <s v="2024-09-18"/>
    <s v="2024-10-07"/>
    <x v="0"/>
    <s v="Adult"/>
    <s v="Escapement"/>
    <s v="Gaff"/>
    <s v="Otoliths and Scales"/>
    <n v="12"/>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3"/>
    <s v="12"/>
    <m/>
    <m/>
    <s v="Resorption present but not enough to suspect an annuli is missing.  Age unaffected."/>
    <x v="0"/>
  </r>
  <r>
    <n v="131261"/>
    <x v="2"/>
    <x v="1"/>
    <s v="8"/>
    <x v="4"/>
    <s v="1048455"/>
    <s v="2024-09-18"/>
    <s v="2024-10-07"/>
    <x v="0"/>
    <s v="Adult"/>
    <s v="Escapement"/>
    <s v="Gaff"/>
    <s v="Otoliths and Scales"/>
    <n v="14"/>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15"/>
    <s v="12"/>
    <m/>
    <m/>
    <s v="Resorption present but not enough to suspect an annuli is missing.  Age unaffected."/>
    <x v="0"/>
  </r>
  <r>
    <n v="131261"/>
    <x v="2"/>
    <x v="1"/>
    <s v="8"/>
    <x v="4"/>
    <s v="1048455"/>
    <s v="2024-09-18"/>
    <s v="2024-10-07"/>
    <x v="0"/>
    <s v="Adult"/>
    <s v="Escapement"/>
    <s v="Gaff"/>
    <s v="Otoliths and Scales"/>
    <n v="16"/>
    <s v="12"/>
    <m/>
    <m/>
    <m/>
    <x v="0"/>
  </r>
  <r>
    <n v="131261"/>
    <x v="2"/>
    <x v="1"/>
    <s v="8"/>
    <x v="4"/>
    <s v="1048455"/>
    <s v="2024-09-18"/>
    <s v="2024-10-07"/>
    <x v="0"/>
    <s v="Adult"/>
    <s v="Escapement"/>
    <s v="Gaff"/>
    <s v="Otoliths and Scales"/>
    <n v="17"/>
    <s v="12"/>
    <m/>
    <m/>
    <m/>
    <x v="0"/>
  </r>
  <r>
    <n v="131261"/>
    <x v="2"/>
    <x v="1"/>
    <s v="8"/>
    <x v="4"/>
    <s v="1048455"/>
    <s v="2024-09-18"/>
    <s v="2024-10-07"/>
    <x v="0"/>
    <s v="Adult"/>
    <s v="Escapement"/>
    <s v="Gaff"/>
    <s v="Otoliths and Scales"/>
    <n v="18"/>
    <s v="12"/>
    <m/>
    <m/>
    <m/>
    <x v="0"/>
  </r>
  <r>
    <n v="131261"/>
    <x v="2"/>
    <x v="1"/>
    <s v="8"/>
    <x v="4"/>
    <s v="1048455"/>
    <s v="2024-09-18"/>
    <s v="2024-10-07"/>
    <x v="0"/>
    <s v="Adult"/>
    <s v="Escapement"/>
    <s v="Gaff"/>
    <s v="Otoliths and Scales"/>
    <n v="19"/>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20"/>
    <s v="02"/>
    <m/>
    <m/>
    <s v="Resorption present but not enough to suspect an annuli is missing.  Age unaffected."/>
    <x v="4"/>
  </r>
  <r>
    <n v="131261"/>
    <x v="2"/>
    <x v="1"/>
    <s v="8"/>
    <x v="4"/>
    <s v="1048455"/>
    <s v="2024-09-18"/>
    <s v="2024-10-07"/>
    <x v="0"/>
    <s v="Adult"/>
    <s v="Escapement"/>
    <s v="Gaff"/>
    <s v="Otoliths and Scales"/>
    <n v="21"/>
    <s v="12"/>
    <m/>
    <m/>
    <s v="Resorption present but not enough to suspect an annuli is missing.  Age unaffected."/>
    <x v="0"/>
  </r>
  <r>
    <n v="131261"/>
    <x v="2"/>
    <x v="1"/>
    <s v="8"/>
    <x v="4"/>
    <s v="1048455"/>
    <s v="2024-09-18"/>
    <s v="2024-10-07"/>
    <x v="0"/>
    <s v="Adult"/>
    <s v="Escapement"/>
    <s v="Gaff"/>
    <s v="Otoliths and Scales"/>
    <n v="22"/>
    <s v="12"/>
    <m/>
    <m/>
    <s v="Resorption present but not enough to suspect an annuli is missing.  Age unaffected."/>
    <x v="0"/>
  </r>
  <r>
    <n v="131261"/>
    <x v="2"/>
    <x v="1"/>
    <s v="8"/>
    <x v="4"/>
    <s v="1048455"/>
    <s v="2024-09-18"/>
    <s v="2024-10-07"/>
    <x v="0"/>
    <s v="Adult"/>
    <s v="Escapement"/>
    <s v="Gaff"/>
    <s v="Otoliths and Scales"/>
    <n v="23"/>
    <m/>
    <s v="F1"/>
    <s v="Resorbed Scale"/>
    <s v="Unknown amount of resorption. Cannot assess the number of marine annuli missing. Only freshwater age given, no marine age given."/>
    <x v="8"/>
  </r>
  <r>
    <n v="131261"/>
    <x v="2"/>
    <x v="1"/>
    <s v="8"/>
    <x v="4"/>
    <s v="1048455"/>
    <s v="2024-09-18"/>
    <s v="2024-10-07"/>
    <x v="0"/>
    <s v="Adult"/>
    <s v="Escapement"/>
    <s v="Gaff"/>
    <s v="Otoliths and Scales"/>
    <n v="24"/>
    <m/>
    <s v="F0"/>
    <s v="Resorbed Scale"/>
    <m/>
    <x v="11"/>
  </r>
  <r>
    <n v="131261"/>
    <x v="2"/>
    <x v="1"/>
    <s v="8"/>
    <x v="4"/>
    <s v="1048455"/>
    <s v="2024-09-18"/>
    <s v="2024-10-07"/>
    <x v="0"/>
    <s v="Adult"/>
    <s v="Escapement"/>
    <s v="Gaff"/>
    <s v="Otoliths and Scales"/>
    <n v="25"/>
    <m/>
    <s v="F1"/>
    <s v="Resorbed Scale"/>
    <m/>
    <x v="8"/>
  </r>
  <r>
    <n v="131261"/>
    <x v="2"/>
    <x v="1"/>
    <s v="8"/>
    <x v="4"/>
    <s v="1048456"/>
    <s v="2024-09-18"/>
    <s v="2024-10-07"/>
    <x v="0"/>
    <s v="Adult"/>
    <s v="Escapement"/>
    <s v="Gaff"/>
    <s v="Otoliths and Scales"/>
    <n v="1"/>
    <m/>
    <s v="F1"/>
    <s v="Resorbed Scale"/>
    <s v="Unknown amount of resorption. Cannot assess the number of marine annuli missing. Only freshwater age given, no marine age given."/>
    <x v="8"/>
  </r>
  <r>
    <n v="131261"/>
    <x v="2"/>
    <x v="1"/>
    <s v="8"/>
    <x v="4"/>
    <s v="1048456"/>
    <s v="2024-09-18"/>
    <s v="2024-10-07"/>
    <x v="0"/>
    <s v="Adult"/>
    <s v="Escapement"/>
    <s v="Gaff"/>
    <s v="Otoliths and Scales"/>
    <n v="2"/>
    <m/>
    <s v="F1"/>
    <s v="Resorbed Scale"/>
    <s v="Unknown amount of resorption. Cannot assess the number of marine annuli missing. Only freshwater age given, no marine age given."/>
    <x v="8"/>
  </r>
  <r>
    <n v="131261"/>
    <x v="2"/>
    <x v="1"/>
    <s v="8"/>
    <x v="4"/>
    <s v="1048456"/>
    <s v="2024-09-18"/>
    <s v="2024-10-07"/>
    <x v="0"/>
    <s v="Adult"/>
    <s v="Escapement"/>
    <s v="Gaff"/>
    <s v="Otoliths and Scales"/>
    <n v="3"/>
    <s v="12"/>
    <m/>
    <m/>
    <s v="Resorption present but not enough to suspect an annuli is missing.  Age unaffected."/>
    <x v="0"/>
  </r>
  <r>
    <n v="131261"/>
    <x v="2"/>
    <x v="1"/>
    <s v="8"/>
    <x v="4"/>
    <s v="1048456"/>
    <s v="2024-09-18"/>
    <s v="2024-10-07"/>
    <x v="0"/>
    <s v="Adult"/>
    <s v="Escapement"/>
    <s v="Gaff"/>
    <s v="Otoliths and Scales"/>
    <n v="4"/>
    <m/>
    <s v="F0"/>
    <s v="Unresolved Marine Age"/>
    <s v="Unknown amount of resorption. Cannot assess the number of marine annuli missing. Only freshwater age given, no marine age given."/>
    <x v="11"/>
  </r>
  <r>
    <n v="131261"/>
    <x v="2"/>
    <x v="1"/>
    <s v="8"/>
    <x v="4"/>
    <s v="1048456"/>
    <s v="2024-09-18"/>
    <s v="2024-10-07"/>
    <x v="0"/>
    <s v="Adult"/>
    <s v="Escapement"/>
    <s v="Gaff"/>
    <s v="Otoliths and Scales"/>
    <n v="5"/>
    <m/>
    <m/>
    <s v="Upside Down"/>
    <m/>
    <x v="1"/>
  </r>
  <r>
    <n v="131281"/>
    <x v="2"/>
    <x v="1"/>
    <s v="8"/>
    <x v="7"/>
    <s v="1013160"/>
    <s v="2024-09-25"/>
    <s v="2024-09-25"/>
    <x v="0"/>
    <s v="Adult"/>
    <s v="Escapement"/>
    <s v="Dip Net"/>
    <s v="Scales"/>
    <n v="1"/>
    <s v="12"/>
    <m/>
    <m/>
    <s v="Resorption present but not enough to suspect an annuli is missing.  Age unaffected."/>
    <x v="0"/>
  </r>
  <r>
    <n v="131281"/>
    <x v="2"/>
    <x v="1"/>
    <s v="8"/>
    <x v="7"/>
    <s v="1013160"/>
    <s v="2024-09-25"/>
    <s v="2024-09-25"/>
    <x v="0"/>
    <s v="Adult"/>
    <s v="Escapement"/>
    <s v="Dip Net"/>
    <s v="Scales"/>
    <n v="2"/>
    <s v="11"/>
    <m/>
    <m/>
    <s v="Resorption present but not enough to suspect an annuli is missing.  Age unaffected."/>
    <x v="3"/>
  </r>
  <r>
    <n v="131283"/>
    <x v="2"/>
    <x v="1"/>
    <s v="8"/>
    <x v="3"/>
    <s v="1048459"/>
    <s v="2024-09-25"/>
    <s v="2024-09-25"/>
    <x v="0"/>
    <s v="Adult"/>
    <s v="Escapement"/>
    <s v="Gaff"/>
    <s v="Scales"/>
    <n v="1"/>
    <s v="11"/>
    <m/>
    <m/>
    <s v="Resorption present but not enough to suspect an annuli is missing.  Age unaffected."/>
    <x v="3"/>
  </r>
  <r>
    <n v="131283"/>
    <x v="2"/>
    <x v="1"/>
    <s v="8"/>
    <x v="3"/>
    <s v="1048459"/>
    <s v="2024-09-25"/>
    <s v="2024-09-25"/>
    <x v="0"/>
    <s v="Adult"/>
    <s v="Escapement"/>
    <s v="Gaff"/>
    <s v="Scales"/>
    <n v="2"/>
    <s v="12"/>
    <m/>
    <m/>
    <s v="Resorbed Age Interpretation. Resorption affecting age and missing 1 marine annulus"/>
    <x v="0"/>
  </r>
  <r>
    <n v="131285"/>
    <x v="2"/>
    <x v="1"/>
    <s v="8"/>
    <x v="6"/>
    <s v="1013161"/>
    <s v="2024-09-14"/>
    <s v="2024-09-25"/>
    <x v="0"/>
    <s v="Adult"/>
    <s v="Escapement"/>
    <s v="Dip Net"/>
    <s v="Otoliths and Scales"/>
    <n v="1"/>
    <s v="12"/>
    <m/>
    <m/>
    <s v="Resorbed Age Interpretation. Resorption affecting age and missing 1 marine annulus"/>
    <x v="0"/>
  </r>
  <r>
    <n v="131285"/>
    <x v="2"/>
    <x v="1"/>
    <s v="8"/>
    <x v="6"/>
    <s v="1013161"/>
    <s v="2024-09-14"/>
    <s v="2024-09-25"/>
    <x v="0"/>
    <s v="Adult"/>
    <s v="Escapement"/>
    <s v="Dip Net"/>
    <s v="Otoliths and Scales"/>
    <n v="2"/>
    <s v="12"/>
    <m/>
    <m/>
    <s v="Resorption present but not enough to suspect an annuli is missing.  Age unaffected."/>
    <x v="0"/>
  </r>
  <r>
    <n v="131285"/>
    <x v="2"/>
    <x v="1"/>
    <s v="8"/>
    <x v="6"/>
    <s v="1013161"/>
    <s v="2024-09-14"/>
    <s v="2024-09-25"/>
    <x v="0"/>
    <s v="Adult"/>
    <s v="Escapement"/>
    <s v="Dip Net"/>
    <s v="Otoliths and Scales"/>
    <n v="3"/>
    <s v="12"/>
    <m/>
    <m/>
    <s v="Resorbed Age Interpretation. Resorption affecting age and missing 1 marine annulus"/>
    <x v="0"/>
  </r>
  <r>
    <n v="131285"/>
    <x v="2"/>
    <x v="1"/>
    <s v="8"/>
    <x v="6"/>
    <s v="1013161"/>
    <s v="2024-09-14"/>
    <s v="2024-09-25"/>
    <x v="0"/>
    <s v="Adult"/>
    <s v="Escapement"/>
    <s v="Dip Net"/>
    <s v="Otoliths and Scales"/>
    <n v="4"/>
    <s v="12"/>
    <m/>
    <m/>
    <s v="Resorbed Age Interpretation. Resorption affecting age and missing 1 marine annulus"/>
    <x v="0"/>
  </r>
  <r>
    <n v="131285"/>
    <x v="2"/>
    <x v="1"/>
    <s v="8"/>
    <x v="6"/>
    <s v="1013161"/>
    <s v="2024-09-14"/>
    <s v="2024-09-25"/>
    <x v="0"/>
    <s v="Adult"/>
    <s v="Escapement"/>
    <s v="Dip Net"/>
    <s v="Otoliths and Scales"/>
    <n v="5"/>
    <s v="12"/>
    <m/>
    <m/>
    <s v="Resorption present but not enough to suspect an annuli is missing.  Age unaffected."/>
    <x v="0"/>
  </r>
  <r>
    <n v="131285"/>
    <x v="2"/>
    <x v="1"/>
    <s v="8"/>
    <x v="6"/>
    <s v="1013161"/>
    <s v="2024-09-14"/>
    <s v="2024-09-25"/>
    <x v="0"/>
    <s v="Adult"/>
    <s v="Escapement"/>
    <s v="Dip Net"/>
    <s v="Otoliths and Scales"/>
    <n v="6"/>
    <s v="12"/>
    <m/>
    <m/>
    <s v="Resorbed Age Interpretation. Resorption affecting age and missing 1 marine annulus"/>
    <x v="0"/>
  </r>
  <r>
    <n v="131285"/>
    <x v="2"/>
    <x v="1"/>
    <s v="8"/>
    <x v="6"/>
    <s v="1013161"/>
    <s v="2024-09-14"/>
    <s v="2024-09-25"/>
    <x v="0"/>
    <s v="Adult"/>
    <s v="Escapement"/>
    <s v="Dip Net"/>
    <s v="Otoliths and Scales"/>
    <n v="7"/>
    <s v="12"/>
    <m/>
    <m/>
    <s v="Resorbed Age Interpretation. Resorption affecting age and missing 1 marine annulus"/>
    <x v="0"/>
  </r>
  <r>
    <n v="131285"/>
    <x v="2"/>
    <x v="1"/>
    <s v="8"/>
    <x v="6"/>
    <s v="1013161"/>
    <s v="2024-09-14"/>
    <s v="2024-09-25"/>
    <x v="0"/>
    <s v="Adult"/>
    <s v="Escapement"/>
    <s v="Dip Net"/>
    <s v="Otoliths and Scales"/>
    <n v="8"/>
    <s v="12"/>
    <m/>
    <m/>
    <s v="Resorbed Age Interpretation. Resorption affecting age and missing 1 marine annulus"/>
    <x v="0"/>
  </r>
  <r>
    <n v="131285"/>
    <x v="2"/>
    <x v="1"/>
    <s v="8"/>
    <x v="6"/>
    <s v="1013161"/>
    <s v="2024-09-14"/>
    <s v="2024-09-25"/>
    <x v="0"/>
    <s v="Adult"/>
    <s v="Escapement"/>
    <s v="Dip Net"/>
    <s v="Otoliths and Scales"/>
    <n v="9"/>
    <s v="02"/>
    <m/>
    <m/>
    <s v="Resorbed Age Interpretation. Resorption affecting age and missing 1 marine annulus"/>
    <x v="4"/>
  </r>
  <r>
    <n v="131285"/>
    <x v="2"/>
    <x v="1"/>
    <s v="8"/>
    <x v="6"/>
    <s v="1013161"/>
    <s v="2024-09-14"/>
    <s v="2024-09-25"/>
    <x v="0"/>
    <s v="Adult"/>
    <s v="Escapement"/>
    <s v="Dip Net"/>
    <s v="Otoliths and Scales"/>
    <n v="10"/>
    <s v="03"/>
    <m/>
    <m/>
    <s v="Resorption present but not enough to suspect an annuli is missing.  Age unaffected."/>
    <x v="7"/>
  </r>
  <r>
    <n v="131285"/>
    <x v="2"/>
    <x v="1"/>
    <s v="8"/>
    <x v="6"/>
    <s v="1013162"/>
    <s v="2024-09-14"/>
    <s v="2024-09-25"/>
    <x v="0"/>
    <s v="Adult"/>
    <s v="Escapement"/>
    <s v="Dip Net"/>
    <s v="Otoliths and Scales"/>
    <n v="1"/>
    <s v="12"/>
    <m/>
    <m/>
    <s v="Resorbed Age Interpretation. Resorption affecting age and missing 1 marine annulus"/>
    <x v="0"/>
  </r>
  <r>
    <n v="131285"/>
    <x v="2"/>
    <x v="1"/>
    <s v="8"/>
    <x v="6"/>
    <s v="1013162"/>
    <s v="2024-09-14"/>
    <s v="2024-09-25"/>
    <x v="0"/>
    <s v="Adult"/>
    <s v="Escapement"/>
    <s v="Dip Net"/>
    <s v="Otoliths and Scales"/>
    <n v="2"/>
    <s v="12"/>
    <m/>
    <m/>
    <s v="Resorbed Age Interpretation. Resorption affecting age and missing 1 marine annulus"/>
    <x v="0"/>
  </r>
  <r>
    <n v="131285"/>
    <x v="2"/>
    <x v="1"/>
    <s v="8"/>
    <x v="6"/>
    <s v="1013162"/>
    <s v="2024-09-14"/>
    <s v="2024-09-25"/>
    <x v="0"/>
    <s v="Adult"/>
    <s v="Escapement"/>
    <s v="Dip Net"/>
    <s v="Otoliths and Scales"/>
    <n v="3"/>
    <s v="12"/>
    <m/>
    <m/>
    <s v="Resorbed Age Interpretation. Resorption affecting age and missing 1 marine annulus"/>
    <x v="0"/>
  </r>
  <r>
    <n v="131285"/>
    <x v="2"/>
    <x v="1"/>
    <s v="8"/>
    <x v="6"/>
    <s v="1013162"/>
    <s v="2024-09-14"/>
    <s v="2024-09-25"/>
    <x v="0"/>
    <s v="Adult"/>
    <s v="Escapement"/>
    <s v="Dip Net"/>
    <s v="Otoliths and Scales"/>
    <n v="4"/>
    <s v="12"/>
    <m/>
    <m/>
    <s v="Resorbed Age Interpretation. Resorption affecting age and missing 1 marine annulus"/>
    <x v="0"/>
  </r>
  <r>
    <n v="131285"/>
    <x v="2"/>
    <x v="1"/>
    <s v="8"/>
    <x v="6"/>
    <s v="1013162"/>
    <s v="2024-09-14"/>
    <s v="2024-09-25"/>
    <x v="0"/>
    <s v="Adult"/>
    <s v="Escapement"/>
    <s v="Dip Net"/>
    <s v="Otoliths and Scales"/>
    <n v="5"/>
    <m/>
    <m/>
    <s v="Wet Scale"/>
    <m/>
    <x v="1"/>
  </r>
  <r>
    <n v="131285"/>
    <x v="2"/>
    <x v="1"/>
    <s v="8"/>
    <x v="6"/>
    <s v="1013162"/>
    <s v="2024-09-14"/>
    <s v="2024-09-25"/>
    <x v="0"/>
    <s v="Adult"/>
    <s v="Escapement"/>
    <s v="Dip Net"/>
    <s v="Otoliths and Scales"/>
    <n v="6"/>
    <s v="12"/>
    <m/>
    <m/>
    <s v="Resorbed Age Interpretation. Resorption affecting age and missing 1 marine annulus"/>
    <x v="0"/>
  </r>
  <r>
    <n v="131285"/>
    <x v="2"/>
    <x v="1"/>
    <s v="8"/>
    <x v="6"/>
    <s v="1013162"/>
    <s v="2024-09-14"/>
    <s v="2024-09-25"/>
    <x v="0"/>
    <s v="Adult"/>
    <s v="Escapement"/>
    <s v="Dip Net"/>
    <s v="Otoliths and Scales"/>
    <n v="7"/>
    <s v="12"/>
    <m/>
    <m/>
    <s v="Resorbed Age Interpretation. Resorption affecting age and missing 1 marine annulus"/>
    <x v="0"/>
  </r>
  <r>
    <n v="131285"/>
    <x v="2"/>
    <x v="1"/>
    <s v="8"/>
    <x v="6"/>
    <s v="1048458"/>
    <s v="2024-09-25"/>
    <s v="2024-09-25"/>
    <x v="0"/>
    <s v="Adult"/>
    <s v="Escapement"/>
    <s v="Dip Net"/>
    <s v="Otoliths and Scales"/>
    <n v="1"/>
    <s v="12"/>
    <m/>
    <m/>
    <s v="Resorption present but not enough to suspect an annuli is missing.  Age unaffected."/>
    <x v="0"/>
  </r>
  <r>
    <n v="131285"/>
    <x v="2"/>
    <x v="1"/>
    <s v="8"/>
    <x v="6"/>
    <s v="1048458"/>
    <s v="2024-09-25"/>
    <s v="2024-09-25"/>
    <x v="0"/>
    <s v="Adult"/>
    <s v="Escapement"/>
    <s v="Dip Net"/>
    <s v="Otoliths and Scales"/>
    <n v="2"/>
    <s v="12"/>
    <m/>
    <m/>
    <s v="Resorption present but not enough to suspect an annuli is missing.  Age unaffected."/>
    <x v="0"/>
  </r>
  <r>
    <n v="131287"/>
    <x v="2"/>
    <x v="1"/>
    <s v="8"/>
    <x v="8"/>
    <s v="1048457"/>
    <s v="2024-09-25"/>
    <s v="2024-09-25"/>
    <x v="0"/>
    <s v="Adult"/>
    <s v="Escapement"/>
    <s v="Gaff"/>
    <s v="Otoliths and Scales"/>
    <n v="1"/>
    <s v="02"/>
    <m/>
    <m/>
    <s v="Resorption present but not enough to suspect an annuli is missing.  Age unaffected."/>
    <x v="4"/>
  </r>
  <r>
    <n v="131287"/>
    <x v="2"/>
    <x v="1"/>
    <s v="8"/>
    <x v="8"/>
    <s v="1048457"/>
    <s v="2024-09-25"/>
    <s v="2024-09-25"/>
    <x v="0"/>
    <s v="Adult"/>
    <s v="Escapement"/>
    <s v="Gaff"/>
    <s v="Otoliths and Scales"/>
    <n v="2"/>
    <s v="03"/>
    <m/>
    <m/>
    <s v="Resorption present but not enough to suspect an annuli is missing.  Age unaffected."/>
    <x v="7"/>
  </r>
  <r>
    <n v="131287"/>
    <x v="2"/>
    <x v="1"/>
    <s v="8"/>
    <x v="8"/>
    <s v="1048457"/>
    <s v="2024-09-25"/>
    <s v="2024-09-25"/>
    <x v="0"/>
    <s v="Adult"/>
    <s v="Escapement"/>
    <s v="Gaff"/>
    <s v="Otoliths and Scales"/>
    <n v="3"/>
    <m/>
    <s v="M2"/>
    <s v="Regenerate Scale"/>
    <s v="Resorbed Age Interpretation. Resorption affecting age and missing 1 marine annulus"/>
    <x v="2"/>
  </r>
  <r>
    <n v="131287"/>
    <x v="2"/>
    <x v="1"/>
    <s v="8"/>
    <x v="8"/>
    <s v="1048457"/>
    <s v="2024-09-25"/>
    <s v="2024-09-25"/>
    <x v="0"/>
    <s v="Adult"/>
    <s v="Escapement"/>
    <s v="Gaff"/>
    <s v="Otoliths and Scales"/>
    <n v="1"/>
    <s v="02"/>
    <m/>
    <m/>
    <s v="Resorption present but not enough to suspect an annuli is missing.  Age unaffected."/>
    <x v="4"/>
  </r>
  <r>
    <n v="131287"/>
    <x v="2"/>
    <x v="1"/>
    <s v="8"/>
    <x v="8"/>
    <s v="1048457"/>
    <s v="2024-09-25"/>
    <s v="2024-09-25"/>
    <x v="0"/>
    <s v="Adult"/>
    <s v="Escapement"/>
    <s v="Gaff"/>
    <s v="Otoliths and Scales"/>
    <n v="2"/>
    <s v="03"/>
    <m/>
    <m/>
    <s v="Resorption present but not enough to suspect an annuli is missing.  Age unaffected."/>
    <x v="7"/>
  </r>
  <r>
    <n v="131287"/>
    <x v="2"/>
    <x v="1"/>
    <s v="8"/>
    <x v="8"/>
    <s v="1048457"/>
    <s v="2024-09-25"/>
    <s v="2024-09-25"/>
    <x v="0"/>
    <s v="Adult"/>
    <s v="Escapement"/>
    <s v="Gaff"/>
    <s v="Otoliths and Scales"/>
    <n v="3"/>
    <m/>
    <s v="M2"/>
    <s v="Regenerate Scale"/>
    <s v="Resorbed Age Interpretation. Resorption affecting age and missing 1 marine annulus"/>
    <x v="2"/>
  </r>
  <r>
    <n v="141539"/>
    <x v="3"/>
    <x v="0"/>
    <s v="8"/>
    <x v="1"/>
    <s v="1080831"/>
    <s v="2025-07-07"/>
    <s v="2025-07-27"/>
    <x v="0"/>
    <s v="Adult"/>
    <s v="First Nations - FSC"/>
    <s v="Gillnet"/>
    <s v="Scales"/>
    <n v="1"/>
    <s v="13"/>
    <m/>
    <m/>
    <m/>
    <x v="5"/>
  </r>
  <r>
    <n v="141539"/>
    <x v="3"/>
    <x v="0"/>
    <s v="8"/>
    <x v="1"/>
    <s v="1080831"/>
    <s v="2025-07-07"/>
    <s v="2025-07-27"/>
    <x v="0"/>
    <s v="Adult"/>
    <s v="First Nations - FSC"/>
    <s v="Gillnet"/>
    <s v="Scales"/>
    <n v="2"/>
    <s v="12"/>
    <m/>
    <m/>
    <m/>
    <x v="0"/>
  </r>
  <r>
    <n v="141539"/>
    <x v="3"/>
    <x v="0"/>
    <s v="8"/>
    <x v="1"/>
    <s v="1080831"/>
    <s v="2025-07-07"/>
    <s v="2025-07-27"/>
    <x v="0"/>
    <s v="Adult"/>
    <s v="First Nations - FSC"/>
    <s v="Gillnet"/>
    <s v="Scales"/>
    <n v="3"/>
    <s v="12"/>
    <m/>
    <m/>
    <m/>
    <x v="0"/>
  </r>
  <r>
    <n v="141539"/>
    <x v="3"/>
    <x v="0"/>
    <s v="8"/>
    <x v="1"/>
    <s v="1080831"/>
    <s v="2025-07-07"/>
    <s v="2025-07-27"/>
    <x v="0"/>
    <s v="Adult"/>
    <s v="First Nations - FSC"/>
    <s v="Gillnet"/>
    <s v="Scales"/>
    <n v="4"/>
    <s v="12"/>
    <m/>
    <m/>
    <m/>
    <x v="0"/>
  </r>
  <r>
    <n v="141539"/>
    <x v="3"/>
    <x v="0"/>
    <s v="8"/>
    <x v="1"/>
    <s v="1080831"/>
    <s v="2025-07-07"/>
    <s v="2025-07-27"/>
    <x v="0"/>
    <s v="Adult"/>
    <s v="First Nations - FSC"/>
    <s v="Gillnet"/>
    <s v="Scales"/>
    <n v="5"/>
    <s v="12"/>
    <m/>
    <m/>
    <m/>
    <x v="0"/>
  </r>
  <r>
    <n v="141539"/>
    <x v="3"/>
    <x v="0"/>
    <s v="8"/>
    <x v="1"/>
    <s v="1080831"/>
    <s v="2025-07-07"/>
    <s v="2025-07-27"/>
    <x v="0"/>
    <s v="Adult"/>
    <s v="First Nations - FSC"/>
    <s v="Gillnet"/>
    <s v="Scales"/>
    <n v="6"/>
    <s v="13"/>
    <m/>
    <m/>
    <m/>
    <x v="5"/>
  </r>
  <r>
    <n v="141539"/>
    <x v="3"/>
    <x v="0"/>
    <s v="8"/>
    <x v="1"/>
    <s v="1080831"/>
    <s v="2025-07-07"/>
    <s v="2025-07-27"/>
    <x v="0"/>
    <s v="Adult"/>
    <s v="First Nations - FSC"/>
    <s v="Gillnet"/>
    <s v="Scales"/>
    <n v="7"/>
    <s v="13"/>
    <m/>
    <m/>
    <m/>
    <x v="5"/>
  </r>
  <r>
    <n v="141539"/>
    <x v="3"/>
    <x v="0"/>
    <s v="8"/>
    <x v="1"/>
    <s v="1080831"/>
    <s v="2025-07-07"/>
    <s v="2025-07-27"/>
    <x v="0"/>
    <s v="Adult"/>
    <s v="First Nations - FSC"/>
    <s v="Gillnet"/>
    <s v="Scales"/>
    <n v="8"/>
    <s v="12"/>
    <m/>
    <m/>
    <m/>
    <x v="0"/>
  </r>
  <r>
    <n v="141539"/>
    <x v="3"/>
    <x v="0"/>
    <s v="8"/>
    <x v="1"/>
    <s v="1080831"/>
    <s v="2025-07-07"/>
    <s v="2025-07-27"/>
    <x v="0"/>
    <s v="Adult"/>
    <s v="First Nations - FSC"/>
    <s v="Gillnet"/>
    <s v="Scales"/>
    <n v="9"/>
    <s v="13"/>
    <m/>
    <m/>
    <m/>
    <x v="5"/>
  </r>
  <r>
    <n v="141539"/>
    <x v="3"/>
    <x v="0"/>
    <s v="8"/>
    <x v="1"/>
    <s v="1080831"/>
    <s v="2025-07-07"/>
    <s v="2025-07-27"/>
    <x v="0"/>
    <s v="Adult"/>
    <s v="First Nations - FSC"/>
    <s v="Gillnet"/>
    <s v="Scales"/>
    <n v="10"/>
    <s v="12"/>
    <m/>
    <m/>
    <m/>
    <x v="0"/>
  </r>
  <r>
    <n v="141539"/>
    <x v="3"/>
    <x v="0"/>
    <s v="8"/>
    <x v="1"/>
    <s v="1080831"/>
    <s v="2025-07-07"/>
    <s v="2025-07-27"/>
    <x v="0"/>
    <s v="Adult"/>
    <s v="First Nations - FSC"/>
    <s v="Gillnet"/>
    <s v="Scales"/>
    <n v="11"/>
    <s v="03"/>
    <m/>
    <m/>
    <m/>
    <x v="7"/>
  </r>
  <r>
    <n v="141539"/>
    <x v="3"/>
    <x v="0"/>
    <s v="8"/>
    <x v="1"/>
    <s v="1080831"/>
    <s v="2025-07-07"/>
    <s v="2025-07-27"/>
    <x v="0"/>
    <s v="Adult"/>
    <s v="First Nations - FSC"/>
    <s v="Gillnet"/>
    <s v="Scales"/>
    <n v="12"/>
    <s v="02"/>
    <m/>
    <m/>
    <m/>
    <x v="4"/>
  </r>
  <r>
    <n v="141539"/>
    <x v="3"/>
    <x v="0"/>
    <s v="8"/>
    <x v="1"/>
    <s v="1080831"/>
    <s v="2025-07-07"/>
    <s v="2025-07-27"/>
    <x v="0"/>
    <s v="Adult"/>
    <s v="First Nations - FSC"/>
    <s v="Gillnet"/>
    <s v="Scales"/>
    <n v="13"/>
    <s v="13"/>
    <m/>
    <m/>
    <m/>
    <x v="5"/>
  </r>
  <r>
    <n v="141539"/>
    <x v="3"/>
    <x v="0"/>
    <s v="8"/>
    <x v="1"/>
    <s v="1080831"/>
    <s v="2025-07-07"/>
    <s v="2025-07-27"/>
    <x v="0"/>
    <s v="Adult"/>
    <s v="First Nations - FSC"/>
    <s v="Gillnet"/>
    <s v="Scales"/>
    <n v="14"/>
    <s v="12"/>
    <m/>
    <m/>
    <m/>
    <x v="0"/>
  </r>
  <r>
    <n v="141539"/>
    <x v="3"/>
    <x v="0"/>
    <s v="8"/>
    <x v="1"/>
    <s v="1080831"/>
    <s v="2025-07-07"/>
    <s v="2025-07-27"/>
    <x v="0"/>
    <s v="Adult"/>
    <s v="First Nations - FSC"/>
    <s v="Gillnet"/>
    <s v="Scales"/>
    <n v="15"/>
    <s v="12"/>
    <m/>
    <m/>
    <m/>
    <x v="0"/>
  </r>
  <r>
    <n v="141539"/>
    <x v="3"/>
    <x v="0"/>
    <s v="8"/>
    <x v="1"/>
    <s v="1080831"/>
    <s v="2025-07-07"/>
    <s v="2025-07-27"/>
    <x v="0"/>
    <s v="Adult"/>
    <s v="First Nations - FSC"/>
    <s v="Gillnet"/>
    <s v="Scales"/>
    <n v="16"/>
    <s v="12"/>
    <m/>
    <m/>
    <m/>
    <x v="0"/>
  </r>
  <r>
    <n v="141539"/>
    <x v="3"/>
    <x v="0"/>
    <s v="8"/>
    <x v="1"/>
    <s v="1080831"/>
    <s v="2025-07-07"/>
    <s v="2025-07-27"/>
    <x v="0"/>
    <s v="Adult"/>
    <s v="First Nations - FSC"/>
    <s v="Gillnet"/>
    <s v="Scales"/>
    <n v="17"/>
    <m/>
    <s v="M2"/>
    <s v="Regenerate Scale"/>
    <m/>
    <x v="2"/>
  </r>
  <r>
    <n v="141539"/>
    <x v="3"/>
    <x v="0"/>
    <s v="8"/>
    <x v="1"/>
    <s v="1080831"/>
    <s v="2025-07-07"/>
    <s v="2025-07-27"/>
    <x v="0"/>
    <s v="Adult"/>
    <s v="First Nations - FSC"/>
    <s v="Gillnet"/>
    <s v="Scales"/>
    <n v="18"/>
    <s v="03"/>
    <m/>
    <m/>
    <m/>
    <x v="7"/>
  </r>
  <r>
    <n v="141539"/>
    <x v="3"/>
    <x v="0"/>
    <s v="8"/>
    <x v="1"/>
    <s v="1080831"/>
    <s v="2025-07-07"/>
    <s v="2025-07-27"/>
    <x v="0"/>
    <s v="Adult"/>
    <s v="First Nations - FSC"/>
    <s v="Gillnet"/>
    <s v="Scales"/>
    <n v="19"/>
    <m/>
    <m/>
    <s v="Regenerate Scale"/>
    <m/>
    <x v="1"/>
  </r>
  <r>
    <n v="141539"/>
    <x v="3"/>
    <x v="0"/>
    <s v="8"/>
    <x v="1"/>
    <s v="1080831"/>
    <s v="2025-07-07"/>
    <s v="2025-07-27"/>
    <x v="0"/>
    <s v="Adult"/>
    <s v="First Nations - FSC"/>
    <s v="Gillnet"/>
    <s v="Scales"/>
    <n v="20"/>
    <s v="12"/>
    <m/>
    <m/>
    <s v="Resorption present but not enough to suspect an annuli is missing.  Age unaffected."/>
    <x v="0"/>
  </r>
  <r>
    <n v="141539"/>
    <x v="3"/>
    <x v="0"/>
    <s v="8"/>
    <x v="1"/>
    <s v="1080831"/>
    <s v="2025-07-07"/>
    <s v="2025-07-27"/>
    <x v="0"/>
    <s v="Adult"/>
    <s v="First Nations - FSC"/>
    <s v="Gillnet"/>
    <s v="Scales"/>
    <n v="21"/>
    <s v="12"/>
    <m/>
    <m/>
    <m/>
    <x v="0"/>
  </r>
  <r>
    <n v="141539"/>
    <x v="3"/>
    <x v="0"/>
    <s v="8"/>
    <x v="1"/>
    <s v="1080831"/>
    <s v="2025-07-07"/>
    <s v="2025-07-27"/>
    <x v="0"/>
    <s v="Adult"/>
    <s v="First Nations - FSC"/>
    <s v="Gillnet"/>
    <s v="Scales"/>
    <n v="22"/>
    <m/>
    <s v="M2"/>
    <s v="Regenerate Scale"/>
    <m/>
    <x v="2"/>
  </r>
  <r>
    <n v="141539"/>
    <x v="3"/>
    <x v="0"/>
    <s v="8"/>
    <x v="1"/>
    <s v="1080831"/>
    <s v="2025-07-07"/>
    <s v="2025-07-27"/>
    <x v="0"/>
    <s v="Adult"/>
    <s v="First Nations - FSC"/>
    <s v="Gillnet"/>
    <s v="Scales"/>
    <n v="23"/>
    <s v="03"/>
    <m/>
    <m/>
    <m/>
    <x v="7"/>
  </r>
  <r>
    <n v="141539"/>
    <x v="3"/>
    <x v="0"/>
    <s v="8"/>
    <x v="1"/>
    <s v="1080831"/>
    <s v="2025-07-07"/>
    <s v="2025-07-27"/>
    <x v="0"/>
    <s v="Adult"/>
    <s v="First Nations - FSC"/>
    <s v="Gillnet"/>
    <s v="Scales"/>
    <n v="24"/>
    <s v="12"/>
    <m/>
    <m/>
    <m/>
    <x v="0"/>
  </r>
  <r>
    <n v="141539"/>
    <x v="3"/>
    <x v="0"/>
    <s v="8"/>
    <x v="1"/>
    <s v="1080831"/>
    <s v="2025-07-07"/>
    <s v="2025-07-27"/>
    <x v="0"/>
    <s v="Adult"/>
    <s v="First Nations - FSC"/>
    <s v="Gillnet"/>
    <s v="Scales"/>
    <n v="25"/>
    <m/>
    <s v="M2"/>
    <s v="Regenerate Scale"/>
    <s v="Resorption present but not enough to suspect an annuli is missing.  Age unaffected."/>
    <x v="2"/>
  </r>
  <r>
    <n v="141539"/>
    <x v="3"/>
    <x v="0"/>
    <s v="8"/>
    <x v="1"/>
    <s v="1080832"/>
    <s v="2025-07-21"/>
    <s v="2025-07-27"/>
    <x v="0"/>
    <s v="Adult"/>
    <s v="First Nations - FSC"/>
    <s v="Gillnet"/>
    <s v="Scales"/>
    <n v="1"/>
    <s v="12"/>
    <m/>
    <m/>
    <m/>
    <x v="0"/>
  </r>
  <r>
    <n v="141539"/>
    <x v="3"/>
    <x v="0"/>
    <s v="8"/>
    <x v="1"/>
    <s v="1080832"/>
    <s v="2025-07-21"/>
    <s v="2025-07-27"/>
    <x v="0"/>
    <s v="Adult"/>
    <s v="First Nations - FSC"/>
    <s v="Gillnet"/>
    <s v="Scales"/>
    <n v="2"/>
    <s v="13"/>
    <m/>
    <m/>
    <s v="Resorption present but not enough to suspect an annuli is missing.  Age unaffected."/>
    <x v="5"/>
  </r>
  <r>
    <n v="141539"/>
    <x v="3"/>
    <x v="0"/>
    <s v="8"/>
    <x v="1"/>
    <s v="1080832"/>
    <s v="2025-07-21"/>
    <s v="2025-07-27"/>
    <x v="0"/>
    <s v="Adult"/>
    <s v="First Nations - FSC"/>
    <s v="Gillnet"/>
    <s v="Scales"/>
    <n v="3"/>
    <s v="02"/>
    <m/>
    <m/>
    <s v="Resorption present but not enough to suspect an annuli is missing.  Age unaffected."/>
    <x v="4"/>
  </r>
  <r>
    <n v="141539"/>
    <x v="3"/>
    <x v="0"/>
    <s v="8"/>
    <x v="1"/>
    <s v="1080832"/>
    <s v="2025-07-21"/>
    <s v="2025-07-27"/>
    <x v="0"/>
    <s v="Adult"/>
    <s v="First Nations - FSC"/>
    <s v="Gillnet"/>
    <s v="Scales"/>
    <n v="4"/>
    <s v="13"/>
    <m/>
    <m/>
    <s v="Resorption present but not enough to suspect an annuli is missing.  Age unaffected."/>
    <x v="5"/>
  </r>
  <r>
    <n v="141539"/>
    <x v="3"/>
    <x v="0"/>
    <s v="8"/>
    <x v="1"/>
    <s v="1080832"/>
    <s v="2025-07-21"/>
    <s v="2025-07-27"/>
    <x v="0"/>
    <s v="Adult"/>
    <s v="First Nations - FSC"/>
    <s v="Gillnet"/>
    <s v="Scales"/>
    <n v="5"/>
    <s v="12"/>
    <m/>
    <m/>
    <s v="Resorption present but not enough to suspect an annuli is missing.  Age unaffected."/>
    <x v="0"/>
  </r>
  <r>
    <n v="141539"/>
    <x v="3"/>
    <x v="0"/>
    <s v="8"/>
    <x v="1"/>
    <s v="1080832"/>
    <s v="2025-07-21"/>
    <s v="2025-07-27"/>
    <x v="0"/>
    <s v="Adult"/>
    <s v="First Nations - FSC"/>
    <s v="Gillnet"/>
    <s v="Scales"/>
    <n v="6"/>
    <s v="13"/>
    <m/>
    <m/>
    <s v="Resorption present but not enough to suspect an annuli is missing.  Age unaffected."/>
    <x v="5"/>
  </r>
  <r>
    <n v="141539"/>
    <x v="3"/>
    <x v="0"/>
    <s v="8"/>
    <x v="1"/>
    <s v="1080832"/>
    <s v="2025-07-21"/>
    <s v="2025-07-27"/>
    <x v="0"/>
    <s v="Adult"/>
    <s v="First Nations - FSC"/>
    <s v="Gillnet"/>
    <s v="Scales"/>
    <n v="7"/>
    <s v="12"/>
    <m/>
    <m/>
    <m/>
    <x v="0"/>
  </r>
  <r>
    <n v="141539"/>
    <x v="3"/>
    <x v="0"/>
    <s v="8"/>
    <x v="1"/>
    <s v="1080832"/>
    <s v="2025-07-21"/>
    <s v="2025-07-27"/>
    <x v="0"/>
    <s v="Adult"/>
    <s v="First Nations - FSC"/>
    <s v="Gillnet"/>
    <s v="Scales"/>
    <n v="8"/>
    <s v="12"/>
    <m/>
    <m/>
    <s v="Resorption present but not enough to suspect an annuli is missing.  Age unaffected."/>
    <x v="0"/>
  </r>
  <r>
    <n v="141539"/>
    <x v="3"/>
    <x v="0"/>
    <s v="8"/>
    <x v="1"/>
    <s v="1080832"/>
    <s v="2025-07-21"/>
    <s v="2025-07-27"/>
    <x v="0"/>
    <s v="Adult"/>
    <s v="First Nations - FSC"/>
    <s v="Gillnet"/>
    <s v="Scales"/>
    <n v="9"/>
    <s v="22"/>
    <m/>
    <m/>
    <s v="Resorption present but not enough to suspect an annuli is missing.  Age unaffected."/>
    <x v="9"/>
  </r>
  <r>
    <n v="141539"/>
    <x v="3"/>
    <x v="0"/>
    <s v="8"/>
    <x v="1"/>
    <s v="1080832"/>
    <s v="2025-07-21"/>
    <s v="2025-07-27"/>
    <x v="0"/>
    <s v="Adult"/>
    <s v="First Nations - FSC"/>
    <s v="Gillnet"/>
    <s v="Scales"/>
    <n v="10"/>
    <s v="22"/>
    <m/>
    <m/>
    <m/>
    <x v="9"/>
  </r>
  <r>
    <n v="141539"/>
    <x v="3"/>
    <x v="0"/>
    <s v="8"/>
    <x v="1"/>
    <s v="1080832"/>
    <s v="2025-07-21"/>
    <s v="2025-07-27"/>
    <x v="0"/>
    <s v="Adult"/>
    <s v="First Nations - FSC"/>
    <s v="Gillnet"/>
    <s v="Scales"/>
    <n v="11"/>
    <m/>
    <s v="M2"/>
    <s v="Regenerate Scale"/>
    <s v="Resorption present but not enough to suspect an annuli is missing.  Age unaffected."/>
    <x v="2"/>
  </r>
  <r>
    <n v="141539"/>
    <x v="3"/>
    <x v="0"/>
    <s v="8"/>
    <x v="1"/>
    <s v="1080832"/>
    <s v="2025-07-21"/>
    <s v="2025-07-27"/>
    <x v="0"/>
    <s v="Adult"/>
    <s v="First Nations - FSC"/>
    <s v="Gillnet"/>
    <s v="Scales"/>
    <n v="12"/>
    <m/>
    <m/>
    <s v="No Structure"/>
    <m/>
    <x v="1"/>
  </r>
  <r>
    <n v="141539"/>
    <x v="3"/>
    <x v="0"/>
    <s v="8"/>
    <x v="1"/>
    <s v="1080832"/>
    <s v="2025-07-21"/>
    <s v="2025-07-27"/>
    <x v="0"/>
    <s v="Adult"/>
    <s v="First Nations - FSC"/>
    <s v="Gillnet"/>
    <s v="Scales"/>
    <n v="13"/>
    <m/>
    <m/>
    <s v="No Structure"/>
    <m/>
    <x v="1"/>
  </r>
  <r>
    <n v="141539"/>
    <x v="3"/>
    <x v="0"/>
    <s v="8"/>
    <x v="1"/>
    <s v="1080832"/>
    <s v="2025-07-21"/>
    <s v="2025-07-27"/>
    <x v="0"/>
    <s v="Adult"/>
    <s v="First Nations - FSC"/>
    <s v="Gillnet"/>
    <s v="Scales"/>
    <n v="14"/>
    <m/>
    <s v="M2"/>
    <s v="Regenerate Scale"/>
    <s v="Resorption present but not enough to suspect an annuli is missing.  Age unaffected."/>
    <x v="2"/>
  </r>
  <r>
    <n v="141539"/>
    <x v="3"/>
    <x v="0"/>
    <s v="8"/>
    <x v="1"/>
    <s v="1080832"/>
    <s v="2025-07-21"/>
    <s v="2025-07-27"/>
    <x v="0"/>
    <s v="Adult"/>
    <s v="First Nations - FSC"/>
    <s v="Gillnet"/>
    <s v="Scales"/>
    <n v="15"/>
    <s v="13"/>
    <m/>
    <m/>
    <m/>
    <x v="5"/>
  </r>
  <r>
    <n v="141539"/>
    <x v="3"/>
    <x v="0"/>
    <s v="8"/>
    <x v="1"/>
    <s v="1080832"/>
    <s v="2025-07-21"/>
    <s v="2025-07-27"/>
    <x v="0"/>
    <s v="Adult"/>
    <s v="First Nations - FSC"/>
    <s v="Gillnet"/>
    <s v="Scales"/>
    <n v="16"/>
    <s v="13"/>
    <m/>
    <m/>
    <s v="Resorption present but not enough to suspect an annuli is missing.  Age unaffected."/>
    <x v="5"/>
  </r>
  <r>
    <n v="141539"/>
    <x v="3"/>
    <x v="0"/>
    <s v="8"/>
    <x v="1"/>
    <s v="1080832"/>
    <s v="2025-07-21"/>
    <s v="2025-07-27"/>
    <x v="0"/>
    <s v="Adult"/>
    <s v="First Nations - FSC"/>
    <s v="Gillnet"/>
    <s v="Scales"/>
    <n v="17"/>
    <s v="12"/>
    <m/>
    <m/>
    <m/>
    <x v="0"/>
  </r>
  <r>
    <n v="141539"/>
    <x v="3"/>
    <x v="0"/>
    <s v="8"/>
    <x v="1"/>
    <s v="1080832"/>
    <s v="2025-07-21"/>
    <s v="2025-07-27"/>
    <x v="1"/>
    <s v="Adult"/>
    <s v="First Nations - FSC"/>
    <s v="Gillnet"/>
    <s v="Scales"/>
    <n v="18"/>
    <m/>
    <s v="M1"/>
    <s v="Regenerate Scale"/>
    <m/>
    <x v="12"/>
  </r>
  <r>
    <n v="145267"/>
    <x v="3"/>
    <x v="1"/>
    <s v="8"/>
    <x v="2"/>
    <s v="1080809"/>
    <s v="2025-08-25"/>
    <s v="2025-09-29"/>
    <x v="0"/>
    <s v="Adult"/>
    <s v="Escapement"/>
    <s v="Gaff"/>
    <s v="Otoliths and Scales"/>
    <n v="1"/>
    <s v="22"/>
    <m/>
    <s v="Broken Otolith"/>
    <m/>
    <x v="9"/>
  </r>
  <r>
    <n v="145267"/>
    <x v="3"/>
    <x v="1"/>
    <s v="8"/>
    <x v="2"/>
    <s v="1080809"/>
    <s v="2025-08-25"/>
    <s v="2025-09-29"/>
    <x v="0"/>
    <s v="Adult"/>
    <s v="Escapement"/>
    <s v="Gaff"/>
    <s v="Otoliths and Scales"/>
    <n v="2"/>
    <s v="12"/>
    <m/>
    <m/>
    <m/>
    <x v="0"/>
  </r>
  <r>
    <n v="145267"/>
    <x v="3"/>
    <x v="1"/>
    <s v="8"/>
    <x v="2"/>
    <s v="1080809"/>
    <s v="2025-08-25"/>
    <s v="2025-09-29"/>
    <x v="0"/>
    <s v="Adult"/>
    <s v="Escapement"/>
    <s v="Gaff"/>
    <s v="Otoliths and Scales"/>
    <n v="3"/>
    <s v="02"/>
    <m/>
    <m/>
    <s v="Resorption present but not enough to suspect an annuli is missing.  Age unaffected."/>
    <x v="4"/>
  </r>
  <r>
    <n v="145267"/>
    <x v="3"/>
    <x v="1"/>
    <s v="8"/>
    <x v="2"/>
    <s v="1080809"/>
    <s v="2025-08-25"/>
    <s v="2025-09-29"/>
    <x v="0"/>
    <s v="Adult"/>
    <s v="Escapement"/>
    <s v="Gaff"/>
    <s v="Otoliths and Scales"/>
    <n v="4"/>
    <s v="22"/>
    <m/>
    <m/>
    <s v="Resorbed Age Interpretation. Resorption affecting age and missing 1 marine annulus"/>
    <x v="9"/>
  </r>
  <r>
    <n v="145267"/>
    <x v="3"/>
    <x v="1"/>
    <s v="8"/>
    <x v="2"/>
    <s v="1080809"/>
    <s v="2025-08-25"/>
    <s v="2025-09-29"/>
    <x v="0"/>
    <s v="Adult"/>
    <s v="Escapement"/>
    <s v="Gaff"/>
    <s v="Otoliths and Scales"/>
    <n v="5"/>
    <s v="21"/>
    <m/>
    <m/>
    <m/>
    <x v="13"/>
  </r>
  <r>
    <n v="145267"/>
    <x v="3"/>
    <x v="1"/>
    <s v="8"/>
    <x v="2"/>
    <s v="1080809"/>
    <s v="2025-08-25"/>
    <s v="2025-09-29"/>
    <x v="0"/>
    <s v="Adult"/>
    <s v="Escapement"/>
    <s v="Gaff"/>
    <s v="Otoliths and Scales"/>
    <n v="6"/>
    <s v="12"/>
    <m/>
    <m/>
    <m/>
    <x v="0"/>
  </r>
  <r>
    <n v="145267"/>
    <x v="3"/>
    <x v="1"/>
    <s v="8"/>
    <x v="2"/>
    <s v="1080809"/>
    <s v="2025-08-25"/>
    <s v="2025-09-29"/>
    <x v="0"/>
    <s v="Adult"/>
    <s v="Escapement"/>
    <s v="Gaff"/>
    <s v="Otoliths and Scales"/>
    <n v="7"/>
    <s v="12"/>
    <m/>
    <m/>
    <m/>
    <x v="0"/>
  </r>
  <r>
    <n v="145267"/>
    <x v="3"/>
    <x v="1"/>
    <s v="8"/>
    <x v="2"/>
    <s v="1080809"/>
    <s v="2025-08-25"/>
    <s v="2025-09-29"/>
    <x v="0"/>
    <s v="Adult"/>
    <s v="Escapement"/>
    <s v="Gaff"/>
    <s v="Otoliths and Scales"/>
    <n v="8"/>
    <s v="12"/>
    <m/>
    <m/>
    <m/>
    <x v="0"/>
  </r>
  <r>
    <n v="145267"/>
    <x v="3"/>
    <x v="1"/>
    <s v="8"/>
    <x v="2"/>
    <s v="1080809"/>
    <s v="2025-08-25"/>
    <s v="2025-09-29"/>
    <x v="0"/>
    <s v="Adult"/>
    <s v="Escapement"/>
    <s v="Gaff"/>
    <s v="Otoliths and Scales"/>
    <n v="9"/>
    <s v="12"/>
    <m/>
    <m/>
    <m/>
    <x v="0"/>
  </r>
  <r>
    <n v="145267"/>
    <x v="3"/>
    <x v="1"/>
    <s v="8"/>
    <x v="2"/>
    <s v="1080809"/>
    <s v="2025-08-25"/>
    <s v="2025-09-29"/>
    <x v="0"/>
    <s v="Adult"/>
    <s v="Escapement"/>
    <s v="Gaff"/>
    <s v="Otoliths and Scales"/>
    <n v="10"/>
    <s v="12"/>
    <m/>
    <m/>
    <m/>
    <x v="0"/>
  </r>
  <r>
    <n v="145267"/>
    <x v="3"/>
    <x v="1"/>
    <s v="8"/>
    <x v="2"/>
    <s v="1080809"/>
    <s v="2025-08-25"/>
    <s v="2025-09-29"/>
    <x v="0"/>
    <s v="Adult"/>
    <s v="Escapement"/>
    <s v="Gaff"/>
    <s v="Otoliths and Scales"/>
    <n v="11"/>
    <s v="12"/>
    <m/>
    <m/>
    <m/>
    <x v="0"/>
  </r>
  <r>
    <n v="145267"/>
    <x v="3"/>
    <x v="1"/>
    <s v="8"/>
    <x v="2"/>
    <s v="1080809"/>
    <s v="2025-08-25"/>
    <s v="2025-09-29"/>
    <x v="0"/>
    <s v="Adult"/>
    <s v="Escapement"/>
    <s v="Gaff"/>
    <s v="Otoliths and Scales"/>
    <n v="12"/>
    <s v="03"/>
    <m/>
    <m/>
    <m/>
    <x v="7"/>
  </r>
  <r>
    <n v="145267"/>
    <x v="3"/>
    <x v="1"/>
    <s v="8"/>
    <x v="2"/>
    <s v="1080809"/>
    <s v="2025-08-25"/>
    <s v="2025-09-29"/>
    <x v="0"/>
    <s v="Adult"/>
    <s v="Escapement"/>
    <s v="Gaff"/>
    <s v="Otoliths and Scales"/>
    <n v="13"/>
    <s v="12"/>
    <m/>
    <m/>
    <s v="Resorbed Age Interpretation. Resorption affecting age and missing 1 marine annulus"/>
    <x v="0"/>
  </r>
  <r>
    <n v="145267"/>
    <x v="3"/>
    <x v="1"/>
    <s v="8"/>
    <x v="2"/>
    <s v="1080809"/>
    <s v="2025-08-25"/>
    <s v="2025-09-29"/>
    <x v="0"/>
    <s v="Adult"/>
    <s v="Escapement"/>
    <s v="Gaff"/>
    <s v="Otoliths and Scales"/>
    <n v="14"/>
    <s v="12"/>
    <m/>
    <m/>
    <m/>
    <x v="0"/>
  </r>
  <r>
    <n v="145267"/>
    <x v="3"/>
    <x v="1"/>
    <s v="8"/>
    <x v="2"/>
    <s v="1080809"/>
    <s v="2025-08-25"/>
    <s v="2025-09-29"/>
    <x v="0"/>
    <s v="Adult"/>
    <s v="Escapement"/>
    <s v="Gaff"/>
    <s v="Otoliths and Scales"/>
    <n v="15"/>
    <s v="12"/>
    <m/>
    <m/>
    <m/>
    <x v="0"/>
  </r>
  <r>
    <n v="145267"/>
    <x v="3"/>
    <x v="1"/>
    <s v="8"/>
    <x v="2"/>
    <s v="1080809"/>
    <s v="2025-08-25"/>
    <s v="2025-09-29"/>
    <x v="0"/>
    <s v="Adult"/>
    <s v="Escapement"/>
    <s v="Gaff"/>
    <s v="Otoliths and Scales"/>
    <n v="16"/>
    <s v="12"/>
    <m/>
    <m/>
    <m/>
    <x v="0"/>
  </r>
  <r>
    <n v="145267"/>
    <x v="3"/>
    <x v="1"/>
    <s v="8"/>
    <x v="2"/>
    <s v="1080809"/>
    <s v="2025-08-25"/>
    <s v="2025-09-29"/>
    <x v="0"/>
    <s v="Adult"/>
    <s v="Escapement"/>
    <s v="Gaff"/>
    <s v="Otoliths and Scales"/>
    <n v="17"/>
    <s v="03"/>
    <m/>
    <m/>
    <m/>
    <x v="7"/>
  </r>
  <r>
    <n v="145267"/>
    <x v="3"/>
    <x v="1"/>
    <s v="8"/>
    <x v="2"/>
    <s v="1080809"/>
    <s v="2025-08-25"/>
    <s v="2025-09-29"/>
    <x v="0"/>
    <s v="Adult"/>
    <s v="Escapement"/>
    <s v="Gaff"/>
    <s v="Otoliths and Scales"/>
    <n v="18"/>
    <s v="03"/>
    <m/>
    <m/>
    <m/>
    <x v="7"/>
  </r>
  <r>
    <n v="145267"/>
    <x v="3"/>
    <x v="1"/>
    <s v="8"/>
    <x v="2"/>
    <s v="1080809"/>
    <s v="2025-08-25"/>
    <s v="2025-09-29"/>
    <x v="0"/>
    <s v="Adult"/>
    <s v="Escapement"/>
    <s v="Gaff"/>
    <s v="Otoliths and Scales"/>
    <n v="19"/>
    <s v="22"/>
    <m/>
    <m/>
    <s v="Resorbed Age Interpretation. Resorption affecting age and missing 1 marine annulus"/>
    <x v="9"/>
  </r>
  <r>
    <n v="145267"/>
    <x v="3"/>
    <x v="1"/>
    <s v="8"/>
    <x v="2"/>
    <s v="1080809"/>
    <s v="2025-08-25"/>
    <s v="2025-09-29"/>
    <x v="0"/>
    <s v="Adult"/>
    <s v="Escapement"/>
    <s v="Gaff"/>
    <s v="Otoliths and Scales"/>
    <n v="20"/>
    <s v="12"/>
    <m/>
    <m/>
    <m/>
    <x v="0"/>
  </r>
  <r>
    <n v="145267"/>
    <x v="3"/>
    <x v="1"/>
    <s v="8"/>
    <x v="2"/>
    <s v="1080809"/>
    <s v="2025-08-25"/>
    <s v="2025-09-29"/>
    <x v="0"/>
    <s v="Adult"/>
    <s v="Escapement"/>
    <s v="Gaff"/>
    <s v="Otoliths and Scales"/>
    <n v="21"/>
    <s v="12"/>
    <m/>
    <m/>
    <m/>
    <x v="0"/>
  </r>
  <r>
    <n v="145267"/>
    <x v="3"/>
    <x v="1"/>
    <s v="8"/>
    <x v="2"/>
    <s v="1080809"/>
    <s v="2025-08-25"/>
    <s v="2025-09-29"/>
    <x v="0"/>
    <s v="Adult"/>
    <s v="Escapement"/>
    <s v="Gaff"/>
    <s v="Otoliths and Scales"/>
    <n v="22"/>
    <s v="02"/>
    <m/>
    <m/>
    <s v="Resorption present but not enough to suspect an annuli is missing.  Age unaffected."/>
    <x v="4"/>
  </r>
  <r>
    <n v="145267"/>
    <x v="3"/>
    <x v="1"/>
    <s v="8"/>
    <x v="2"/>
    <s v="1080809"/>
    <s v="2025-08-25"/>
    <s v="2025-09-29"/>
    <x v="0"/>
    <s v="Adult"/>
    <s v="Escapement"/>
    <s v="Gaff"/>
    <s v="Otoliths and Scales"/>
    <n v="23"/>
    <s v="12"/>
    <m/>
    <m/>
    <m/>
    <x v="0"/>
  </r>
  <r>
    <n v="145267"/>
    <x v="3"/>
    <x v="1"/>
    <s v="8"/>
    <x v="2"/>
    <s v="1080809"/>
    <s v="2025-08-25"/>
    <s v="2025-09-29"/>
    <x v="0"/>
    <s v="Adult"/>
    <s v="Escapement"/>
    <s v="Gaff"/>
    <s v="Otoliths and Scales"/>
    <n v="24"/>
    <s v="03"/>
    <m/>
    <m/>
    <s v="Resorption present but not enough to suspect an annuli is missing.  Age unaffected."/>
    <x v="7"/>
  </r>
  <r>
    <n v="145267"/>
    <x v="3"/>
    <x v="1"/>
    <s v="8"/>
    <x v="2"/>
    <s v="1080809"/>
    <s v="2025-08-25"/>
    <s v="2025-09-29"/>
    <x v="0"/>
    <s v="Adult"/>
    <s v="Escapement"/>
    <s v="Gaff"/>
    <s v="Otoliths and Scales"/>
    <n v="25"/>
    <s v="12"/>
    <m/>
    <m/>
    <m/>
    <x v="0"/>
  </r>
  <r>
    <n v="145267"/>
    <x v="3"/>
    <x v="1"/>
    <s v="8"/>
    <x v="2"/>
    <s v="1080810"/>
    <s v="2025-09-29"/>
    <s v="2025-10-02"/>
    <x v="0"/>
    <s v="Adult"/>
    <s v="Escapement"/>
    <s v="Gaff"/>
    <s v="Otoliths and Scales"/>
    <n v="1"/>
    <s v="22"/>
    <m/>
    <m/>
    <m/>
    <x v="9"/>
  </r>
  <r>
    <n v="145267"/>
    <x v="3"/>
    <x v="1"/>
    <s v="8"/>
    <x v="2"/>
    <s v="1080810"/>
    <s v="2025-09-29"/>
    <s v="2025-10-02"/>
    <x v="0"/>
    <s v="Adult"/>
    <s v="Escapement"/>
    <s v="Gaff"/>
    <s v="Otoliths and Scales"/>
    <n v="2"/>
    <s v="12"/>
    <m/>
    <m/>
    <m/>
    <x v="0"/>
  </r>
  <r>
    <n v="145267"/>
    <x v="3"/>
    <x v="1"/>
    <s v="8"/>
    <x v="2"/>
    <s v="1080810"/>
    <s v="2025-09-29"/>
    <s v="2025-10-02"/>
    <x v="0"/>
    <s v="Adult"/>
    <s v="Escapement"/>
    <s v="Gaff"/>
    <s v="Otoliths and Scales"/>
    <n v="3"/>
    <s v="12"/>
    <m/>
    <m/>
    <m/>
    <x v="0"/>
  </r>
  <r>
    <n v="145267"/>
    <x v="3"/>
    <x v="1"/>
    <s v="8"/>
    <x v="2"/>
    <s v="1080810"/>
    <s v="2025-09-29"/>
    <s v="2025-10-02"/>
    <x v="0"/>
    <s v="Adult"/>
    <s v="Escapement"/>
    <s v="Gaff"/>
    <s v="Otoliths and Scales"/>
    <n v="4"/>
    <s v="22"/>
    <m/>
    <m/>
    <m/>
    <x v="9"/>
  </r>
  <r>
    <n v="145267"/>
    <x v="3"/>
    <x v="1"/>
    <s v="8"/>
    <x v="2"/>
    <s v="1080810"/>
    <s v="2025-09-29"/>
    <s v="2025-10-02"/>
    <x v="0"/>
    <s v="Adult"/>
    <s v="Escapement"/>
    <s v="Gaff"/>
    <s v="Otoliths and Scales"/>
    <n v="5"/>
    <s v="22"/>
    <m/>
    <m/>
    <s v="Resorption present but not enough to suspect an annuli is missing.  Age unaffected."/>
    <x v="9"/>
  </r>
  <r>
    <n v="145267"/>
    <x v="3"/>
    <x v="1"/>
    <s v="8"/>
    <x v="2"/>
    <s v="1080810"/>
    <s v="2025-09-29"/>
    <s v="2025-10-02"/>
    <x v="0"/>
    <s v="Adult"/>
    <s v="Escapement"/>
    <s v="Gaff"/>
    <s v="Otoliths and Scales"/>
    <n v="6"/>
    <s v="12"/>
    <m/>
    <m/>
    <m/>
    <x v="0"/>
  </r>
  <r>
    <n v="145267"/>
    <x v="3"/>
    <x v="1"/>
    <s v="8"/>
    <x v="2"/>
    <s v="1080810"/>
    <s v="2025-09-29"/>
    <s v="2025-10-02"/>
    <x v="0"/>
    <s v="Adult"/>
    <s v="Escapement"/>
    <s v="Gaff"/>
    <s v="Otoliths and Scales"/>
    <n v="7"/>
    <s v="03"/>
    <m/>
    <m/>
    <m/>
    <x v="7"/>
  </r>
  <r>
    <n v="145267"/>
    <x v="3"/>
    <x v="1"/>
    <s v="8"/>
    <x v="2"/>
    <s v="1080810"/>
    <s v="2025-09-29"/>
    <s v="2025-10-02"/>
    <x v="0"/>
    <s v="Adult"/>
    <s v="Escapement"/>
    <s v="Gaff"/>
    <s v="Otoliths and Scales"/>
    <n v="8"/>
    <s v="22"/>
    <m/>
    <m/>
    <s v="Resorption present but not enough to suspect an annuli is missing.  Age unaffected."/>
    <x v="9"/>
  </r>
  <r>
    <n v="145267"/>
    <x v="3"/>
    <x v="1"/>
    <s v="8"/>
    <x v="2"/>
    <s v="1080810"/>
    <s v="2025-09-29"/>
    <s v="2025-10-02"/>
    <x v="0"/>
    <s v="Adult"/>
    <s v="Escapement"/>
    <s v="Gaff"/>
    <s v="Otoliths and Scales"/>
    <n v="9"/>
    <s v="12"/>
    <m/>
    <m/>
    <m/>
    <x v="0"/>
  </r>
  <r>
    <n v="145267"/>
    <x v="3"/>
    <x v="1"/>
    <s v="8"/>
    <x v="2"/>
    <s v="1080810"/>
    <s v="2025-09-29"/>
    <s v="2025-10-02"/>
    <x v="0"/>
    <s v="Adult"/>
    <s v="Escapement"/>
    <s v="Gaff"/>
    <s v="Otoliths and Scales"/>
    <n v="10"/>
    <s v="12"/>
    <m/>
    <m/>
    <m/>
    <x v="0"/>
  </r>
  <r>
    <n v="145267"/>
    <x v="3"/>
    <x v="1"/>
    <s v="8"/>
    <x v="2"/>
    <s v="1080810"/>
    <s v="2025-09-29"/>
    <s v="2025-10-02"/>
    <x v="0"/>
    <s v="Adult"/>
    <s v="Escapement"/>
    <s v="Gaff"/>
    <s v="Otoliths and Scales"/>
    <n v="11"/>
    <s v="12"/>
    <m/>
    <m/>
    <m/>
    <x v="0"/>
  </r>
  <r>
    <n v="145267"/>
    <x v="3"/>
    <x v="1"/>
    <s v="8"/>
    <x v="2"/>
    <s v="1080810"/>
    <s v="2025-09-29"/>
    <s v="2025-10-02"/>
    <x v="0"/>
    <s v="Adult"/>
    <s v="Escapement"/>
    <s v="Gaff"/>
    <s v="Otoliths and Scales"/>
    <n v="12"/>
    <s v="12"/>
    <m/>
    <m/>
    <m/>
    <x v="0"/>
  </r>
  <r>
    <n v="145267"/>
    <x v="3"/>
    <x v="1"/>
    <s v="8"/>
    <x v="2"/>
    <s v="1080810"/>
    <s v="2025-09-29"/>
    <s v="2025-10-02"/>
    <x v="0"/>
    <s v="Adult"/>
    <s v="Escapement"/>
    <s v="Gaff"/>
    <s v="Otoliths and Scales"/>
    <n v="13"/>
    <s v="12"/>
    <m/>
    <m/>
    <m/>
    <x v="0"/>
  </r>
  <r>
    <n v="145267"/>
    <x v="3"/>
    <x v="1"/>
    <s v="8"/>
    <x v="2"/>
    <s v="1080810"/>
    <s v="2025-09-29"/>
    <s v="2025-10-02"/>
    <x v="0"/>
    <s v="Adult"/>
    <s v="Escapement"/>
    <s v="Gaff"/>
    <s v="Otoliths and Scales"/>
    <n v="14"/>
    <s v="12"/>
    <m/>
    <m/>
    <m/>
    <x v="0"/>
  </r>
  <r>
    <n v="145267"/>
    <x v="3"/>
    <x v="1"/>
    <s v="8"/>
    <x v="2"/>
    <s v="1080810"/>
    <s v="2025-09-29"/>
    <s v="2025-10-02"/>
    <x v="0"/>
    <s v="Adult"/>
    <s v="Escapement"/>
    <s v="Gaff"/>
    <s v="Otoliths and Scales"/>
    <n v="15"/>
    <s v="12"/>
    <m/>
    <m/>
    <s v="Resorbed Age Interpretation. Resorption affecting age and missing 1 marine annulus"/>
    <x v="0"/>
  </r>
  <r>
    <n v="145267"/>
    <x v="3"/>
    <x v="1"/>
    <s v="8"/>
    <x v="2"/>
    <s v="1080810"/>
    <s v="2025-09-29"/>
    <s v="2025-10-02"/>
    <x v="0"/>
    <s v="Adult"/>
    <s v="Escapement"/>
    <s v="Gaff"/>
    <s v="Otoliths and Scales"/>
    <n v="16"/>
    <s v="02"/>
    <m/>
    <m/>
    <s v="Resorbed Age Interpretation. Resorption affecting age and missing 1 marine annulus"/>
    <x v="4"/>
  </r>
  <r>
    <n v="145267"/>
    <x v="3"/>
    <x v="1"/>
    <s v="8"/>
    <x v="2"/>
    <s v="1080810"/>
    <s v="2025-09-29"/>
    <s v="2025-10-02"/>
    <x v="0"/>
    <s v="Adult"/>
    <s v="Escapement"/>
    <s v="Gaff"/>
    <s v="Otoliths and Scales"/>
    <n v="17"/>
    <s v="22"/>
    <m/>
    <m/>
    <m/>
    <x v="9"/>
  </r>
  <r>
    <n v="145267"/>
    <x v="3"/>
    <x v="1"/>
    <s v="8"/>
    <x v="2"/>
    <s v="1080810"/>
    <s v="2025-09-29"/>
    <s v="2025-10-02"/>
    <x v="0"/>
    <s v="Adult"/>
    <s v="Escapement"/>
    <s v="Gaff"/>
    <s v="Otoliths and Scales"/>
    <n v="18"/>
    <s v="13"/>
    <m/>
    <m/>
    <m/>
    <x v="5"/>
  </r>
  <r>
    <n v="145267"/>
    <x v="3"/>
    <x v="1"/>
    <s v="8"/>
    <x v="2"/>
    <s v="1080810"/>
    <s v="2025-09-29"/>
    <s v="2025-10-02"/>
    <x v="0"/>
    <s v="Adult"/>
    <s v="Escapement"/>
    <s v="Gaff"/>
    <s v="Otoliths and Scales"/>
    <n v="19"/>
    <s v="02"/>
    <m/>
    <m/>
    <s v="Resorbed Age Interpretation. Resorption affecting age and missing 1 marine annulus"/>
    <x v="4"/>
  </r>
  <r>
    <n v="145267"/>
    <x v="3"/>
    <x v="1"/>
    <s v="8"/>
    <x v="2"/>
    <s v="1080810"/>
    <s v="2025-09-29"/>
    <s v="2025-10-02"/>
    <x v="0"/>
    <s v="Adult"/>
    <s v="Escapement"/>
    <s v="Gaff"/>
    <s v="Otoliths and Scales"/>
    <n v="20"/>
    <s v="12"/>
    <m/>
    <m/>
    <m/>
    <x v="0"/>
  </r>
  <r>
    <n v="145267"/>
    <x v="3"/>
    <x v="1"/>
    <s v="8"/>
    <x v="2"/>
    <s v="1080810"/>
    <s v="2025-09-29"/>
    <s v="2025-10-02"/>
    <x v="0"/>
    <s v="Adult"/>
    <s v="Escapement"/>
    <s v="Gaff"/>
    <s v="Otoliths and Scales"/>
    <n v="21"/>
    <s v="03"/>
    <m/>
    <m/>
    <m/>
    <x v="7"/>
  </r>
  <r>
    <n v="145267"/>
    <x v="3"/>
    <x v="1"/>
    <s v="8"/>
    <x v="2"/>
    <s v="1080810"/>
    <s v="2025-09-29"/>
    <s v="2025-10-02"/>
    <x v="0"/>
    <s v="Adult"/>
    <s v="Escapement"/>
    <s v="Gaff"/>
    <s v="Otoliths and Scales"/>
    <n v="22"/>
    <m/>
    <m/>
    <s v="No Age - See Container Comments"/>
    <m/>
    <x v="1"/>
  </r>
  <r>
    <n v="145267"/>
    <x v="3"/>
    <x v="1"/>
    <s v="8"/>
    <x v="2"/>
    <s v="1080810"/>
    <s v="2025-09-29"/>
    <s v="2025-10-02"/>
    <x v="0"/>
    <s v="Adult"/>
    <s v="Escapement"/>
    <s v="Gaff"/>
    <s v="Otoliths and Scales"/>
    <n v="23"/>
    <s v="12"/>
    <m/>
    <m/>
    <s v="Resorbed Age Interpretation. Resorption affecting age and missing 1 marine annulus"/>
    <x v="0"/>
  </r>
  <r>
    <n v="145267"/>
    <x v="3"/>
    <x v="1"/>
    <s v="8"/>
    <x v="2"/>
    <s v="1080810"/>
    <s v="2025-09-29"/>
    <s v="2025-10-02"/>
    <x v="0"/>
    <s v="Adult"/>
    <s v="Escapement"/>
    <s v="Gaff"/>
    <s v="Otoliths and Scales"/>
    <n v="24"/>
    <s v="03"/>
    <m/>
    <m/>
    <m/>
    <x v="7"/>
  </r>
  <r>
    <n v="145267"/>
    <x v="3"/>
    <x v="1"/>
    <s v="8"/>
    <x v="2"/>
    <s v="1080810"/>
    <s v="2025-09-29"/>
    <s v="2025-10-02"/>
    <x v="0"/>
    <s v="Adult"/>
    <s v="Escapement"/>
    <s v="Gaff"/>
    <s v="Otoliths and Scales"/>
    <n v="25"/>
    <s v="12"/>
    <m/>
    <m/>
    <m/>
    <x v="0"/>
  </r>
  <r>
    <n v="145267"/>
    <x v="3"/>
    <x v="1"/>
    <s v="8"/>
    <x v="2"/>
    <s v="1080811"/>
    <s v="2025-10-02"/>
    <s v="2025-10-07"/>
    <x v="0"/>
    <s v="Adult"/>
    <s v="Escapement"/>
    <s v="Gaff"/>
    <s v="Otoliths and Scales"/>
    <n v="1"/>
    <s v="12"/>
    <m/>
    <m/>
    <s v="Resorption present but not enough to suspect an annuli is missing.  Age unaffected."/>
    <x v="0"/>
  </r>
  <r>
    <n v="145267"/>
    <x v="3"/>
    <x v="1"/>
    <s v="8"/>
    <x v="2"/>
    <s v="1080811"/>
    <s v="2025-10-02"/>
    <s v="2025-10-07"/>
    <x v="0"/>
    <s v="Adult"/>
    <s v="Escapement"/>
    <s v="Gaff"/>
    <s v="Otoliths and Scales"/>
    <n v="2"/>
    <s v="22"/>
    <m/>
    <m/>
    <m/>
    <x v="9"/>
  </r>
  <r>
    <n v="145267"/>
    <x v="3"/>
    <x v="1"/>
    <s v="8"/>
    <x v="2"/>
    <s v="1080811"/>
    <s v="2025-10-02"/>
    <s v="2025-10-07"/>
    <x v="0"/>
    <s v="Adult"/>
    <s v="Escapement"/>
    <s v="Gaff"/>
    <s v="Otoliths and Scales"/>
    <n v="3"/>
    <s v="12"/>
    <m/>
    <m/>
    <m/>
    <x v="0"/>
  </r>
  <r>
    <n v="145267"/>
    <x v="3"/>
    <x v="1"/>
    <s v="8"/>
    <x v="2"/>
    <s v="1080811"/>
    <s v="2025-10-02"/>
    <s v="2025-10-07"/>
    <x v="0"/>
    <s v="Adult"/>
    <s v="Escapement"/>
    <s v="Gaff"/>
    <s v="Otoliths and Scales"/>
    <n v="4"/>
    <s v="12"/>
    <m/>
    <m/>
    <m/>
    <x v="0"/>
  </r>
  <r>
    <n v="145267"/>
    <x v="3"/>
    <x v="1"/>
    <s v="8"/>
    <x v="2"/>
    <s v="1080811"/>
    <s v="2025-10-02"/>
    <s v="2025-10-07"/>
    <x v="0"/>
    <s v="Adult"/>
    <s v="Escapement"/>
    <s v="Gaff"/>
    <s v="Otoliths and Scales"/>
    <n v="5"/>
    <s v="12"/>
    <m/>
    <m/>
    <m/>
    <x v="0"/>
  </r>
  <r>
    <n v="145267"/>
    <x v="3"/>
    <x v="1"/>
    <s v="8"/>
    <x v="2"/>
    <s v="1080811"/>
    <s v="2025-10-02"/>
    <s v="2025-10-07"/>
    <x v="0"/>
    <s v="Adult"/>
    <s v="Escapement"/>
    <s v="Gaff"/>
    <s v="Otoliths and Scales"/>
    <n v="6"/>
    <s v="03"/>
    <m/>
    <m/>
    <m/>
    <x v="7"/>
  </r>
  <r>
    <n v="145267"/>
    <x v="3"/>
    <x v="1"/>
    <s v="8"/>
    <x v="2"/>
    <s v="1080811"/>
    <s v="2025-10-02"/>
    <s v="2025-10-07"/>
    <x v="0"/>
    <s v="Adult"/>
    <s v="Escapement"/>
    <s v="Gaff"/>
    <s v="Otoliths and Scales"/>
    <n v="7"/>
    <s v="12"/>
    <m/>
    <m/>
    <s v="Resorption present but not enough to suspect an annuli is missing.  Age unaffected."/>
    <x v="0"/>
  </r>
  <r>
    <n v="145267"/>
    <x v="3"/>
    <x v="1"/>
    <s v="8"/>
    <x v="2"/>
    <s v="1080811"/>
    <s v="2025-10-02"/>
    <s v="2025-10-07"/>
    <x v="0"/>
    <s v="Adult"/>
    <s v="Escapement"/>
    <s v="Gaff"/>
    <s v="Otoliths and Scales"/>
    <n v="8"/>
    <s v="03"/>
    <m/>
    <m/>
    <m/>
    <x v="7"/>
  </r>
  <r>
    <n v="145267"/>
    <x v="3"/>
    <x v="1"/>
    <s v="8"/>
    <x v="2"/>
    <s v="1080811"/>
    <s v="2025-10-02"/>
    <s v="2025-10-07"/>
    <x v="0"/>
    <s v="Adult"/>
    <s v="Escapement"/>
    <s v="Gaff"/>
    <s v="Otoliths and Scales"/>
    <n v="9"/>
    <s v="12"/>
    <m/>
    <m/>
    <m/>
    <x v="0"/>
  </r>
  <r>
    <n v="145267"/>
    <x v="3"/>
    <x v="1"/>
    <s v="8"/>
    <x v="2"/>
    <s v="1080811"/>
    <s v="2025-10-02"/>
    <s v="2025-10-07"/>
    <x v="0"/>
    <s v="Adult"/>
    <s v="Escapement"/>
    <s v="Gaff"/>
    <s v="Otoliths and Scales"/>
    <n v="10"/>
    <s v="12"/>
    <m/>
    <m/>
    <m/>
    <x v="0"/>
  </r>
  <r>
    <n v="145267"/>
    <x v="3"/>
    <x v="1"/>
    <s v="8"/>
    <x v="2"/>
    <s v="1080811"/>
    <s v="2025-10-02"/>
    <s v="2025-10-07"/>
    <x v="0"/>
    <s v="Adult"/>
    <s v="Escapement"/>
    <s v="Gaff"/>
    <s v="Otoliths and Scales"/>
    <n v="11"/>
    <s v="12"/>
    <m/>
    <m/>
    <m/>
    <x v="0"/>
  </r>
  <r>
    <n v="145267"/>
    <x v="3"/>
    <x v="1"/>
    <s v="8"/>
    <x v="2"/>
    <s v="1080811"/>
    <s v="2025-10-02"/>
    <s v="2025-10-07"/>
    <x v="0"/>
    <s v="Adult"/>
    <s v="Escapement"/>
    <s v="Gaff"/>
    <s v="Otoliths and Scales"/>
    <n v="12"/>
    <m/>
    <s v="F0"/>
    <m/>
    <s v="Unknown amount of resorption. Cannot assess the number of marine annuli missing. Only freshwater age given, no marine age given."/>
    <x v="11"/>
  </r>
  <r>
    <n v="145267"/>
    <x v="3"/>
    <x v="1"/>
    <s v="8"/>
    <x v="2"/>
    <s v="1080811"/>
    <s v="2025-10-02"/>
    <s v="2025-10-07"/>
    <x v="0"/>
    <s v="Adult"/>
    <s v="Escapement"/>
    <s v="Gaff"/>
    <s v="Otoliths and Scales"/>
    <n v="13"/>
    <m/>
    <s v="F1"/>
    <m/>
    <s v="Unknown amount of resorption. Cannot assess the number of marine annuli missing. Only freshwater age given, no marine age given."/>
    <x v="8"/>
  </r>
  <r>
    <n v="145267"/>
    <x v="3"/>
    <x v="1"/>
    <s v="8"/>
    <x v="2"/>
    <s v="1080811"/>
    <s v="2025-10-02"/>
    <s v="2025-10-07"/>
    <x v="0"/>
    <s v="Adult"/>
    <s v="Escapement"/>
    <s v="Gaff"/>
    <s v="Otoliths and Scales"/>
    <n v="14"/>
    <m/>
    <s v="F1"/>
    <m/>
    <s v="Unknown amount of resorption. Cannot assess the number of marine annuli missing. Only freshwater age given, no marine age given."/>
    <x v="8"/>
  </r>
  <r>
    <n v="145267"/>
    <x v="3"/>
    <x v="1"/>
    <s v="8"/>
    <x v="2"/>
    <s v="1080811"/>
    <s v="2025-10-02"/>
    <s v="2025-10-07"/>
    <x v="0"/>
    <s v="Adult"/>
    <s v="Escapement"/>
    <s v="Gaff"/>
    <s v="Otoliths and Scales"/>
    <n v="15"/>
    <s v="12"/>
    <m/>
    <m/>
    <m/>
    <x v="0"/>
  </r>
  <r>
    <n v="145267"/>
    <x v="3"/>
    <x v="1"/>
    <s v="8"/>
    <x v="2"/>
    <s v="1080811"/>
    <s v="2025-10-02"/>
    <s v="2025-10-07"/>
    <x v="0"/>
    <s v="Adult"/>
    <s v="Escapement"/>
    <s v="Gaff"/>
    <s v="Otoliths and Scales"/>
    <n v="16"/>
    <s v="02"/>
    <m/>
    <m/>
    <s v="Resorbed Age Interpretation. Resorption affecting age and missing 1 marine annulus"/>
    <x v="4"/>
  </r>
  <r>
    <n v="145267"/>
    <x v="3"/>
    <x v="1"/>
    <s v="8"/>
    <x v="2"/>
    <s v="1080811"/>
    <s v="2025-10-02"/>
    <s v="2025-10-07"/>
    <x v="0"/>
    <s v="Adult"/>
    <s v="Escapement"/>
    <s v="Gaff"/>
    <s v="Otoliths and Scales"/>
    <n v="17"/>
    <s v="03"/>
    <m/>
    <m/>
    <m/>
    <x v="7"/>
  </r>
  <r>
    <n v="145267"/>
    <x v="3"/>
    <x v="1"/>
    <s v="8"/>
    <x v="2"/>
    <s v="1080811"/>
    <s v="2025-10-02"/>
    <s v="2025-10-07"/>
    <x v="0"/>
    <s v="Adult"/>
    <s v="Escapement"/>
    <s v="Gaff"/>
    <s v="Otoliths and Scales"/>
    <n v="18"/>
    <s v="12"/>
    <m/>
    <m/>
    <m/>
    <x v="0"/>
  </r>
  <r>
    <n v="145267"/>
    <x v="3"/>
    <x v="1"/>
    <s v="8"/>
    <x v="2"/>
    <s v="1080811"/>
    <s v="2025-10-02"/>
    <s v="2025-10-07"/>
    <x v="0"/>
    <s v="Adult"/>
    <s v="Escapement"/>
    <s v="Gaff"/>
    <s v="Otoliths and Scales"/>
    <n v="19"/>
    <s v="12"/>
    <m/>
    <m/>
    <m/>
    <x v="0"/>
  </r>
  <r>
    <n v="145267"/>
    <x v="3"/>
    <x v="1"/>
    <s v="8"/>
    <x v="2"/>
    <s v="1080811"/>
    <s v="2025-10-02"/>
    <s v="2025-10-07"/>
    <x v="0"/>
    <s v="Adult"/>
    <s v="Escapement"/>
    <s v="Gaff"/>
    <s v="Otoliths and Scales"/>
    <n v="20"/>
    <s v="22"/>
    <m/>
    <m/>
    <s v="Resorbed Age Interpretation. Resorption affecting age and missing 1 marine annulus"/>
    <x v="9"/>
  </r>
  <r>
    <n v="145267"/>
    <x v="3"/>
    <x v="1"/>
    <s v="8"/>
    <x v="2"/>
    <s v="1080811"/>
    <s v="2025-10-02"/>
    <s v="2025-10-07"/>
    <x v="0"/>
    <s v="Adult"/>
    <s v="Escapement"/>
    <s v="Gaff"/>
    <s v="Otoliths and Scales"/>
    <n v="21"/>
    <s v="12"/>
    <m/>
    <m/>
    <m/>
    <x v="0"/>
  </r>
  <r>
    <n v="145267"/>
    <x v="3"/>
    <x v="1"/>
    <s v="8"/>
    <x v="2"/>
    <s v="1080811"/>
    <s v="2025-10-02"/>
    <s v="2025-10-07"/>
    <x v="0"/>
    <s v="Adult"/>
    <s v="Escapement"/>
    <s v="Gaff"/>
    <s v="Otoliths and Scales"/>
    <n v="22"/>
    <s v="03"/>
    <m/>
    <m/>
    <m/>
    <x v="7"/>
  </r>
  <r>
    <n v="145267"/>
    <x v="3"/>
    <x v="1"/>
    <s v="8"/>
    <x v="2"/>
    <s v="1080811"/>
    <s v="2025-10-02"/>
    <s v="2025-10-07"/>
    <x v="0"/>
    <s v="Adult"/>
    <s v="Escapement"/>
    <s v="Gaff"/>
    <s v="Otoliths and Scales"/>
    <n v="23"/>
    <s v="12"/>
    <m/>
    <m/>
    <m/>
    <x v="0"/>
  </r>
  <r>
    <n v="145267"/>
    <x v="3"/>
    <x v="1"/>
    <s v="8"/>
    <x v="2"/>
    <s v="1080811"/>
    <s v="2025-10-02"/>
    <s v="2025-10-07"/>
    <x v="0"/>
    <s v="Adult"/>
    <s v="Escapement"/>
    <s v="Gaff"/>
    <s v="Otoliths and Scales"/>
    <n v="24"/>
    <s v="12"/>
    <m/>
    <m/>
    <m/>
    <x v="0"/>
  </r>
  <r>
    <n v="145267"/>
    <x v="3"/>
    <x v="1"/>
    <s v="8"/>
    <x v="2"/>
    <s v="1080811"/>
    <s v="2025-10-02"/>
    <s v="2025-10-07"/>
    <x v="0"/>
    <s v="Adult"/>
    <s v="Escapement"/>
    <s v="Gaff"/>
    <s v="Otoliths and Scales"/>
    <n v="25"/>
    <s v="12"/>
    <m/>
    <m/>
    <m/>
    <x v="0"/>
  </r>
  <r>
    <n v="145267"/>
    <x v="3"/>
    <x v="1"/>
    <s v="8"/>
    <x v="2"/>
    <s v="1080812"/>
    <s v="2025-10-07"/>
    <s v="2025-10-08"/>
    <x v="0"/>
    <s v="Adult"/>
    <s v="Escapement"/>
    <s v="Gaff"/>
    <s v="Otoliths and Scales"/>
    <n v="1"/>
    <s v="13"/>
    <m/>
    <m/>
    <m/>
    <x v="5"/>
  </r>
  <r>
    <n v="145267"/>
    <x v="3"/>
    <x v="1"/>
    <s v="8"/>
    <x v="2"/>
    <s v="1080812"/>
    <s v="2025-10-07"/>
    <s v="2025-10-08"/>
    <x v="0"/>
    <s v="Adult"/>
    <s v="Escapement"/>
    <s v="Gaff"/>
    <s v="Otoliths and Scales"/>
    <n v="2"/>
    <s v="11"/>
    <m/>
    <m/>
    <m/>
    <x v="3"/>
  </r>
  <r>
    <n v="145267"/>
    <x v="3"/>
    <x v="1"/>
    <s v="8"/>
    <x v="2"/>
    <s v="1080812"/>
    <s v="2025-10-07"/>
    <s v="2025-10-08"/>
    <x v="0"/>
    <s v="Adult"/>
    <s v="Escapement"/>
    <s v="Gaff"/>
    <s v="Otoliths and Scales"/>
    <n v="3"/>
    <s v="22"/>
    <m/>
    <m/>
    <s v="Resorbed Age Interpretation. Resorption affecting age and missing 1 marine annulus"/>
    <x v="9"/>
  </r>
  <r>
    <n v="145267"/>
    <x v="3"/>
    <x v="1"/>
    <s v="8"/>
    <x v="2"/>
    <s v="1080812"/>
    <s v="2025-10-07"/>
    <s v="2025-10-08"/>
    <x v="0"/>
    <s v="Adult"/>
    <s v="Escapement"/>
    <s v="Gaff"/>
    <s v="Otoliths and Scales"/>
    <n v="4"/>
    <s v="11"/>
    <m/>
    <m/>
    <m/>
    <x v="3"/>
  </r>
  <r>
    <n v="145267"/>
    <x v="3"/>
    <x v="1"/>
    <s v="8"/>
    <x v="2"/>
    <s v="1080812"/>
    <s v="2025-10-07"/>
    <s v="2025-10-08"/>
    <x v="0"/>
    <s v="Adult"/>
    <s v="Escapement"/>
    <s v="Gaff"/>
    <s v="Otoliths and Scales"/>
    <n v="5"/>
    <m/>
    <s v="M2"/>
    <s v="Wet Scale"/>
    <m/>
    <x v="2"/>
  </r>
  <r>
    <n v="145267"/>
    <x v="3"/>
    <x v="1"/>
    <s v="8"/>
    <x v="2"/>
    <s v="1080812"/>
    <s v="2025-10-07"/>
    <s v="2025-10-08"/>
    <x v="0"/>
    <s v="Adult"/>
    <s v="Escapement"/>
    <s v="Gaff"/>
    <s v="Otoliths and Scales"/>
    <n v="6"/>
    <s v="03"/>
    <m/>
    <m/>
    <m/>
    <x v="7"/>
  </r>
  <r>
    <n v="145267"/>
    <x v="3"/>
    <x v="1"/>
    <s v="8"/>
    <x v="2"/>
    <s v="1080812"/>
    <s v="2025-10-07"/>
    <s v="2025-10-08"/>
    <x v="0"/>
    <s v="Adult"/>
    <s v="Escapement"/>
    <s v="Gaff"/>
    <s v="Otoliths and Scales"/>
    <n v="7"/>
    <m/>
    <s v="F1"/>
    <m/>
    <s v="Unknown amount of resorption. Cannot assess the number of marine annuli missing. Only freshwater age given, no marine age given."/>
    <x v="8"/>
  </r>
  <r>
    <n v="145267"/>
    <x v="3"/>
    <x v="1"/>
    <s v="8"/>
    <x v="2"/>
    <s v="1080812"/>
    <s v="2025-10-07"/>
    <s v="2025-10-08"/>
    <x v="0"/>
    <s v="Adult"/>
    <s v="Escapement"/>
    <s v="Gaff"/>
    <s v="Otoliths and Scales"/>
    <n v="8"/>
    <s v="12"/>
    <m/>
    <m/>
    <m/>
    <x v="0"/>
  </r>
  <r>
    <n v="145267"/>
    <x v="3"/>
    <x v="1"/>
    <s v="8"/>
    <x v="2"/>
    <s v="1080812"/>
    <s v="2025-10-07"/>
    <s v="2025-10-08"/>
    <x v="0"/>
    <s v="Adult"/>
    <s v="Escapement"/>
    <s v="Gaff"/>
    <s v="Otoliths and Scales"/>
    <n v="9"/>
    <s v="12"/>
    <m/>
    <m/>
    <m/>
    <x v="0"/>
  </r>
  <r>
    <n v="145267"/>
    <x v="3"/>
    <x v="1"/>
    <s v="8"/>
    <x v="2"/>
    <s v="1080812"/>
    <s v="2025-10-07"/>
    <s v="2025-10-08"/>
    <x v="0"/>
    <s v="Adult"/>
    <s v="Escapement"/>
    <s v="Gaff"/>
    <s v="Otoliths and Scales"/>
    <n v="10"/>
    <s v="12"/>
    <m/>
    <m/>
    <m/>
    <x v="0"/>
  </r>
  <r>
    <n v="145267"/>
    <x v="3"/>
    <x v="1"/>
    <s v="8"/>
    <x v="2"/>
    <s v="1080812"/>
    <s v="2025-10-07"/>
    <s v="2025-10-08"/>
    <x v="0"/>
    <s v="Adult"/>
    <s v="Escapement"/>
    <s v="Gaff"/>
    <s v="Otoliths and Scales"/>
    <n v="11"/>
    <s v="12"/>
    <m/>
    <m/>
    <m/>
    <x v="0"/>
  </r>
  <r>
    <n v="145267"/>
    <x v="3"/>
    <x v="1"/>
    <s v="8"/>
    <x v="2"/>
    <s v="1080812"/>
    <s v="2025-10-07"/>
    <s v="2025-10-08"/>
    <x v="0"/>
    <s v="Adult"/>
    <s v="Escapement"/>
    <s v="Gaff"/>
    <s v="Otoliths and Scales"/>
    <n v="12"/>
    <m/>
    <s v="M2"/>
    <s v="Unresolved Freshwater Age"/>
    <m/>
    <x v="2"/>
  </r>
  <r>
    <n v="145267"/>
    <x v="3"/>
    <x v="1"/>
    <s v="8"/>
    <x v="2"/>
    <s v="1080812"/>
    <s v="2025-10-07"/>
    <s v="2025-10-08"/>
    <x v="0"/>
    <s v="Adult"/>
    <s v="Escapement"/>
    <s v="Gaff"/>
    <s v="Otoliths and Scales"/>
    <n v="13"/>
    <s v="02"/>
    <m/>
    <m/>
    <m/>
    <x v="4"/>
  </r>
  <r>
    <n v="145267"/>
    <x v="3"/>
    <x v="1"/>
    <s v="8"/>
    <x v="2"/>
    <s v="1080812"/>
    <s v="2025-10-07"/>
    <s v="2025-10-08"/>
    <x v="0"/>
    <s v="Adult"/>
    <s v="Escapement"/>
    <s v="Gaff"/>
    <s v="Otoliths and Scales"/>
    <n v="14"/>
    <s v="02"/>
    <m/>
    <m/>
    <m/>
    <x v="4"/>
  </r>
  <r>
    <n v="145267"/>
    <x v="3"/>
    <x v="1"/>
    <s v="8"/>
    <x v="2"/>
    <s v="1080812"/>
    <s v="2025-10-07"/>
    <s v="2025-10-08"/>
    <x v="0"/>
    <s v="Adult"/>
    <s v="Escapement"/>
    <s v="Gaff"/>
    <s v="Otoliths and Scales"/>
    <n v="15"/>
    <s v="12"/>
    <m/>
    <m/>
    <m/>
    <x v="0"/>
  </r>
  <r>
    <n v="145267"/>
    <x v="3"/>
    <x v="1"/>
    <s v="8"/>
    <x v="2"/>
    <s v="1080812"/>
    <s v="2025-10-07"/>
    <s v="2025-10-08"/>
    <x v="0"/>
    <s v="Adult"/>
    <s v="Escapement"/>
    <s v="Gaff"/>
    <s v="Otoliths and Scales"/>
    <n v="16"/>
    <s v="02"/>
    <m/>
    <m/>
    <s v="Resorbed Age Interpretation. Resorption affecting age and missing 1 marine annulus"/>
    <x v="4"/>
  </r>
  <r>
    <n v="145267"/>
    <x v="3"/>
    <x v="1"/>
    <s v="8"/>
    <x v="2"/>
    <s v="1080812"/>
    <s v="2025-10-07"/>
    <s v="2025-10-08"/>
    <x v="0"/>
    <s v="Adult"/>
    <s v="Escapement"/>
    <s v="Gaff"/>
    <s v="Otoliths and Scales"/>
    <n v="17"/>
    <s v="12"/>
    <m/>
    <m/>
    <m/>
    <x v="0"/>
  </r>
  <r>
    <n v="145267"/>
    <x v="3"/>
    <x v="1"/>
    <s v="8"/>
    <x v="2"/>
    <s v="1080812"/>
    <s v="2025-10-07"/>
    <s v="2025-10-08"/>
    <x v="0"/>
    <s v="Adult"/>
    <s v="Escapement"/>
    <s v="Gaff"/>
    <s v="Otoliths and Scales"/>
    <n v="18"/>
    <s v="02"/>
    <m/>
    <m/>
    <m/>
    <x v="4"/>
  </r>
  <r>
    <n v="145267"/>
    <x v="3"/>
    <x v="1"/>
    <s v="8"/>
    <x v="2"/>
    <s v="1080812"/>
    <s v="2025-10-07"/>
    <s v="2025-10-08"/>
    <x v="0"/>
    <s v="Adult"/>
    <s v="Escapement"/>
    <s v="Gaff"/>
    <s v="Otoliths and Scales"/>
    <n v="19"/>
    <s v="22"/>
    <m/>
    <m/>
    <m/>
    <x v="9"/>
  </r>
  <r>
    <n v="145267"/>
    <x v="3"/>
    <x v="1"/>
    <s v="8"/>
    <x v="2"/>
    <s v="1080812"/>
    <s v="2025-10-07"/>
    <s v="2025-10-08"/>
    <x v="0"/>
    <s v="Adult"/>
    <s v="Escapement"/>
    <s v="Gaff"/>
    <s v="Otoliths and Scales"/>
    <n v="20"/>
    <s v="12"/>
    <m/>
    <m/>
    <m/>
    <x v="0"/>
  </r>
  <r>
    <n v="145267"/>
    <x v="3"/>
    <x v="1"/>
    <s v="8"/>
    <x v="2"/>
    <s v="1080812"/>
    <s v="2025-10-07"/>
    <s v="2025-10-08"/>
    <x v="0"/>
    <s v="Adult"/>
    <s v="Escapement"/>
    <s v="Gaff"/>
    <s v="Otoliths and Scales"/>
    <n v="21"/>
    <s v="12"/>
    <m/>
    <m/>
    <m/>
    <x v="0"/>
  </r>
  <r>
    <n v="145267"/>
    <x v="3"/>
    <x v="1"/>
    <s v="8"/>
    <x v="2"/>
    <s v="1080812"/>
    <s v="2025-10-07"/>
    <s v="2025-10-08"/>
    <x v="0"/>
    <s v="Adult"/>
    <s v="Escapement"/>
    <s v="Gaff"/>
    <s v="Otoliths and Scales"/>
    <n v="22"/>
    <s v="02"/>
    <m/>
    <m/>
    <s v="Resorption present but not enough to suspect an annuli is missing.  Age unaffected."/>
    <x v="4"/>
  </r>
  <r>
    <n v="145267"/>
    <x v="3"/>
    <x v="1"/>
    <s v="8"/>
    <x v="2"/>
    <s v="1080812"/>
    <s v="2025-10-07"/>
    <s v="2025-10-08"/>
    <x v="0"/>
    <s v="Adult"/>
    <s v="Escapement"/>
    <s v="Gaff"/>
    <s v="Otoliths and Scales"/>
    <n v="23"/>
    <s v="12"/>
    <m/>
    <m/>
    <m/>
    <x v="0"/>
  </r>
  <r>
    <n v="145267"/>
    <x v="3"/>
    <x v="1"/>
    <s v="8"/>
    <x v="2"/>
    <s v="1080812"/>
    <s v="2025-10-07"/>
    <s v="2025-10-08"/>
    <x v="0"/>
    <s v="Adult"/>
    <s v="Escapement"/>
    <s v="Gaff"/>
    <s v="Otoliths and Scales"/>
    <n v="24"/>
    <s v="12"/>
    <m/>
    <m/>
    <m/>
    <x v="0"/>
  </r>
  <r>
    <n v="145267"/>
    <x v="3"/>
    <x v="1"/>
    <s v="8"/>
    <x v="2"/>
    <s v="1080812"/>
    <s v="2025-10-07"/>
    <s v="2025-10-08"/>
    <x v="0"/>
    <s v="Adult"/>
    <s v="Escapement"/>
    <s v="Gaff"/>
    <s v="Otoliths and Scales"/>
    <n v="25"/>
    <s v="12"/>
    <m/>
    <m/>
    <m/>
    <x v="0"/>
  </r>
  <r>
    <n v="145267"/>
    <x v="3"/>
    <x v="1"/>
    <s v="8"/>
    <x v="2"/>
    <s v="1080813"/>
    <s v="2025-10-08"/>
    <s v="2025-10-17"/>
    <x v="0"/>
    <s v="Adult"/>
    <s v="Escapement"/>
    <s v="Gaff"/>
    <s v="Otoliths and Scales"/>
    <n v="1"/>
    <s v="12"/>
    <m/>
    <m/>
    <m/>
    <x v="0"/>
  </r>
  <r>
    <n v="145267"/>
    <x v="3"/>
    <x v="1"/>
    <s v="8"/>
    <x v="2"/>
    <s v="1080813"/>
    <s v="2025-10-08"/>
    <s v="2025-10-17"/>
    <x v="0"/>
    <s v="Adult"/>
    <s v="Escapement"/>
    <s v="Gaff"/>
    <s v="Otoliths and Scales"/>
    <n v="2"/>
    <s v="12"/>
    <m/>
    <m/>
    <m/>
    <x v="0"/>
  </r>
  <r>
    <n v="145267"/>
    <x v="3"/>
    <x v="1"/>
    <s v="8"/>
    <x v="2"/>
    <s v="1080813"/>
    <s v="2025-10-08"/>
    <s v="2025-10-17"/>
    <x v="0"/>
    <s v="Adult"/>
    <s v="Escapement"/>
    <s v="Gaff"/>
    <s v="Otoliths and Scales"/>
    <n v="3"/>
    <s v="12"/>
    <m/>
    <m/>
    <m/>
    <x v="0"/>
  </r>
  <r>
    <n v="145267"/>
    <x v="3"/>
    <x v="1"/>
    <s v="8"/>
    <x v="2"/>
    <s v="1080813"/>
    <s v="2025-10-08"/>
    <s v="2025-10-17"/>
    <x v="0"/>
    <s v="Adult"/>
    <s v="Escapement"/>
    <s v="Gaff"/>
    <s v="Otoliths and Scales"/>
    <n v="4"/>
    <s v="02"/>
    <m/>
    <m/>
    <m/>
    <x v="4"/>
  </r>
  <r>
    <n v="145267"/>
    <x v="3"/>
    <x v="1"/>
    <s v="8"/>
    <x v="2"/>
    <s v="1080813"/>
    <s v="2025-10-08"/>
    <s v="2025-10-17"/>
    <x v="0"/>
    <s v="Adult"/>
    <s v="Escapement"/>
    <s v="Gaff"/>
    <s v="Otoliths and Scales"/>
    <n v="5"/>
    <m/>
    <s v="F1"/>
    <m/>
    <s v="Unknown amount of resorption. Cannot assess the number of marine annuli missing. Only freshwater age given, no marine age given."/>
    <x v="8"/>
  </r>
  <r>
    <n v="145267"/>
    <x v="3"/>
    <x v="1"/>
    <s v="8"/>
    <x v="2"/>
    <s v="1080813"/>
    <s v="2025-10-08"/>
    <s v="2025-10-17"/>
    <x v="0"/>
    <s v="Adult"/>
    <s v="Escapement"/>
    <s v="Gaff"/>
    <s v="Otoliths and Scales"/>
    <n v="6"/>
    <m/>
    <s v="M3"/>
    <s v="Unresolved Freshwater Age"/>
    <s v="Resorption present but not enough to suspect an annuli is missing.  Age unaffected."/>
    <x v="6"/>
  </r>
  <r>
    <n v="145267"/>
    <x v="3"/>
    <x v="1"/>
    <s v="8"/>
    <x v="2"/>
    <s v="1080813"/>
    <s v="2025-10-08"/>
    <s v="2025-10-17"/>
    <x v="0"/>
    <s v="Adult"/>
    <s v="Escapement"/>
    <s v="Gaff"/>
    <s v="Otoliths and Scales"/>
    <n v="7"/>
    <s v="12"/>
    <m/>
    <m/>
    <m/>
    <x v="0"/>
  </r>
  <r>
    <n v="145267"/>
    <x v="3"/>
    <x v="1"/>
    <s v="8"/>
    <x v="2"/>
    <s v="1080813"/>
    <s v="2025-10-08"/>
    <s v="2025-10-17"/>
    <x v="0"/>
    <s v="Adult"/>
    <s v="Escapement"/>
    <s v="Gaff"/>
    <s v="Otoliths and Scales"/>
    <n v="8"/>
    <m/>
    <s v="F2"/>
    <m/>
    <s v="Unknown amount of resorption. Cannot assess the number of marine annuli missing. Only freshwater age given, no marine age given."/>
    <x v="14"/>
  </r>
  <r>
    <n v="145267"/>
    <x v="3"/>
    <x v="1"/>
    <s v="8"/>
    <x v="2"/>
    <s v="1080813"/>
    <s v="2025-10-08"/>
    <s v="2025-10-17"/>
    <x v="0"/>
    <s v="Adult"/>
    <s v="Escapement"/>
    <s v="Gaff"/>
    <s v="Otoliths and Scales"/>
    <n v="9"/>
    <s v="12"/>
    <m/>
    <m/>
    <m/>
    <x v="0"/>
  </r>
  <r>
    <n v="145267"/>
    <x v="3"/>
    <x v="1"/>
    <s v="8"/>
    <x v="2"/>
    <s v="1080813"/>
    <s v="2025-10-08"/>
    <s v="2025-10-17"/>
    <x v="0"/>
    <s v="Adult"/>
    <s v="Escapement"/>
    <s v="Gaff"/>
    <s v="Otoliths and Scales"/>
    <n v="10"/>
    <s v="12"/>
    <m/>
    <m/>
    <m/>
    <x v="0"/>
  </r>
  <r>
    <n v="145267"/>
    <x v="3"/>
    <x v="1"/>
    <s v="8"/>
    <x v="2"/>
    <s v="1080813"/>
    <s v="2025-10-08"/>
    <s v="2025-10-17"/>
    <x v="0"/>
    <s v="Adult"/>
    <s v="Escapement"/>
    <s v="Gaff"/>
    <s v="Otoliths and Scales"/>
    <n v="11"/>
    <s v="12"/>
    <m/>
    <m/>
    <m/>
    <x v="0"/>
  </r>
  <r>
    <n v="145267"/>
    <x v="3"/>
    <x v="1"/>
    <s v="8"/>
    <x v="2"/>
    <s v="1080813"/>
    <s v="2025-10-08"/>
    <s v="2025-10-17"/>
    <x v="0"/>
    <s v="Adult"/>
    <s v="Escapement"/>
    <s v="Gaff"/>
    <s v="Otoliths and Scales"/>
    <n v="12"/>
    <s v="12"/>
    <m/>
    <m/>
    <m/>
    <x v="0"/>
  </r>
  <r>
    <n v="145267"/>
    <x v="3"/>
    <x v="1"/>
    <s v="8"/>
    <x v="2"/>
    <s v="1080813"/>
    <s v="2025-10-08"/>
    <s v="2025-10-17"/>
    <x v="0"/>
    <s v="Adult"/>
    <s v="Escapement"/>
    <s v="Gaff"/>
    <s v="Otoliths and Scales"/>
    <n v="13"/>
    <s v="13"/>
    <m/>
    <m/>
    <m/>
    <x v="5"/>
  </r>
  <r>
    <n v="145267"/>
    <x v="3"/>
    <x v="1"/>
    <s v="8"/>
    <x v="2"/>
    <s v="1080813"/>
    <s v="2025-10-08"/>
    <s v="2025-10-17"/>
    <x v="0"/>
    <s v="Adult"/>
    <s v="Escapement"/>
    <s v="Gaff"/>
    <s v="Otoliths and Scales"/>
    <n v="14"/>
    <s v="12"/>
    <m/>
    <m/>
    <m/>
    <x v="0"/>
  </r>
  <r>
    <n v="145267"/>
    <x v="3"/>
    <x v="1"/>
    <s v="8"/>
    <x v="2"/>
    <s v="1080813"/>
    <s v="2025-10-08"/>
    <s v="2025-10-17"/>
    <x v="0"/>
    <s v="Adult"/>
    <s v="Escapement"/>
    <s v="Gaff"/>
    <s v="Otoliths and Scales"/>
    <n v="15"/>
    <s v="12"/>
    <m/>
    <m/>
    <m/>
    <x v="0"/>
  </r>
  <r>
    <n v="145267"/>
    <x v="3"/>
    <x v="1"/>
    <s v="8"/>
    <x v="2"/>
    <s v="1080813"/>
    <s v="2025-10-08"/>
    <s v="2025-10-17"/>
    <x v="0"/>
    <s v="Adult"/>
    <s v="Escapement"/>
    <s v="Gaff"/>
    <s v="Otoliths and Scales"/>
    <n v="16"/>
    <m/>
    <s v="M2"/>
    <s v="Regenerate Scale"/>
    <s v="Resorbed Age Interpretation. Resorption affecting age and missing 1 marine annulus"/>
    <x v="2"/>
  </r>
  <r>
    <n v="145267"/>
    <x v="3"/>
    <x v="1"/>
    <s v="8"/>
    <x v="2"/>
    <s v="1080813"/>
    <s v="2025-10-08"/>
    <s v="2025-10-17"/>
    <x v="0"/>
    <s v="Adult"/>
    <s v="Escapement"/>
    <s v="Gaff"/>
    <s v="Otoliths and Scales"/>
    <n v="17"/>
    <s v="12"/>
    <m/>
    <m/>
    <m/>
    <x v="0"/>
  </r>
  <r>
    <n v="145267"/>
    <x v="3"/>
    <x v="1"/>
    <s v="8"/>
    <x v="2"/>
    <s v="1080813"/>
    <s v="2025-10-08"/>
    <s v="2025-10-17"/>
    <x v="0"/>
    <s v="Adult"/>
    <s v="Escapement"/>
    <s v="Gaff"/>
    <s v="Otoliths and Scales"/>
    <n v="18"/>
    <s v="12"/>
    <m/>
    <m/>
    <m/>
    <x v="0"/>
  </r>
  <r>
    <n v="145267"/>
    <x v="3"/>
    <x v="1"/>
    <s v="8"/>
    <x v="2"/>
    <s v="1080813"/>
    <s v="2025-10-08"/>
    <s v="2025-10-17"/>
    <x v="0"/>
    <s v="Adult"/>
    <s v="Escapement"/>
    <s v="Gaff"/>
    <s v="Otoliths and Scales"/>
    <n v="19"/>
    <s v="13"/>
    <m/>
    <m/>
    <m/>
    <x v="5"/>
  </r>
  <r>
    <n v="145267"/>
    <x v="3"/>
    <x v="1"/>
    <s v="8"/>
    <x v="2"/>
    <s v="1080813"/>
    <s v="2025-10-08"/>
    <s v="2025-10-17"/>
    <x v="0"/>
    <s v="Adult"/>
    <s v="Escapement"/>
    <s v="Gaff"/>
    <s v="Otoliths and Scales"/>
    <n v="20"/>
    <m/>
    <s v="M2"/>
    <s v="Wet Scale"/>
    <s v="Resorption present but not enough to suspect an annuli is missing.  Age unaffected."/>
    <x v="2"/>
  </r>
  <r>
    <n v="145267"/>
    <x v="3"/>
    <x v="1"/>
    <s v="8"/>
    <x v="2"/>
    <s v="1080813"/>
    <s v="2025-10-08"/>
    <s v="2025-10-17"/>
    <x v="0"/>
    <s v="Adult"/>
    <s v="Escapement"/>
    <s v="Gaff"/>
    <s v="Otoliths and Scales"/>
    <n v="21"/>
    <s v="12"/>
    <m/>
    <m/>
    <m/>
    <x v="0"/>
  </r>
  <r>
    <n v="145267"/>
    <x v="3"/>
    <x v="1"/>
    <s v="8"/>
    <x v="2"/>
    <s v="1080813"/>
    <s v="2025-10-08"/>
    <s v="2025-10-17"/>
    <x v="0"/>
    <s v="Adult"/>
    <s v="Escapement"/>
    <s v="Gaff"/>
    <s v="Otoliths and Scales"/>
    <n v="22"/>
    <s v="02"/>
    <m/>
    <m/>
    <s v="Resorption present but not enough to suspect an annuli is missing.  Age unaffected."/>
    <x v="4"/>
  </r>
  <r>
    <n v="145267"/>
    <x v="3"/>
    <x v="1"/>
    <s v="8"/>
    <x v="2"/>
    <s v="1080813"/>
    <s v="2025-10-08"/>
    <s v="2025-10-17"/>
    <x v="0"/>
    <s v="Adult"/>
    <s v="Escapement"/>
    <s v="Gaff"/>
    <s v="Otoliths and Scales"/>
    <n v="23"/>
    <s v="13"/>
    <m/>
    <m/>
    <s v="Resorption present but not enough to suspect an annuli is missing.  Age unaffected."/>
    <x v="5"/>
  </r>
  <r>
    <n v="145267"/>
    <x v="3"/>
    <x v="1"/>
    <s v="8"/>
    <x v="2"/>
    <s v="1080813"/>
    <s v="2025-10-08"/>
    <s v="2025-10-17"/>
    <x v="0"/>
    <s v="Adult"/>
    <s v="Escapement"/>
    <s v="Gaff"/>
    <s v="Otoliths and Scales"/>
    <n v="24"/>
    <s v="02"/>
    <m/>
    <m/>
    <m/>
    <x v="4"/>
  </r>
  <r>
    <n v="145267"/>
    <x v="3"/>
    <x v="1"/>
    <s v="8"/>
    <x v="2"/>
    <s v="1080813"/>
    <s v="2025-10-08"/>
    <s v="2025-10-17"/>
    <x v="0"/>
    <s v="Adult"/>
    <s v="Escapement"/>
    <s v="Gaff"/>
    <s v="Otoliths and Scales"/>
    <n v="25"/>
    <s v="12"/>
    <m/>
    <m/>
    <m/>
    <x v="0"/>
  </r>
  <r>
    <n v="145267"/>
    <x v="3"/>
    <x v="1"/>
    <s v="8"/>
    <x v="2"/>
    <s v="1080814"/>
    <s v="2025-09-19"/>
    <s v="2025-09-27"/>
    <x v="0"/>
    <s v="Adult"/>
    <s v="Escapement"/>
    <s v="Gaff"/>
    <s v="Otoliths and Scales"/>
    <n v="1"/>
    <s v="02"/>
    <m/>
    <m/>
    <s v="Resorbed Age Interpretation. Resorption affecting age and missing 1 marine annulus"/>
    <x v="4"/>
  </r>
  <r>
    <n v="145267"/>
    <x v="3"/>
    <x v="1"/>
    <s v="8"/>
    <x v="2"/>
    <s v="1080814"/>
    <s v="2025-09-19"/>
    <s v="2025-09-27"/>
    <x v="0"/>
    <s v="Adult"/>
    <s v="Escapement"/>
    <s v="Gaff"/>
    <s v="Otoliths and Scales"/>
    <n v="2"/>
    <s v="12"/>
    <m/>
    <m/>
    <s v="Resorption present but not enough to suspect an annuli is missing.  Age unaffected."/>
    <x v="0"/>
  </r>
  <r>
    <n v="145267"/>
    <x v="3"/>
    <x v="1"/>
    <s v="8"/>
    <x v="2"/>
    <s v="1080814"/>
    <s v="2025-09-19"/>
    <s v="2025-09-27"/>
    <x v="0"/>
    <s v="Adult"/>
    <s v="Escapement"/>
    <s v="Gaff"/>
    <s v="Otoliths and Scales"/>
    <n v="3"/>
    <s v="13"/>
    <m/>
    <m/>
    <m/>
    <x v="5"/>
  </r>
  <r>
    <n v="145267"/>
    <x v="3"/>
    <x v="1"/>
    <s v="8"/>
    <x v="2"/>
    <s v="1080814"/>
    <s v="2025-09-19"/>
    <s v="2025-09-27"/>
    <x v="0"/>
    <s v="Adult"/>
    <s v="Escapement"/>
    <s v="Gaff"/>
    <s v="Otoliths and Scales"/>
    <n v="4"/>
    <s v="02"/>
    <m/>
    <m/>
    <m/>
    <x v="4"/>
  </r>
  <r>
    <n v="145267"/>
    <x v="3"/>
    <x v="1"/>
    <s v="8"/>
    <x v="2"/>
    <s v="1080814"/>
    <s v="2025-09-19"/>
    <s v="2025-09-27"/>
    <x v="0"/>
    <s v="Adult"/>
    <s v="Escapement"/>
    <s v="Gaff"/>
    <s v="Otoliths and Scales"/>
    <n v="5"/>
    <m/>
    <s v="M3"/>
    <s v="Unresolved Freshwater Age"/>
    <m/>
    <x v="6"/>
  </r>
  <r>
    <n v="145267"/>
    <x v="3"/>
    <x v="1"/>
    <s v="8"/>
    <x v="2"/>
    <s v="1080814"/>
    <s v="2025-09-19"/>
    <s v="2025-09-27"/>
    <x v="0"/>
    <s v="Adult"/>
    <s v="Escapement"/>
    <s v="Gaff"/>
    <s v="Otoliths and Scales"/>
    <n v="6"/>
    <s v="02"/>
    <m/>
    <m/>
    <m/>
    <x v="4"/>
  </r>
  <r>
    <n v="145267"/>
    <x v="3"/>
    <x v="1"/>
    <s v="8"/>
    <x v="2"/>
    <s v="1080814"/>
    <s v="2025-09-19"/>
    <s v="2025-09-27"/>
    <x v="0"/>
    <s v="Adult"/>
    <s v="Escapement"/>
    <s v="Gaff"/>
    <s v="Otoliths and Scales"/>
    <n v="7"/>
    <m/>
    <s v="F1"/>
    <s v="Resorbed Scale"/>
    <s v="Unknown amount of resorption. Cannot assess the number of marine annuli missing. Only freshwater age given, no marine age given."/>
    <x v="8"/>
  </r>
  <r>
    <n v="145267"/>
    <x v="3"/>
    <x v="1"/>
    <s v="8"/>
    <x v="2"/>
    <s v="1080814"/>
    <s v="2025-09-19"/>
    <s v="2025-09-27"/>
    <x v="0"/>
    <s v="Adult"/>
    <s v="Escapement"/>
    <s v="Gaff"/>
    <s v="Otoliths and Scales"/>
    <n v="8"/>
    <s v="12"/>
    <m/>
    <m/>
    <m/>
    <x v="0"/>
  </r>
  <r>
    <n v="145267"/>
    <x v="3"/>
    <x v="1"/>
    <s v="8"/>
    <x v="2"/>
    <s v="1080814"/>
    <s v="2025-09-19"/>
    <s v="2025-09-27"/>
    <x v="0"/>
    <s v="Adult"/>
    <s v="Escapement"/>
    <s v="Gaff"/>
    <s v="Otoliths and Scales"/>
    <n v="9"/>
    <s v="12"/>
    <m/>
    <m/>
    <m/>
    <x v="0"/>
  </r>
  <r>
    <n v="145267"/>
    <x v="3"/>
    <x v="1"/>
    <s v="8"/>
    <x v="2"/>
    <s v="1080814"/>
    <s v="2025-09-19"/>
    <s v="2025-09-27"/>
    <x v="0"/>
    <s v="Adult"/>
    <s v="Escapement"/>
    <s v="Gaff"/>
    <s v="Otoliths and Scales"/>
    <n v="10"/>
    <s v="12"/>
    <m/>
    <m/>
    <m/>
    <x v="0"/>
  </r>
  <r>
    <n v="145267"/>
    <x v="3"/>
    <x v="1"/>
    <s v="8"/>
    <x v="2"/>
    <s v="1080814"/>
    <s v="2025-09-19"/>
    <s v="2025-09-27"/>
    <x v="0"/>
    <s v="Adult"/>
    <s v="Escapement"/>
    <s v="Gaff"/>
    <s v="Otoliths and Scales"/>
    <n v="11"/>
    <m/>
    <s v="F1"/>
    <s v="Resorbed Scale"/>
    <s v="Unknown amount of resorption. Cannot assess the number of marine annuli missing. Only freshwater age given, no marine age given."/>
    <x v="8"/>
  </r>
  <r>
    <n v="145267"/>
    <x v="3"/>
    <x v="1"/>
    <s v="8"/>
    <x v="2"/>
    <s v="1080814"/>
    <s v="2025-09-19"/>
    <s v="2025-09-27"/>
    <x v="0"/>
    <s v="Adult"/>
    <s v="Escapement"/>
    <s v="Gaff"/>
    <s v="Otoliths and Scales"/>
    <n v="12"/>
    <m/>
    <s v="M2"/>
    <s v="Regenerate Scale"/>
    <s v="Resorbed Age Interpretation. Resorption affecting age and missing 1 marine annulus"/>
    <x v="2"/>
  </r>
  <r>
    <n v="145267"/>
    <x v="3"/>
    <x v="1"/>
    <s v="8"/>
    <x v="2"/>
    <s v="1080814"/>
    <s v="2025-09-19"/>
    <s v="2025-09-27"/>
    <x v="0"/>
    <s v="Adult"/>
    <s v="Escapement"/>
    <s v="Gaff"/>
    <s v="Otoliths and Scales"/>
    <n v="13"/>
    <s v="12"/>
    <m/>
    <m/>
    <m/>
    <x v="0"/>
  </r>
  <r>
    <n v="145267"/>
    <x v="3"/>
    <x v="1"/>
    <s v="8"/>
    <x v="2"/>
    <s v="1080814"/>
    <s v="2025-09-19"/>
    <s v="2025-09-27"/>
    <x v="0"/>
    <s v="Adult"/>
    <s v="Escapement"/>
    <s v="Gaff"/>
    <s v="Otoliths and Scales"/>
    <n v="14"/>
    <s v="12"/>
    <m/>
    <m/>
    <m/>
    <x v="0"/>
  </r>
  <r>
    <n v="144793"/>
    <x v="3"/>
    <x v="2"/>
    <s v="8"/>
    <x v="9"/>
    <s v="1080048"/>
    <s v="2025-09-24"/>
    <s v="2025-09-25"/>
    <x v="0"/>
    <s v="Adult"/>
    <s v="Escapement"/>
    <s v="Gillnet"/>
    <s v="Otoliths and Scales"/>
    <n v="1"/>
    <s v="12"/>
    <m/>
    <m/>
    <s v="Resorption present but not enough to suspect an annuli is missing.  Age unaffected."/>
    <x v="0"/>
  </r>
  <r>
    <n v="144793"/>
    <x v="3"/>
    <x v="2"/>
    <s v="8"/>
    <x v="9"/>
    <s v="1080048"/>
    <s v="2025-09-24"/>
    <s v="2025-09-25"/>
    <x v="0"/>
    <s v="Adult"/>
    <s v="Escapement"/>
    <s v="Gillnet"/>
    <s v="Otoliths and Scales"/>
    <n v="2"/>
    <s v="12"/>
    <m/>
    <m/>
    <s v="Resorption present but not enough to suspect an annuli is missing.  Age unaffected."/>
    <x v="0"/>
  </r>
  <r>
    <n v="144793"/>
    <x v="3"/>
    <x v="2"/>
    <s v="8"/>
    <x v="9"/>
    <s v="1080048"/>
    <s v="2025-09-24"/>
    <s v="2025-09-25"/>
    <x v="0"/>
    <s v="Adult"/>
    <s v="Escapement"/>
    <s v="Gillnet"/>
    <s v="Otoliths and Scales"/>
    <n v="3"/>
    <s v="12"/>
    <m/>
    <m/>
    <s v="Resorption present but not enough to suspect an annuli is missing.  Age unaffected."/>
    <x v="0"/>
  </r>
  <r>
    <n v="144793"/>
    <x v="3"/>
    <x v="2"/>
    <s v="8"/>
    <x v="9"/>
    <s v="1080048"/>
    <s v="2025-09-24"/>
    <s v="2025-09-25"/>
    <x v="0"/>
    <s v="Adult"/>
    <s v="Escapement"/>
    <s v="Gillnet"/>
    <s v="Otoliths and Scales"/>
    <n v="4"/>
    <s v="12"/>
    <m/>
    <m/>
    <s v="Resorption present but not enough to suspect an annuli is missing.  Age unaffected."/>
    <x v="0"/>
  </r>
  <r>
    <n v="144793"/>
    <x v="3"/>
    <x v="2"/>
    <s v="8"/>
    <x v="9"/>
    <s v="1080048"/>
    <s v="2025-09-24"/>
    <s v="2025-09-25"/>
    <x v="0"/>
    <s v="Adult"/>
    <s v="Escapement"/>
    <s v="Gillnet"/>
    <s v="Otoliths and Scales"/>
    <n v="5"/>
    <s v="12"/>
    <m/>
    <m/>
    <m/>
    <x v="0"/>
  </r>
  <r>
    <n v="144793"/>
    <x v="3"/>
    <x v="2"/>
    <s v="8"/>
    <x v="9"/>
    <s v="1080048"/>
    <s v="2025-09-24"/>
    <s v="2025-09-25"/>
    <x v="0"/>
    <s v="Adult"/>
    <s v="Escapement"/>
    <s v="Gillnet"/>
    <s v="Otoliths and Scales"/>
    <n v="6"/>
    <s v="12"/>
    <m/>
    <m/>
    <s v="Resorption present but not enough to suspect an annuli is missing.  Age unaffected."/>
    <x v="0"/>
  </r>
  <r>
    <n v="144793"/>
    <x v="3"/>
    <x v="2"/>
    <s v="8"/>
    <x v="9"/>
    <s v="1080048"/>
    <s v="2025-09-24"/>
    <s v="2025-09-25"/>
    <x v="0"/>
    <s v="Adult"/>
    <s v="Escapement"/>
    <s v="Gillnet"/>
    <s v="Otoliths and Scales"/>
    <n v="7"/>
    <s v="12"/>
    <m/>
    <m/>
    <s v="Resorption present but not enough to suspect an annuli is missing.  Age unaffected."/>
    <x v="0"/>
  </r>
  <r>
    <n v="144793"/>
    <x v="3"/>
    <x v="2"/>
    <s v="8"/>
    <x v="9"/>
    <s v="1080048"/>
    <s v="2025-09-24"/>
    <s v="2025-09-25"/>
    <x v="0"/>
    <s v="Adult"/>
    <s v="Escapement"/>
    <s v="Gillnet"/>
    <s v="Otoliths and Scales"/>
    <n v="8"/>
    <s v="12"/>
    <m/>
    <m/>
    <s v="Resorption present but not enough to suspect an annuli is missing.  Age unaffected."/>
    <x v="0"/>
  </r>
  <r>
    <n v="144793"/>
    <x v="3"/>
    <x v="2"/>
    <s v="8"/>
    <x v="9"/>
    <s v="1080048"/>
    <s v="2025-09-24"/>
    <s v="2025-09-25"/>
    <x v="0"/>
    <s v="Adult"/>
    <s v="Escapement"/>
    <s v="Gillnet"/>
    <s v="Otoliths and Scales"/>
    <n v="9"/>
    <s v="12"/>
    <m/>
    <m/>
    <s v="Resorption present but not enough to suspect an annuli is missing.  Age unaffected."/>
    <x v="0"/>
  </r>
  <r>
    <n v="144793"/>
    <x v="3"/>
    <x v="2"/>
    <s v="8"/>
    <x v="9"/>
    <s v="1080048"/>
    <s v="2025-09-24"/>
    <s v="2025-09-25"/>
    <x v="0"/>
    <s v="Adult"/>
    <s v="Escapement"/>
    <s v="Gillnet"/>
    <s v="Otoliths and Scales"/>
    <n v="10"/>
    <s v="12"/>
    <m/>
    <m/>
    <s v="Resorption present but not enough to suspect an annuli is missing.  Age unaffected."/>
    <x v="0"/>
  </r>
  <r>
    <n v="144793"/>
    <x v="3"/>
    <x v="2"/>
    <s v="8"/>
    <x v="9"/>
    <s v="1080048"/>
    <s v="2025-09-24"/>
    <s v="2025-09-25"/>
    <x v="0"/>
    <s v="Adult"/>
    <s v="Escapement"/>
    <s v="Gillnet"/>
    <s v="Otoliths and Scales"/>
    <n v="11"/>
    <s v="12"/>
    <m/>
    <m/>
    <m/>
    <x v="0"/>
  </r>
  <r>
    <n v="144793"/>
    <x v="3"/>
    <x v="2"/>
    <s v="8"/>
    <x v="9"/>
    <s v="1080048"/>
    <s v="2025-09-24"/>
    <s v="2025-09-25"/>
    <x v="0"/>
    <s v="Adult"/>
    <s v="Escapement"/>
    <s v="Gillnet"/>
    <s v="Otoliths and Scales"/>
    <n v="12"/>
    <s v="12"/>
    <m/>
    <m/>
    <m/>
    <x v="0"/>
  </r>
  <r>
    <n v="144793"/>
    <x v="3"/>
    <x v="2"/>
    <s v="8"/>
    <x v="9"/>
    <s v="1080048"/>
    <s v="2025-09-24"/>
    <s v="2025-09-25"/>
    <x v="0"/>
    <s v="Adult"/>
    <s v="Escapement"/>
    <s v="Gillnet"/>
    <s v="Otoliths and Scales"/>
    <n v="13"/>
    <s v="12"/>
    <m/>
    <m/>
    <m/>
    <x v="0"/>
  </r>
  <r>
    <n v="144793"/>
    <x v="3"/>
    <x v="2"/>
    <s v="8"/>
    <x v="9"/>
    <s v="1080048"/>
    <s v="2025-09-24"/>
    <s v="2025-09-25"/>
    <x v="0"/>
    <s v="Adult"/>
    <s v="Escapement"/>
    <s v="Gillnet"/>
    <s v="Otoliths and Scales"/>
    <n v="14"/>
    <s v="13"/>
    <m/>
    <m/>
    <s v="Resorption present but not enough to suspect an annuli is missing.  Age unaffected."/>
    <x v="5"/>
  </r>
  <r>
    <n v="144793"/>
    <x v="3"/>
    <x v="2"/>
    <s v="8"/>
    <x v="9"/>
    <s v="1080048"/>
    <s v="2025-09-24"/>
    <s v="2025-09-25"/>
    <x v="0"/>
    <s v="Adult"/>
    <s v="Escapement"/>
    <s v="Gillnet"/>
    <s v="Otoliths and Scales"/>
    <n v="15"/>
    <s v="12"/>
    <m/>
    <m/>
    <m/>
    <x v="0"/>
  </r>
  <r>
    <n v="144793"/>
    <x v="3"/>
    <x v="2"/>
    <s v="8"/>
    <x v="9"/>
    <s v="1080048"/>
    <s v="2025-09-24"/>
    <s v="2025-09-25"/>
    <x v="0"/>
    <s v="Adult"/>
    <s v="Escapement"/>
    <s v="Gillnet"/>
    <s v="Otoliths and Scales"/>
    <n v="16"/>
    <s v="12"/>
    <m/>
    <m/>
    <m/>
    <x v="0"/>
  </r>
  <r>
    <n v="144793"/>
    <x v="3"/>
    <x v="2"/>
    <s v="8"/>
    <x v="9"/>
    <s v="1080048"/>
    <s v="2025-09-24"/>
    <s v="2025-09-25"/>
    <x v="0"/>
    <s v="Adult"/>
    <s v="Escapement"/>
    <s v="Gillnet"/>
    <s v="Otoliths and Scales"/>
    <n v="17"/>
    <s v="12"/>
    <m/>
    <m/>
    <s v="Resorption present but not enough to suspect an annuli is missing.  Age unaffected."/>
    <x v="0"/>
  </r>
  <r>
    <n v="144793"/>
    <x v="3"/>
    <x v="2"/>
    <s v="8"/>
    <x v="9"/>
    <s v="1080048"/>
    <s v="2025-09-24"/>
    <s v="2025-09-25"/>
    <x v="0"/>
    <s v="Adult"/>
    <s v="Escapement"/>
    <s v="Gillnet"/>
    <s v="Otoliths and Scales"/>
    <n v="18"/>
    <s v="12"/>
    <m/>
    <m/>
    <s v="Resorption present but not enough to suspect an annuli is missing.  Age unaffected."/>
    <x v="0"/>
  </r>
  <r>
    <n v="144793"/>
    <x v="3"/>
    <x v="2"/>
    <s v="8"/>
    <x v="9"/>
    <s v="1080048"/>
    <s v="2025-09-24"/>
    <s v="2025-09-25"/>
    <x v="0"/>
    <s v="Adult"/>
    <s v="Escapement"/>
    <s v="Gillnet"/>
    <s v="Otoliths and Scales"/>
    <n v="19"/>
    <s v="12"/>
    <m/>
    <m/>
    <s v="Resorption present but not enough to suspect an annuli is missing.  Age unaffected."/>
    <x v="0"/>
  </r>
  <r>
    <n v="144793"/>
    <x v="3"/>
    <x v="2"/>
    <s v="8"/>
    <x v="9"/>
    <s v="1080048"/>
    <s v="2025-09-24"/>
    <s v="2025-09-25"/>
    <x v="0"/>
    <s v="Adult"/>
    <s v="Escapement"/>
    <s v="Gillnet"/>
    <s v="Otoliths and Scales"/>
    <n v="20"/>
    <s v="12"/>
    <m/>
    <m/>
    <s v="Resorption present but not enough to suspect an annuli is missing.  Age unaffected."/>
    <x v="0"/>
  </r>
  <r>
    <n v="144793"/>
    <x v="3"/>
    <x v="2"/>
    <s v="8"/>
    <x v="9"/>
    <s v="1080048"/>
    <s v="2025-09-24"/>
    <s v="2025-09-25"/>
    <x v="0"/>
    <s v="Adult"/>
    <s v="Escapement"/>
    <s v="Gillnet"/>
    <s v="Otoliths and Scales"/>
    <n v="21"/>
    <s v="12"/>
    <m/>
    <m/>
    <s v="Resorption present but not enough to suspect an annuli is missing.  Age unaffected."/>
    <x v="0"/>
  </r>
  <r>
    <n v="144793"/>
    <x v="3"/>
    <x v="2"/>
    <s v="8"/>
    <x v="9"/>
    <s v="1080048"/>
    <s v="2025-09-24"/>
    <s v="2025-09-25"/>
    <x v="0"/>
    <s v="Adult"/>
    <s v="Escapement"/>
    <s v="Gillnet"/>
    <s v="Otoliths and Scales"/>
    <n v="22"/>
    <s v="12"/>
    <m/>
    <m/>
    <m/>
    <x v="0"/>
  </r>
  <r>
    <n v="144793"/>
    <x v="3"/>
    <x v="2"/>
    <s v="8"/>
    <x v="9"/>
    <s v="1080048"/>
    <s v="2025-09-24"/>
    <s v="2025-09-25"/>
    <x v="0"/>
    <s v="Adult"/>
    <s v="Escapement"/>
    <s v="Gillnet"/>
    <s v="Otoliths and Scales"/>
    <n v="23"/>
    <s v="12"/>
    <m/>
    <m/>
    <s v="Resorption present but not enough to suspect an annuli is missing.  Age unaffected."/>
    <x v="0"/>
  </r>
  <r>
    <n v="144793"/>
    <x v="3"/>
    <x v="2"/>
    <s v="8"/>
    <x v="9"/>
    <s v="1080048"/>
    <s v="2025-09-24"/>
    <s v="2025-09-25"/>
    <x v="0"/>
    <s v="Adult"/>
    <s v="Escapement"/>
    <s v="Gillnet"/>
    <s v="Otoliths and Scales"/>
    <n v="24"/>
    <s v="12"/>
    <m/>
    <m/>
    <m/>
    <x v="0"/>
  </r>
  <r>
    <n v="144793"/>
    <x v="3"/>
    <x v="2"/>
    <s v="8"/>
    <x v="9"/>
    <s v="1080048"/>
    <s v="2025-09-24"/>
    <s v="2025-09-25"/>
    <x v="0"/>
    <s v="Adult"/>
    <s v="Escapement"/>
    <s v="Gillnet"/>
    <s v="Otoliths and Scales"/>
    <n v="25"/>
    <s v="12"/>
    <m/>
    <m/>
    <s v="Resorption present but not enough to suspect an annuli is missing.  Age unaffected."/>
    <x v="0"/>
  </r>
  <r>
    <n v="144793"/>
    <x v="3"/>
    <x v="2"/>
    <s v="8"/>
    <x v="9"/>
    <s v="1080049"/>
    <s v="2025-09-24"/>
    <s v="2025-09-25"/>
    <x v="0"/>
    <s v="Adult"/>
    <s v="Escapement"/>
    <s v="Gillnet"/>
    <s v="Otoliths and Scales"/>
    <n v="1"/>
    <s v="12"/>
    <m/>
    <m/>
    <s v="Resorption present but not enough to suspect an annuli is missing.  Age unaffected."/>
    <x v="0"/>
  </r>
  <r>
    <n v="144793"/>
    <x v="3"/>
    <x v="2"/>
    <s v="8"/>
    <x v="9"/>
    <s v="1080049"/>
    <s v="2025-09-24"/>
    <s v="2025-09-25"/>
    <x v="0"/>
    <s v="Adult"/>
    <s v="Escapement"/>
    <s v="Gillnet"/>
    <s v="Otoliths and Scales"/>
    <n v="2"/>
    <s v="12"/>
    <m/>
    <m/>
    <s v="Resorption present but not enough to suspect an annuli is missing.  Age unaffected."/>
    <x v="0"/>
  </r>
  <r>
    <n v="144793"/>
    <x v="3"/>
    <x v="2"/>
    <s v="8"/>
    <x v="9"/>
    <s v="1080049"/>
    <s v="2025-09-24"/>
    <s v="2025-09-25"/>
    <x v="0"/>
    <s v="Adult"/>
    <s v="Escapement"/>
    <s v="Gillnet"/>
    <s v="Otoliths and Scales"/>
    <n v="3"/>
    <s v="12"/>
    <m/>
    <m/>
    <s v="Resorption present but not enough to suspect an annuli is missing.  Age unaffected."/>
    <x v="0"/>
  </r>
  <r>
    <n v="144793"/>
    <x v="3"/>
    <x v="2"/>
    <s v="8"/>
    <x v="9"/>
    <s v="1080049"/>
    <s v="2025-09-24"/>
    <s v="2025-09-25"/>
    <x v="0"/>
    <s v="Adult"/>
    <s v="Escapement"/>
    <s v="Gillnet"/>
    <s v="Otoliths and Scales"/>
    <n v="4"/>
    <s v="12"/>
    <m/>
    <m/>
    <s v="Resorption present but not enough to suspect an annuli is missing.  Age unaffected."/>
    <x v="0"/>
  </r>
  <r>
    <n v="144793"/>
    <x v="3"/>
    <x v="2"/>
    <s v="8"/>
    <x v="9"/>
    <s v="1080049"/>
    <s v="2025-09-24"/>
    <s v="2025-09-25"/>
    <x v="0"/>
    <s v="Adult"/>
    <s v="Escapement"/>
    <s v="Gillnet"/>
    <s v="Otoliths and Scales"/>
    <n v="5"/>
    <s v="12"/>
    <m/>
    <m/>
    <s v="Resorption present but not enough to suspect an annuli is missing.  Age unaffected."/>
    <x v="0"/>
  </r>
  <r>
    <n v="144793"/>
    <x v="3"/>
    <x v="2"/>
    <s v="8"/>
    <x v="9"/>
    <s v="1080049"/>
    <s v="2025-09-24"/>
    <s v="2025-09-25"/>
    <x v="0"/>
    <s v="Adult"/>
    <s v="Escapement"/>
    <s v="Gillnet"/>
    <s v="Otoliths and Scales"/>
    <n v="6"/>
    <s v="12"/>
    <m/>
    <m/>
    <m/>
    <x v="0"/>
  </r>
  <r>
    <n v="144793"/>
    <x v="3"/>
    <x v="2"/>
    <s v="8"/>
    <x v="9"/>
    <s v="1080049"/>
    <s v="2025-09-24"/>
    <s v="2025-09-25"/>
    <x v="0"/>
    <s v="Adult"/>
    <s v="Escapement"/>
    <s v="Gillnet"/>
    <s v="Otoliths and Scales"/>
    <n v="7"/>
    <s v="12"/>
    <m/>
    <m/>
    <m/>
    <x v="0"/>
  </r>
  <r>
    <n v="144793"/>
    <x v="3"/>
    <x v="2"/>
    <s v="8"/>
    <x v="9"/>
    <s v="1080049"/>
    <s v="2025-09-24"/>
    <s v="2025-09-25"/>
    <x v="0"/>
    <s v="Adult"/>
    <s v="Escapement"/>
    <s v="Gillnet"/>
    <s v="Otoliths and Scales"/>
    <n v="8"/>
    <s v="12"/>
    <m/>
    <m/>
    <s v="Resorption present but not enough to suspect an annuli is missing.  Age unaffected."/>
    <x v="0"/>
  </r>
  <r>
    <n v="144793"/>
    <x v="3"/>
    <x v="2"/>
    <s v="8"/>
    <x v="9"/>
    <s v="1080049"/>
    <s v="2025-09-24"/>
    <s v="2025-09-25"/>
    <x v="0"/>
    <s v="Adult"/>
    <s v="Escapement"/>
    <s v="Gillnet"/>
    <s v="Otoliths and Scales"/>
    <n v="9"/>
    <s v="12"/>
    <m/>
    <m/>
    <s v="Resorption present but not enough to suspect an annuli is missing.  Age unaffected."/>
    <x v="0"/>
  </r>
  <r>
    <n v="144793"/>
    <x v="3"/>
    <x v="2"/>
    <s v="8"/>
    <x v="9"/>
    <s v="1080049"/>
    <s v="2025-09-24"/>
    <s v="2025-09-25"/>
    <x v="0"/>
    <s v="Adult"/>
    <s v="Escapement"/>
    <s v="Gillnet"/>
    <s v="Otoliths and Scales"/>
    <n v="10"/>
    <s v="10"/>
    <m/>
    <m/>
    <s v="Resorption present but not enough to suspect an annuli is missing.  Age unaffected."/>
    <x v="15"/>
  </r>
  <r>
    <n v="144793"/>
    <x v="3"/>
    <x v="2"/>
    <s v="8"/>
    <x v="9"/>
    <s v="1080049"/>
    <s v="2025-09-24"/>
    <s v="2025-09-25"/>
    <x v="0"/>
    <s v="Adult"/>
    <s v="Escapement"/>
    <s v="Gillnet"/>
    <s v="Otoliths and Scales"/>
    <n v="11"/>
    <s v="20"/>
    <m/>
    <m/>
    <s v="Resorption present but not enough to suspect an annuli is missing.  Age unaffected."/>
    <x v="16"/>
  </r>
  <r>
    <n v="144793"/>
    <x v="3"/>
    <x v="2"/>
    <s v="8"/>
    <x v="9"/>
    <s v="1080049"/>
    <s v="2025-09-24"/>
    <s v="2025-09-25"/>
    <x v="0"/>
    <s v="Adult"/>
    <s v="Escapement"/>
    <s v="Gillnet"/>
    <s v="Otoliths and Scales"/>
    <n v="12"/>
    <s v="12"/>
    <m/>
    <m/>
    <s v="Resorption present but not enough to suspect an annuli is missing.  Age unaffected."/>
    <x v="0"/>
  </r>
  <r>
    <n v="144793"/>
    <x v="3"/>
    <x v="2"/>
    <s v="8"/>
    <x v="9"/>
    <s v="1080049"/>
    <s v="2025-09-24"/>
    <s v="2025-09-25"/>
    <x v="0"/>
    <s v="Adult"/>
    <s v="Escapement"/>
    <s v="Gillnet"/>
    <s v="Otoliths and Scales"/>
    <n v="13"/>
    <s v="12"/>
    <m/>
    <m/>
    <m/>
    <x v="0"/>
  </r>
  <r>
    <n v="144793"/>
    <x v="3"/>
    <x v="2"/>
    <s v="8"/>
    <x v="9"/>
    <s v="1080049"/>
    <s v="2025-09-24"/>
    <s v="2025-09-25"/>
    <x v="0"/>
    <s v="Adult"/>
    <s v="Escapement"/>
    <s v="Gillnet"/>
    <s v="Otoliths and Scales"/>
    <n v="14"/>
    <s v="13"/>
    <m/>
    <m/>
    <s v="Resorption present but not enough to suspect an annuli is missing.  Age unaffected."/>
    <x v="5"/>
  </r>
  <r>
    <n v="144793"/>
    <x v="3"/>
    <x v="2"/>
    <s v="8"/>
    <x v="9"/>
    <s v="1080049"/>
    <s v="2025-09-24"/>
    <s v="2025-09-25"/>
    <x v="0"/>
    <s v="Adult"/>
    <s v="Escapement"/>
    <s v="Gillnet"/>
    <s v="Otoliths and Scales"/>
    <n v="15"/>
    <s v="12"/>
    <m/>
    <m/>
    <s v="Resorption present but not enough to suspect an annuli is missing.  Age unaffected."/>
    <x v="0"/>
  </r>
  <r>
    <n v="144793"/>
    <x v="3"/>
    <x v="2"/>
    <s v="8"/>
    <x v="9"/>
    <s v="1080049"/>
    <s v="2025-09-24"/>
    <s v="2025-09-25"/>
    <x v="0"/>
    <s v="Adult"/>
    <s v="Escapement"/>
    <s v="Gillnet"/>
    <s v="Otoliths and Scales"/>
    <n v="16"/>
    <s v="12"/>
    <m/>
    <m/>
    <s v="Resorption present but not enough to suspect an annuli is missing.  Age unaffected."/>
    <x v="0"/>
  </r>
  <r>
    <n v="144793"/>
    <x v="3"/>
    <x v="2"/>
    <s v="8"/>
    <x v="9"/>
    <s v="1080049"/>
    <s v="2025-09-24"/>
    <s v="2025-09-25"/>
    <x v="0"/>
    <s v="Adult"/>
    <s v="Escapement"/>
    <s v="Gillnet"/>
    <s v="Otoliths and Scales"/>
    <n v="17"/>
    <s v="12"/>
    <m/>
    <m/>
    <s v="Resorption present but not enough to suspect an annuli is missing.  Age unaffected."/>
    <x v="0"/>
  </r>
  <r>
    <n v="144793"/>
    <x v="3"/>
    <x v="2"/>
    <s v="8"/>
    <x v="9"/>
    <s v="1080049"/>
    <s v="2025-09-24"/>
    <s v="2025-09-25"/>
    <x v="0"/>
    <s v="Adult"/>
    <s v="Escapement"/>
    <s v="Gillnet"/>
    <s v="Otoliths and Scales"/>
    <n v="18"/>
    <s v="12"/>
    <m/>
    <m/>
    <s v="Resorption present but not enough to suspect an annuli is missing.  Age unaffected."/>
    <x v="0"/>
  </r>
  <r>
    <n v="144793"/>
    <x v="3"/>
    <x v="2"/>
    <s v="8"/>
    <x v="9"/>
    <s v="1080049"/>
    <s v="2025-09-24"/>
    <s v="2025-09-25"/>
    <x v="0"/>
    <s v="Adult"/>
    <s v="Escapement"/>
    <s v="Gillnet"/>
    <s v="Otoliths and Scales"/>
    <n v="19"/>
    <s v="12"/>
    <m/>
    <m/>
    <s v="Resorption present but not enough to suspect an annuli is missing.  Age unaffected."/>
    <x v="0"/>
  </r>
  <r>
    <n v="144793"/>
    <x v="3"/>
    <x v="2"/>
    <s v="8"/>
    <x v="9"/>
    <s v="1080049"/>
    <s v="2025-09-24"/>
    <s v="2025-09-25"/>
    <x v="0"/>
    <s v="Adult"/>
    <s v="Escapement"/>
    <s v="Gillnet"/>
    <s v="Otoliths and Scales"/>
    <n v="20"/>
    <s v="13"/>
    <m/>
    <m/>
    <s v="Resorption present but not enough to suspect an annuli is missing.  Age unaffected."/>
    <x v="5"/>
  </r>
  <r>
    <n v="144793"/>
    <x v="3"/>
    <x v="2"/>
    <s v="8"/>
    <x v="9"/>
    <s v="1080049"/>
    <s v="2025-09-24"/>
    <s v="2025-09-25"/>
    <x v="0"/>
    <s v="Adult"/>
    <s v="Escapement"/>
    <s v="Gillnet"/>
    <s v="Otoliths and Scales"/>
    <n v="21"/>
    <s v="12"/>
    <m/>
    <m/>
    <s v="Resorption present but not enough to suspect an annuli is missing.  Age unaffected."/>
    <x v="0"/>
  </r>
  <r>
    <n v="144793"/>
    <x v="3"/>
    <x v="2"/>
    <s v="8"/>
    <x v="9"/>
    <s v="1080049"/>
    <s v="2025-09-24"/>
    <s v="2025-09-25"/>
    <x v="0"/>
    <s v="Adult"/>
    <s v="Escapement"/>
    <s v="Gillnet"/>
    <s v="Otoliths and Scales"/>
    <n v="22"/>
    <s v="12"/>
    <m/>
    <m/>
    <s v="Resorption present but not enough to suspect an annuli is missing.  Age unaffected."/>
    <x v="0"/>
  </r>
  <r>
    <n v="144793"/>
    <x v="3"/>
    <x v="2"/>
    <s v="8"/>
    <x v="9"/>
    <s v="1080049"/>
    <s v="2025-09-24"/>
    <s v="2025-09-25"/>
    <x v="0"/>
    <s v="Adult"/>
    <s v="Escapement"/>
    <s v="Gillnet"/>
    <s v="Otoliths and Scales"/>
    <n v="23"/>
    <s v="12"/>
    <m/>
    <m/>
    <s v="Resorption present but not enough to suspect an annuli is missing.  Age unaffected."/>
    <x v="0"/>
  </r>
  <r>
    <n v="144793"/>
    <x v="3"/>
    <x v="2"/>
    <s v="8"/>
    <x v="9"/>
    <s v="1080049"/>
    <s v="2025-09-24"/>
    <s v="2025-09-25"/>
    <x v="0"/>
    <s v="Adult"/>
    <s v="Escapement"/>
    <s v="Gillnet"/>
    <s v="Otoliths and Scales"/>
    <n v="24"/>
    <s v="12"/>
    <m/>
    <m/>
    <s v="Resorption present but not enough to suspect an annuli is missing.  Age unaffected."/>
    <x v="0"/>
  </r>
  <r>
    <n v="144793"/>
    <x v="3"/>
    <x v="2"/>
    <s v="8"/>
    <x v="9"/>
    <s v="1080049"/>
    <s v="2025-09-24"/>
    <s v="2025-09-25"/>
    <x v="0"/>
    <s v="Adult"/>
    <s v="Escapement"/>
    <s v="Gillnet"/>
    <s v="Otoliths and Scales"/>
    <n v="25"/>
    <s v="12"/>
    <m/>
    <m/>
    <s v="Resorption present but not enough to suspect an annuli is missing.  Age unaffected."/>
    <x v="0"/>
  </r>
  <r>
    <n v="144793"/>
    <x v="3"/>
    <x v="2"/>
    <s v="8"/>
    <x v="9"/>
    <s v="1080050"/>
    <s v="2025-09-24"/>
    <s v="2025-09-25"/>
    <x v="0"/>
    <s v="Adult"/>
    <s v="Escapement"/>
    <s v="Gillnet"/>
    <s v="Otoliths and Scales"/>
    <n v="1"/>
    <s v="12"/>
    <m/>
    <m/>
    <s v="Resorption present but not enough to suspect an annuli is missing.  Age unaffected."/>
    <x v="0"/>
  </r>
  <r>
    <n v="144793"/>
    <x v="3"/>
    <x v="2"/>
    <s v="8"/>
    <x v="9"/>
    <s v="1080050"/>
    <s v="2025-09-24"/>
    <s v="2025-09-25"/>
    <x v="0"/>
    <s v="Adult"/>
    <s v="Escapement"/>
    <s v="Gillnet"/>
    <s v="Otoliths and Scales"/>
    <n v="2"/>
    <s v="12"/>
    <m/>
    <m/>
    <s v="Resorption present but not enough to suspect an annuli is missing.  Age unaffected."/>
    <x v="0"/>
  </r>
  <r>
    <n v="144793"/>
    <x v="3"/>
    <x v="2"/>
    <s v="8"/>
    <x v="9"/>
    <s v="1080050"/>
    <s v="2025-09-24"/>
    <s v="2025-09-25"/>
    <x v="0"/>
    <s v="Adult"/>
    <s v="Escapement"/>
    <s v="Gillnet"/>
    <s v="Otoliths and Scales"/>
    <n v="3"/>
    <s v="12"/>
    <m/>
    <m/>
    <s v="Resorption present but not enough to suspect an annuli is missing.  Age unaffected."/>
    <x v="0"/>
  </r>
  <r>
    <n v="144793"/>
    <x v="3"/>
    <x v="2"/>
    <s v="8"/>
    <x v="9"/>
    <s v="1080050"/>
    <s v="2025-09-24"/>
    <s v="2025-09-25"/>
    <x v="0"/>
    <s v="Adult"/>
    <s v="Escapement"/>
    <s v="Gillnet"/>
    <s v="Otoliths and Scales"/>
    <n v="4"/>
    <m/>
    <s v="F1"/>
    <m/>
    <m/>
    <x v="8"/>
  </r>
  <r>
    <n v="144793"/>
    <x v="3"/>
    <x v="2"/>
    <s v="8"/>
    <x v="9"/>
    <s v="1080050"/>
    <s v="2025-09-24"/>
    <s v="2025-09-25"/>
    <x v="0"/>
    <s v="Adult"/>
    <s v="Escapement"/>
    <s v="Gillnet"/>
    <s v="Otoliths and Scales"/>
    <n v="5"/>
    <s v="12"/>
    <m/>
    <m/>
    <s v="Resorption present but not enough to suspect an annuli is missing.  Age unaffected."/>
    <x v="0"/>
  </r>
  <r>
    <n v="144793"/>
    <x v="3"/>
    <x v="2"/>
    <s v="8"/>
    <x v="9"/>
    <s v="1080050"/>
    <s v="2025-09-24"/>
    <s v="2025-09-25"/>
    <x v="0"/>
    <s v="Adult"/>
    <s v="Escapement"/>
    <s v="Gillnet"/>
    <s v="Otoliths and Scales"/>
    <n v="6"/>
    <s v="12"/>
    <m/>
    <m/>
    <s v="Resorption present but not enough to suspect an annuli is missing.  Age unaffected."/>
    <x v="0"/>
  </r>
  <r>
    <n v="144793"/>
    <x v="3"/>
    <x v="2"/>
    <s v="8"/>
    <x v="9"/>
    <s v="1080050"/>
    <s v="2025-09-24"/>
    <s v="2025-09-25"/>
    <x v="0"/>
    <s v="Adult"/>
    <s v="Escapement"/>
    <s v="Gillnet"/>
    <s v="Otoliths and Scales"/>
    <n v="7"/>
    <s v="12"/>
    <m/>
    <m/>
    <s v="Resorption present but not enough to suspect an annuli is missing.  Age unaffected."/>
    <x v="0"/>
  </r>
  <r>
    <n v="144793"/>
    <x v="3"/>
    <x v="2"/>
    <s v="8"/>
    <x v="9"/>
    <s v="1080050"/>
    <s v="2025-09-24"/>
    <s v="2025-09-25"/>
    <x v="0"/>
    <s v="Adult"/>
    <s v="Escapement"/>
    <s v="Gillnet"/>
    <s v="Otoliths and Scales"/>
    <n v="8"/>
    <s v="12"/>
    <m/>
    <m/>
    <s v="Resorption present but not enough to suspect an annuli is missing.  Age unaffected."/>
    <x v="0"/>
  </r>
  <r>
    <n v="144793"/>
    <x v="3"/>
    <x v="2"/>
    <s v="8"/>
    <x v="9"/>
    <s v="1080050"/>
    <s v="2025-09-24"/>
    <s v="2025-09-25"/>
    <x v="0"/>
    <s v="Adult"/>
    <s v="Escapement"/>
    <s v="Gillnet"/>
    <s v="Otoliths and Scales"/>
    <n v="9"/>
    <s v="12"/>
    <m/>
    <m/>
    <m/>
    <x v="0"/>
  </r>
  <r>
    <n v="144793"/>
    <x v="3"/>
    <x v="2"/>
    <s v="8"/>
    <x v="9"/>
    <s v="1080050"/>
    <s v="2025-09-24"/>
    <s v="2025-09-25"/>
    <x v="0"/>
    <s v="Adult"/>
    <s v="Escapement"/>
    <s v="Gillnet"/>
    <s v="Otoliths and Scales"/>
    <n v="10"/>
    <s v="12"/>
    <m/>
    <m/>
    <s v="Resorption present but not enough to suspect an annuli is missing.  Age unaffected."/>
    <x v="0"/>
  </r>
  <r>
    <n v="144793"/>
    <x v="3"/>
    <x v="2"/>
    <s v="8"/>
    <x v="9"/>
    <s v="1080050"/>
    <s v="2025-09-24"/>
    <s v="2025-09-25"/>
    <x v="0"/>
    <s v="Adult"/>
    <s v="Escapement"/>
    <s v="Gillnet"/>
    <s v="Otoliths and Scales"/>
    <n v="11"/>
    <s v="12"/>
    <m/>
    <m/>
    <m/>
    <x v="0"/>
  </r>
  <r>
    <n v="144793"/>
    <x v="3"/>
    <x v="2"/>
    <s v="8"/>
    <x v="9"/>
    <s v="1080051"/>
    <s v="2025-09-24"/>
    <s v="2025-09-25"/>
    <x v="0"/>
    <s v="Adult"/>
    <s v="Escapement"/>
    <s v="Gillnet"/>
    <s v="Otoliths and Scales"/>
    <n v="1"/>
    <s v="12"/>
    <m/>
    <m/>
    <m/>
    <x v="0"/>
  </r>
  <r>
    <n v="144793"/>
    <x v="3"/>
    <x v="2"/>
    <s v="8"/>
    <x v="9"/>
    <s v="1080051"/>
    <s v="2025-09-24"/>
    <s v="2025-09-25"/>
    <x v="0"/>
    <s v="Adult"/>
    <s v="Escapement"/>
    <s v="Gillnet"/>
    <s v="Otoliths and Scales"/>
    <n v="2"/>
    <s v="12"/>
    <m/>
    <m/>
    <s v="Resorption present but not enough to suspect an annuli is missing.  Age unaffected."/>
    <x v="0"/>
  </r>
  <r>
    <n v="144793"/>
    <x v="3"/>
    <x v="2"/>
    <s v="8"/>
    <x v="9"/>
    <s v="1080051"/>
    <s v="2025-09-24"/>
    <s v="2025-09-25"/>
    <x v="0"/>
    <s v="Adult"/>
    <s v="Escapement"/>
    <s v="Gillnet"/>
    <s v="Otoliths and Scales"/>
    <n v="3"/>
    <s v="12"/>
    <m/>
    <m/>
    <s v="Resorption present but not enough to suspect an annuli is missing.  Age unaffected."/>
    <x v="0"/>
  </r>
  <r>
    <n v="144793"/>
    <x v="3"/>
    <x v="2"/>
    <s v="8"/>
    <x v="9"/>
    <s v="1080051"/>
    <s v="2025-09-24"/>
    <s v="2025-09-25"/>
    <x v="0"/>
    <s v="Adult"/>
    <s v="Escapement"/>
    <s v="Gillnet"/>
    <s v="Otoliths and Scales"/>
    <n v="4"/>
    <s v="12"/>
    <m/>
    <m/>
    <m/>
    <x v="0"/>
  </r>
  <r>
    <n v="144793"/>
    <x v="3"/>
    <x v="2"/>
    <s v="8"/>
    <x v="9"/>
    <s v="1080051"/>
    <s v="2025-09-24"/>
    <s v="2025-09-25"/>
    <x v="0"/>
    <s v="Adult"/>
    <s v="Escapement"/>
    <s v="Gillnet"/>
    <s v="Otoliths and Scales"/>
    <n v="5"/>
    <s v="12"/>
    <m/>
    <m/>
    <m/>
    <x v="0"/>
  </r>
  <r>
    <n v="144793"/>
    <x v="3"/>
    <x v="2"/>
    <s v="8"/>
    <x v="9"/>
    <s v="1080051"/>
    <s v="2025-09-24"/>
    <s v="2025-09-25"/>
    <x v="0"/>
    <s v="Adult"/>
    <s v="Escapement"/>
    <s v="Gillnet"/>
    <s v="Otoliths and Scales"/>
    <n v="6"/>
    <s v="12"/>
    <m/>
    <m/>
    <m/>
    <x v="0"/>
  </r>
  <r>
    <n v="144793"/>
    <x v="3"/>
    <x v="2"/>
    <s v="8"/>
    <x v="9"/>
    <s v="1080051"/>
    <s v="2025-09-24"/>
    <s v="2025-09-25"/>
    <x v="0"/>
    <s v="Adult"/>
    <s v="Escapement"/>
    <s v="Gillnet"/>
    <s v="Otoliths and Scales"/>
    <n v="7"/>
    <s v="12"/>
    <m/>
    <m/>
    <s v="Resorption present but not enough to suspect an annuli is missing.  Age unaffected."/>
    <x v="0"/>
  </r>
  <r>
    <n v="144793"/>
    <x v="3"/>
    <x v="2"/>
    <s v="8"/>
    <x v="9"/>
    <s v="1080051"/>
    <s v="2025-09-24"/>
    <s v="2025-09-25"/>
    <x v="0"/>
    <s v="Adult"/>
    <s v="Escapement"/>
    <s v="Gillnet"/>
    <s v="Otoliths and Scales"/>
    <n v="8"/>
    <s v="12"/>
    <m/>
    <m/>
    <m/>
    <x v="0"/>
  </r>
  <r>
    <n v="144793"/>
    <x v="3"/>
    <x v="2"/>
    <s v="8"/>
    <x v="9"/>
    <s v="1080051"/>
    <s v="2025-09-24"/>
    <s v="2025-09-25"/>
    <x v="0"/>
    <s v="Adult"/>
    <s v="Escapement"/>
    <s v="Gillnet"/>
    <s v="Otoliths and Scales"/>
    <n v="9"/>
    <s v="12"/>
    <m/>
    <m/>
    <m/>
    <x v="0"/>
  </r>
  <r>
    <n v="144793"/>
    <x v="3"/>
    <x v="2"/>
    <s v="8"/>
    <x v="9"/>
    <s v="1080051"/>
    <s v="2025-09-24"/>
    <s v="2025-09-25"/>
    <x v="0"/>
    <s v="Adult"/>
    <s v="Escapement"/>
    <s v="Gillnet"/>
    <s v="Otoliths and Scales"/>
    <n v="10"/>
    <s v="12"/>
    <m/>
    <m/>
    <m/>
    <x v="0"/>
  </r>
  <r>
    <n v="144793"/>
    <x v="3"/>
    <x v="2"/>
    <s v="8"/>
    <x v="9"/>
    <s v="1080051"/>
    <s v="2025-09-24"/>
    <s v="2025-09-25"/>
    <x v="0"/>
    <s v="Adult"/>
    <s v="Escapement"/>
    <s v="Gillnet"/>
    <s v="Otoliths and Scales"/>
    <n v="11"/>
    <s v="12"/>
    <m/>
    <m/>
    <s v="Resorption present but not enough to suspect an annuli is missing.  Age unaffected."/>
    <x v="0"/>
  </r>
  <r>
    <n v="144793"/>
    <x v="3"/>
    <x v="2"/>
    <s v="8"/>
    <x v="9"/>
    <s v="1080051"/>
    <s v="2025-09-24"/>
    <s v="2025-09-25"/>
    <x v="0"/>
    <s v="Adult"/>
    <s v="Escapement"/>
    <s v="Gillnet"/>
    <s v="Otoliths and Scales"/>
    <n v="12"/>
    <s v="12"/>
    <m/>
    <m/>
    <s v="Resorption present but not enough to suspect an annuli is missing.  Age unaffected."/>
    <x v="0"/>
  </r>
  <r>
    <n v="144793"/>
    <x v="3"/>
    <x v="2"/>
    <s v="8"/>
    <x v="9"/>
    <s v="1080051"/>
    <s v="2025-09-24"/>
    <s v="2025-09-25"/>
    <x v="0"/>
    <s v="Adult"/>
    <s v="Escapement"/>
    <s v="Gillnet"/>
    <s v="Otoliths and Scales"/>
    <n v="13"/>
    <s v="12"/>
    <m/>
    <m/>
    <m/>
    <x v="0"/>
  </r>
  <r>
    <n v="144793"/>
    <x v="3"/>
    <x v="2"/>
    <s v="8"/>
    <x v="9"/>
    <s v="1080051"/>
    <s v="2025-09-24"/>
    <s v="2025-09-25"/>
    <x v="0"/>
    <s v="Adult"/>
    <s v="Escapement"/>
    <s v="Gillnet"/>
    <s v="Otoliths and Scales"/>
    <n v="14"/>
    <s v="12"/>
    <m/>
    <m/>
    <m/>
    <x v="0"/>
  </r>
  <r>
    <n v="144793"/>
    <x v="3"/>
    <x v="2"/>
    <s v="8"/>
    <x v="9"/>
    <s v="1080051"/>
    <s v="2025-09-24"/>
    <s v="2025-09-25"/>
    <x v="0"/>
    <s v="Adult"/>
    <s v="Escapement"/>
    <s v="Gillnet"/>
    <s v="Otoliths and Scales"/>
    <n v="15"/>
    <s v="12"/>
    <m/>
    <m/>
    <s v="Resorption present but not enough to suspect an annuli is missing.  Age unaffected."/>
    <x v="0"/>
  </r>
  <r>
    <n v="144793"/>
    <x v="3"/>
    <x v="2"/>
    <s v="8"/>
    <x v="9"/>
    <s v="1080051"/>
    <s v="2025-09-24"/>
    <s v="2025-09-25"/>
    <x v="0"/>
    <s v="Adult"/>
    <s v="Escapement"/>
    <s v="Gillnet"/>
    <s v="Otoliths and Scales"/>
    <n v="16"/>
    <s v="12"/>
    <m/>
    <m/>
    <m/>
    <x v="0"/>
  </r>
  <r>
    <n v="144793"/>
    <x v="3"/>
    <x v="2"/>
    <s v="8"/>
    <x v="9"/>
    <s v="1080051"/>
    <s v="2025-09-24"/>
    <s v="2025-09-25"/>
    <x v="0"/>
    <s v="Adult"/>
    <s v="Escapement"/>
    <s v="Gillnet"/>
    <s v="Otoliths and Scales"/>
    <n v="17"/>
    <s v="12"/>
    <m/>
    <m/>
    <s v="Resorption present but not enough to suspect an annuli is missing.  Age unaffected."/>
    <x v="0"/>
  </r>
  <r>
    <n v="144793"/>
    <x v="3"/>
    <x v="2"/>
    <s v="8"/>
    <x v="9"/>
    <s v="1080051"/>
    <s v="2025-09-24"/>
    <s v="2025-09-25"/>
    <x v="0"/>
    <s v="Adult"/>
    <s v="Escapement"/>
    <s v="Gillnet"/>
    <s v="Otoliths and Scales"/>
    <n v="18"/>
    <s v="12"/>
    <m/>
    <m/>
    <s v="Resorption present but not enough to suspect an annuli is missing.  Age unaffected."/>
    <x v="0"/>
  </r>
  <r>
    <n v="144793"/>
    <x v="3"/>
    <x v="2"/>
    <s v="8"/>
    <x v="9"/>
    <s v="1080051"/>
    <s v="2025-09-24"/>
    <s v="2025-09-25"/>
    <x v="0"/>
    <s v="Adult"/>
    <s v="Escapement"/>
    <s v="Gillnet"/>
    <s v="Otoliths and Scales"/>
    <n v="19"/>
    <s v="12"/>
    <m/>
    <m/>
    <m/>
    <x v="0"/>
  </r>
  <r>
    <n v="144793"/>
    <x v="3"/>
    <x v="2"/>
    <s v="8"/>
    <x v="9"/>
    <s v="1080051"/>
    <s v="2025-09-24"/>
    <s v="2025-09-25"/>
    <x v="0"/>
    <s v="Adult"/>
    <s v="Escapement"/>
    <s v="Gillnet"/>
    <s v="Otoliths and Scales"/>
    <n v="20"/>
    <s v="13"/>
    <m/>
    <m/>
    <s v="Resorption present but not enough to suspect an annuli is missing.  Age unaffected."/>
    <x v="5"/>
  </r>
  <r>
    <n v="144793"/>
    <x v="3"/>
    <x v="2"/>
    <s v="8"/>
    <x v="9"/>
    <s v="1080051"/>
    <s v="2025-09-24"/>
    <s v="2025-09-25"/>
    <x v="0"/>
    <s v="Adult"/>
    <s v="Escapement"/>
    <s v="Gillnet"/>
    <s v="Otoliths and Scales"/>
    <n v="21"/>
    <s v="12"/>
    <m/>
    <m/>
    <m/>
    <x v="0"/>
  </r>
  <r>
    <n v="144793"/>
    <x v="3"/>
    <x v="2"/>
    <s v="8"/>
    <x v="9"/>
    <s v="1080051"/>
    <s v="2025-09-24"/>
    <s v="2025-09-25"/>
    <x v="0"/>
    <s v="Adult"/>
    <s v="Escapement"/>
    <s v="Gillnet"/>
    <s v="Otoliths and Scales"/>
    <n v="22"/>
    <s v="12"/>
    <m/>
    <m/>
    <s v="Resorption present but not enough to suspect an annuli is missing.  Age unaffected."/>
    <x v="0"/>
  </r>
  <r>
    <n v="144793"/>
    <x v="3"/>
    <x v="2"/>
    <s v="8"/>
    <x v="9"/>
    <s v="1080051"/>
    <s v="2025-09-24"/>
    <s v="2025-09-25"/>
    <x v="0"/>
    <s v="Adult"/>
    <s v="Escapement"/>
    <s v="Gillnet"/>
    <s v="Otoliths and Scales"/>
    <n v="23"/>
    <s v="12"/>
    <m/>
    <m/>
    <m/>
    <x v="0"/>
  </r>
  <r>
    <n v="144793"/>
    <x v="3"/>
    <x v="2"/>
    <s v="8"/>
    <x v="9"/>
    <s v="1080051"/>
    <s v="2025-09-24"/>
    <s v="2025-09-25"/>
    <x v="0"/>
    <s v="Adult"/>
    <s v="Escapement"/>
    <s v="Gillnet"/>
    <s v="Otoliths and Scales"/>
    <n v="24"/>
    <s v="12"/>
    <m/>
    <m/>
    <m/>
    <x v="0"/>
  </r>
  <r>
    <n v="144793"/>
    <x v="3"/>
    <x v="2"/>
    <s v="8"/>
    <x v="9"/>
    <s v="1080051"/>
    <s v="2025-09-24"/>
    <s v="2025-09-25"/>
    <x v="0"/>
    <s v="Adult"/>
    <s v="Escapement"/>
    <s v="Gillnet"/>
    <s v="Otoliths and Scales"/>
    <n v="25"/>
    <s v="13"/>
    <m/>
    <m/>
    <s v="Resorption present but not enough to suspect an annuli is missing.  Age unaffected."/>
    <x v="5"/>
  </r>
  <r>
    <n v="144793"/>
    <x v="3"/>
    <x v="2"/>
    <s v="8"/>
    <x v="9"/>
    <s v="1080052"/>
    <s v="2025-09-24"/>
    <s v="2025-09-25"/>
    <x v="0"/>
    <s v="Adult"/>
    <s v="Escapement"/>
    <s v="Gillnet"/>
    <s v="Otoliths and Scales"/>
    <n v="1"/>
    <s v="12"/>
    <m/>
    <m/>
    <s v="Resorption present but not enough to suspect an annuli is missing.  Age unaffected."/>
    <x v="0"/>
  </r>
  <r>
    <n v="144793"/>
    <x v="3"/>
    <x v="2"/>
    <s v="8"/>
    <x v="9"/>
    <s v="1080052"/>
    <s v="2025-09-24"/>
    <s v="2025-09-25"/>
    <x v="0"/>
    <s v="Adult"/>
    <s v="Escapement"/>
    <s v="Gillnet"/>
    <s v="Otoliths and Scales"/>
    <n v="2"/>
    <s v="12"/>
    <m/>
    <m/>
    <s v="Resorption present but not enough to suspect an annuli is missing.  Age unaffected."/>
    <x v="0"/>
  </r>
  <r>
    <n v="144793"/>
    <x v="3"/>
    <x v="2"/>
    <s v="8"/>
    <x v="9"/>
    <s v="1080052"/>
    <s v="2025-09-24"/>
    <s v="2025-09-25"/>
    <x v="0"/>
    <s v="Adult"/>
    <s v="Escapement"/>
    <s v="Gillnet"/>
    <s v="Otoliths and Scales"/>
    <n v="3"/>
    <s v="12"/>
    <m/>
    <m/>
    <m/>
    <x v="0"/>
  </r>
  <r>
    <n v="144793"/>
    <x v="3"/>
    <x v="2"/>
    <s v="8"/>
    <x v="9"/>
    <s v="1080052"/>
    <s v="2025-09-24"/>
    <s v="2025-09-25"/>
    <x v="0"/>
    <s v="Adult"/>
    <s v="Escapement"/>
    <s v="Gillnet"/>
    <s v="Otoliths and Scales"/>
    <n v="4"/>
    <s v="12"/>
    <m/>
    <m/>
    <s v="Resorption present but not enough to suspect an annuli is missing.  Age unaffected."/>
    <x v="0"/>
  </r>
  <r>
    <n v="144793"/>
    <x v="3"/>
    <x v="2"/>
    <s v="8"/>
    <x v="9"/>
    <s v="1080052"/>
    <s v="2025-09-24"/>
    <s v="2025-09-25"/>
    <x v="0"/>
    <s v="Adult"/>
    <s v="Escapement"/>
    <s v="Gillnet"/>
    <s v="Otoliths and Scales"/>
    <n v="5"/>
    <s v="12"/>
    <m/>
    <m/>
    <s v="Resorption present but not enough to suspect an annuli is missing.  Age unaffected."/>
    <x v="0"/>
  </r>
  <r>
    <n v="144793"/>
    <x v="3"/>
    <x v="2"/>
    <s v="8"/>
    <x v="9"/>
    <s v="1080052"/>
    <s v="2025-09-24"/>
    <s v="2025-09-25"/>
    <x v="0"/>
    <s v="Adult"/>
    <s v="Escapement"/>
    <s v="Gillnet"/>
    <s v="Otoliths and Scales"/>
    <n v="6"/>
    <s v="12"/>
    <m/>
    <m/>
    <s v="Resorption present but not enough to suspect an annuli is missing.  Age unaffected."/>
    <x v="0"/>
  </r>
  <r>
    <n v="144793"/>
    <x v="3"/>
    <x v="2"/>
    <s v="8"/>
    <x v="9"/>
    <s v="1080052"/>
    <s v="2025-09-24"/>
    <s v="2025-09-25"/>
    <x v="0"/>
    <s v="Adult"/>
    <s v="Escapement"/>
    <s v="Gillnet"/>
    <s v="Otoliths and Scales"/>
    <n v="7"/>
    <s v="12"/>
    <m/>
    <m/>
    <m/>
    <x v="0"/>
  </r>
  <r>
    <n v="144793"/>
    <x v="3"/>
    <x v="2"/>
    <s v="8"/>
    <x v="9"/>
    <s v="1080052"/>
    <s v="2025-09-24"/>
    <s v="2025-09-25"/>
    <x v="0"/>
    <s v="Adult"/>
    <s v="Escapement"/>
    <s v="Gillnet"/>
    <s v="Otoliths and Scales"/>
    <n v="8"/>
    <s v="12"/>
    <m/>
    <m/>
    <m/>
    <x v="0"/>
  </r>
  <r>
    <n v="144793"/>
    <x v="3"/>
    <x v="2"/>
    <s v="8"/>
    <x v="9"/>
    <s v="1080052"/>
    <s v="2025-09-24"/>
    <s v="2025-09-25"/>
    <x v="0"/>
    <s v="Adult"/>
    <s v="Escapement"/>
    <s v="Gillnet"/>
    <s v="Otoliths and Scales"/>
    <n v="9"/>
    <s v="12"/>
    <m/>
    <m/>
    <s v="Resorption present but not enough to suspect an annuli is missing.  Age unaffected."/>
    <x v="0"/>
  </r>
  <r>
    <n v="144793"/>
    <x v="3"/>
    <x v="2"/>
    <s v="8"/>
    <x v="9"/>
    <s v="1080052"/>
    <s v="2025-09-24"/>
    <s v="2025-09-25"/>
    <x v="0"/>
    <s v="Adult"/>
    <s v="Escapement"/>
    <s v="Gillnet"/>
    <s v="Otoliths and Scales"/>
    <n v="10"/>
    <s v="12"/>
    <m/>
    <m/>
    <s v="Resorption present but not enough to suspect an annuli is missing.  Age unaffected."/>
    <x v="0"/>
  </r>
  <r>
    <n v="144793"/>
    <x v="3"/>
    <x v="2"/>
    <s v="8"/>
    <x v="9"/>
    <s v="1080052"/>
    <s v="2025-09-24"/>
    <s v="2025-09-25"/>
    <x v="0"/>
    <s v="Adult"/>
    <s v="Escapement"/>
    <s v="Gillnet"/>
    <s v="Otoliths and Scales"/>
    <n v="11"/>
    <s v="12"/>
    <m/>
    <m/>
    <m/>
    <x v="0"/>
  </r>
  <r>
    <n v="144793"/>
    <x v="3"/>
    <x v="2"/>
    <s v="8"/>
    <x v="9"/>
    <s v="1080052"/>
    <s v="2025-09-24"/>
    <s v="2025-09-25"/>
    <x v="0"/>
    <s v="Adult"/>
    <s v="Escapement"/>
    <s v="Gillnet"/>
    <s v="Otoliths and Scales"/>
    <n v="12"/>
    <s v="12"/>
    <m/>
    <m/>
    <m/>
    <x v="0"/>
  </r>
  <r>
    <n v="144793"/>
    <x v="3"/>
    <x v="2"/>
    <s v="8"/>
    <x v="9"/>
    <s v="1080052"/>
    <s v="2025-09-24"/>
    <s v="2025-09-25"/>
    <x v="0"/>
    <s v="Adult"/>
    <s v="Escapement"/>
    <s v="Gillnet"/>
    <s v="Otoliths and Scales"/>
    <n v="13"/>
    <s v="12"/>
    <m/>
    <m/>
    <m/>
    <x v="0"/>
  </r>
  <r>
    <n v="144793"/>
    <x v="3"/>
    <x v="2"/>
    <s v="8"/>
    <x v="9"/>
    <s v="1080052"/>
    <s v="2025-09-24"/>
    <s v="2025-09-25"/>
    <x v="0"/>
    <s v="Adult"/>
    <s v="Escapement"/>
    <s v="Gillnet"/>
    <s v="Otoliths and Scales"/>
    <n v="14"/>
    <s v="12"/>
    <m/>
    <m/>
    <s v="Resorption present but not enough to suspect an annuli is missing.  Age unaffected."/>
    <x v="0"/>
  </r>
  <r>
    <n v="144793"/>
    <x v="3"/>
    <x v="2"/>
    <s v="8"/>
    <x v="9"/>
    <s v="1080052"/>
    <s v="2025-09-24"/>
    <s v="2025-09-25"/>
    <x v="0"/>
    <s v="Adult"/>
    <s v="Escapement"/>
    <s v="Gillnet"/>
    <s v="Otoliths and Scales"/>
    <n v="15"/>
    <s v="12"/>
    <m/>
    <m/>
    <s v="Resorption present but not enough to suspect an annuli is missing.  Age unaffected."/>
    <x v="0"/>
  </r>
  <r>
    <n v="144793"/>
    <x v="3"/>
    <x v="2"/>
    <s v="8"/>
    <x v="9"/>
    <s v="1080052"/>
    <s v="2025-09-24"/>
    <s v="2025-09-25"/>
    <x v="0"/>
    <s v="Adult"/>
    <s v="Escapement"/>
    <s v="Gillnet"/>
    <s v="Otoliths and Scales"/>
    <n v="16"/>
    <s v="12"/>
    <m/>
    <m/>
    <s v="Resorption present but not enough to suspect an annuli is missing.  Age unaffected."/>
    <x v="0"/>
  </r>
  <r>
    <n v="144793"/>
    <x v="3"/>
    <x v="2"/>
    <s v="8"/>
    <x v="9"/>
    <s v="1080052"/>
    <s v="2025-09-24"/>
    <s v="2025-09-25"/>
    <x v="0"/>
    <s v="Adult"/>
    <s v="Escapement"/>
    <s v="Gillnet"/>
    <s v="Otoliths and Scales"/>
    <n v="17"/>
    <s v="20"/>
    <m/>
    <m/>
    <s v="Resorption present but not enough to suspect an annuli is missing.  Age unaffected."/>
    <x v="16"/>
  </r>
  <r>
    <n v="144793"/>
    <x v="3"/>
    <x v="2"/>
    <s v="8"/>
    <x v="9"/>
    <s v="1080052"/>
    <s v="2025-09-24"/>
    <s v="2025-09-25"/>
    <x v="0"/>
    <s v="Adult"/>
    <s v="Escapement"/>
    <s v="Gillnet"/>
    <s v="Otoliths and Scales"/>
    <n v="18"/>
    <s v="12"/>
    <m/>
    <m/>
    <m/>
    <x v="0"/>
  </r>
  <r>
    <n v="144793"/>
    <x v="3"/>
    <x v="2"/>
    <s v="8"/>
    <x v="9"/>
    <s v="1080052"/>
    <s v="2025-09-24"/>
    <s v="2025-09-25"/>
    <x v="0"/>
    <s v="Adult"/>
    <s v="Escapement"/>
    <s v="Gillnet"/>
    <s v="Otoliths and Scales"/>
    <n v="19"/>
    <s v="12"/>
    <m/>
    <m/>
    <s v="Resorption present but not enough to suspect an annuli is missing.  Age unaffected."/>
    <x v="0"/>
  </r>
  <r>
    <n v="144793"/>
    <x v="3"/>
    <x v="2"/>
    <s v="8"/>
    <x v="9"/>
    <s v="1080052"/>
    <s v="2025-09-24"/>
    <s v="2025-09-25"/>
    <x v="0"/>
    <s v="Adult"/>
    <s v="Escapement"/>
    <s v="Gillnet"/>
    <s v="Otoliths and Scales"/>
    <n v="20"/>
    <s v="12"/>
    <m/>
    <m/>
    <m/>
    <x v="0"/>
  </r>
  <r>
    <n v="144793"/>
    <x v="3"/>
    <x v="2"/>
    <s v="8"/>
    <x v="9"/>
    <s v="1080052"/>
    <s v="2025-09-24"/>
    <s v="2025-09-25"/>
    <x v="0"/>
    <s v="Adult"/>
    <s v="Escapement"/>
    <s v="Gillnet"/>
    <s v="Otoliths and Scales"/>
    <n v="21"/>
    <s v="12"/>
    <m/>
    <m/>
    <s v="Resorption present but not enough to suspect an annuli is missing.  Age unaffected."/>
    <x v="0"/>
  </r>
  <r>
    <n v="144793"/>
    <x v="3"/>
    <x v="2"/>
    <s v="8"/>
    <x v="9"/>
    <s v="1080052"/>
    <s v="2025-09-24"/>
    <s v="2025-09-25"/>
    <x v="0"/>
    <s v="Adult"/>
    <s v="Escapement"/>
    <s v="Gillnet"/>
    <s v="Otoliths and Scales"/>
    <n v="22"/>
    <s v="13"/>
    <m/>
    <m/>
    <m/>
    <x v="5"/>
  </r>
  <r>
    <n v="144793"/>
    <x v="3"/>
    <x v="2"/>
    <s v="8"/>
    <x v="9"/>
    <s v="1080052"/>
    <s v="2025-09-24"/>
    <s v="2025-09-25"/>
    <x v="0"/>
    <s v="Adult"/>
    <s v="Escapement"/>
    <s v="Gillnet"/>
    <s v="Otoliths and Scales"/>
    <n v="23"/>
    <s v="12"/>
    <m/>
    <m/>
    <s v="Resorption present but not enough to suspect an annuli is missing.  Age unaffected."/>
    <x v="0"/>
  </r>
  <r>
    <n v="144793"/>
    <x v="3"/>
    <x v="2"/>
    <s v="8"/>
    <x v="9"/>
    <s v="1080052"/>
    <s v="2025-09-24"/>
    <s v="2025-09-25"/>
    <x v="0"/>
    <s v="Adult"/>
    <s v="Escapement"/>
    <s v="Gillnet"/>
    <s v="Otoliths and Scales"/>
    <n v="24"/>
    <s v="12"/>
    <m/>
    <m/>
    <m/>
    <x v="0"/>
  </r>
  <r>
    <n v="144793"/>
    <x v="3"/>
    <x v="2"/>
    <s v="8"/>
    <x v="9"/>
    <s v="1080052"/>
    <s v="2025-09-24"/>
    <s v="2025-09-25"/>
    <x v="0"/>
    <s v="Adult"/>
    <s v="Escapement"/>
    <s v="Gillnet"/>
    <s v="Otoliths and Scales"/>
    <n v="25"/>
    <s v="13"/>
    <m/>
    <m/>
    <s v="Resorption present but not enough to suspect an annuli is missing.  Age unaffected."/>
    <x v="5"/>
  </r>
  <r>
    <n v="144793"/>
    <x v="3"/>
    <x v="2"/>
    <s v="8"/>
    <x v="9"/>
    <s v="1080053"/>
    <s v="2025-09-24"/>
    <s v="2025-09-25"/>
    <x v="0"/>
    <s v="Adult"/>
    <s v="Escapement"/>
    <s v="Gillnet"/>
    <s v="Otoliths and Scales"/>
    <n v="1"/>
    <s v="12"/>
    <m/>
    <m/>
    <s v="Resorption present but not enough to suspect an annuli is missing.  Age unaffected."/>
    <x v="0"/>
  </r>
  <r>
    <n v="144793"/>
    <x v="3"/>
    <x v="2"/>
    <s v="8"/>
    <x v="9"/>
    <s v="1080053"/>
    <s v="2025-09-24"/>
    <s v="2025-09-25"/>
    <x v="0"/>
    <s v="Adult"/>
    <s v="Escapement"/>
    <s v="Gillnet"/>
    <s v="Otoliths and Scales"/>
    <n v="2"/>
    <s v="12"/>
    <m/>
    <m/>
    <s v="Resorption present but not enough to suspect an annuli is missing.  Age unaffected."/>
    <x v="0"/>
  </r>
  <r>
    <n v="144793"/>
    <x v="3"/>
    <x v="2"/>
    <s v="8"/>
    <x v="9"/>
    <s v="1080053"/>
    <s v="2025-09-24"/>
    <s v="2025-09-25"/>
    <x v="0"/>
    <s v="Adult"/>
    <s v="Escapement"/>
    <s v="Gillnet"/>
    <s v="Otoliths and Scales"/>
    <n v="3"/>
    <s v="12"/>
    <m/>
    <m/>
    <s v="Resorption present but not enough to suspect an annuli is missing.  Age unaffected."/>
    <x v="0"/>
  </r>
  <r>
    <n v="144793"/>
    <x v="3"/>
    <x v="2"/>
    <s v="8"/>
    <x v="9"/>
    <s v="1080053"/>
    <s v="2025-09-24"/>
    <s v="2025-09-25"/>
    <x v="0"/>
    <s v="Adult"/>
    <s v="Escapement"/>
    <s v="Gillnet"/>
    <s v="Otoliths and Scales"/>
    <n v="4"/>
    <s v="12"/>
    <m/>
    <m/>
    <s v="Resorption present but not enough to suspect an annuli is missing.  Age unaffected."/>
    <x v="0"/>
  </r>
  <r>
    <n v="144793"/>
    <x v="3"/>
    <x v="2"/>
    <s v="8"/>
    <x v="9"/>
    <s v="1080053"/>
    <s v="2025-09-24"/>
    <s v="2025-09-25"/>
    <x v="0"/>
    <s v="Adult"/>
    <s v="Escapement"/>
    <s v="Gillnet"/>
    <s v="Otoliths and Scales"/>
    <n v="5"/>
    <s v="12"/>
    <m/>
    <m/>
    <s v="Resorption present but not enough to suspect an annuli is missing.  Age unaffected."/>
    <x v="0"/>
  </r>
  <r>
    <n v="144793"/>
    <x v="3"/>
    <x v="2"/>
    <s v="8"/>
    <x v="9"/>
    <s v="1080053"/>
    <s v="2025-09-24"/>
    <s v="2025-09-25"/>
    <x v="0"/>
    <s v="Adult"/>
    <s v="Escapement"/>
    <s v="Gillnet"/>
    <s v="Otoliths and Scales"/>
    <n v="6"/>
    <s v="12"/>
    <m/>
    <m/>
    <m/>
    <x v="0"/>
  </r>
  <r>
    <n v="144793"/>
    <x v="3"/>
    <x v="2"/>
    <s v="8"/>
    <x v="9"/>
    <s v="1080053"/>
    <s v="2025-09-24"/>
    <s v="2025-09-25"/>
    <x v="0"/>
    <s v="Adult"/>
    <s v="Escapement"/>
    <s v="Gillnet"/>
    <s v="Otoliths and Scales"/>
    <n v="7"/>
    <s v="12"/>
    <m/>
    <m/>
    <s v="Resorption present but not enough to suspect an annuli is missing.  Age unaffected."/>
    <x v="0"/>
  </r>
  <r>
    <n v="144793"/>
    <x v="3"/>
    <x v="2"/>
    <s v="8"/>
    <x v="9"/>
    <s v="1080053"/>
    <s v="2025-09-24"/>
    <s v="2025-09-25"/>
    <x v="0"/>
    <s v="Adult"/>
    <s v="Escapement"/>
    <s v="Gillnet"/>
    <s v="Otoliths and Scales"/>
    <n v="8"/>
    <s v="12"/>
    <m/>
    <m/>
    <s v="Resorption present but not enough to suspect an annuli is missing.  Age unaffected."/>
    <x v="0"/>
  </r>
  <r>
    <n v="144793"/>
    <x v="3"/>
    <x v="2"/>
    <s v="8"/>
    <x v="9"/>
    <s v="1080053"/>
    <s v="2025-09-24"/>
    <s v="2025-09-25"/>
    <x v="0"/>
    <s v="Adult"/>
    <s v="Escapement"/>
    <s v="Gillnet"/>
    <s v="Otoliths and Scales"/>
    <n v="9"/>
    <s v="12"/>
    <m/>
    <m/>
    <s v="Resorption present but not enough to suspect an annuli is missing.  Age unaffected."/>
    <x v="0"/>
  </r>
  <r>
    <n v="144793"/>
    <x v="3"/>
    <x v="2"/>
    <s v="8"/>
    <x v="9"/>
    <s v="1080053"/>
    <s v="2025-09-24"/>
    <s v="2025-09-25"/>
    <x v="0"/>
    <s v="Adult"/>
    <s v="Escapement"/>
    <s v="Gillnet"/>
    <s v="Otoliths and Scales"/>
    <n v="10"/>
    <s v="12"/>
    <m/>
    <m/>
    <s v="Resorption present but not enough to suspect an annuli is missing.  Age unaffected."/>
    <x v="0"/>
  </r>
  <r>
    <n v="144795"/>
    <x v="3"/>
    <x v="2"/>
    <s v="8"/>
    <x v="10"/>
    <s v="1080044"/>
    <s v="2025-09-19"/>
    <s v="2025-10-01"/>
    <x v="0"/>
    <s v="Adult"/>
    <s v="Escapement"/>
    <s v="Gillnet"/>
    <s v="Otoliths and Scales"/>
    <n v="1"/>
    <s v="12"/>
    <m/>
    <s v="Reading Method - Otolith Only"/>
    <s v="Resorption present but not enough to suspect an annuli is missing.  Age unaffected."/>
    <x v="0"/>
  </r>
  <r>
    <n v="144795"/>
    <x v="3"/>
    <x v="2"/>
    <s v="8"/>
    <x v="10"/>
    <s v="1080044"/>
    <s v="2025-09-19"/>
    <s v="2025-10-01"/>
    <x v="0"/>
    <s v="Adult"/>
    <s v="Escapement"/>
    <s v="Gillnet"/>
    <s v="Otoliths and Scales"/>
    <n v="2"/>
    <s v="13"/>
    <m/>
    <s v="Reading Method - Otolith Only"/>
    <m/>
    <x v="5"/>
  </r>
  <r>
    <n v="144795"/>
    <x v="3"/>
    <x v="2"/>
    <s v="8"/>
    <x v="10"/>
    <s v="1080044"/>
    <s v="2025-09-19"/>
    <s v="2025-10-01"/>
    <x v="0"/>
    <s v="Adult"/>
    <s v="Escapement"/>
    <s v="Gillnet"/>
    <s v="Otoliths and Scales"/>
    <n v="3"/>
    <s v="12"/>
    <m/>
    <s v="Reading Method - Otolith Only"/>
    <m/>
    <x v="0"/>
  </r>
  <r>
    <n v="144795"/>
    <x v="3"/>
    <x v="2"/>
    <s v="8"/>
    <x v="10"/>
    <s v="1080044"/>
    <s v="2025-09-19"/>
    <s v="2025-10-01"/>
    <x v="0"/>
    <s v="Adult"/>
    <s v="Escapement"/>
    <s v="Gillnet"/>
    <s v="Otoliths and Scales"/>
    <n v="4"/>
    <s v="12"/>
    <m/>
    <s v="Reading Method - Otolith Only"/>
    <s v="Resorption present but not enough to suspect an annuli is missing.  Age unaffected."/>
    <x v="0"/>
  </r>
  <r>
    <n v="144795"/>
    <x v="3"/>
    <x v="2"/>
    <s v="8"/>
    <x v="10"/>
    <s v="1080044"/>
    <s v="2025-09-19"/>
    <s v="2025-10-01"/>
    <x v="0"/>
    <s v="Adult"/>
    <s v="Escapement"/>
    <s v="Gillnet"/>
    <s v="Otoliths and Scales"/>
    <n v="5"/>
    <s v="22"/>
    <m/>
    <s v="Reading Method - Otolith Only"/>
    <m/>
    <x v="9"/>
  </r>
  <r>
    <n v="144795"/>
    <x v="3"/>
    <x v="2"/>
    <s v="8"/>
    <x v="10"/>
    <s v="1080044"/>
    <s v="2025-09-19"/>
    <s v="2025-10-01"/>
    <x v="0"/>
    <s v="Adult"/>
    <s v="Escapement"/>
    <s v="Gillnet"/>
    <s v="Otoliths and Scales"/>
    <n v="6"/>
    <s v="12"/>
    <m/>
    <s v="Reading Method - Otolith Only"/>
    <m/>
    <x v="0"/>
  </r>
  <r>
    <n v="144795"/>
    <x v="3"/>
    <x v="2"/>
    <s v="8"/>
    <x v="10"/>
    <s v="1080044"/>
    <s v="2025-09-19"/>
    <s v="2025-10-01"/>
    <x v="0"/>
    <s v="Adult"/>
    <s v="Escapement"/>
    <s v="Gillnet"/>
    <s v="Otoliths and Scales"/>
    <n v="7"/>
    <s v="12"/>
    <m/>
    <s v="Reading Method - Otolith Only"/>
    <s v="Resorption present but not enough to suspect an annuli is missing.  Age unaffected."/>
    <x v="0"/>
  </r>
  <r>
    <n v="144795"/>
    <x v="3"/>
    <x v="2"/>
    <s v="8"/>
    <x v="10"/>
    <s v="1080044"/>
    <s v="2025-09-19"/>
    <s v="2025-10-01"/>
    <x v="0"/>
    <s v="Adult"/>
    <s v="Escapement"/>
    <s v="Gillnet"/>
    <s v="Otoliths and Scales"/>
    <n v="8"/>
    <s v="12"/>
    <m/>
    <s v="Reading Method - Otolith Only"/>
    <m/>
    <x v="0"/>
  </r>
  <r>
    <n v="144795"/>
    <x v="3"/>
    <x v="2"/>
    <s v="8"/>
    <x v="10"/>
    <s v="1080044"/>
    <s v="2025-09-19"/>
    <s v="2025-10-01"/>
    <x v="0"/>
    <s v="Adult"/>
    <s v="Escapement"/>
    <s v="Gillnet"/>
    <s v="Otoliths and Scales"/>
    <n v="9"/>
    <s v="12"/>
    <m/>
    <s v="Reading Method - Otolith Only"/>
    <s v="Resorption present but not enough to suspect an annuli is missing.  Age unaffected."/>
    <x v="0"/>
  </r>
  <r>
    <n v="144795"/>
    <x v="3"/>
    <x v="2"/>
    <s v="8"/>
    <x v="10"/>
    <s v="1080044"/>
    <s v="2025-09-19"/>
    <s v="2025-10-01"/>
    <x v="0"/>
    <s v="Adult"/>
    <s v="Escapement"/>
    <s v="Gillnet"/>
    <s v="Otoliths and Scales"/>
    <n v="10"/>
    <s v="13"/>
    <m/>
    <s v="Reading Method - Otolith Only"/>
    <s v="Resorption present but not enough to suspect an annuli is missing.  Age unaffected."/>
    <x v="5"/>
  </r>
  <r>
    <n v="144795"/>
    <x v="3"/>
    <x v="2"/>
    <s v="8"/>
    <x v="10"/>
    <s v="1080044"/>
    <s v="2025-09-19"/>
    <s v="2025-10-01"/>
    <x v="0"/>
    <s v="Adult"/>
    <s v="Escapement"/>
    <s v="Gillnet"/>
    <s v="Otoliths and Scales"/>
    <n v="11"/>
    <s v="12"/>
    <m/>
    <s v="Reading Method - Otolith Only"/>
    <s v="Resorption present but not enough to suspect an annuli is missing.  Age unaffected."/>
    <x v="0"/>
  </r>
  <r>
    <n v="144795"/>
    <x v="3"/>
    <x v="2"/>
    <s v="8"/>
    <x v="10"/>
    <s v="1080044"/>
    <s v="2025-09-19"/>
    <s v="2025-10-01"/>
    <x v="0"/>
    <s v="Adult"/>
    <s v="Escapement"/>
    <s v="Gillnet"/>
    <s v="Otoliths and Scales"/>
    <n v="12"/>
    <s v="13"/>
    <m/>
    <s v="Reading Method - Otolith Only"/>
    <s v="Resorption present but not enough to suspect an annuli is missing.  Age unaffected."/>
    <x v="5"/>
  </r>
  <r>
    <n v="144795"/>
    <x v="3"/>
    <x v="2"/>
    <s v="8"/>
    <x v="10"/>
    <s v="1080044"/>
    <s v="2025-09-19"/>
    <s v="2025-10-01"/>
    <x v="0"/>
    <s v="Adult"/>
    <s v="Escapement"/>
    <s v="Gillnet"/>
    <s v="Otoliths and Scales"/>
    <n v="13"/>
    <s v="03"/>
    <m/>
    <s v="Reading Method - Otolith Only"/>
    <m/>
    <x v="7"/>
  </r>
  <r>
    <n v="144795"/>
    <x v="3"/>
    <x v="2"/>
    <s v="8"/>
    <x v="10"/>
    <s v="1080044"/>
    <s v="2025-09-19"/>
    <s v="2025-10-01"/>
    <x v="0"/>
    <s v="Adult"/>
    <s v="Escapement"/>
    <s v="Gillnet"/>
    <s v="Otoliths and Scales"/>
    <n v="14"/>
    <s v="12"/>
    <m/>
    <s v="Reading Method - Otolith Only"/>
    <m/>
    <x v="0"/>
  </r>
  <r>
    <n v="144795"/>
    <x v="3"/>
    <x v="2"/>
    <s v="8"/>
    <x v="10"/>
    <s v="1080044"/>
    <s v="2025-09-19"/>
    <s v="2025-10-01"/>
    <x v="0"/>
    <s v="Adult"/>
    <s v="Escapement"/>
    <s v="Gillnet"/>
    <s v="Otoliths and Scales"/>
    <n v="15"/>
    <s v="12"/>
    <m/>
    <s v="Reading Method - Otolith Only"/>
    <m/>
    <x v="0"/>
  </r>
  <r>
    <n v="144795"/>
    <x v="3"/>
    <x v="2"/>
    <s v="8"/>
    <x v="10"/>
    <s v="1080044"/>
    <s v="2025-09-19"/>
    <s v="2025-10-01"/>
    <x v="0"/>
    <s v="Adult"/>
    <s v="Escapement"/>
    <s v="Gillnet"/>
    <s v="Otoliths and Scales"/>
    <n v="16"/>
    <s v="02"/>
    <m/>
    <s v="Reading Method - Otolith Only"/>
    <s v="Resorption present but not enough to suspect an annuli is missing.  Age unaffected."/>
    <x v="4"/>
  </r>
  <r>
    <n v="144795"/>
    <x v="3"/>
    <x v="2"/>
    <s v="8"/>
    <x v="10"/>
    <s v="1080044"/>
    <s v="2025-09-19"/>
    <s v="2025-10-01"/>
    <x v="0"/>
    <s v="Adult"/>
    <s v="Escapement"/>
    <s v="Gillnet"/>
    <s v="Otoliths and Scales"/>
    <n v="17"/>
    <s v="12"/>
    <m/>
    <s v="Reading Method - Otolith Only"/>
    <m/>
    <x v="0"/>
  </r>
  <r>
    <n v="144795"/>
    <x v="3"/>
    <x v="2"/>
    <s v="8"/>
    <x v="10"/>
    <s v="1080044"/>
    <s v="2025-09-19"/>
    <s v="2025-10-01"/>
    <x v="0"/>
    <s v="Adult"/>
    <s v="Escapement"/>
    <s v="Gillnet"/>
    <s v="Otoliths and Scales"/>
    <n v="18"/>
    <s v="12"/>
    <m/>
    <s v="Reading Method - Otolith Only"/>
    <m/>
    <x v="0"/>
  </r>
  <r>
    <n v="144795"/>
    <x v="3"/>
    <x v="2"/>
    <s v="8"/>
    <x v="10"/>
    <s v="1080044"/>
    <s v="2025-09-19"/>
    <s v="2025-10-01"/>
    <x v="0"/>
    <s v="Adult"/>
    <s v="Escapement"/>
    <s v="Gillnet"/>
    <s v="Otoliths and Scales"/>
    <n v="19"/>
    <s v="12"/>
    <m/>
    <s v="Reading Method - Otolith Only"/>
    <m/>
    <x v="0"/>
  </r>
  <r>
    <n v="144795"/>
    <x v="3"/>
    <x v="2"/>
    <s v="8"/>
    <x v="10"/>
    <s v="1080044"/>
    <s v="2025-09-19"/>
    <s v="2025-10-01"/>
    <x v="0"/>
    <s v="Adult"/>
    <s v="Escapement"/>
    <s v="Gillnet"/>
    <s v="Otoliths and Scales"/>
    <n v="20"/>
    <s v="12"/>
    <m/>
    <s v="Reading Method - Otolith Only"/>
    <m/>
    <x v="0"/>
  </r>
  <r>
    <n v="144795"/>
    <x v="3"/>
    <x v="2"/>
    <s v="8"/>
    <x v="10"/>
    <s v="1080044"/>
    <s v="2025-09-19"/>
    <s v="2025-10-01"/>
    <x v="0"/>
    <s v="Adult"/>
    <s v="Escapement"/>
    <s v="Gillnet"/>
    <s v="Otoliths and Scales"/>
    <n v="21"/>
    <s v="03"/>
    <m/>
    <m/>
    <s v="Resorption present but not enough to suspect an annuli is missing.  Age unaffected."/>
    <x v="7"/>
  </r>
  <r>
    <n v="144795"/>
    <x v="3"/>
    <x v="2"/>
    <s v="8"/>
    <x v="10"/>
    <s v="1080044"/>
    <s v="2025-09-19"/>
    <s v="2025-10-01"/>
    <x v="0"/>
    <s v="Adult"/>
    <s v="Escapement"/>
    <s v="Gillnet"/>
    <s v="Otoliths and Scales"/>
    <n v="22"/>
    <s v="12"/>
    <m/>
    <s v="Reading Method - Otolith Only"/>
    <m/>
    <x v="0"/>
  </r>
  <r>
    <n v="144795"/>
    <x v="3"/>
    <x v="2"/>
    <s v="8"/>
    <x v="10"/>
    <s v="1080044"/>
    <s v="2025-09-19"/>
    <s v="2025-10-01"/>
    <x v="0"/>
    <s v="Adult"/>
    <s v="Escapement"/>
    <s v="Gillnet"/>
    <s v="Otoliths and Scales"/>
    <n v="23"/>
    <s v="12"/>
    <m/>
    <s v="Reading Method - Otolith Only"/>
    <m/>
    <x v="0"/>
  </r>
  <r>
    <n v="144795"/>
    <x v="3"/>
    <x v="2"/>
    <s v="8"/>
    <x v="10"/>
    <s v="1080044"/>
    <s v="2025-09-19"/>
    <s v="2025-10-01"/>
    <x v="0"/>
    <s v="Adult"/>
    <s v="Escapement"/>
    <s v="Gillnet"/>
    <s v="Otoliths and Scales"/>
    <n v="24"/>
    <s v="12"/>
    <m/>
    <s v="Reading Method - Otolith Only"/>
    <s v="Resorption present but not enough to suspect an annuli is missing.  Age unaffected."/>
    <x v="0"/>
  </r>
  <r>
    <n v="144795"/>
    <x v="3"/>
    <x v="2"/>
    <s v="8"/>
    <x v="10"/>
    <s v="1080044"/>
    <s v="2025-09-19"/>
    <s v="2025-10-01"/>
    <x v="0"/>
    <s v="Adult"/>
    <s v="Escapement"/>
    <s v="Gillnet"/>
    <s v="Otoliths and Scales"/>
    <n v="25"/>
    <s v="13"/>
    <m/>
    <s v="Reading Method - Otolith Only"/>
    <s v="Resorption present but not enough to suspect an annuli is missing.  Age unaffected."/>
    <x v="5"/>
  </r>
  <r>
    <n v="144795"/>
    <x v="3"/>
    <x v="2"/>
    <s v="8"/>
    <x v="10"/>
    <s v="1080045"/>
    <s v="2025-09-19"/>
    <s v="2025-10-01"/>
    <x v="0"/>
    <s v="Adult"/>
    <s v="Escapement"/>
    <s v="Gillnet"/>
    <s v="Otoliths and Scales"/>
    <n v="1"/>
    <s v="12"/>
    <m/>
    <s v="Reading Method - Otolith Only"/>
    <m/>
    <x v="0"/>
  </r>
  <r>
    <n v="144795"/>
    <x v="3"/>
    <x v="2"/>
    <s v="8"/>
    <x v="10"/>
    <s v="1080045"/>
    <s v="2025-09-19"/>
    <s v="2025-10-01"/>
    <x v="0"/>
    <s v="Adult"/>
    <s v="Escapement"/>
    <s v="Gillnet"/>
    <s v="Otoliths and Scales"/>
    <n v="2"/>
    <s v="12"/>
    <m/>
    <s v="Reading Method - Otolith Only"/>
    <s v="Resorption present but not enough to suspect an annuli is missing.  Age unaffected."/>
    <x v="0"/>
  </r>
  <r>
    <n v="144795"/>
    <x v="3"/>
    <x v="2"/>
    <s v="8"/>
    <x v="10"/>
    <s v="1080045"/>
    <s v="2025-09-19"/>
    <s v="2025-10-01"/>
    <x v="0"/>
    <s v="Adult"/>
    <s v="Escapement"/>
    <s v="Gillnet"/>
    <s v="Otoliths and Scales"/>
    <n v="3"/>
    <s v="12"/>
    <m/>
    <s v="Reading Method - Otolith Only"/>
    <m/>
    <x v="0"/>
  </r>
  <r>
    <n v="144795"/>
    <x v="3"/>
    <x v="2"/>
    <s v="8"/>
    <x v="10"/>
    <s v="1080045"/>
    <s v="2025-09-19"/>
    <s v="2025-10-01"/>
    <x v="0"/>
    <s v="Adult"/>
    <s v="Escapement"/>
    <s v="Gillnet"/>
    <s v="Otoliths and Scales"/>
    <n v="4"/>
    <s v="12"/>
    <m/>
    <s v="Reading Method - Otolith Only"/>
    <s v="Resorption present but not enough to suspect an annuli is missing.  Age unaffected."/>
    <x v="0"/>
  </r>
  <r>
    <n v="144795"/>
    <x v="3"/>
    <x v="2"/>
    <s v="8"/>
    <x v="10"/>
    <s v="1080045"/>
    <s v="2025-09-19"/>
    <s v="2025-10-01"/>
    <x v="0"/>
    <s v="Adult"/>
    <s v="Escapement"/>
    <s v="Gillnet"/>
    <s v="Otoliths and Scales"/>
    <n v="5"/>
    <s v="12"/>
    <m/>
    <s v="Reading Method - Otolith Only"/>
    <m/>
    <x v="0"/>
  </r>
  <r>
    <n v="144795"/>
    <x v="3"/>
    <x v="2"/>
    <s v="8"/>
    <x v="10"/>
    <s v="1080045"/>
    <s v="2025-09-19"/>
    <s v="2025-10-01"/>
    <x v="0"/>
    <s v="Adult"/>
    <s v="Escapement"/>
    <s v="Gillnet"/>
    <s v="Otoliths and Scales"/>
    <n v="6"/>
    <m/>
    <m/>
    <s v="Upside Down"/>
    <m/>
    <x v="1"/>
  </r>
  <r>
    <n v="144795"/>
    <x v="3"/>
    <x v="2"/>
    <s v="8"/>
    <x v="10"/>
    <s v="1080045"/>
    <s v="2025-09-19"/>
    <s v="2025-10-01"/>
    <x v="0"/>
    <s v="Adult"/>
    <s v="Escapement"/>
    <s v="Gillnet"/>
    <s v="Otoliths and Scales"/>
    <n v="7"/>
    <s v="02"/>
    <m/>
    <s v="Reading Method - Otolith Only"/>
    <s v="Resorption present but not enough to suspect an annuli is missing.  Age unaffected."/>
    <x v="4"/>
  </r>
  <r>
    <n v="144795"/>
    <x v="3"/>
    <x v="2"/>
    <s v="8"/>
    <x v="10"/>
    <s v="1080045"/>
    <s v="2025-09-19"/>
    <s v="2025-10-01"/>
    <x v="0"/>
    <s v="Adult"/>
    <s v="Escapement"/>
    <s v="Gillnet"/>
    <s v="Otoliths and Scales"/>
    <n v="8"/>
    <s v="02"/>
    <m/>
    <s v="Reading Method - Otolith Only"/>
    <s v="Resorption present but not enough to suspect an annuli is missing.  Age unaffected."/>
    <x v="4"/>
  </r>
  <r>
    <n v="144795"/>
    <x v="3"/>
    <x v="2"/>
    <s v="8"/>
    <x v="10"/>
    <s v="1080045"/>
    <s v="2025-09-19"/>
    <s v="2025-10-01"/>
    <x v="0"/>
    <s v="Adult"/>
    <s v="Escapement"/>
    <s v="Gillnet"/>
    <s v="Otoliths and Scales"/>
    <n v="9"/>
    <s v="12"/>
    <m/>
    <s v="Reading Method - Otolith Only"/>
    <m/>
    <x v="0"/>
  </r>
  <r>
    <n v="144795"/>
    <x v="3"/>
    <x v="2"/>
    <s v="8"/>
    <x v="10"/>
    <s v="1080045"/>
    <s v="2025-09-19"/>
    <s v="2025-10-01"/>
    <x v="0"/>
    <s v="Adult"/>
    <s v="Escapement"/>
    <s v="Gillnet"/>
    <s v="Otoliths and Scales"/>
    <n v="10"/>
    <s v="02"/>
    <m/>
    <s v="Reading Method - Otolith Only"/>
    <s v="Resorption present but not enough to suspect an annuli is missing.  Age unaffected."/>
    <x v="4"/>
  </r>
  <r>
    <n v="144795"/>
    <x v="3"/>
    <x v="2"/>
    <s v="8"/>
    <x v="10"/>
    <s v="1080045"/>
    <s v="2025-09-19"/>
    <s v="2025-10-01"/>
    <x v="0"/>
    <s v="Adult"/>
    <s v="Escapement"/>
    <s v="Gillnet"/>
    <s v="Otoliths and Scales"/>
    <n v="11"/>
    <s v="02"/>
    <m/>
    <s v="Reading Method - Otolith Only"/>
    <s v="Resorption present but not enough to suspect an annuli is missing.  Age unaffected."/>
    <x v="4"/>
  </r>
  <r>
    <n v="144795"/>
    <x v="3"/>
    <x v="2"/>
    <s v="8"/>
    <x v="10"/>
    <s v="1080045"/>
    <s v="2025-09-19"/>
    <s v="2025-10-01"/>
    <x v="0"/>
    <s v="Adult"/>
    <s v="Escapement"/>
    <s v="Gillnet"/>
    <s v="Otoliths and Scales"/>
    <n v="12"/>
    <s v="02"/>
    <m/>
    <s v="Reading Method - Otolith Only"/>
    <s v="Resorption present but not enough to suspect an annuli is missing.  Age unaffected."/>
    <x v="4"/>
  </r>
  <r>
    <n v="144795"/>
    <x v="3"/>
    <x v="2"/>
    <s v="8"/>
    <x v="10"/>
    <s v="1080045"/>
    <s v="2025-09-19"/>
    <s v="2025-10-01"/>
    <x v="0"/>
    <s v="Adult"/>
    <s v="Escapement"/>
    <s v="Gillnet"/>
    <s v="Otoliths and Scales"/>
    <n v="13"/>
    <s v="12"/>
    <m/>
    <s v="Reading Method - Otolith Only"/>
    <s v="Resorption present but not enough to suspect an annuli is missing.  Age unaffected."/>
    <x v="0"/>
  </r>
  <r>
    <n v="144795"/>
    <x v="3"/>
    <x v="2"/>
    <s v="8"/>
    <x v="10"/>
    <s v="1080045"/>
    <s v="2025-09-19"/>
    <s v="2025-10-01"/>
    <x v="0"/>
    <s v="Adult"/>
    <s v="Escapement"/>
    <s v="Gillnet"/>
    <s v="Otoliths and Scales"/>
    <n v="14"/>
    <s v="12"/>
    <m/>
    <s v="Reading Method - Otolith Only"/>
    <s v="Resorption present but not enough to suspect an annuli is missing.  Age unaffected."/>
    <x v="0"/>
  </r>
  <r>
    <n v="144795"/>
    <x v="3"/>
    <x v="2"/>
    <s v="8"/>
    <x v="10"/>
    <s v="1080045"/>
    <s v="2025-09-19"/>
    <s v="2025-10-01"/>
    <x v="0"/>
    <s v="Adult"/>
    <s v="Escapement"/>
    <s v="Gillnet"/>
    <s v="Otoliths and Scales"/>
    <n v="15"/>
    <s v="12"/>
    <m/>
    <s v="Reading Method - Otolith Only"/>
    <s v="Resorption present but not enough to suspect an annuli is missing.  Age unaffected."/>
    <x v="0"/>
  </r>
  <r>
    <n v="144795"/>
    <x v="3"/>
    <x v="2"/>
    <s v="8"/>
    <x v="10"/>
    <s v="1080045"/>
    <s v="2025-09-19"/>
    <s v="2025-10-01"/>
    <x v="0"/>
    <s v="Adult"/>
    <s v="Escapement"/>
    <s v="Gillnet"/>
    <s v="Otoliths and Scales"/>
    <n v="16"/>
    <s v="02"/>
    <m/>
    <m/>
    <s v="Resorption present but not enough to suspect an annuli is missing.  Age unaffected."/>
    <x v="4"/>
  </r>
  <r>
    <n v="144795"/>
    <x v="3"/>
    <x v="2"/>
    <s v="8"/>
    <x v="10"/>
    <s v="1080045"/>
    <s v="2025-09-19"/>
    <s v="2025-10-01"/>
    <x v="0"/>
    <s v="Adult"/>
    <s v="Escapement"/>
    <s v="Gillnet"/>
    <s v="Otoliths and Scales"/>
    <n v="17"/>
    <s v="12"/>
    <m/>
    <s v="Reading Method - Otolith Only"/>
    <s v="Resorption present but not enough to suspect an annuli is missing.  Age unaffected."/>
    <x v="0"/>
  </r>
  <r>
    <n v="144795"/>
    <x v="3"/>
    <x v="2"/>
    <s v="8"/>
    <x v="10"/>
    <s v="1080045"/>
    <s v="2025-09-19"/>
    <s v="2025-10-01"/>
    <x v="0"/>
    <s v="Adult"/>
    <s v="Escapement"/>
    <s v="Gillnet"/>
    <s v="Otoliths and Scales"/>
    <n v="18"/>
    <s v="12"/>
    <m/>
    <s v="Reading Method - Otolith Only"/>
    <s v="Resorption present but not enough to suspect an annuli is missing.  Age unaffected."/>
    <x v="0"/>
  </r>
  <r>
    <n v="144795"/>
    <x v="3"/>
    <x v="2"/>
    <s v="8"/>
    <x v="10"/>
    <s v="1080045"/>
    <s v="2025-09-19"/>
    <s v="2025-10-01"/>
    <x v="0"/>
    <s v="Adult"/>
    <s v="Escapement"/>
    <s v="Gillnet"/>
    <s v="Otoliths and Scales"/>
    <n v="19"/>
    <s v="03"/>
    <m/>
    <s v="Reading Method - Otolith Only"/>
    <m/>
    <x v="7"/>
  </r>
  <r>
    <n v="144795"/>
    <x v="3"/>
    <x v="2"/>
    <s v="8"/>
    <x v="10"/>
    <s v="1080045"/>
    <s v="2025-09-19"/>
    <s v="2025-10-01"/>
    <x v="0"/>
    <s v="Adult"/>
    <s v="Escapement"/>
    <s v="Gillnet"/>
    <s v="Otoliths and Scales"/>
    <n v="20"/>
    <s v="03"/>
    <m/>
    <s v="Reading Method - Otolith Only"/>
    <m/>
    <x v="7"/>
  </r>
  <r>
    <n v="144795"/>
    <x v="3"/>
    <x v="2"/>
    <s v="8"/>
    <x v="10"/>
    <s v="1080045"/>
    <s v="2025-09-19"/>
    <s v="2025-10-01"/>
    <x v="0"/>
    <s v="Adult"/>
    <s v="Escapement"/>
    <s v="Gillnet"/>
    <s v="Otoliths and Scales"/>
    <n v="21"/>
    <s v="03"/>
    <m/>
    <s v="Reading Method - Otolith Only"/>
    <m/>
    <x v="7"/>
  </r>
  <r>
    <n v="144795"/>
    <x v="3"/>
    <x v="2"/>
    <s v="8"/>
    <x v="10"/>
    <s v="1080045"/>
    <s v="2025-09-19"/>
    <s v="2025-10-01"/>
    <x v="0"/>
    <s v="Adult"/>
    <s v="Escapement"/>
    <s v="Gillnet"/>
    <s v="Otoliths and Scales"/>
    <n v="22"/>
    <s v="02"/>
    <m/>
    <s v="Reading Method - Otolith Only"/>
    <m/>
    <x v="4"/>
  </r>
  <r>
    <n v="144795"/>
    <x v="3"/>
    <x v="2"/>
    <s v="8"/>
    <x v="10"/>
    <s v="1080045"/>
    <s v="2025-09-19"/>
    <s v="2025-10-01"/>
    <x v="0"/>
    <s v="Adult"/>
    <s v="Escapement"/>
    <s v="Gillnet"/>
    <s v="Otoliths and Scales"/>
    <n v="23"/>
    <s v="03"/>
    <m/>
    <s v="Reading Method - Otolith Only"/>
    <s v="Resorption present but not enough to suspect an annuli is missing.  Age unaffected."/>
    <x v="7"/>
  </r>
  <r>
    <n v="144795"/>
    <x v="3"/>
    <x v="2"/>
    <s v="8"/>
    <x v="10"/>
    <s v="1080045"/>
    <s v="2025-09-19"/>
    <s v="2025-10-01"/>
    <x v="0"/>
    <s v="Adult"/>
    <s v="Escapement"/>
    <s v="Gillnet"/>
    <s v="Otoliths and Scales"/>
    <n v="24"/>
    <s v="03"/>
    <m/>
    <s v="Reading Method - Otolith Only"/>
    <m/>
    <x v="7"/>
  </r>
  <r>
    <n v="144795"/>
    <x v="3"/>
    <x v="2"/>
    <s v="8"/>
    <x v="10"/>
    <s v="1080045"/>
    <s v="2025-09-19"/>
    <s v="2025-10-01"/>
    <x v="0"/>
    <s v="Adult"/>
    <s v="Escapement"/>
    <s v="Gillnet"/>
    <s v="Otoliths and Scales"/>
    <n v="25"/>
    <s v="12"/>
    <m/>
    <s v="Reading Method - Otolith Only"/>
    <s v="Resorption present but not enough to suspect an annuli is missing.  Age unaffected."/>
    <x v="0"/>
  </r>
  <r>
    <n v="144795"/>
    <x v="3"/>
    <x v="2"/>
    <s v="8"/>
    <x v="10"/>
    <s v="1080046"/>
    <s v="2025-09-19"/>
    <s v="2025-10-01"/>
    <x v="0"/>
    <s v="Adult"/>
    <s v="Escapement"/>
    <s v="Gillnet"/>
    <s v="Otoliths and Scales"/>
    <n v="1"/>
    <s v="12"/>
    <m/>
    <s v="Reading Method - Otolith Only"/>
    <s v="Resorption present but not enough to suspect an annuli is missing.  Age unaffected."/>
    <x v="0"/>
  </r>
  <r>
    <n v="144795"/>
    <x v="3"/>
    <x v="2"/>
    <s v="8"/>
    <x v="10"/>
    <s v="1080046"/>
    <s v="2025-09-19"/>
    <s v="2025-10-01"/>
    <x v="0"/>
    <s v="Adult"/>
    <s v="Escapement"/>
    <s v="Gillnet"/>
    <s v="Otoliths and Scales"/>
    <n v="2"/>
    <s v="02"/>
    <m/>
    <s v="Reading Method - Otolith Only"/>
    <s v="Resorption present but not enough to suspect an annuli is missing.  Age unaffected."/>
    <x v="4"/>
  </r>
  <r>
    <n v="144795"/>
    <x v="3"/>
    <x v="2"/>
    <s v="8"/>
    <x v="10"/>
    <s v="1080046"/>
    <s v="2025-09-19"/>
    <s v="2025-10-01"/>
    <x v="0"/>
    <s v="Adult"/>
    <s v="Escapement"/>
    <s v="Gillnet"/>
    <s v="Otoliths and Scales"/>
    <n v="3"/>
    <s v="12"/>
    <m/>
    <s v="Reading Method - Otolith Only"/>
    <m/>
    <x v="0"/>
  </r>
  <r>
    <n v="144795"/>
    <x v="3"/>
    <x v="2"/>
    <s v="8"/>
    <x v="10"/>
    <s v="1080046"/>
    <s v="2025-09-19"/>
    <s v="2025-10-01"/>
    <x v="0"/>
    <s v="Adult"/>
    <s v="Escapement"/>
    <s v="Gillnet"/>
    <s v="Otoliths and Scales"/>
    <n v="4"/>
    <s v="02"/>
    <m/>
    <s v="Reading Method - Otolith Only"/>
    <s v="Resorption present but not enough to suspect an annuli is missing.  Age unaffected."/>
    <x v="4"/>
  </r>
  <r>
    <n v="144795"/>
    <x v="3"/>
    <x v="2"/>
    <s v="8"/>
    <x v="10"/>
    <s v="1080046"/>
    <s v="2025-09-19"/>
    <s v="2025-10-01"/>
    <x v="0"/>
    <s v="Adult"/>
    <s v="Escapement"/>
    <s v="Gillnet"/>
    <s v="Otoliths and Scales"/>
    <n v="5"/>
    <s v="12"/>
    <m/>
    <s v="Reading Method - Otolith Only"/>
    <m/>
    <x v="0"/>
  </r>
  <r>
    <n v="144795"/>
    <x v="3"/>
    <x v="2"/>
    <s v="8"/>
    <x v="10"/>
    <s v="1080046"/>
    <s v="2025-09-19"/>
    <s v="2025-10-01"/>
    <x v="0"/>
    <s v="Adult"/>
    <s v="Escapement"/>
    <s v="Gillnet"/>
    <s v="Otoliths and Scales"/>
    <n v="6"/>
    <s v="03"/>
    <m/>
    <s v="Reading Method - Otolith Only"/>
    <s v="Resorption present but not enough to suspect an annuli is missing.  Age unaffected."/>
    <x v="7"/>
  </r>
  <r>
    <n v="144795"/>
    <x v="3"/>
    <x v="2"/>
    <s v="8"/>
    <x v="10"/>
    <s v="1080046"/>
    <s v="2025-09-19"/>
    <s v="2025-10-01"/>
    <x v="0"/>
    <s v="Adult"/>
    <s v="Escapement"/>
    <s v="Gillnet"/>
    <s v="Otoliths and Scales"/>
    <n v="7"/>
    <s v="12"/>
    <m/>
    <s v="Reading Method - Otolith Only"/>
    <s v="Resorption present but not enough to suspect an annuli is missing.  Age unaffected."/>
    <x v="0"/>
  </r>
  <r>
    <n v="144795"/>
    <x v="3"/>
    <x v="2"/>
    <s v="8"/>
    <x v="10"/>
    <s v="1080046"/>
    <s v="2025-09-19"/>
    <s v="2025-10-01"/>
    <x v="0"/>
    <s v="Adult"/>
    <s v="Escapement"/>
    <s v="Gillnet"/>
    <s v="Otoliths and Scales"/>
    <n v="8"/>
    <s v="12"/>
    <m/>
    <s v="Reading Method - Otolith Only"/>
    <s v="Resorption present but not enough to suspect an annuli is missing.  Age unaffected."/>
    <x v="0"/>
  </r>
  <r>
    <n v="144795"/>
    <x v="3"/>
    <x v="2"/>
    <s v="8"/>
    <x v="10"/>
    <s v="1080046"/>
    <s v="2025-09-19"/>
    <s v="2025-10-01"/>
    <x v="0"/>
    <s v="Adult"/>
    <s v="Escapement"/>
    <s v="Gillnet"/>
    <s v="Otoliths and Scales"/>
    <n v="9"/>
    <s v="03"/>
    <m/>
    <s v="Reading Method - Otolith Only"/>
    <m/>
    <x v="7"/>
  </r>
  <r>
    <n v="144795"/>
    <x v="3"/>
    <x v="2"/>
    <s v="8"/>
    <x v="10"/>
    <s v="1080046"/>
    <s v="2025-09-19"/>
    <s v="2025-10-01"/>
    <x v="0"/>
    <s v="Adult"/>
    <s v="Escapement"/>
    <s v="Gillnet"/>
    <s v="Otoliths and Scales"/>
    <n v="10"/>
    <s v="02"/>
    <m/>
    <s v="Reading Method - Otolith Only"/>
    <m/>
    <x v="4"/>
  </r>
  <r>
    <n v="144795"/>
    <x v="3"/>
    <x v="2"/>
    <s v="8"/>
    <x v="10"/>
    <s v="1080046"/>
    <s v="2025-09-19"/>
    <s v="2025-10-01"/>
    <x v="0"/>
    <s v="Adult"/>
    <s v="Escapement"/>
    <s v="Gillnet"/>
    <s v="Otoliths and Scales"/>
    <n v="11"/>
    <s v="22"/>
    <m/>
    <s v="Reading Method - Otolith Only"/>
    <s v="Resorption present but not enough to suspect an annuli is missing.  Age unaffected."/>
    <x v="9"/>
  </r>
  <r>
    <n v="144795"/>
    <x v="3"/>
    <x v="2"/>
    <s v="8"/>
    <x v="10"/>
    <s v="1080046"/>
    <s v="2025-09-19"/>
    <s v="2025-10-01"/>
    <x v="0"/>
    <s v="Adult"/>
    <s v="Escapement"/>
    <s v="Gillnet"/>
    <s v="Otoliths and Scales"/>
    <n v="12"/>
    <s v="03"/>
    <m/>
    <s v="Reading Method - Otolith Only"/>
    <s v="Resorption present but not enough to suspect an annuli is missing.  Age unaffected."/>
    <x v="7"/>
  </r>
  <r>
    <n v="144795"/>
    <x v="3"/>
    <x v="2"/>
    <s v="8"/>
    <x v="10"/>
    <s v="1080046"/>
    <s v="2025-09-19"/>
    <s v="2025-10-01"/>
    <x v="0"/>
    <s v="Adult"/>
    <s v="Escapement"/>
    <s v="Gillnet"/>
    <s v="Otoliths and Scales"/>
    <n v="13"/>
    <s v="02"/>
    <m/>
    <s v="Reading Method - Otolith Only"/>
    <s v="Resorption present but not enough to suspect an annuli is missing.  Age unaffected."/>
    <x v="4"/>
  </r>
  <r>
    <n v="144795"/>
    <x v="3"/>
    <x v="2"/>
    <s v="8"/>
    <x v="10"/>
    <s v="1080046"/>
    <s v="2025-09-19"/>
    <s v="2025-10-01"/>
    <x v="0"/>
    <s v="Adult"/>
    <s v="Escapement"/>
    <s v="Gillnet"/>
    <s v="Otoliths and Scales"/>
    <n v="14"/>
    <s v="12"/>
    <m/>
    <s v="Reading Method - Otolith Only"/>
    <s v="Resorption present but not enough to suspect an annuli is missing.  Age unaffected."/>
    <x v="0"/>
  </r>
  <r>
    <n v="144795"/>
    <x v="3"/>
    <x v="2"/>
    <s v="8"/>
    <x v="10"/>
    <s v="1080046"/>
    <s v="2025-09-19"/>
    <s v="2025-10-01"/>
    <x v="0"/>
    <s v="Adult"/>
    <s v="Escapement"/>
    <s v="Gillnet"/>
    <s v="Otoliths and Scales"/>
    <n v="15"/>
    <s v="12"/>
    <m/>
    <s v="Reading Method - Otolith Only"/>
    <m/>
    <x v="0"/>
  </r>
  <r>
    <n v="144795"/>
    <x v="3"/>
    <x v="2"/>
    <s v="8"/>
    <x v="10"/>
    <s v="1080046"/>
    <s v="2025-09-19"/>
    <s v="2025-10-01"/>
    <x v="0"/>
    <s v="Adult"/>
    <s v="Escapement"/>
    <s v="Gillnet"/>
    <s v="Otoliths and Scales"/>
    <n v="16"/>
    <s v="02"/>
    <m/>
    <m/>
    <s v="Resorbed Age Interpretation. Resorption affecting age and missing 1 marine annulus"/>
    <x v="4"/>
  </r>
  <r>
    <n v="144795"/>
    <x v="3"/>
    <x v="2"/>
    <s v="8"/>
    <x v="10"/>
    <s v="1080046"/>
    <s v="2025-09-19"/>
    <s v="2025-10-01"/>
    <x v="0"/>
    <s v="Adult"/>
    <s v="Escapement"/>
    <s v="Gillnet"/>
    <s v="Otoliths and Scales"/>
    <n v="17"/>
    <s v="12"/>
    <m/>
    <s v="Reading Method - Otolith Only"/>
    <m/>
    <x v="0"/>
  </r>
  <r>
    <n v="144795"/>
    <x v="3"/>
    <x v="2"/>
    <s v="8"/>
    <x v="10"/>
    <s v="1080046"/>
    <s v="2025-09-19"/>
    <s v="2025-10-01"/>
    <x v="0"/>
    <s v="Adult"/>
    <s v="Escapement"/>
    <s v="Gillnet"/>
    <s v="Otoliths and Scales"/>
    <n v="18"/>
    <s v="12"/>
    <m/>
    <s v="Reading Method - Otolith Only"/>
    <s v="Resorption present but not enough to suspect an annuli is missing.  Age unaffected."/>
    <x v="0"/>
  </r>
  <r>
    <n v="144795"/>
    <x v="3"/>
    <x v="2"/>
    <s v="8"/>
    <x v="10"/>
    <s v="1080046"/>
    <s v="2025-09-19"/>
    <s v="2025-10-01"/>
    <x v="0"/>
    <s v="Adult"/>
    <s v="Escapement"/>
    <s v="Gillnet"/>
    <s v="Otoliths and Scales"/>
    <n v="19"/>
    <s v="02"/>
    <m/>
    <s v="Reading Method - Otolith Only"/>
    <m/>
    <x v="4"/>
  </r>
  <r>
    <n v="144795"/>
    <x v="3"/>
    <x v="2"/>
    <s v="8"/>
    <x v="10"/>
    <s v="1080046"/>
    <s v="2025-09-19"/>
    <s v="2025-10-01"/>
    <x v="0"/>
    <s v="Adult"/>
    <s v="Escapement"/>
    <s v="Gillnet"/>
    <s v="Otoliths and Scales"/>
    <n v="20"/>
    <s v="12"/>
    <m/>
    <s v="Reading Method - Otolith Only"/>
    <s v="Resorption present but not enough to suspect an annuli is missing.  Age unaffected."/>
    <x v="0"/>
  </r>
  <r>
    <n v="144795"/>
    <x v="3"/>
    <x v="2"/>
    <s v="8"/>
    <x v="10"/>
    <s v="1080046"/>
    <s v="2025-09-19"/>
    <s v="2025-10-01"/>
    <x v="0"/>
    <s v="Adult"/>
    <s v="Escapement"/>
    <s v="Gillnet"/>
    <s v="Otoliths and Scales"/>
    <n v="21"/>
    <s v="12"/>
    <m/>
    <s v="Reading Method - Otolith Only"/>
    <m/>
    <x v="0"/>
  </r>
  <r>
    <n v="144795"/>
    <x v="3"/>
    <x v="2"/>
    <s v="8"/>
    <x v="10"/>
    <s v="1080046"/>
    <s v="2025-09-19"/>
    <s v="2025-10-01"/>
    <x v="0"/>
    <s v="Adult"/>
    <s v="Escapement"/>
    <s v="Gillnet"/>
    <s v="Otoliths and Scales"/>
    <n v="22"/>
    <s v="12"/>
    <m/>
    <s v="Reading Method - Otolith Only"/>
    <s v="Resorption present but not enough to suspect an annuli is missing.  Age unaffected."/>
    <x v="0"/>
  </r>
  <r>
    <n v="144795"/>
    <x v="3"/>
    <x v="2"/>
    <s v="8"/>
    <x v="10"/>
    <s v="1080046"/>
    <s v="2025-09-19"/>
    <s v="2025-10-01"/>
    <x v="0"/>
    <s v="Adult"/>
    <s v="Escapement"/>
    <s v="Gillnet"/>
    <s v="Otoliths and Scales"/>
    <n v="23"/>
    <s v="02"/>
    <m/>
    <m/>
    <s v="Resorbed Age Interpretation. Resorption affecting age and missing 1 marine annulus"/>
    <x v="4"/>
  </r>
  <r>
    <n v="144795"/>
    <x v="3"/>
    <x v="2"/>
    <s v="8"/>
    <x v="10"/>
    <s v="1080046"/>
    <s v="2025-09-19"/>
    <s v="2025-10-01"/>
    <x v="0"/>
    <s v="Adult"/>
    <s v="Escapement"/>
    <s v="Gillnet"/>
    <s v="Otoliths and Scales"/>
    <n v="24"/>
    <s v="12"/>
    <m/>
    <s v="Reading Method - Otolith Only"/>
    <s v="Resorption present but not enough to suspect an annuli is missing.  Age unaffected."/>
    <x v="0"/>
  </r>
  <r>
    <n v="144795"/>
    <x v="3"/>
    <x v="2"/>
    <s v="8"/>
    <x v="10"/>
    <s v="1080046"/>
    <s v="2025-09-19"/>
    <s v="2025-10-01"/>
    <x v="0"/>
    <s v="Adult"/>
    <s v="Escapement"/>
    <s v="Gillnet"/>
    <s v="Otoliths and Scales"/>
    <n v="25"/>
    <m/>
    <m/>
    <s v="Regenerate Scale"/>
    <m/>
    <x v="1"/>
  </r>
  <r>
    <n v="144795"/>
    <x v="3"/>
    <x v="2"/>
    <s v="8"/>
    <x v="10"/>
    <s v="1080047"/>
    <s v="2025-09-19"/>
    <s v="2025-10-01"/>
    <x v="0"/>
    <s v="Adult"/>
    <s v="Escapement"/>
    <s v="Gillnet"/>
    <s v="Otoliths and Scales"/>
    <n v="1"/>
    <s v="12"/>
    <m/>
    <m/>
    <s v="Resorption present but not enough to suspect an annuli is missing.  Age unaffected."/>
    <x v="0"/>
  </r>
  <r>
    <n v="144795"/>
    <x v="3"/>
    <x v="2"/>
    <s v="8"/>
    <x v="10"/>
    <s v="1080047"/>
    <s v="2025-09-19"/>
    <s v="2025-10-01"/>
    <x v="0"/>
    <s v="Adult"/>
    <s v="Escapement"/>
    <s v="Gillnet"/>
    <s v="Otoliths and Scales"/>
    <n v="2"/>
    <m/>
    <s v="F2"/>
    <s v="Resorbed Scale"/>
    <s v="Unknown amount of resorption. Cannot assess the number of marine annuli missing. Only freshwater age given, no marine age given."/>
    <x v="14"/>
  </r>
  <r>
    <n v="144795"/>
    <x v="3"/>
    <x v="2"/>
    <s v="8"/>
    <x v="10"/>
    <s v="1080047"/>
    <s v="2025-09-19"/>
    <s v="2025-10-01"/>
    <x v="0"/>
    <s v="Adult"/>
    <s v="Escapement"/>
    <s v="Gillnet"/>
    <s v="Otoliths and Scales"/>
    <n v="3"/>
    <s v="12"/>
    <m/>
    <m/>
    <s v="Resorption present but not enough to suspect an annuli is missing.  Age unaffected."/>
    <x v="0"/>
  </r>
  <r>
    <n v="144795"/>
    <x v="3"/>
    <x v="2"/>
    <s v="8"/>
    <x v="10"/>
    <s v="1080047"/>
    <s v="2025-09-19"/>
    <s v="2025-10-01"/>
    <x v="0"/>
    <s v="Adult"/>
    <s v="Escapement"/>
    <s v="Gillnet"/>
    <s v="Otoliths and Scales"/>
    <n v="4"/>
    <s v="13"/>
    <m/>
    <m/>
    <s v="Resorption present but not enough to suspect an annuli is missing.  Age unaffected."/>
    <x v="5"/>
  </r>
  <r>
    <n v="144795"/>
    <x v="3"/>
    <x v="2"/>
    <s v="8"/>
    <x v="10"/>
    <s v="1080047"/>
    <s v="2025-09-19"/>
    <s v="2025-10-01"/>
    <x v="0"/>
    <s v="Adult"/>
    <s v="Escapement"/>
    <s v="Gillnet"/>
    <s v="Otoliths and Scales"/>
    <n v="5"/>
    <s v="12"/>
    <m/>
    <m/>
    <m/>
    <x v="0"/>
  </r>
  <r>
    <n v="144795"/>
    <x v="3"/>
    <x v="2"/>
    <s v="8"/>
    <x v="10"/>
    <s v="1080047"/>
    <s v="2025-09-19"/>
    <s v="2025-10-01"/>
    <x v="0"/>
    <s v="Adult"/>
    <s v="Escapement"/>
    <s v="Gillnet"/>
    <s v="Otoliths and Scales"/>
    <n v="6"/>
    <s v="12"/>
    <m/>
    <m/>
    <m/>
    <x v="0"/>
  </r>
  <r>
    <n v="144795"/>
    <x v="3"/>
    <x v="2"/>
    <s v="8"/>
    <x v="10"/>
    <s v="1080047"/>
    <s v="2025-09-19"/>
    <s v="2025-10-01"/>
    <x v="0"/>
    <s v="Adult"/>
    <s v="Escapement"/>
    <s v="Gillnet"/>
    <s v="Otoliths and Scales"/>
    <n v="7"/>
    <s v="12"/>
    <m/>
    <m/>
    <s v="Resorption present but not enough to suspect an annuli is missing.  Age unaffected."/>
    <x v="0"/>
  </r>
  <r>
    <n v="144795"/>
    <x v="3"/>
    <x v="2"/>
    <s v="8"/>
    <x v="10"/>
    <s v="1080047"/>
    <s v="2025-09-19"/>
    <s v="2025-10-01"/>
    <x v="0"/>
    <s v="Adult"/>
    <s v="Escapement"/>
    <s v="Gillnet"/>
    <s v="Otoliths and Scales"/>
    <n v="8"/>
    <s v="13"/>
    <m/>
    <m/>
    <s v="Resorption present but not enough to suspect an annuli is missing.  Age unaffected."/>
    <x v="5"/>
  </r>
  <r>
    <n v="144795"/>
    <x v="3"/>
    <x v="2"/>
    <s v="8"/>
    <x v="10"/>
    <s v="1080047"/>
    <s v="2025-09-19"/>
    <s v="2025-10-01"/>
    <x v="0"/>
    <s v="Adult"/>
    <s v="Escapement"/>
    <s v="Gillnet"/>
    <s v="Otoliths and Scales"/>
    <n v="9"/>
    <s v="03"/>
    <m/>
    <m/>
    <s v="Resorption present but not enough to suspect an annuli is missing.  Age unaffected."/>
    <x v="7"/>
  </r>
  <r>
    <n v="144795"/>
    <x v="3"/>
    <x v="2"/>
    <s v="8"/>
    <x v="10"/>
    <s v="1080047"/>
    <s v="2025-09-19"/>
    <s v="2025-10-01"/>
    <x v="0"/>
    <s v="Adult"/>
    <s v="Escapement"/>
    <s v="Gillnet"/>
    <s v="Otoliths and Scales"/>
    <n v="10"/>
    <s v="13"/>
    <m/>
    <m/>
    <s v="Resorption present but not enough to suspect an annuli is missing.  Age unaffected."/>
    <x v="5"/>
  </r>
  <r>
    <n v="144795"/>
    <x v="3"/>
    <x v="2"/>
    <s v="8"/>
    <x v="10"/>
    <s v="1080047"/>
    <s v="2025-09-19"/>
    <s v="2025-10-01"/>
    <x v="0"/>
    <s v="Adult"/>
    <s v="Escapement"/>
    <s v="Gillnet"/>
    <s v="Otoliths and Scales"/>
    <n v="11"/>
    <s v="12"/>
    <m/>
    <m/>
    <s v="Resorption present but not enough to suspect an annuli is missing.  Age unaffected."/>
    <x v="0"/>
  </r>
  <r>
    <n v="144795"/>
    <x v="3"/>
    <x v="2"/>
    <s v="8"/>
    <x v="10"/>
    <s v="1080047"/>
    <s v="2025-09-19"/>
    <s v="2025-10-01"/>
    <x v="0"/>
    <s v="Adult"/>
    <s v="Escapement"/>
    <s v="Gillnet"/>
    <s v="Otoliths and Scales"/>
    <n v="12"/>
    <m/>
    <m/>
    <s v="No Age - See Container Comments"/>
    <m/>
    <x v="1"/>
  </r>
  <r>
    <n v="144795"/>
    <x v="3"/>
    <x v="2"/>
    <s v="8"/>
    <x v="10"/>
    <s v="1080047"/>
    <s v="2025-09-19"/>
    <s v="2025-10-01"/>
    <x v="0"/>
    <s v="Adult"/>
    <s v="Escapement"/>
    <s v="Gillnet"/>
    <s v="Otoliths and Scales"/>
    <n v="13"/>
    <s v="12"/>
    <m/>
    <m/>
    <m/>
    <x v="0"/>
  </r>
  <r>
    <n v="144795"/>
    <x v="3"/>
    <x v="2"/>
    <s v="8"/>
    <x v="10"/>
    <s v="1080047"/>
    <s v="2025-09-19"/>
    <s v="2025-10-01"/>
    <x v="0"/>
    <s v="Adult"/>
    <s v="Escapement"/>
    <s v="Gillnet"/>
    <s v="Otoliths and Scales"/>
    <n v="14"/>
    <s v="03"/>
    <m/>
    <m/>
    <m/>
    <x v="7"/>
  </r>
  <r>
    <n v="129185"/>
    <x v="2"/>
    <x v="2"/>
    <s v="8"/>
    <x v="3"/>
    <s v="1063389"/>
    <s v="2024-09-24"/>
    <s v="2024-09-24"/>
    <x v="0"/>
    <s v="Adult"/>
    <s v="Escapement"/>
    <s v="Gillnet"/>
    <s v="Otoliths and Scales"/>
    <n v="1"/>
    <s v="12"/>
    <m/>
    <m/>
    <m/>
    <x v="0"/>
  </r>
  <r>
    <n v="129185"/>
    <x v="2"/>
    <x v="2"/>
    <s v="8"/>
    <x v="3"/>
    <s v="1063389"/>
    <s v="2024-09-24"/>
    <s v="2024-09-24"/>
    <x v="0"/>
    <s v="Adult"/>
    <s v="Escapement"/>
    <s v="Gillnet"/>
    <s v="Otoliths and Scales"/>
    <n v="2"/>
    <s v="12"/>
    <m/>
    <m/>
    <m/>
    <x v="0"/>
  </r>
  <r>
    <n v="129185"/>
    <x v="2"/>
    <x v="2"/>
    <s v="8"/>
    <x v="3"/>
    <s v="1063389"/>
    <s v="2024-09-24"/>
    <s v="2024-09-24"/>
    <x v="0"/>
    <s v="Adult"/>
    <s v="Escapement"/>
    <s v="Gillnet"/>
    <s v="Otoliths and Scales"/>
    <n v="3"/>
    <s v="12"/>
    <m/>
    <m/>
    <m/>
    <x v="0"/>
  </r>
  <r>
    <n v="129185"/>
    <x v="2"/>
    <x v="2"/>
    <s v="8"/>
    <x v="3"/>
    <s v="1063389"/>
    <s v="2024-09-24"/>
    <s v="2024-09-24"/>
    <x v="0"/>
    <s v="Adult"/>
    <s v="Escapement"/>
    <s v="Gillnet"/>
    <s v="Otoliths and Scales"/>
    <n v="4"/>
    <s v="12"/>
    <m/>
    <m/>
    <m/>
    <x v="0"/>
  </r>
  <r>
    <n v="129185"/>
    <x v="2"/>
    <x v="2"/>
    <s v="8"/>
    <x v="3"/>
    <s v="1063389"/>
    <s v="2024-09-24"/>
    <s v="2024-09-24"/>
    <x v="0"/>
    <s v="Adult"/>
    <s v="Escapement"/>
    <s v="Gillnet"/>
    <s v="Otoliths and Scales"/>
    <n v="5"/>
    <s v="12"/>
    <m/>
    <m/>
    <m/>
    <x v="0"/>
  </r>
  <r>
    <n v="129185"/>
    <x v="2"/>
    <x v="2"/>
    <s v="8"/>
    <x v="3"/>
    <s v="1063389"/>
    <s v="2024-09-24"/>
    <s v="2024-09-24"/>
    <x v="0"/>
    <s v="Adult"/>
    <s v="Escapement"/>
    <s v="Gillnet"/>
    <s v="Otoliths and Scales"/>
    <n v="6"/>
    <s v="12"/>
    <m/>
    <m/>
    <m/>
    <x v="0"/>
  </r>
  <r>
    <n v="129185"/>
    <x v="2"/>
    <x v="2"/>
    <s v="8"/>
    <x v="3"/>
    <s v="1063389"/>
    <s v="2024-09-24"/>
    <s v="2024-09-24"/>
    <x v="0"/>
    <s v="Adult"/>
    <s v="Escapement"/>
    <s v="Gillnet"/>
    <s v="Otoliths and Scales"/>
    <n v="7"/>
    <m/>
    <s v="F1"/>
    <s v="Resorbed Scale"/>
    <s v="Unknown amount of resorption. Cannot assess the number of marine annuli missing. Only freshwater age given, no marine age given."/>
    <x v="8"/>
  </r>
  <r>
    <n v="129185"/>
    <x v="2"/>
    <x v="2"/>
    <s v="8"/>
    <x v="3"/>
    <s v="1063389"/>
    <s v="2024-09-24"/>
    <s v="2024-09-24"/>
    <x v="0"/>
    <s v="Adult"/>
    <s v="Escapement"/>
    <s v="Gillnet"/>
    <s v="Otoliths and Scales"/>
    <n v="8"/>
    <s v="12"/>
    <m/>
    <m/>
    <m/>
    <x v="0"/>
  </r>
  <r>
    <n v="129185"/>
    <x v="2"/>
    <x v="2"/>
    <s v="8"/>
    <x v="3"/>
    <s v="1063389"/>
    <s v="2024-09-24"/>
    <s v="2024-09-24"/>
    <x v="0"/>
    <s v="Adult"/>
    <s v="Escapement"/>
    <s v="Gillnet"/>
    <s v="Otoliths and Scales"/>
    <n v="9"/>
    <s v="13"/>
    <m/>
    <m/>
    <m/>
    <x v="5"/>
  </r>
  <r>
    <n v="129185"/>
    <x v="2"/>
    <x v="2"/>
    <s v="8"/>
    <x v="3"/>
    <s v="1063389"/>
    <s v="2024-09-24"/>
    <s v="2024-09-24"/>
    <x v="0"/>
    <s v="Adult"/>
    <s v="Escapement"/>
    <s v="Gillnet"/>
    <s v="Otoliths and Scales"/>
    <n v="10"/>
    <s v="12"/>
    <m/>
    <m/>
    <m/>
    <x v="0"/>
  </r>
  <r>
    <n v="129185"/>
    <x v="2"/>
    <x v="2"/>
    <s v="8"/>
    <x v="3"/>
    <s v="1063389"/>
    <s v="2024-09-24"/>
    <s v="2024-09-24"/>
    <x v="0"/>
    <s v="Adult"/>
    <s v="Escapement"/>
    <s v="Gillnet"/>
    <s v="Otoliths and Scales"/>
    <n v="11"/>
    <s v="12"/>
    <m/>
    <m/>
    <m/>
    <x v="0"/>
  </r>
  <r>
    <n v="129185"/>
    <x v="2"/>
    <x v="2"/>
    <s v="8"/>
    <x v="3"/>
    <s v="1063389"/>
    <s v="2024-09-24"/>
    <s v="2024-09-24"/>
    <x v="0"/>
    <s v="Adult"/>
    <s v="Escapement"/>
    <s v="Gillnet"/>
    <s v="Otoliths and Scales"/>
    <n v="12"/>
    <s v="12"/>
    <m/>
    <m/>
    <m/>
    <x v="0"/>
  </r>
  <r>
    <n v="129185"/>
    <x v="2"/>
    <x v="2"/>
    <s v="8"/>
    <x v="3"/>
    <s v="1063389"/>
    <s v="2024-09-24"/>
    <s v="2024-09-24"/>
    <x v="0"/>
    <s v="Adult"/>
    <s v="Escapement"/>
    <s v="Gillnet"/>
    <s v="Otoliths and Scales"/>
    <n v="13"/>
    <s v="13"/>
    <m/>
    <m/>
    <m/>
    <x v="5"/>
  </r>
  <r>
    <n v="129185"/>
    <x v="2"/>
    <x v="2"/>
    <s v="8"/>
    <x v="3"/>
    <s v="1063389"/>
    <s v="2024-09-24"/>
    <s v="2024-09-24"/>
    <x v="0"/>
    <s v="Adult"/>
    <s v="Escapement"/>
    <s v="Gillnet"/>
    <s v="Otoliths and Scales"/>
    <n v="14"/>
    <s v="13"/>
    <m/>
    <m/>
    <m/>
    <x v="5"/>
  </r>
  <r>
    <n v="129185"/>
    <x v="2"/>
    <x v="2"/>
    <s v="8"/>
    <x v="3"/>
    <s v="1063389"/>
    <s v="2024-09-24"/>
    <s v="2024-09-24"/>
    <x v="0"/>
    <s v="Adult"/>
    <s v="Escapement"/>
    <s v="Gillnet"/>
    <s v="Otoliths and Scales"/>
    <n v="15"/>
    <s v="13"/>
    <m/>
    <m/>
    <m/>
    <x v="5"/>
  </r>
  <r>
    <n v="129185"/>
    <x v="2"/>
    <x v="2"/>
    <s v="8"/>
    <x v="3"/>
    <s v="1063389"/>
    <s v="2024-09-24"/>
    <s v="2024-09-24"/>
    <x v="0"/>
    <s v="Adult"/>
    <s v="Escapement"/>
    <s v="Gillnet"/>
    <s v="Otoliths and Scales"/>
    <n v="16"/>
    <s v="13"/>
    <m/>
    <m/>
    <s v="Resorption present but not enough to suspect an annuli is missing.  Age unaffected."/>
    <x v="5"/>
  </r>
  <r>
    <n v="129185"/>
    <x v="2"/>
    <x v="2"/>
    <s v="8"/>
    <x v="3"/>
    <s v="1063389"/>
    <s v="2024-09-24"/>
    <s v="2024-09-24"/>
    <x v="0"/>
    <s v="Adult"/>
    <s v="Escapement"/>
    <s v="Gillnet"/>
    <s v="Otoliths and Scales"/>
    <n v="17"/>
    <s v="13"/>
    <m/>
    <m/>
    <m/>
    <x v="5"/>
  </r>
  <r>
    <n v="129185"/>
    <x v="2"/>
    <x v="2"/>
    <s v="8"/>
    <x v="3"/>
    <s v="1063389"/>
    <s v="2024-09-24"/>
    <s v="2024-09-24"/>
    <x v="0"/>
    <s v="Adult"/>
    <s v="Escapement"/>
    <s v="Gillnet"/>
    <s v="Otoliths and Scales"/>
    <n v="18"/>
    <s v="12"/>
    <m/>
    <m/>
    <m/>
    <x v="0"/>
  </r>
  <r>
    <n v="129185"/>
    <x v="2"/>
    <x v="2"/>
    <s v="8"/>
    <x v="3"/>
    <s v="1063389"/>
    <s v="2024-09-24"/>
    <s v="2024-09-24"/>
    <x v="0"/>
    <s v="Adult"/>
    <s v="Escapement"/>
    <s v="Gillnet"/>
    <s v="Otoliths and Scales"/>
    <n v="19"/>
    <m/>
    <s v="F1"/>
    <s v="Resorbed Scale"/>
    <s v="Unknown amount of resorption. Cannot assess the number of marine annuli missing. Only freshwater age given, no marine age given."/>
    <x v="8"/>
  </r>
  <r>
    <n v="129185"/>
    <x v="2"/>
    <x v="2"/>
    <s v="8"/>
    <x v="3"/>
    <s v="1063389"/>
    <s v="2024-09-24"/>
    <s v="2024-09-24"/>
    <x v="0"/>
    <s v="Adult"/>
    <s v="Escapement"/>
    <s v="Gillnet"/>
    <s v="Otoliths and Scales"/>
    <n v="20"/>
    <s v="12"/>
    <m/>
    <m/>
    <m/>
    <x v="0"/>
  </r>
  <r>
    <n v="129185"/>
    <x v="2"/>
    <x v="2"/>
    <s v="8"/>
    <x v="3"/>
    <s v="1063389"/>
    <s v="2024-09-24"/>
    <s v="2024-09-24"/>
    <x v="0"/>
    <s v="Adult"/>
    <s v="Escapement"/>
    <s v="Gillnet"/>
    <s v="Otoliths and Scales"/>
    <n v="21"/>
    <m/>
    <s v="F1"/>
    <s v="Resorbed Scale"/>
    <s v="Unknown amount of resorption. Cannot assess the number of marine annuli missing. Only freshwater age given, no marine age given."/>
    <x v="8"/>
  </r>
  <r>
    <n v="129185"/>
    <x v="2"/>
    <x v="2"/>
    <s v="8"/>
    <x v="3"/>
    <s v="1063389"/>
    <s v="2024-09-24"/>
    <s v="2024-09-24"/>
    <x v="0"/>
    <s v="Adult"/>
    <s v="Escapement"/>
    <s v="Gillnet"/>
    <s v="Otoliths and Scales"/>
    <n v="22"/>
    <s v="12"/>
    <m/>
    <m/>
    <m/>
    <x v="0"/>
  </r>
  <r>
    <n v="129185"/>
    <x v="2"/>
    <x v="2"/>
    <s v="8"/>
    <x v="3"/>
    <s v="1063389"/>
    <s v="2024-09-24"/>
    <s v="2024-09-24"/>
    <x v="0"/>
    <s v="Adult"/>
    <s v="Escapement"/>
    <s v="Gillnet"/>
    <s v="Otoliths and Scales"/>
    <n v="23"/>
    <s v="13"/>
    <m/>
    <m/>
    <s v="Resorption present but not enough to suspect an annuli is missing.  Age unaffected."/>
    <x v="5"/>
  </r>
  <r>
    <n v="129185"/>
    <x v="2"/>
    <x v="2"/>
    <s v="8"/>
    <x v="3"/>
    <s v="1063389"/>
    <s v="2024-09-24"/>
    <s v="2024-09-24"/>
    <x v="0"/>
    <s v="Adult"/>
    <s v="Escapement"/>
    <s v="Gillnet"/>
    <s v="Otoliths and Scales"/>
    <n v="24"/>
    <s v="12"/>
    <m/>
    <m/>
    <m/>
    <x v="0"/>
  </r>
  <r>
    <n v="129185"/>
    <x v="2"/>
    <x v="2"/>
    <s v="8"/>
    <x v="3"/>
    <s v="1063389"/>
    <s v="2024-09-24"/>
    <s v="2024-09-24"/>
    <x v="0"/>
    <s v="Adult"/>
    <s v="Escapement"/>
    <s v="Gillnet"/>
    <s v="Otoliths and Scales"/>
    <n v="25"/>
    <s v="12"/>
    <m/>
    <m/>
    <m/>
    <x v="0"/>
  </r>
  <r>
    <n v="129185"/>
    <x v="2"/>
    <x v="2"/>
    <s v="8"/>
    <x v="3"/>
    <s v="1063389"/>
    <s v="2024-09-24"/>
    <s v="2024-09-24"/>
    <x v="0"/>
    <s v="Adult"/>
    <s v="Escapement"/>
    <s v="Gillnet"/>
    <s v="Otoliths and Scales"/>
    <n v="26"/>
    <s v="13"/>
    <m/>
    <m/>
    <m/>
    <x v="5"/>
  </r>
  <r>
    <n v="129185"/>
    <x v="2"/>
    <x v="2"/>
    <s v="8"/>
    <x v="3"/>
    <s v="1063389"/>
    <s v="2024-09-24"/>
    <s v="2024-09-24"/>
    <x v="0"/>
    <s v="Adult"/>
    <s v="Escapement"/>
    <s v="Gillnet"/>
    <s v="Otoliths and Scales"/>
    <n v="27"/>
    <s v="13"/>
    <m/>
    <m/>
    <m/>
    <x v="5"/>
  </r>
  <r>
    <n v="129185"/>
    <x v="2"/>
    <x v="2"/>
    <s v="8"/>
    <x v="3"/>
    <s v="1063389"/>
    <s v="2024-09-24"/>
    <s v="2024-09-24"/>
    <x v="0"/>
    <s v="Adult"/>
    <s v="Escapement"/>
    <s v="Gillnet"/>
    <s v="Otoliths and Scales"/>
    <n v="28"/>
    <s v="12"/>
    <m/>
    <m/>
    <m/>
    <x v="0"/>
  </r>
  <r>
    <n v="129185"/>
    <x v="2"/>
    <x v="2"/>
    <s v="8"/>
    <x v="3"/>
    <s v="1063389"/>
    <s v="2024-09-24"/>
    <s v="2024-09-24"/>
    <x v="0"/>
    <s v="Adult"/>
    <s v="Escapement"/>
    <s v="Gillnet"/>
    <s v="Otoliths and Scales"/>
    <n v="29"/>
    <s v="13"/>
    <m/>
    <m/>
    <m/>
    <x v="5"/>
  </r>
  <r>
    <n v="129185"/>
    <x v="2"/>
    <x v="2"/>
    <s v="8"/>
    <x v="3"/>
    <s v="1063389"/>
    <s v="2024-09-24"/>
    <s v="2024-09-24"/>
    <x v="0"/>
    <s v="Adult"/>
    <s v="Escapement"/>
    <s v="Gillnet"/>
    <s v="Otoliths and Scales"/>
    <n v="30"/>
    <s v="12"/>
    <m/>
    <m/>
    <m/>
    <x v="0"/>
  </r>
  <r>
    <n v="129185"/>
    <x v="2"/>
    <x v="2"/>
    <s v="8"/>
    <x v="3"/>
    <s v="1063389"/>
    <s v="2024-09-24"/>
    <s v="2024-09-24"/>
    <x v="0"/>
    <s v="Adult"/>
    <s v="Escapement"/>
    <s v="Gillnet"/>
    <s v="Otoliths and Scales"/>
    <n v="31"/>
    <s v="12"/>
    <m/>
    <m/>
    <m/>
    <x v="0"/>
  </r>
  <r>
    <n v="129185"/>
    <x v="2"/>
    <x v="2"/>
    <s v="8"/>
    <x v="3"/>
    <s v="1063389"/>
    <s v="2024-09-24"/>
    <s v="2024-09-24"/>
    <x v="0"/>
    <s v="Adult"/>
    <s v="Escapement"/>
    <s v="Gillnet"/>
    <s v="Otoliths and Scales"/>
    <n v="32"/>
    <s v="13"/>
    <m/>
    <m/>
    <m/>
    <x v="5"/>
  </r>
  <r>
    <n v="129185"/>
    <x v="2"/>
    <x v="2"/>
    <s v="8"/>
    <x v="3"/>
    <s v="1063389"/>
    <s v="2024-09-24"/>
    <s v="2024-09-24"/>
    <x v="0"/>
    <s v="Adult"/>
    <s v="Escapement"/>
    <s v="Gillnet"/>
    <s v="Otoliths and Scales"/>
    <n v="33"/>
    <s v="12"/>
    <m/>
    <m/>
    <m/>
    <x v="0"/>
  </r>
  <r>
    <n v="129185"/>
    <x v="2"/>
    <x v="2"/>
    <s v="8"/>
    <x v="3"/>
    <s v="1063389"/>
    <s v="2024-09-24"/>
    <s v="2024-09-24"/>
    <x v="0"/>
    <s v="Adult"/>
    <s v="Escapement"/>
    <s v="Gillnet"/>
    <s v="Otoliths and Scales"/>
    <n v="34"/>
    <s v="12"/>
    <m/>
    <m/>
    <m/>
    <x v="0"/>
  </r>
  <r>
    <n v="129185"/>
    <x v="2"/>
    <x v="2"/>
    <s v="8"/>
    <x v="3"/>
    <s v="1063389"/>
    <s v="2024-09-24"/>
    <s v="2024-09-24"/>
    <x v="0"/>
    <s v="Adult"/>
    <s v="Escapement"/>
    <s v="Gillnet"/>
    <s v="Otoliths and Scales"/>
    <n v="35"/>
    <s v="12"/>
    <m/>
    <m/>
    <m/>
    <x v="0"/>
  </r>
  <r>
    <n v="129185"/>
    <x v="2"/>
    <x v="2"/>
    <s v="8"/>
    <x v="3"/>
    <s v="1063389"/>
    <s v="2024-09-24"/>
    <s v="2024-09-24"/>
    <x v="0"/>
    <s v="Adult"/>
    <s v="Escapement"/>
    <s v="Gillnet"/>
    <s v="Otoliths and Scales"/>
    <n v="36"/>
    <s v="12"/>
    <m/>
    <m/>
    <m/>
    <x v="0"/>
  </r>
  <r>
    <n v="129185"/>
    <x v="2"/>
    <x v="2"/>
    <s v="8"/>
    <x v="3"/>
    <s v="1063389"/>
    <s v="2024-09-24"/>
    <s v="2024-09-24"/>
    <x v="0"/>
    <s v="Adult"/>
    <s v="Escapement"/>
    <s v="Gillnet"/>
    <s v="Otoliths and Scales"/>
    <n v="37"/>
    <s v="12"/>
    <m/>
    <m/>
    <m/>
    <x v="0"/>
  </r>
  <r>
    <n v="129185"/>
    <x v="2"/>
    <x v="2"/>
    <s v="8"/>
    <x v="3"/>
    <s v="1063389"/>
    <s v="2024-09-24"/>
    <s v="2024-09-24"/>
    <x v="0"/>
    <s v="Adult"/>
    <s v="Escapement"/>
    <s v="Gillnet"/>
    <s v="Otoliths and Scales"/>
    <n v="38"/>
    <s v="12"/>
    <m/>
    <m/>
    <m/>
    <x v="0"/>
  </r>
  <r>
    <n v="129185"/>
    <x v="2"/>
    <x v="2"/>
    <s v="8"/>
    <x v="3"/>
    <s v="1063389"/>
    <s v="2024-09-24"/>
    <s v="2024-09-24"/>
    <x v="0"/>
    <s v="Adult"/>
    <s v="Escapement"/>
    <s v="Gillnet"/>
    <s v="Otoliths and Scales"/>
    <n v="39"/>
    <s v="12"/>
    <m/>
    <m/>
    <m/>
    <x v="0"/>
  </r>
  <r>
    <n v="129185"/>
    <x v="2"/>
    <x v="2"/>
    <s v="8"/>
    <x v="3"/>
    <s v="1063389"/>
    <s v="2024-09-24"/>
    <s v="2024-09-24"/>
    <x v="0"/>
    <s v="Adult"/>
    <s v="Escapement"/>
    <s v="Gillnet"/>
    <s v="Otoliths and Scales"/>
    <n v="40"/>
    <s v="12"/>
    <m/>
    <m/>
    <m/>
    <x v="0"/>
  </r>
  <r>
    <n v="129185"/>
    <x v="2"/>
    <x v="2"/>
    <s v="8"/>
    <x v="3"/>
    <s v="1063389"/>
    <s v="2024-09-24"/>
    <s v="2024-09-24"/>
    <x v="0"/>
    <s v="Adult"/>
    <s v="Escapement"/>
    <s v="Gillnet"/>
    <s v="Otoliths and Scales"/>
    <n v="41"/>
    <s v="13"/>
    <m/>
    <m/>
    <m/>
    <x v="5"/>
  </r>
  <r>
    <n v="129185"/>
    <x v="2"/>
    <x v="2"/>
    <s v="8"/>
    <x v="3"/>
    <s v="1063389"/>
    <s v="2024-09-24"/>
    <s v="2024-09-24"/>
    <x v="0"/>
    <s v="Adult"/>
    <s v="Escapement"/>
    <s v="Gillnet"/>
    <s v="Otoliths and Scales"/>
    <n v="42"/>
    <s v="13"/>
    <m/>
    <m/>
    <s v="Resorption present but not enough to suspect an annuli is missing.  Age unaffected."/>
    <x v="5"/>
  </r>
  <r>
    <n v="129185"/>
    <x v="2"/>
    <x v="2"/>
    <s v="8"/>
    <x v="3"/>
    <s v="1063389"/>
    <s v="2024-09-24"/>
    <s v="2024-09-24"/>
    <x v="0"/>
    <s v="Adult"/>
    <s v="Escapement"/>
    <s v="Gillnet"/>
    <s v="Otoliths and Scales"/>
    <n v="43"/>
    <s v="12"/>
    <m/>
    <m/>
    <m/>
    <x v="0"/>
  </r>
  <r>
    <n v="129185"/>
    <x v="2"/>
    <x v="2"/>
    <s v="8"/>
    <x v="3"/>
    <s v="1063389"/>
    <s v="2024-09-24"/>
    <s v="2024-09-24"/>
    <x v="0"/>
    <s v="Adult"/>
    <s v="Escapement"/>
    <s v="Gillnet"/>
    <s v="Otoliths and Scales"/>
    <n v="44"/>
    <s v="12"/>
    <m/>
    <m/>
    <s v="Resorption present but not enough to suspect an annuli is missing.  Age unaffected."/>
    <x v="0"/>
  </r>
  <r>
    <n v="129185"/>
    <x v="2"/>
    <x v="2"/>
    <s v="8"/>
    <x v="3"/>
    <s v="1063389"/>
    <s v="2024-09-24"/>
    <s v="2024-09-24"/>
    <x v="0"/>
    <s v="Adult"/>
    <s v="Escapement"/>
    <s v="Gillnet"/>
    <s v="Otoliths and Scales"/>
    <n v="45"/>
    <s v="12"/>
    <m/>
    <m/>
    <m/>
    <x v="0"/>
  </r>
  <r>
    <n v="129185"/>
    <x v="2"/>
    <x v="2"/>
    <s v="8"/>
    <x v="3"/>
    <s v="1063389"/>
    <s v="2024-09-24"/>
    <s v="2024-09-24"/>
    <x v="0"/>
    <s v="Adult"/>
    <s v="Escapement"/>
    <s v="Gillnet"/>
    <s v="Otoliths and Scales"/>
    <n v="46"/>
    <s v="12"/>
    <m/>
    <m/>
    <m/>
    <x v="0"/>
  </r>
  <r>
    <n v="129185"/>
    <x v="2"/>
    <x v="2"/>
    <s v="8"/>
    <x v="3"/>
    <s v="1063389"/>
    <s v="2024-09-24"/>
    <s v="2024-09-24"/>
    <x v="0"/>
    <s v="Adult"/>
    <s v="Escapement"/>
    <s v="Gillnet"/>
    <s v="Otoliths and Scales"/>
    <n v="47"/>
    <s v="12"/>
    <m/>
    <m/>
    <m/>
    <x v="0"/>
  </r>
  <r>
    <n v="129185"/>
    <x v="2"/>
    <x v="2"/>
    <s v="8"/>
    <x v="3"/>
    <s v="1063389"/>
    <s v="2024-09-24"/>
    <s v="2024-09-24"/>
    <x v="0"/>
    <s v="Adult"/>
    <s v="Escapement"/>
    <s v="Gillnet"/>
    <s v="Otoliths and Scales"/>
    <n v="48"/>
    <s v="12"/>
    <m/>
    <m/>
    <m/>
    <x v="0"/>
  </r>
  <r>
    <n v="129185"/>
    <x v="2"/>
    <x v="2"/>
    <s v="8"/>
    <x v="3"/>
    <s v="1063389"/>
    <s v="2024-09-24"/>
    <s v="2024-09-24"/>
    <x v="0"/>
    <s v="Adult"/>
    <s v="Escapement"/>
    <s v="Gillnet"/>
    <s v="Otoliths and Scales"/>
    <n v="49"/>
    <s v="12"/>
    <m/>
    <m/>
    <s v="Resorption present but not enough to suspect an annuli is missing.  Age unaffected."/>
    <x v="0"/>
  </r>
  <r>
    <n v="129185"/>
    <x v="2"/>
    <x v="2"/>
    <s v="8"/>
    <x v="3"/>
    <s v="1063389"/>
    <s v="2024-09-24"/>
    <s v="2024-09-24"/>
    <x v="0"/>
    <s v="Adult"/>
    <s v="Escapement"/>
    <s v="Gillnet"/>
    <s v="Otoliths and Scales"/>
    <n v="50"/>
    <s v="02"/>
    <m/>
    <m/>
    <m/>
    <x v="4"/>
  </r>
  <r>
    <n v="129185"/>
    <x v="2"/>
    <x v="2"/>
    <s v="8"/>
    <x v="3"/>
    <s v="1063389"/>
    <s v="2024-09-24"/>
    <s v="2024-09-24"/>
    <x v="0"/>
    <s v="Adult"/>
    <s v="Escapement"/>
    <s v="Gillnet"/>
    <s v="Otoliths and Scales"/>
    <n v="51"/>
    <s v="13"/>
    <m/>
    <m/>
    <s v="Resorption present but not enough to suspect an annuli is missing.  Age unaffected."/>
    <x v="5"/>
  </r>
  <r>
    <n v="129185"/>
    <x v="2"/>
    <x v="2"/>
    <s v="8"/>
    <x v="3"/>
    <s v="1063389"/>
    <s v="2024-09-24"/>
    <s v="2024-09-24"/>
    <x v="0"/>
    <s v="Adult"/>
    <s v="Escapement"/>
    <s v="Gillnet"/>
    <s v="Otoliths and Scales"/>
    <n v="52"/>
    <s v="13"/>
    <m/>
    <m/>
    <m/>
    <x v="5"/>
  </r>
  <r>
    <n v="129185"/>
    <x v="2"/>
    <x v="2"/>
    <s v="8"/>
    <x v="3"/>
    <s v="1063389"/>
    <s v="2024-09-24"/>
    <s v="2024-09-24"/>
    <x v="0"/>
    <s v="Adult"/>
    <s v="Escapement"/>
    <s v="Gillnet"/>
    <s v="Otoliths and Scales"/>
    <n v="53"/>
    <s v="22"/>
    <m/>
    <m/>
    <m/>
    <x v="9"/>
  </r>
  <r>
    <n v="129185"/>
    <x v="2"/>
    <x v="2"/>
    <s v="8"/>
    <x v="3"/>
    <s v="1063389"/>
    <s v="2024-09-24"/>
    <s v="2024-09-24"/>
    <x v="0"/>
    <s v="Adult"/>
    <s v="Escapement"/>
    <s v="Gillnet"/>
    <s v="Otoliths and Scales"/>
    <n v="54"/>
    <s v="13"/>
    <m/>
    <m/>
    <s v="Resorption present but not enough to suspect an annuli is missing.  Age unaffected."/>
    <x v="5"/>
  </r>
  <r>
    <n v="129185"/>
    <x v="2"/>
    <x v="2"/>
    <s v="8"/>
    <x v="3"/>
    <s v="1063389"/>
    <s v="2024-09-24"/>
    <s v="2024-09-24"/>
    <x v="0"/>
    <s v="Adult"/>
    <s v="Escapement"/>
    <s v="Gillnet"/>
    <s v="Otoliths and Scales"/>
    <n v="55"/>
    <s v="12"/>
    <m/>
    <m/>
    <m/>
    <x v="0"/>
  </r>
  <r>
    <n v="129185"/>
    <x v="2"/>
    <x v="2"/>
    <s v="8"/>
    <x v="3"/>
    <s v="1063389"/>
    <s v="2024-09-24"/>
    <s v="2024-09-24"/>
    <x v="0"/>
    <s v="Adult"/>
    <s v="Escapement"/>
    <s v="Gillnet"/>
    <s v="Otoliths and Scales"/>
    <n v="56"/>
    <s v="13"/>
    <m/>
    <m/>
    <m/>
    <x v="5"/>
  </r>
  <r>
    <n v="129185"/>
    <x v="2"/>
    <x v="2"/>
    <s v="8"/>
    <x v="3"/>
    <s v="1063389"/>
    <s v="2024-09-24"/>
    <s v="2024-09-24"/>
    <x v="0"/>
    <s v="Adult"/>
    <s v="Escapement"/>
    <s v="Gillnet"/>
    <s v="Otoliths and Scales"/>
    <n v="57"/>
    <s v="12"/>
    <m/>
    <m/>
    <m/>
    <x v="0"/>
  </r>
  <r>
    <n v="129185"/>
    <x v="2"/>
    <x v="2"/>
    <s v="8"/>
    <x v="3"/>
    <s v="1063389"/>
    <s v="2024-09-24"/>
    <s v="2024-09-24"/>
    <x v="0"/>
    <s v="Adult"/>
    <s v="Escapement"/>
    <s v="Gillnet"/>
    <s v="Otoliths and Scales"/>
    <n v="58"/>
    <s v="13"/>
    <m/>
    <m/>
    <m/>
    <x v="5"/>
  </r>
  <r>
    <n v="129185"/>
    <x v="2"/>
    <x v="2"/>
    <s v="8"/>
    <x v="3"/>
    <s v="1063389"/>
    <s v="2024-09-24"/>
    <s v="2024-09-24"/>
    <x v="0"/>
    <s v="Adult"/>
    <s v="Escapement"/>
    <s v="Gillnet"/>
    <s v="Otoliths and Scales"/>
    <n v="59"/>
    <s v="12"/>
    <m/>
    <m/>
    <m/>
    <x v="0"/>
  </r>
  <r>
    <n v="129185"/>
    <x v="2"/>
    <x v="2"/>
    <s v="8"/>
    <x v="3"/>
    <s v="1063389"/>
    <s v="2024-09-24"/>
    <s v="2024-09-24"/>
    <x v="0"/>
    <s v="Adult"/>
    <s v="Escapement"/>
    <s v="Gillnet"/>
    <s v="Otoliths and Scales"/>
    <n v="60"/>
    <s v="12"/>
    <m/>
    <m/>
    <m/>
    <x v="0"/>
  </r>
  <r>
    <n v="129185"/>
    <x v="2"/>
    <x v="2"/>
    <s v="8"/>
    <x v="3"/>
    <s v="1063389"/>
    <s v="2024-09-24"/>
    <s v="2024-09-24"/>
    <x v="0"/>
    <s v="Adult"/>
    <s v="Escapement"/>
    <s v="Gillnet"/>
    <s v="Otoliths and Scales"/>
    <n v="61"/>
    <m/>
    <s v="F1"/>
    <m/>
    <m/>
    <x v="8"/>
  </r>
  <r>
    <n v="129185"/>
    <x v="2"/>
    <x v="2"/>
    <s v="8"/>
    <x v="3"/>
    <s v="1063389"/>
    <s v="2024-09-24"/>
    <s v="2024-09-24"/>
    <x v="0"/>
    <s v="Adult"/>
    <s v="Escapement"/>
    <s v="Gillnet"/>
    <s v="Otoliths and Scales"/>
    <n v="62"/>
    <s v="13"/>
    <m/>
    <m/>
    <s v="Resorption present but not enough to suspect an annuli is missing.  Age unaffected."/>
    <x v="5"/>
  </r>
  <r>
    <n v="129185"/>
    <x v="2"/>
    <x v="2"/>
    <s v="8"/>
    <x v="3"/>
    <s v="1063389"/>
    <s v="2024-09-24"/>
    <s v="2024-09-24"/>
    <x v="0"/>
    <s v="Adult"/>
    <s v="Escapement"/>
    <s v="Gillnet"/>
    <s v="Otoliths and Scales"/>
    <n v="63"/>
    <s v="12"/>
    <m/>
    <m/>
    <m/>
    <x v="0"/>
  </r>
  <r>
    <n v="129185"/>
    <x v="2"/>
    <x v="2"/>
    <s v="8"/>
    <x v="3"/>
    <s v="1063389"/>
    <s v="2024-09-24"/>
    <s v="2024-09-24"/>
    <x v="0"/>
    <s v="Adult"/>
    <s v="Escapement"/>
    <s v="Gillnet"/>
    <s v="Otoliths and Scales"/>
    <n v="64"/>
    <s v="12"/>
    <m/>
    <m/>
    <m/>
    <x v="0"/>
  </r>
  <r>
    <n v="129185"/>
    <x v="2"/>
    <x v="2"/>
    <s v="8"/>
    <x v="3"/>
    <s v="1063389"/>
    <s v="2024-09-24"/>
    <s v="2024-09-24"/>
    <x v="0"/>
    <s v="Adult"/>
    <s v="Escapement"/>
    <s v="Gillnet"/>
    <s v="Otoliths and Scales"/>
    <n v="65"/>
    <s v="12"/>
    <m/>
    <m/>
    <m/>
    <x v="0"/>
  </r>
  <r>
    <n v="129185"/>
    <x v="2"/>
    <x v="2"/>
    <s v="8"/>
    <x v="3"/>
    <s v="1063389"/>
    <s v="2024-09-24"/>
    <s v="2024-09-24"/>
    <x v="0"/>
    <s v="Adult"/>
    <s v="Escapement"/>
    <s v="Gillnet"/>
    <s v="Otoliths and Scales"/>
    <n v="66"/>
    <m/>
    <s v="F1"/>
    <s v="Resorbed Scale"/>
    <s v="Unknown amount of resorption. Cannot assess the number of marine annuli missing. Only freshwater age given, no marine age given."/>
    <x v="8"/>
  </r>
  <r>
    <n v="129185"/>
    <x v="2"/>
    <x v="2"/>
    <s v="8"/>
    <x v="3"/>
    <s v="1063389"/>
    <s v="2024-09-24"/>
    <s v="2024-09-24"/>
    <x v="0"/>
    <s v="Adult"/>
    <s v="Escapement"/>
    <s v="Gillnet"/>
    <s v="Otoliths and Scales"/>
    <n v="67"/>
    <s v="12"/>
    <m/>
    <m/>
    <s v="Resorption present but not enough to suspect an annuli is missing.  Age unaffected."/>
    <x v="0"/>
  </r>
  <r>
    <n v="129185"/>
    <x v="2"/>
    <x v="2"/>
    <s v="8"/>
    <x v="3"/>
    <s v="1063389"/>
    <s v="2024-09-24"/>
    <s v="2024-09-24"/>
    <x v="0"/>
    <s v="Adult"/>
    <s v="Escapement"/>
    <s v="Gillnet"/>
    <s v="Otoliths and Scales"/>
    <n v="68"/>
    <s v="12"/>
    <m/>
    <m/>
    <m/>
    <x v="0"/>
  </r>
  <r>
    <n v="129185"/>
    <x v="2"/>
    <x v="2"/>
    <s v="8"/>
    <x v="3"/>
    <s v="1063389"/>
    <s v="2024-09-24"/>
    <s v="2024-09-24"/>
    <x v="0"/>
    <s v="Adult"/>
    <s v="Escapement"/>
    <s v="Gillnet"/>
    <s v="Otoliths and Scales"/>
    <n v="69"/>
    <s v="12"/>
    <m/>
    <m/>
    <m/>
    <x v="0"/>
  </r>
  <r>
    <n v="129185"/>
    <x v="2"/>
    <x v="2"/>
    <s v="8"/>
    <x v="3"/>
    <s v="1063389"/>
    <s v="2024-09-24"/>
    <s v="2024-09-24"/>
    <x v="0"/>
    <s v="Adult"/>
    <s v="Escapement"/>
    <s v="Gillnet"/>
    <s v="Otoliths and Scales"/>
    <n v="70"/>
    <s v="12"/>
    <m/>
    <m/>
    <m/>
    <x v="0"/>
  </r>
  <r>
    <n v="129185"/>
    <x v="2"/>
    <x v="2"/>
    <s v="8"/>
    <x v="3"/>
    <s v="1063389"/>
    <s v="2024-09-24"/>
    <s v="2024-09-24"/>
    <x v="0"/>
    <s v="Adult"/>
    <s v="Escapement"/>
    <s v="Gillnet"/>
    <s v="Otoliths and Scales"/>
    <n v="71"/>
    <s v="12"/>
    <m/>
    <m/>
    <s v="Resorption present but not enough to suspect an annuli is missing.  Age unaffected."/>
    <x v="0"/>
  </r>
  <r>
    <n v="129185"/>
    <x v="2"/>
    <x v="2"/>
    <s v="8"/>
    <x v="3"/>
    <s v="1063389"/>
    <s v="2024-09-24"/>
    <s v="2024-09-24"/>
    <x v="0"/>
    <s v="Adult"/>
    <s v="Escapement"/>
    <s v="Gillnet"/>
    <s v="Otoliths and Scales"/>
    <n v="72"/>
    <s v="12"/>
    <m/>
    <m/>
    <m/>
    <x v="0"/>
  </r>
  <r>
    <n v="129185"/>
    <x v="2"/>
    <x v="2"/>
    <s v="8"/>
    <x v="3"/>
    <s v="1063389"/>
    <s v="2024-09-24"/>
    <s v="2024-09-24"/>
    <x v="0"/>
    <s v="Adult"/>
    <s v="Escapement"/>
    <s v="Gillnet"/>
    <s v="Otoliths and Scales"/>
    <n v="73"/>
    <s v="12"/>
    <m/>
    <m/>
    <m/>
    <x v="0"/>
  </r>
  <r>
    <n v="129185"/>
    <x v="2"/>
    <x v="2"/>
    <s v="8"/>
    <x v="3"/>
    <s v="1063389"/>
    <s v="2024-09-24"/>
    <s v="2024-09-24"/>
    <x v="0"/>
    <s v="Adult"/>
    <s v="Escapement"/>
    <s v="Gillnet"/>
    <s v="Otoliths and Scales"/>
    <n v="74"/>
    <s v="12"/>
    <m/>
    <m/>
    <s v="Resorption present but not enough to suspect an annuli is missing.  Age unaffected."/>
    <x v="0"/>
  </r>
  <r>
    <n v="129185"/>
    <x v="2"/>
    <x v="2"/>
    <s v="8"/>
    <x v="3"/>
    <s v="1063389"/>
    <s v="2024-09-24"/>
    <s v="2024-09-24"/>
    <x v="0"/>
    <s v="Adult"/>
    <s v="Escapement"/>
    <s v="Gillnet"/>
    <s v="Otoliths and Scales"/>
    <n v="75"/>
    <s v="13"/>
    <m/>
    <m/>
    <m/>
    <x v="5"/>
  </r>
  <r>
    <n v="129185"/>
    <x v="2"/>
    <x v="2"/>
    <s v="8"/>
    <x v="3"/>
    <s v="1063389"/>
    <s v="2024-09-24"/>
    <s v="2024-09-24"/>
    <x v="0"/>
    <s v="Adult"/>
    <s v="Escapement"/>
    <s v="Gillnet"/>
    <s v="Otoliths and Scales"/>
    <n v="76"/>
    <s v="12"/>
    <m/>
    <m/>
    <m/>
    <x v="0"/>
  </r>
  <r>
    <n v="129185"/>
    <x v="2"/>
    <x v="2"/>
    <s v="8"/>
    <x v="3"/>
    <s v="1063389"/>
    <s v="2024-09-24"/>
    <s v="2024-09-24"/>
    <x v="0"/>
    <s v="Adult"/>
    <s v="Escapement"/>
    <s v="Gillnet"/>
    <s v="Otoliths and Scales"/>
    <n v="77"/>
    <s v="12"/>
    <m/>
    <m/>
    <m/>
    <x v="0"/>
  </r>
  <r>
    <n v="129185"/>
    <x v="2"/>
    <x v="2"/>
    <s v="8"/>
    <x v="3"/>
    <s v="1063389"/>
    <s v="2024-09-24"/>
    <s v="2024-09-24"/>
    <x v="0"/>
    <s v="Adult"/>
    <s v="Escapement"/>
    <s v="Gillnet"/>
    <s v="Otoliths and Scales"/>
    <n v="78"/>
    <s v="12"/>
    <m/>
    <m/>
    <s v="Resorption present but not enough to suspect an annuli is missing.  Age unaffected."/>
    <x v="0"/>
  </r>
  <r>
    <n v="129185"/>
    <x v="2"/>
    <x v="2"/>
    <s v="8"/>
    <x v="3"/>
    <s v="1063389"/>
    <s v="2024-09-24"/>
    <s v="2024-09-24"/>
    <x v="0"/>
    <s v="Adult"/>
    <s v="Escapement"/>
    <s v="Gillnet"/>
    <s v="Otoliths and Scales"/>
    <n v="79"/>
    <s v="12"/>
    <m/>
    <m/>
    <m/>
    <x v="0"/>
  </r>
  <r>
    <n v="129185"/>
    <x v="2"/>
    <x v="2"/>
    <s v="8"/>
    <x v="3"/>
    <s v="1063389"/>
    <s v="2024-09-24"/>
    <s v="2024-09-24"/>
    <x v="0"/>
    <s v="Adult"/>
    <s v="Escapement"/>
    <s v="Gillnet"/>
    <s v="Otoliths and Scales"/>
    <n v="80"/>
    <s v="12"/>
    <m/>
    <m/>
    <s v="Resorption present but not enough to suspect an annuli is missing.  Age unaffected."/>
    <x v="0"/>
  </r>
  <r>
    <n v="129185"/>
    <x v="2"/>
    <x v="2"/>
    <s v="8"/>
    <x v="3"/>
    <s v="1063389"/>
    <s v="2024-09-24"/>
    <s v="2024-09-24"/>
    <x v="0"/>
    <s v="Adult"/>
    <s v="Escapement"/>
    <s v="Gillnet"/>
    <s v="Otoliths and Scales"/>
    <n v="81"/>
    <s v="12"/>
    <m/>
    <m/>
    <m/>
    <x v="0"/>
  </r>
  <r>
    <n v="129185"/>
    <x v="2"/>
    <x v="2"/>
    <s v="8"/>
    <x v="3"/>
    <s v="1063389"/>
    <s v="2024-09-24"/>
    <s v="2024-09-24"/>
    <x v="0"/>
    <s v="Adult"/>
    <s v="Escapement"/>
    <s v="Gillnet"/>
    <s v="Otoliths and Scales"/>
    <n v="82"/>
    <m/>
    <s v="F1"/>
    <m/>
    <m/>
    <x v="8"/>
  </r>
  <r>
    <n v="129185"/>
    <x v="2"/>
    <x v="2"/>
    <s v="8"/>
    <x v="3"/>
    <s v="1063389"/>
    <s v="2024-09-24"/>
    <s v="2024-09-24"/>
    <x v="0"/>
    <s v="Adult"/>
    <s v="Escapement"/>
    <s v="Gillnet"/>
    <s v="Otoliths and Scales"/>
    <n v="83"/>
    <s v="12"/>
    <m/>
    <m/>
    <m/>
    <x v="0"/>
  </r>
  <r>
    <n v="129185"/>
    <x v="2"/>
    <x v="2"/>
    <s v="8"/>
    <x v="3"/>
    <s v="1063389"/>
    <s v="2024-09-24"/>
    <s v="2024-09-24"/>
    <x v="0"/>
    <s v="Adult"/>
    <s v="Escapement"/>
    <s v="Gillnet"/>
    <s v="Otoliths and Scales"/>
    <n v="84"/>
    <s v="12"/>
    <m/>
    <m/>
    <m/>
    <x v="0"/>
  </r>
  <r>
    <n v="129185"/>
    <x v="2"/>
    <x v="2"/>
    <s v="8"/>
    <x v="3"/>
    <s v="1063389"/>
    <s v="2024-09-24"/>
    <s v="2024-09-24"/>
    <x v="0"/>
    <s v="Adult"/>
    <s v="Escapement"/>
    <s v="Gillnet"/>
    <s v="Otoliths and Scales"/>
    <n v="85"/>
    <s v="13"/>
    <m/>
    <m/>
    <m/>
    <x v="5"/>
  </r>
  <r>
    <n v="129185"/>
    <x v="2"/>
    <x v="2"/>
    <s v="8"/>
    <x v="3"/>
    <s v="1063389"/>
    <s v="2024-09-24"/>
    <s v="2024-09-24"/>
    <x v="0"/>
    <s v="Adult"/>
    <s v="Escapement"/>
    <s v="Gillnet"/>
    <s v="Otoliths and Scales"/>
    <n v="86"/>
    <s v="12"/>
    <m/>
    <m/>
    <m/>
    <x v="0"/>
  </r>
  <r>
    <n v="129185"/>
    <x v="2"/>
    <x v="2"/>
    <s v="8"/>
    <x v="3"/>
    <s v="1063389"/>
    <s v="2024-09-24"/>
    <s v="2024-09-24"/>
    <x v="0"/>
    <s v="Adult"/>
    <s v="Escapement"/>
    <s v="Gillnet"/>
    <s v="Otoliths and Scales"/>
    <n v="87"/>
    <s v="12"/>
    <m/>
    <m/>
    <m/>
    <x v="0"/>
  </r>
  <r>
    <n v="129185"/>
    <x v="2"/>
    <x v="2"/>
    <s v="8"/>
    <x v="3"/>
    <s v="1063389"/>
    <s v="2024-09-24"/>
    <s v="2024-09-24"/>
    <x v="0"/>
    <s v="Adult"/>
    <s v="Escapement"/>
    <s v="Gillnet"/>
    <s v="Otoliths and Scales"/>
    <n v="88"/>
    <s v="12"/>
    <m/>
    <m/>
    <m/>
    <x v="0"/>
  </r>
  <r>
    <n v="129185"/>
    <x v="2"/>
    <x v="2"/>
    <s v="8"/>
    <x v="3"/>
    <s v="1063389"/>
    <s v="2024-09-24"/>
    <s v="2024-09-24"/>
    <x v="0"/>
    <s v="Adult"/>
    <s v="Escapement"/>
    <s v="Gillnet"/>
    <s v="Otoliths and Scales"/>
    <n v="89"/>
    <s v="12"/>
    <m/>
    <m/>
    <s v="Resorption present but not enough to suspect an annuli is missing.  Age unaffected."/>
    <x v="0"/>
  </r>
  <r>
    <n v="129185"/>
    <x v="2"/>
    <x v="2"/>
    <s v="8"/>
    <x v="3"/>
    <s v="1063389"/>
    <s v="2024-09-24"/>
    <s v="2024-09-24"/>
    <x v="0"/>
    <s v="Adult"/>
    <s v="Escapement"/>
    <s v="Gillnet"/>
    <s v="Otoliths and Scales"/>
    <n v="90"/>
    <s v="12"/>
    <m/>
    <m/>
    <m/>
    <x v="0"/>
  </r>
  <r>
    <n v="129185"/>
    <x v="2"/>
    <x v="2"/>
    <s v="8"/>
    <x v="3"/>
    <s v="1063389"/>
    <s v="2024-09-24"/>
    <s v="2024-09-24"/>
    <x v="0"/>
    <s v="Adult"/>
    <s v="Escapement"/>
    <s v="Gillnet"/>
    <s v="Otoliths and Scales"/>
    <n v="91"/>
    <s v="13"/>
    <m/>
    <m/>
    <m/>
    <x v="5"/>
  </r>
  <r>
    <n v="129185"/>
    <x v="2"/>
    <x v="2"/>
    <s v="8"/>
    <x v="3"/>
    <s v="1063389"/>
    <s v="2024-09-24"/>
    <s v="2024-09-24"/>
    <x v="0"/>
    <s v="Adult"/>
    <s v="Escapement"/>
    <s v="Gillnet"/>
    <s v="Otoliths and Scales"/>
    <n v="92"/>
    <s v="12"/>
    <m/>
    <m/>
    <m/>
    <x v="0"/>
  </r>
  <r>
    <n v="129185"/>
    <x v="2"/>
    <x v="2"/>
    <s v="8"/>
    <x v="3"/>
    <s v="1063389"/>
    <s v="2024-09-24"/>
    <s v="2024-09-24"/>
    <x v="0"/>
    <s v="Adult"/>
    <s v="Escapement"/>
    <s v="Gillnet"/>
    <s v="Otoliths and Scales"/>
    <n v="93"/>
    <s v="22"/>
    <m/>
    <m/>
    <m/>
    <x v="9"/>
  </r>
  <r>
    <n v="129185"/>
    <x v="2"/>
    <x v="2"/>
    <s v="8"/>
    <x v="3"/>
    <s v="1063389"/>
    <s v="2024-09-24"/>
    <s v="2024-09-24"/>
    <x v="0"/>
    <s v="Adult"/>
    <s v="Escapement"/>
    <s v="Gillnet"/>
    <s v="Otoliths and Scales"/>
    <n v="94"/>
    <s v="12"/>
    <m/>
    <m/>
    <m/>
    <x v="0"/>
  </r>
  <r>
    <n v="129185"/>
    <x v="2"/>
    <x v="2"/>
    <s v="8"/>
    <x v="3"/>
    <s v="1063389"/>
    <s v="2024-09-24"/>
    <s v="2024-09-24"/>
    <x v="0"/>
    <s v="Adult"/>
    <s v="Escapement"/>
    <s v="Gillnet"/>
    <s v="Otoliths and Scales"/>
    <n v="95"/>
    <s v="12"/>
    <m/>
    <m/>
    <m/>
    <x v="0"/>
  </r>
  <r>
    <n v="129185"/>
    <x v="2"/>
    <x v="2"/>
    <s v="8"/>
    <x v="3"/>
    <s v="1063389"/>
    <s v="2024-09-24"/>
    <s v="2024-09-24"/>
    <x v="0"/>
    <s v="Adult"/>
    <s v="Escapement"/>
    <s v="Gillnet"/>
    <s v="Otoliths and Scales"/>
    <n v="96"/>
    <s v="12"/>
    <m/>
    <m/>
    <m/>
    <x v="0"/>
  </r>
  <r>
    <n v="129185"/>
    <x v="2"/>
    <x v="2"/>
    <s v="8"/>
    <x v="3"/>
    <s v="1063389"/>
    <s v="2024-09-24"/>
    <s v="2024-09-24"/>
    <x v="0"/>
    <s v="Adult"/>
    <s v="Escapement"/>
    <s v="Gillnet"/>
    <s v="Otoliths and Scales"/>
    <n v="97"/>
    <s v="12"/>
    <m/>
    <m/>
    <m/>
    <x v="0"/>
  </r>
  <r>
    <n v="129185"/>
    <x v="2"/>
    <x v="2"/>
    <s v="8"/>
    <x v="3"/>
    <s v="1063389"/>
    <s v="2024-09-24"/>
    <s v="2024-09-24"/>
    <x v="0"/>
    <s v="Adult"/>
    <s v="Escapement"/>
    <s v="Gillnet"/>
    <s v="Otoliths and Scales"/>
    <n v="98"/>
    <m/>
    <s v="F1"/>
    <m/>
    <m/>
    <x v="8"/>
  </r>
  <r>
    <n v="129185"/>
    <x v="2"/>
    <x v="2"/>
    <s v="8"/>
    <x v="3"/>
    <s v="1063389"/>
    <s v="2024-09-24"/>
    <s v="2024-09-24"/>
    <x v="0"/>
    <s v="Adult"/>
    <s v="Escapement"/>
    <s v="Gillnet"/>
    <s v="Otoliths and Scales"/>
    <n v="99"/>
    <s v="12"/>
    <m/>
    <m/>
    <m/>
    <x v="0"/>
  </r>
  <r>
    <n v="129185"/>
    <x v="2"/>
    <x v="2"/>
    <s v="8"/>
    <x v="3"/>
    <s v="1063389"/>
    <s v="2024-09-24"/>
    <s v="2024-09-24"/>
    <x v="0"/>
    <s v="Adult"/>
    <s v="Escapement"/>
    <s v="Gillnet"/>
    <s v="Otoliths and Scales"/>
    <n v="100"/>
    <s v="12"/>
    <m/>
    <m/>
    <s v="Resorption present but not enough to suspect an annuli is missing.  Age unaffected."/>
    <x v="0"/>
  </r>
  <r>
    <n v="129185"/>
    <x v="2"/>
    <x v="2"/>
    <s v="8"/>
    <x v="3"/>
    <s v="1063390"/>
    <s v="2024-09-24"/>
    <s v="2024-09-24"/>
    <x v="0"/>
    <s v="Adult"/>
    <s v="Escapement"/>
    <s v="Gillnet"/>
    <s v="Otoliths and Scales"/>
    <n v="1"/>
    <s v="13"/>
    <m/>
    <m/>
    <m/>
    <x v="5"/>
  </r>
  <r>
    <n v="129185"/>
    <x v="2"/>
    <x v="2"/>
    <s v="8"/>
    <x v="3"/>
    <s v="1063390"/>
    <s v="2024-09-24"/>
    <s v="2024-09-24"/>
    <x v="0"/>
    <s v="Adult"/>
    <s v="Escapement"/>
    <s v="Gillnet"/>
    <s v="Otoliths and Scales"/>
    <n v="2"/>
    <s v="12"/>
    <m/>
    <m/>
    <m/>
    <x v="0"/>
  </r>
  <r>
    <n v="129185"/>
    <x v="2"/>
    <x v="2"/>
    <s v="8"/>
    <x v="3"/>
    <s v="1063390"/>
    <s v="2024-09-24"/>
    <s v="2024-09-24"/>
    <x v="0"/>
    <s v="Adult"/>
    <s v="Escapement"/>
    <s v="Gillnet"/>
    <s v="Otoliths and Scales"/>
    <n v="3"/>
    <s v="12"/>
    <m/>
    <m/>
    <m/>
    <x v="0"/>
  </r>
  <r>
    <n v="129185"/>
    <x v="2"/>
    <x v="2"/>
    <s v="8"/>
    <x v="3"/>
    <s v="1063390"/>
    <s v="2024-09-24"/>
    <s v="2024-09-24"/>
    <x v="0"/>
    <s v="Adult"/>
    <s v="Escapement"/>
    <s v="Gillnet"/>
    <s v="Otoliths and Scales"/>
    <n v="4"/>
    <m/>
    <s v="F1"/>
    <s v="Resorbed Scale"/>
    <s v="Unknown amount of resorption. Cannot assess the number of marine annuli missing. Only freshwater age given, no marine age given."/>
    <x v="8"/>
  </r>
  <r>
    <n v="129185"/>
    <x v="2"/>
    <x v="2"/>
    <s v="8"/>
    <x v="3"/>
    <s v="1063390"/>
    <s v="2024-09-24"/>
    <s v="2024-09-24"/>
    <x v="0"/>
    <s v="Adult"/>
    <s v="Escapement"/>
    <s v="Gillnet"/>
    <s v="Otoliths and Scales"/>
    <n v="5"/>
    <m/>
    <s v="F1"/>
    <s v="Unresolved Marine Age"/>
    <s v="Unknown amount of resorption. Cannot assess the number of marine annuli missing. Only freshwater age given, no marine age given."/>
    <x v="8"/>
  </r>
  <r>
    <n v="129185"/>
    <x v="2"/>
    <x v="2"/>
    <s v="8"/>
    <x v="3"/>
    <s v="1063390"/>
    <s v="2024-09-24"/>
    <s v="2024-09-24"/>
    <x v="0"/>
    <s v="Adult"/>
    <s v="Escapement"/>
    <s v="Gillnet"/>
    <s v="Otoliths and Scales"/>
    <n v="6"/>
    <s v="12"/>
    <m/>
    <m/>
    <m/>
    <x v="0"/>
  </r>
  <r>
    <n v="129185"/>
    <x v="2"/>
    <x v="2"/>
    <s v="8"/>
    <x v="3"/>
    <s v="1063390"/>
    <s v="2024-09-24"/>
    <s v="2024-09-24"/>
    <x v="0"/>
    <s v="Adult"/>
    <s v="Escapement"/>
    <s v="Gillnet"/>
    <s v="Otoliths and Scales"/>
    <n v="7"/>
    <s v="12"/>
    <m/>
    <m/>
    <m/>
    <x v="0"/>
  </r>
  <r>
    <n v="129185"/>
    <x v="2"/>
    <x v="2"/>
    <s v="8"/>
    <x v="3"/>
    <s v="1063390"/>
    <s v="2024-09-24"/>
    <s v="2024-09-24"/>
    <x v="0"/>
    <s v="Adult"/>
    <s v="Escapement"/>
    <s v="Gillnet"/>
    <s v="Otoliths and Scales"/>
    <n v="8"/>
    <s v="12"/>
    <m/>
    <m/>
    <m/>
    <x v="0"/>
  </r>
  <r>
    <n v="129185"/>
    <x v="2"/>
    <x v="2"/>
    <s v="8"/>
    <x v="3"/>
    <s v="1063390"/>
    <s v="2024-09-24"/>
    <s v="2024-09-24"/>
    <x v="0"/>
    <s v="Adult"/>
    <s v="Escapement"/>
    <s v="Gillnet"/>
    <s v="Otoliths and Scales"/>
    <n v="9"/>
    <s v="12"/>
    <m/>
    <m/>
    <m/>
    <x v="0"/>
  </r>
  <r>
    <n v="129185"/>
    <x v="2"/>
    <x v="2"/>
    <s v="8"/>
    <x v="3"/>
    <s v="1063390"/>
    <s v="2024-09-24"/>
    <s v="2024-09-24"/>
    <x v="0"/>
    <s v="Adult"/>
    <s v="Escapement"/>
    <s v="Gillnet"/>
    <s v="Otoliths and Scales"/>
    <n v="10"/>
    <s v="12"/>
    <m/>
    <m/>
    <m/>
    <x v="0"/>
  </r>
  <r>
    <n v="129201"/>
    <x v="2"/>
    <x v="2"/>
    <s v="8"/>
    <x v="4"/>
    <s v="1048301"/>
    <s v="2024-09-19"/>
    <s v="2024-10-11"/>
    <x v="0"/>
    <s v="Adult"/>
    <s v="Escapement"/>
    <s v="Gillnet"/>
    <s v="Otoliths and Scales"/>
    <n v="1"/>
    <m/>
    <s v="F1"/>
    <s v="Resorbed Scale"/>
    <m/>
    <x v="8"/>
  </r>
  <r>
    <n v="129201"/>
    <x v="2"/>
    <x v="2"/>
    <s v="8"/>
    <x v="4"/>
    <s v="1048301"/>
    <s v="2024-09-19"/>
    <s v="2024-10-11"/>
    <x v="0"/>
    <s v="Adult"/>
    <s v="Escapement"/>
    <s v="Gillnet"/>
    <s v="Otoliths and Scales"/>
    <n v="2"/>
    <m/>
    <s v="F1"/>
    <m/>
    <m/>
    <x v="8"/>
  </r>
  <r>
    <n v="129201"/>
    <x v="2"/>
    <x v="2"/>
    <s v="8"/>
    <x v="4"/>
    <s v="1048301"/>
    <s v="2024-09-19"/>
    <s v="2024-10-11"/>
    <x v="0"/>
    <s v="Adult"/>
    <s v="Escapement"/>
    <s v="Gillnet"/>
    <s v="Otoliths and Scales"/>
    <n v="3"/>
    <m/>
    <s v="F0"/>
    <s v="Resorbed Scale"/>
    <s v="Unknown amount of resorption. Cannot assess the number of marine annuli missing. Only freshwater age given, no marine age given."/>
    <x v="11"/>
  </r>
  <r>
    <n v="129201"/>
    <x v="2"/>
    <x v="2"/>
    <s v="8"/>
    <x v="4"/>
    <s v="1048301"/>
    <s v="2024-09-19"/>
    <s v="2024-10-11"/>
    <x v="0"/>
    <s v="Adult"/>
    <s v="Escapement"/>
    <s v="Gillnet"/>
    <s v="Otoliths and Scales"/>
    <n v="4"/>
    <m/>
    <s v="F1"/>
    <m/>
    <m/>
    <x v="8"/>
  </r>
  <r>
    <n v="129201"/>
    <x v="2"/>
    <x v="2"/>
    <s v="8"/>
    <x v="4"/>
    <s v="1048301"/>
    <s v="2024-09-19"/>
    <s v="2024-10-11"/>
    <x v="0"/>
    <s v="Adult"/>
    <s v="Escapement"/>
    <s v="Gillnet"/>
    <s v="Otoliths and Scales"/>
    <n v="5"/>
    <s v="12"/>
    <m/>
    <m/>
    <m/>
    <x v="0"/>
  </r>
  <r>
    <n v="129201"/>
    <x v="2"/>
    <x v="2"/>
    <s v="8"/>
    <x v="4"/>
    <s v="1048301"/>
    <s v="2024-09-19"/>
    <s v="2024-10-11"/>
    <x v="0"/>
    <s v="Adult"/>
    <s v="Escapement"/>
    <s v="Gillnet"/>
    <s v="Otoliths and Scales"/>
    <n v="6"/>
    <s v="12"/>
    <m/>
    <m/>
    <m/>
    <x v="0"/>
  </r>
  <r>
    <n v="129201"/>
    <x v="2"/>
    <x v="2"/>
    <s v="8"/>
    <x v="4"/>
    <s v="1048301"/>
    <s v="2024-09-19"/>
    <s v="2024-10-11"/>
    <x v="0"/>
    <s v="Adult"/>
    <s v="Escapement"/>
    <s v="Gillnet"/>
    <s v="Otoliths and Scales"/>
    <n v="7"/>
    <s v="12"/>
    <m/>
    <m/>
    <m/>
    <x v="0"/>
  </r>
  <r>
    <n v="129201"/>
    <x v="2"/>
    <x v="2"/>
    <s v="8"/>
    <x v="4"/>
    <s v="1048301"/>
    <s v="2024-09-19"/>
    <s v="2024-10-11"/>
    <x v="0"/>
    <s v="Adult"/>
    <s v="Escapement"/>
    <s v="Gillnet"/>
    <s v="Otoliths and Scales"/>
    <n v="8"/>
    <s v="12"/>
    <m/>
    <m/>
    <m/>
    <x v="0"/>
  </r>
  <r>
    <n v="129201"/>
    <x v="2"/>
    <x v="2"/>
    <s v="8"/>
    <x v="4"/>
    <s v="1048301"/>
    <s v="2024-09-19"/>
    <s v="2024-10-11"/>
    <x v="0"/>
    <s v="Adult"/>
    <s v="Escapement"/>
    <s v="Gillnet"/>
    <s v="Otoliths and Scales"/>
    <n v="9"/>
    <m/>
    <s v="F0"/>
    <s v="Resorbed Scale"/>
    <s v="Unknown amount of resorption. Cannot assess the number of marine annuli missing. Only freshwater age given, no marine age given."/>
    <x v="11"/>
  </r>
  <r>
    <n v="129201"/>
    <x v="2"/>
    <x v="2"/>
    <s v="8"/>
    <x v="4"/>
    <s v="1048301"/>
    <s v="2024-09-19"/>
    <s v="2024-10-11"/>
    <x v="0"/>
    <s v="Adult"/>
    <s v="Escapement"/>
    <s v="Gillnet"/>
    <s v="Otoliths and Scales"/>
    <n v="10"/>
    <s v="12"/>
    <m/>
    <m/>
    <m/>
    <x v="0"/>
  </r>
  <r>
    <n v="129201"/>
    <x v="2"/>
    <x v="2"/>
    <s v="8"/>
    <x v="4"/>
    <s v="1048301"/>
    <s v="2024-09-19"/>
    <s v="2024-10-11"/>
    <x v="0"/>
    <s v="Adult"/>
    <s v="Escapement"/>
    <s v="Gillnet"/>
    <s v="Otoliths and Scales"/>
    <n v="11"/>
    <s v="12"/>
    <m/>
    <m/>
    <m/>
    <x v="0"/>
  </r>
  <r>
    <n v="129201"/>
    <x v="2"/>
    <x v="2"/>
    <s v="8"/>
    <x v="4"/>
    <s v="1048301"/>
    <s v="2024-09-19"/>
    <s v="2024-10-11"/>
    <x v="0"/>
    <s v="Adult"/>
    <s v="Escapement"/>
    <s v="Gillnet"/>
    <s v="Otoliths and Scales"/>
    <n v="12"/>
    <m/>
    <s v="F0"/>
    <s v="Resorbed Scale"/>
    <s v="Unknown amount of resorption. Cannot assess the number of marine annuli missing. Only freshwater age given, no marine age given."/>
    <x v="11"/>
  </r>
  <r>
    <n v="129201"/>
    <x v="2"/>
    <x v="2"/>
    <s v="8"/>
    <x v="4"/>
    <s v="1048301"/>
    <s v="2024-09-19"/>
    <s v="2024-10-11"/>
    <x v="0"/>
    <s v="Adult"/>
    <s v="Escapement"/>
    <s v="Gillnet"/>
    <s v="Otoliths and Scales"/>
    <n v="13"/>
    <s v="12"/>
    <m/>
    <m/>
    <m/>
    <x v="0"/>
  </r>
  <r>
    <n v="129201"/>
    <x v="2"/>
    <x v="2"/>
    <s v="8"/>
    <x v="4"/>
    <s v="1048301"/>
    <s v="2024-09-19"/>
    <s v="2024-10-11"/>
    <x v="0"/>
    <s v="Adult"/>
    <s v="Escapement"/>
    <s v="Gillnet"/>
    <s v="Otoliths and Scales"/>
    <n v="14"/>
    <s v="13"/>
    <m/>
    <m/>
    <m/>
    <x v="5"/>
  </r>
  <r>
    <n v="129201"/>
    <x v="2"/>
    <x v="2"/>
    <s v="8"/>
    <x v="4"/>
    <s v="1048301"/>
    <s v="2024-09-19"/>
    <s v="2024-10-11"/>
    <x v="0"/>
    <s v="Adult"/>
    <s v="Escapement"/>
    <s v="Gillnet"/>
    <s v="Otoliths and Scales"/>
    <n v="15"/>
    <m/>
    <s v="F0"/>
    <s v="Resorbed Scale"/>
    <m/>
    <x v="11"/>
  </r>
  <r>
    <n v="129201"/>
    <x v="2"/>
    <x v="2"/>
    <s v="8"/>
    <x v="4"/>
    <s v="1048301"/>
    <s v="2024-09-19"/>
    <s v="2024-10-11"/>
    <x v="0"/>
    <s v="Adult"/>
    <s v="Escapement"/>
    <s v="Gillnet"/>
    <s v="Otoliths and Scales"/>
    <n v="16"/>
    <s v="13"/>
    <m/>
    <m/>
    <m/>
    <x v="5"/>
  </r>
  <r>
    <n v="129201"/>
    <x v="2"/>
    <x v="2"/>
    <s v="8"/>
    <x v="4"/>
    <s v="1048301"/>
    <s v="2024-09-19"/>
    <s v="2024-10-11"/>
    <x v="0"/>
    <s v="Adult"/>
    <s v="Escapement"/>
    <s v="Gillnet"/>
    <s v="Otoliths and Scales"/>
    <n v="17"/>
    <s v="12"/>
    <m/>
    <m/>
    <m/>
    <x v="0"/>
  </r>
  <r>
    <n v="129201"/>
    <x v="2"/>
    <x v="2"/>
    <s v="8"/>
    <x v="4"/>
    <s v="1048301"/>
    <s v="2024-09-19"/>
    <s v="2024-10-11"/>
    <x v="0"/>
    <s v="Adult"/>
    <s v="Escapement"/>
    <s v="Gillnet"/>
    <s v="Otoliths and Scales"/>
    <n v="18"/>
    <s v="13"/>
    <m/>
    <m/>
    <m/>
    <x v="5"/>
  </r>
  <r>
    <n v="129201"/>
    <x v="2"/>
    <x v="2"/>
    <s v="8"/>
    <x v="4"/>
    <s v="1048301"/>
    <s v="2024-09-19"/>
    <s v="2024-10-11"/>
    <x v="0"/>
    <s v="Adult"/>
    <s v="Escapement"/>
    <s v="Gillnet"/>
    <s v="Otoliths and Scales"/>
    <n v="19"/>
    <s v="12"/>
    <m/>
    <m/>
    <m/>
    <x v="0"/>
  </r>
  <r>
    <n v="129201"/>
    <x v="2"/>
    <x v="2"/>
    <s v="8"/>
    <x v="4"/>
    <s v="1048301"/>
    <s v="2024-09-19"/>
    <s v="2024-10-11"/>
    <x v="0"/>
    <s v="Adult"/>
    <s v="Escapement"/>
    <s v="Gillnet"/>
    <s v="Otoliths and Scales"/>
    <n v="20"/>
    <s v="12"/>
    <m/>
    <m/>
    <m/>
    <x v="0"/>
  </r>
  <r>
    <n v="129201"/>
    <x v="2"/>
    <x v="2"/>
    <s v="8"/>
    <x v="4"/>
    <s v="1048301"/>
    <s v="2024-09-19"/>
    <s v="2024-10-11"/>
    <x v="0"/>
    <s v="Adult"/>
    <s v="Escapement"/>
    <s v="Gillnet"/>
    <s v="Otoliths and Scales"/>
    <n v="21"/>
    <s v="13"/>
    <m/>
    <m/>
    <m/>
    <x v="5"/>
  </r>
  <r>
    <n v="129201"/>
    <x v="2"/>
    <x v="2"/>
    <s v="8"/>
    <x v="4"/>
    <s v="1048301"/>
    <s v="2024-09-19"/>
    <s v="2024-10-11"/>
    <x v="0"/>
    <s v="Adult"/>
    <s v="Escapement"/>
    <s v="Gillnet"/>
    <s v="Otoliths and Scales"/>
    <n v="22"/>
    <s v="12"/>
    <m/>
    <m/>
    <m/>
    <x v="0"/>
  </r>
  <r>
    <n v="129201"/>
    <x v="2"/>
    <x v="2"/>
    <s v="8"/>
    <x v="4"/>
    <s v="1048301"/>
    <s v="2024-09-19"/>
    <s v="2024-10-11"/>
    <x v="0"/>
    <s v="Adult"/>
    <s v="Escapement"/>
    <s v="Gillnet"/>
    <s v="Otoliths and Scales"/>
    <n v="23"/>
    <s v="13"/>
    <m/>
    <m/>
    <s v="Resorption present but not enough to suspect an annuli is missing.  Age unaffected."/>
    <x v="5"/>
  </r>
  <r>
    <n v="129201"/>
    <x v="2"/>
    <x v="2"/>
    <s v="8"/>
    <x v="4"/>
    <s v="1048301"/>
    <s v="2024-09-19"/>
    <s v="2024-10-11"/>
    <x v="0"/>
    <s v="Adult"/>
    <s v="Escapement"/>
    <s v="Gillnet"/>
    <s v="Otoliths and Scales"/>
    <n v="24"/>
    <s v="12"/>
    <m/>
    <m/>
    <m/>
    <x v="0"/>
  </r>
  <r>
    <n v="129201"/>
    <x v="2"/>
    <x v="2"/>
    <s v="8"/>
    <x v="4"/>
    <s v="1048301"/>
    <s v="2024-09-19"/>
    <s v="2024-10-11"/>
    <x v="0"/>
    <s v="Adult"/>
    <s v="Escapement"/>
    <s v="Gillnet"/>
    <s v="Otoliths and Scales"/>
    <n v="25"/>
    <s v="02"/>
    <m/>
    <m/>
    <m/>
    <x v="4"/>
  </r>
  <r>
    <n v="129201"/>
    <x v="2"/>
    <x v="2"/>
    <s v="8"/>
    <x v="4"/>
    <s v="1048302"/>
    <s v="2024-09-19"/>
    <s v="2024-10-11"/>
    <x v="0"/>
    <s v="Adult"/>
    <s v="Escapement"/>
    <s v="Gillnet"/>
    <s v="Otoliths and Scales"/>
    <n v="1"/>
    <s v="12"/>
    <m/>
    <m/>
    <m/>
    <x v="0"/>
  </r>
  <r>
    <n v="129201"/>
    <x v="2"/>
    <x v="2"/>
    <s v="8"/>
    <x v="4"/>
    <s v="1048302"/>
    <s v="2024-09-19"/>
    <s v="2024-10-11"/>
    <x v="0"/>
    <s v="Adult"/>
    <s v="Escapement"/>
    <s v="Gillnet"/>
    <s v="Otoliths and Scales"/>
    <n v="2"/>
    <s v="12"/>
    <m/>
    <m/>
    <s v="Resorption present but not enough to suspect an annuli is missing.  Age unaffected."/>
    <x v="0"/>
  </r>
  <r>
    <n v="129201"/>
    <x v="2"/>
    <x v="2"/>
    <s v="8"/>
    <x v="4"/>
    <s v="1048302"/>
    <s v="2024-09-19"/>
    <s v="2024-10-11"/>
    <x v="0"/>
    <s v="Adult"/>
    <s v="Escapement"/>
    <s v="Gillnet"/>
    <s v="Otoliths and Scales"/>
    <n v="3"/>
    <s v="12"/>
    <m/>
    <m/>
    <m/>
    <x v="0"/>
  </r>
  <r>
    <n v="129201"/>
    <x v="2"/>
    <x v="2"/>
    <s v="8"/>
    <x v="4"/>
    <s v="1048302"/>
    <s v="2024-09-19"/>
    <s v="2024-10-11"/>
    <x v="0"/>
    <s v="Adult"/>
    <s v="Escapement"/>
    <s v="Gillnet"/>
    <s v="Otoliths and Scales"/>
    <n v="4"/>
    <s v="12"/>
    <m/>
    <m/>
    <s v="Resorption present but not enough to suspect an annuli is missing.  Age unaffected."/>
    <x v="0"/>
  </r>
  <r>
    <n v="129201"/>
    <x v="2"/>
    <x v="2"/>
    <s v="8"/>
    <x v="4"/>
    <s v="1048302"/>
    <s v="2024-09-19"/>
    <s v="2024-10-11"/>
    <x v="0"/>
    <s v="Adult"/>
    <s v="Escapement"/>
    <s v="Gillnet"/>
    <s v="Otoliths and Scales"/>
    <n v="5"/>
    <s v="12"/>
    <m/>
    <m/>
    <m/>
    <x v="0"/>
  </r>
  <r>
    <n v="129201"/>
    <x v="2"/>
    <x v="2"/>
    <s v="8"/>
    <x v="4"/>
    <s v="1048302"/>
    <s v="2024-09-19"/>
    <s v="2024-10-11"/>
    <x v="0"/>
    <s v="Adult"/>
    <s v="Escapement"/>
    <s v="Gillnet"/>
    <s v="Otoliths and Scales"/>
    <n v="6"/>
    <m/>
    <s v="F0"/>
    <s v="Resorbed Scale"/>
    <m/>
    <x v="11"/>
  </r>
  <r>
    <n v="129201"/>
    <x v="2"/>
    <x v="2"/>
    <s v="8"/>
    <x v="4"/>
    <s v="1048302"/>
    <s v="2024-09-19"/>
    <s v="2024-10-11"/>
    <x v="0"/>
    <s v="Adult"/>
    <s v="Escapement"/>
    <s v="Gillnet"/>
    <s v="Otoliths and Scales"/>
    <n v="7"/>
    <m/>
    <s v="F0"/>
    <s v="Resorbed Scale"/>
    <m/>
    <x v="11"/>
  </r>
  <r>
    <n v="129201"/>
    <x v="2"/>
    <x v="2"/>
    <s v="8"/>
    <x v="4"/>
    <s v="1048302"/>
    <s v="2024-09-19"/>
    <s v="2024-10-11"/>
    <x v="0"/>
    <s v="Adult"/>
    <s v="Escapement"/>
    <s v="Gillnet"/>
    <s v="Otoliths and Scales"/>
    <n v="8"/>
    <s v="12"/>
    <m/>
    <m/>
    <m/>
    <x v="0"/>
  </r>
  <r>
    <n v="129201"/>
    <x v="2"/>
    <x v="2"/>
    <s v="8"/>
    <x v="4"/>
    <s v="1048302"/>
    <s v="2024-09-19"/>
    <s v="2024-10-11"/>
    <x v="0"/>
    <s v="Adult"/>
    <s v="Escapement"/>
    <s v="Gillnet"/>
    <s v="Otoliths and Scales"/>
    <n v="9"/>
    <s v="12"/>
    <m/>
    <m/>
    <m/>
    <x v="0"/>
  </r>
  <r>
    <n v="129201"/>
    <x v="2"/>
    <x v="2"/>
    <s v="8"/>
    <x v="4"/>
    <s v="1048302"/>
    <s v="2024-09-19"/>
    <s v="2024-10-11"/>
    <x v="0"/>
    <s v="Adult"/>
    <s v="Escapement"/>
    <s v="Gillnet"/>
    <s v="Otoliths and Scales"/>
    <n v="10"/>
    <s v="12"/>
    <m/>
    <m/>
    <m/>
    <x v="0"/>
  </r>
  <r>
    <n v="129201"/>
    <x v="2"/>
    <x v="2"/>
    <s v="8"/>
    <x v="4"/>
    <s v="1048302"/>
    <s v="2024-09-19"/>
    <s v="2024-10-11"/>
    <x v="0"/>
    <s v="Adult"/>
    <s v="Escapement"/>
    <s v="Gillnet"/>
    <s v="Otoliths and Scales"/>
    <n v="11"/>
    <s v="12"/>
    <m/>
    <m/>
    <m/>
    <x v="0"/>
  </r>
  <r>
    <n v="129201"/>
    <x v="2"/>
    <x v="2"/>
    <s v="8"/>
    <x v="4"/>
    <s v="1048302"/>
    <s v="2024-09-19"/>
    <s v="2024-10-11"/>
    <x v="0"/>
    <s v="Adult"/>
    <s v="Escapement"/>
    <s v="Gillnet"/>
    <s v="Otoliths and Scales"/>
    <n v="12"/>
    <s v="12"/>
    <m/>
    <m/>
    <m/>
    <x v="0"/>
  </r>
  <r>
    <n v="129201"/>
    <x v="2"/>
    <x v="2"/>
    <s v="8"/>
    <x v="4"/>
    <s v="1048302"/>
    <s v="2024-09-19"/>
    <s v="2024-10-11"/>
    <x v="0"/>
    <s v="Adult"/>
    <s v="Escapement"/>
    <s v="Gillnet"/>
    <s v="Otoliths and Scales"/>
    <n v="13"/>
    <s v="30"/>
    <m/>
    <m/>
    <m/>
    <x v="17"/>
  </r>
  <r>
    <n v="129201"/>
    <x v="2"/>
    <x v="2"/>
    <s v="8"/>
    <x v="4"/>
    <s v="1048302"/>
    <s v="2024-09-19"/>
    <s v="2024-10-11"/>
    <x v="0"/>
    <s v="Adult"/>
    <s v="Escapement"/>
    <s v="Gillnet"/>
    <s v="Otoliths and Scales"/>
    <n v="14"/>
    <s v="12"/>
    <m/>
    <m/>
    <m/>
    <x v="0"/>
  </r>
  <r>
    <n v="129201"/>
    <x v="2"/>
    <x v="2"/>
    <s v="8"/>
    <x v="4"/>
    <s v="1048302"/>
    <s v="2024-09-19"/>
    <s v="2024-10-11"/>
    <x v="0"/>
    <s v="Adult"/>
    <s v="Escapement"/>
    <s v="Gillnet"/>
    <s v="Otoliths and Scales"/>
    <n v="15"/>
    <s v="13"/>
    <m/>
    <m/>
    <m/>
    <x v="5"/>
  </r>
  <r>
    <n v="129201"/>
    <x v="2"/>
    <x v="2"/>
    <s v="8"/>
    <x v="4"/>
    <s v="1048302"/>
    <s v="2024-09-19"/>
    <s v="2024-10-11"/>
    <x v="0"/>
    <s v="Adult"/>
    <s v="Escapement"/>
    <s v="Gillnet"/>
    <s v="Otoliths and Scales"/>
    <n v="16"/>
    <s v="02"/>
    <m/>
    <m/>
    <m/>
    <x v="4"/>
  </r>
  <r>
    <n v="129201"/>
    <x v="2"/>
    <x v="2"/>
    <s v="8"/>
    <x v="4"/>
    <s v="1048302"/>
    <s v="2024-09-19"/>
    <s v="2024-10-11"/>
    <x v="0"/>
    <s v="Adult"/>
    <s v="Escapement"/>
    <s v="Gillnet"/>
    <s v="Otoliths and Scales"/>
    <n v="17"/>
    <s v="12"/>
    <m/>
    <m/>
    <m/>
    <x v="0"/>
  </r>
  <r>
    <n v="129201"/>
    <x v="2"/>
    <x v="2"/>
    <s v="8"/>
    <x v="4"/>
    <s v="1048302"/>
    <s v="2024-09-19"/>
    <s v="2024-10-11"/>
    <x v="0"/>
    <s v="Adult"/>
    <s v="Escapement"/>
    <s v="Gillnet"/>
    <s v="Otoliths and Scales"/>
    <n v="18"/>
    <s v="02"/>
    <m/>
    <m/>
    <m/>
    <x v="4"/>
  </r>
  <r>
    <n v="129201"/>
    <x v="2"/>
    <x v="2"/>
    <s v="8"/>
    <x v="4"/>
    <s v="1048302"/>
    <s v="2024-09-19"/>
    <s v="2024-10-11"/>
    <x v="0"/>
    <s v="Adult"/>
    <s v="Escapement"/>
    <s v="Gillnet"/>
    <s v="Otoliths and Scales"/>
    <n v="19"/>
    <s v="12"/>
    <m/>
    <m/>
    <m/>
    <x v="0"/>
  </r>
  <r>
    <n v="129201"/>
    <x v="2"/>
    <x v="2"/>
    <s v="8"/>
    <x v="4"/>
    <s v="1048302"/>
    <s v="2024-09-19"/>
    <s v="2024-10-11"/>
    <x v="0"/>
    <s v="Adult"/>
    <s v="Escapement"/>
    <s v="Gillnet"/>
    <s v="Otoliths and Scales"/>
    <n v="20"/>
    <s v="02"/>
    <m/>
    <m/>
    <m/>
    <x v="4"/>
  </r>
  <r>
    <n v="129201"/>
    <x v="2"/>
    <x v="2"/>
    <s v="8"/>
    <x v="4"/>
    <s v="1048302"/>
    <s v="2024-09-19"/>
    <s v="2024-10-11"/>
    <x v="0"/>
    <s v="Adult"/>
    <s v="Escapement"/>
    <s v="Gillnet"/>
    <s v="Otoliths and Scales"/>
    <n v="21"/>
    <s v="12"/>
    <m/>
    <m/>
    <s v="Resorption present but not enough to suspect an annuli is missing.  Age unaffected."/>
    <x v="0"/>
  </r>
  <r>
    <n v="129201"/>
    <x v="2"/>
    <x v="2"/>
    <s v="8"/>
    <x v="4"/>
    <s v="1048302"/>
    <s v="2024-09-19"/>
    <s v="2024-10-11"/>
    <x v="0"/>
    <s v="Adult"/>
    <s v="Escapement"/>
    <s v="Gillnet"/>
    <s v="Otoliths and Scales"/>
    <n v="22"/>
    <s v="12"/>
    <m/>
    <m/>
    <m/>
    <x v="0"/>
  </r>
  <r>
    <n v="129201"/>
    <x v="2"/>
    <x v="2"/>
    <s v="8"/>
    <x v="4"/>
    <s v="1048302"/>
    <s v="2024-09-19"/>
    <s v="2024-10-11"/>
    <x v="0"/>
    <s v="Adult"/>
    <s v="Escapement"/>
    <s v="Gillnet"/>
    <s v="Otoliths and Scales"/>
    <n v="23"/>
    <s v="12"/>
    <m/>
    <m/>
    <m/>
    <x v="0"/>
  </r>
  <r>
    <n v="129201"/>
    <x v="2"/>
    <x v="2"/>
    <s v="8"/>
    <x v="4"/>
    <s v="1048303"/>
    <s v="2024-09-19"/>
    <s v="2024-10-11"/>
    <x v="0"/>
    <s v="Adult"/>
    <s v="Escapement"/>
    <s v="Gillnet"/>
    <s v="Otoliths and Scales"/>
    <n v="1"/>
    <s v="12"/>
    <m/>
    <m/>
    <m/>
    <x v="0"/>
  </r>
  <r>
    <n v="112649"/>
    <x v="1"/>
    <x v="2"/>
    <s v="8"/>
    <x v="3"/>
    <s v="1035018"/>
    <s v="2023-09-27"/>
    <s v="2023-09-28"/>
    <x v="0"/>
    <s v="Adult"/>
    <s v="Escapement"/>
    <s v="Gillnet"/>
    <s v="Otoliths and Scales"/>
    <n v="1"/>
    <s v="13"/>
    <m/>
    <m/>
    <m/>
    <x v="5"/>
  </r>
  <r>
    <n v="112649"/>
    <x v="1"/>
    <x v="2"/>
    <s v="8"/>
    <x v="3"/>
    <s v="1035018"/>
    <s v="2023-09-27"/>
    <s v="2023-09-28"/>
    <x v="0"/>
    <s v="Adult"/>
    <s v="Escapement"/>
    <s v="Gillnet"/>
    <s v="Otoliths and Scales"/>
    <n v="2"/>
    <s v="13"/>
    <m/>
    <m/>
    <s v="Resorption present but not enough to suspect an annuli is missing.  Age unaffected."/>
    <x v="5"/>
  </r>
  <r>
    <n v="112649"/>
    <x v="1"/>
    <x v="2"/>
    <s v="8"/>
    <x v="3"/>
    <s v="1035018"/>
    <s v="2023-09-27"/>
    <s v="2023-09-28"/>
    <x v="0"/>
    <s v="Adult"/>
    <s v="Escapement"/>
    <s v="Gillnet"/>
    <s v="Otoliths and Scales"/>
    <n v="3"/>
    <s v="12"/>
    <m/>
    <m/>
    <s v="Resorption present but not enough to suspect an annuli is missing.  Age unaffected."/>
    <x v="0"/>
  </r>
  <r>
    <n v="112649"/>
    <x v="1"/>
    <x v="2"/>
    <s v="8"/>
    <x v="3"/>
    <s v="1035018"/>
    <s v="2023-09-27"/>
    <s v="2023-09-28"/>
    <x v="0"/>
    <s v="Adult"/>
    <s v="Escapement"/>
    <s v="Gillnet"/>
    <s v="Otoliths and Scales"/>
    <n v="4"/>
    <s v="12"/>
    <m/>
    <m/>
    <m/>
    <x v="0"/>
  </r>
  <r>
    <n v="112649"/>
    <x v="1"/>
    <x v="2"/>
    <s v="8"/>
    <x v="3"/>
    <s v="1035018"/>
    <s v="2023-09-27"/>
    <s v="2023-09-28"/>
    <x v="0"/>
    <s v="Adult"/>
    <s v="Escapement"/>
    <s v="Gillnet"/>
    <s v="Otoliths and Scales"/>
    <n v="5"/>
    <s v="13"/>
    <m/>
    <m/>
    <s v="Resorption present but not enough to suspect an annuli is missing.  Age unaffected."/>
    <x v="5"/>
  </r>
  <r>
    <n v="112649"/>
    <x v="1"/>
    <x v="2"/>
    <s v="8"/>
    <x v="3"/>
    <s v="1035018"/>
    <s v="2023-09-27"/>
    <s v="2023-09-28"/>
    <x v="0"/>
    <s v="Adult"/>
    <s v="Escapement"/>
    <s v="Gillnet"/>
    <s v="Otoliths and Scales"/>
    <n v="6"/>
    <s v="12"/>
    <m/>
    <m/>
    <m/>
    <x v="0"/>
  </r>
  <r>
    <n v="112649"/>
    <x v="1"/>
    <x v="2"/>
    <s v="8"/>
    <x v="3"/>
    <s v="1035018"/>
    <s v="2023-09-27"/>
    <s v="2023-09-28"/>
    <x v="0"/>
    <s v="Adult"/>
    <s v="Escapement"/>
    <s v="Gillnet"/>
    <s v="Otoliths and Scales"/>
    <n v="7"/>
    <s v="12"/>
    <m/>
    <m/>
    <m/>
    <x v="0"/>
  </r>
  <r>
    <n v="112649"/>
    <x v="1"/>
    <x v="2"/>
    <s v="8"/>
    <x v="3"/>
    <s v="1035018"/>
    <s v="2023-09-27"/>
    <s v="2023-09-28"/>
    <x v="0"/>
    <s v="Adult"/>
    <s v="Escapement"/>
    <s v="Gillnet"/>
    <s v="Otoliths and Scales"/>
    <n v="8"/>
    <s v="22"/>
    <m/>
    <m/>
    <s v="Resorption present but not enough to suspect an annuli is missing.  Age unaffected."/>
    <x v="9"/>
  </r>
  <r>
    <n v="112649"/>
    <x v="1"/>
    <x v="2"/>
    <s v="8"/>
    <x v="3"/>
    <s v="1035018"/>
    <s v="2023-09-27"/>
    <s v="2023-09-28"/>
    <x v="0"/>
    <s v="Adult"/>
    <s v="Escapement"/>
    <s v="Gillnet"/>
    <s v="Otoliths and Scales"/>
    <n v="9"/>
    <s v="12"/>
    <m/>
    <m/>
    <s v="Resorption present but not enough to suspect an annuli is missing.  Age unaffected."/>
    <x v="0"/>
  </r>
  <r>
    <n v="112649"/>
    <x v="1"/>
    <x v="2"/>
    <s v="8"/>
    <x v="3"/>
    <s v="1035018"/>
    <s v="2023-09-27"/>
    <s v="2023-09-28"/>
    <x v="0"/>
    <s v="Adult"/>
    <s v="Escapement"/>
    <s v="Gillnet"/>
    <s v="Otoliths and Scales"/>
    <n v="10"/>
    <s v="13"/>
    <m/>
    <m/>
    <s v="Resorption present but not enough to suspect an annuli is missing.  Age unaffected."/>
    <x v="5"/>
  </r>
  <r>
    <n v="112649"/>
    <x v="1"/>
    <x v="2"/>
    <s v="8"/>
    <x v="3"/>
    <s v="1035018"/>
    <s v="2023-09-27"/>
    <s v="2023-09-28"/>
    <x v="0"/>
    <s v="Adult"/>
    <s v="Escapement"/>
    <s v="Gillnet"/>
    <s v="Otoliths and Scales"/>
    <n v="11"/>
    <s v="12"/>
    <m/>
    <m/>
    <s v="Resorption present but not enough to suspect an annuli is missing.  Age unaffected."/>
    <x v="0"/>
  </r>
  <r>
    <n v="112649"/>
    <x v="1"/>
    <x v="2"/>
    <s v="8"/>
    <x v="3"/>
    <s v="1035018"/>
    <s v="2023-09-27"/>
    <s v="2023-09-28"/>
    <x v="0"/>
    <s v="Adult"/>
    <s v="Escapement"/>
    <s v="Gillnet"/>
    <s v="Otoliths and Scales"/>
    <n v="12"/>
    <s v="12"/>
    <m/>
    <m/>
    <m/>
    <x v="0"/>
  </r>
  <r>
    <n v="112649"/>
    <x v="1"/>
    <x v="2"/>
    <s v="8"/>
    <x v="3"/>
    <s v="1035018"/>
    <s v="2023-09-27"/>
    <s v="2023-09-28"/>
    <x v="0"/>
    <s v="Adult"/>
    <s v="Escapement"/>
    <s v="Gillnet"/>
    <s v="Otoliths and Scales"/>
    <n v="13"/>
    <s v="03"/>
    <m/>
    <m/>
    <s v="Resorption present but not enough to suspect an annuli is missing.  Age unaffected."/>
    <x v="7"/>
  </r>
  <r>
    <n v="112649"/>
    <x v="1"/>
    <x v="2"/>
    <s v="8"/>
    <x v="3"/>
    <s v="1035018"/>
    <s v="2023-09-27"/>
    <s v="2023-09-28"/>
    <x v="0"/>
    <s v="Adult"/>
    <s v="Escapement"/>
    <s v="Gillnet"/>
    <s v="Otoliths and Scales"/>
    <n v="14"/>
    <s v="22"/>
    <m/>
    <m/>
    <m/>
    <x v="9"/>
  </r>
  <r>
    <n v="112649"/>
    <x v="1"/>
    <x v="2"/>
    <s v="8"/>
    <x v="3"/>
    <s v="1035018"/>
    <s v="2023-09-27"/>
    <s v="2023-09-28"/>
    <x v="0"/>
    <s v="Adult"/>
    <s v="Escapement"/>
    <s v="Gillnet"/>
    <s v="Otoliths and Scales"/>
    <n v="15"/>
    <s v="12"/>
    <m/>
    <m/>
    <m/>
    <x v="0"/>
  </r>
  <r>
    <n v="112649"/>
    <x v="1"/>
    <x v="2"/>
    <s v="8"/>
    <x v="3"/>
    <s v="1035018"/>
    <s v="2023-09-27"/>
    <s v="2023-09-28"/>
    <x v="0"/>
    <s v="Adult"/>
    <s v="Escapement"/>
    <s v="Gillnet"/>
    <s v="Otoliths and Scales"/>
    <n v="16"/>
    <s v="12"/>
    <m/>
    <m/>
    <m/>
    <x v="0"/>
  </r>
  <r>
    <n v="112649"/>
    <x v="1"/>
    <x v="2"/>
    <s v="8"/>
    <x v="3"/>
    <s v="1035018"/>
    <s v="2023-09-27"/>
    <s v="2023-09-28"/>
    <x v="0"/>
    <s v="Adult"/>
    <s v="Escapement"/>
    <s v="Gillnet"/>
    <s v="Otoliths and Scales"/>
    <n v="17"/>
    <s v="12"/>
    <m/>
    <m/>
    <m/>
    <x v="0"/>
  </r>
  <r>
    <n v="112649"/>
    <x v="1"/>
    <x v="2"/>
    <s v="8"/>
    <x v="3"/>
    <s v="1035018"/>
    <s v="2023-09-27"/>
    <s v="2023-09-28"/>
    <x v="0"/>
    <s v="Adult"/>
    <s v="Escapement"/>
    <s v="Gillnet"/>
    <s v="Otoliths and Scales"/>
    <n v="18"/>
    <s v="22"/>
    <m/>
    <m/>
    <s v="Resorption present but not enough to suspect an annuli is missing.  Age unaffected."/>
    <x v="9"/>
  </r>
  <r>
    <n v="112649"/>
    <x v="1"/>
    <x v="2"/>
    <s v="8"/>
    <x v="3"/>
    <s v="1035018"/>
    <s v="2023-09-27"/>
    <s v="2023-09-28"/>
    <x v="0"/>
    <s v="Adult"/>
    <s v="Escapement"/>
    <s v="Gillnet"/>
    <s v="Otoliths and Scales"/>
    <n v="19"/>
    <s v="12"/>
    <m/>
    <m/>
    <s v="Resorption present but not enough to suspect an annuli is missing.  Age unaffected."/>
    <x v="0"/>
  </r>
  <r>
    <n v="112649"/>
    <x v="1"/>
    <x v="2"/>
    <s v="8"/>
    <x v="3"/>
    <s v="1035018"/>
    <s v="2023-09-27"/>
    <s v="2023-09-28"/>
    <x v="0"/>
    <s v="Adult"/>
    <s v="Escapement"/>
    <s v="Gillnet"/>
    <s v="Otoliths and Scales"/>
    <n v="20"/>
    <s v="12"/>
    <m/>
    <m/>
    <m/>
    <x v="0"/>
  </r>
  <r>
    <n v="112649"/>
    <x v="1"/>
    <x v="2"/>
    <s v="8"/>
    <x v="3"/>
    <s v="1035018"/>
    <s v="2023-09-27"/>
    <s v="2023-09-28"/>
    <x v="0"/>
    <s v="Adult"/>
    <s v="Escapement"/>
    <s v="Gillnet"/>
    <s v="Otoliths and Scales"/>
    <n v="21"/>
    <s v="12"/>
    <m/>
    <m/>
    <s v="Resorption present but not enough to suspect an annuli is missing.  Age unaffected."/>
    <x v="0"/>
  </r>
  <r>
    <n v="112649"/>
    <x v="1"/>
    <x v="2"/>
    <s v="8"/>
    <x v="3"/>
    <s v="1035018"/>
    <s v="2023-09-27"/>
    <s v="2023-09-28"/>
    <x v="0"/>
    <s v="Adult"/>
    <s v="Escapement"/>
    <s v="Gillnet"/>
    <s v="Otoliths and Scales"/>
    <n v="22"/>
    <s v="12"/>
    <m/>
    <m/>
    <s v="Resorption present but not enough to suspect an annuli is missing.  Age unaffected."/>
    <x v="0"/>
  </r>
  <r>
    <n v="112649"/>
    <x v="1"/>
    <x v="2"/>
    <s v="8"/>
    <x v="3"/>
    <s v="1035018"/>
    <s v="2023-09-27"/>
    <s v="2023-09-28"/>
    <x v="0"/>
    <s v="Adult"/>
    <s v="Escapement"/>
    <s v="Gillnet"/>
    <s v="Otoliths and Scales"/>
    <n v="23"/>
    <s v="12"/>
    <m/>
    <m/>
    <s v="Resorption present but not enough to suspect an annuli is missing.  Age unaffected."/>
    <x v="0"/>
  </r>
  <r>
    <n v="112649"/>
    <x v="1"/>
    <x v="2"/>
    <s v="8"/>
    <x v="3"/>
    <s v="1035018"/>
    <s v="2023-09-27"/>
    <s v="2023-09-28"/>
    <x v="0"/>
    <s v="Adult"/>
    <s v="Escapement"/>
    <s v="Gillnet"/>
    <s v="Otoliths and Scales"/>
    <n v="24"/>
    <s v="12"/>
    <m/>
    <m/>
    <s v="Resorption present but not enough to suspect an annuli is missing.  Age unaffected."/>
    <x v="0"/>
  </r>
  <r>
    <n v="112649"/>
    <x v="1"/>
    <x v="2"/>
    <s v="8"/>
    <x v="3"/>
    <s v="1035018"/>
    <s v="2023-09-27"/>
    <s v="2023-09-28"/>
    <x v="0"/>
    <s v="Adult"/>
    <s v="Escapement"/>
    <s v="Gillnet"/>
    <s v="Otoliths and Scales"/>
    <n v="25"/>
    <s v="12"/>
    <m/>
    <m/>
    <m/>
    <x v="0"/>
  </r>
  <r>
    <n v="112649"/>
    <x v="1"/>
    <x v="2"/>
    <s v="8"/>
    <x v="3"/>
    <s v="1035019"/>
    <s v="2023-09-24"/>
    <s v="2023-09-28"/>
    <x v="0"/>
    <s v="Adult"/>
    <s v="Escapement"/>
    <s v="Gillnet"/>
    <s v="Otoliths and Scales"/>
    <n v="1"/>
    <s v="13"/>
    <m/>
    <m/>
    <s v="Resorption present but not enough to suspect an annuli is missing.  Age unaffected."/>
    <x v="5"/>
  </r>
  <r>
    <n v="112649"/>
    <x v="1"/>
    <x v="2"/>
    <s v="8"/>
    <x v="3"/>
    <s v="1035019"/>
    <s v="2023-09-24"/>
    <s v="2023-09-28"/>
    <x v="0"/>
    <s v="Adult"/>
    <s v="Escapement"/>
    <s v="Gillnet"/>
    <s v="Otoliths and Scales"/>
    <n v="2"/>
    <s v="12"/>
    <m/>
    <m/>
    <s v="Resorption present but not enough to suspect an annuli is missing.  Age unaffected."/>
    <x v="0"/>
  </r>
  <r>
    <n v="112649"/>
    <x v="1"/>
    <x v="2"/>
    <s v="8"/>
    <x v="3"/>
    <s v="1035019"/>
    <s v="2023-09-24"/>
    <s v="2023-09-28"/>
    <x v="0"/>
    <s v="Adult"/>
    <s v="Escapement"/>
    <s v="Gillnet"/>
    <s v="Otoliths and Scales"/>
    <n v="3"/>
    <s v="13"/>
    <m/>
    <m/>
    <s v="Resorption present but not enough to suspect an annuli is missing.  Age unaffected."/>
    <x v="5"/>
  </r>
  <r>
    <n v="112649"/>
    <x v="1"/>
    <x v="2"/>
    <s v="8"/>
    <x v="3"/>
    <s v="1035019"/>
    <s v="2023-09-24"/>
    <s v="2023-09-28"/>
    <x v="0"/>
    <s v="Adult"/>
    <s v="Escapement"/>
    <s v="Gillnet"/>
    <s v="Otoliths and Scales"/>
    <n v="4"/>
    <s v="12"/>
    <m/>
    <m/>
    <m/>
    <x v="0"/>
  </r>
  <r>
    <n v="112649"/>
    <x v="1"/>
    <x v="2"/>
    <s v="8"/>
    <x v="3"/>
    <s v="1035019"/>
    <s v="2023-09-24"/>
    <s v="2023-09-28"/>
    <x v="0"/>
    <s v="Adult"/>
    <s v="Escapement"/>
    <s v="Gillnet"/>
    <s v="Otoliths and Scales"/>
    <n v="5"/>
    <s v="13"/>
    <m/>
    <m/>
    <m/>
    <x v="5"/>
  </r>
  <r>
    <n v="112649"/>
    <x v="1"/>
    <x v="2"/>
    <s v="8"/>
    <x v="3"/>
    <s v="1035019"/>
    <s v="2023-09-24"/>
    <s v="2023-09-28"/>
    <x v="0"/>
    <s v="Adult"/>
    <s v="Escapement"/>
    <s v="Gillnet"/>
    <s v="Otoliths and Scales"/>
    <n v="6"/>
    <s v="03"/>
    <m/>
    <m/>
    <m/>
    <x v="7"/>
  </r>
  <r>
    <n v="112649"/>
    <x v="1"/>
    <x v="2"/>
    <s v="8"/>
    <x v="3"/>
    <s v="1035019"/>
    <s v="2023-09-24"/>
    <s v="2023-09-28"/>
    <x v="0"/>
    <s v="Adult"/>
    <s v="Escapement"/>
    <s v="Gillnet"/>
    <s v="Otoliths and Scales"/>
    <n v="7"/>
    <s v="12"/>
    <m/>
    <m/>
    <s v="Resorption present but not enough to suspect an annuli is missing.  Age unaffected."/>
    <x v="0"/>
  </r>
  <r>
    <n v="112649"/>
    <x v="1"/>
    <x v="2"/>
    <s v="8"/>
    <x v="3"/>
    <s v="1035019"/>
    <s v="2023-09-24"/>
    <s v="2023-09-28"/>
    <x v="0"/>
    <s v="Adult"/>
    <s v="Escapement"/>
    <s v="Gillnet"/>
    <s v="Otoliths and Scales"/>
    <n v="8"/>
    <s v="12"/>
    <m/>
    <m/>
    <s v="Resorption present but not enough to suspect an annuli is missing.  Age unaffected."/>
    <x v="0"/>
  </r>
  <r>
    <n v="112649"/>
    <x v="1"/>
    <x v="2"/>
    <s v="8"/>
    <x v="3"/>
    <s v="1035019"/>
    <s v="2023-09-24"/>
    <s v="2023-09-28"/>
    <x v="0"/>
    <s v="Adult"/>
    <s v="Escapement"/>
    <s v="Gillnet"/>
    <s v="Otoliths and Scales"/>
    <n v="9"/>
    <m/>
    <s v="M2"/>
    <s v="Unresolved Freshwater Age"/>
    <s v="Resorption present but not enough to suspect an annuli is missing.  Age unaffected."/>
    <x v="2"/>
  </r>
  <r>
    <n v="112649"/>
    <x v="1"/>
    <x v="2"/>
    <s v="8"/>
    <x v="3"/>
    <s v="1035019"/>
    <s v="2023-09-24"/>
    <s v="2023-09-28"/>
    <x v="0"/>
    <s v="Adult"/>
    <s v="Escapement"/>
    <s v="Gillnet"/>
    <s v="Otoliths and Scales"/>
    <n v="10"/>
    <s v="12"/>
    <m/>
    <m/>
    <m/>
    <x v="0"/>
  </r>
  <r>
    <n v="112649"/>
    <x v="1"/>
    <x v="2"/>
    <s v="8"/>
    <x v="3"/>
    <s v="1035019"/>
    <s v="2023-09-24"/>
    <s v="2023-09-28"/>
    <x v="0"/>
    <s v="Adult"/>
    <s v="Escapement"/>
    <s v="Gillnet"/>
    <s v="Otoliths and Scales"/>
    <n v="11"/>
    <s v="13"/>
    <m/>
    <m/>
    <m/>
    <x v="5"/>
  </r>
  <r>
    <n v="112649"/>
    <x v="1"/>
    <x v="2"/>
    <s v="8"/>
    <x v="3"/>
    <s v="1035019"/>
    <s v="2023-09-24"/>
    <s v="2023-09-28"/>
    <x v="0"/>
    <s v="Adult"/>
    <s v="Escapement"/>
    <s v="Gillnet"/>
    <s v="Otoliths and Scales"/>
    <n v="12"/>
    <s v="12"/>
    <m/>
    <m/>
    <s v="Resorption present but not enough to suspect an annuli is missing.  Age unaffected."/>
    <x v="0"/>
  </r>
  <r>
    <n v="112649"/>
    <x v="1"/>
    <x v="2"/>
    <s v="8"/>
    <x v="3"/>
    <s v="1035019"/>
    <s v="2023-09-24"/>
    <s v="2023-09-28"/>
    <x v="0"/>
    <s v="Adult"/>
    <s v="Escapement"/>
    <s v="Gillnet"/>
    <s v="Otoliths and Scales"/>
    <n v="13"/>
    <s v="12"/>
    <m/>
    <m/>
    <s v="Resorption present but not enough to suspect an annuli is missing.  Age unaffected."/>
    <x v="0"/>
  </r>
  <r>
    <n v="112649"/>
    <x v="1"/>
    <x v="2"/>
    <s v="8"/>
    <x v="3"/>
    <s v="1035019"/>
    <s v="2023-09-24"/>
    <s v="2023-09-28"/>
    <x v="0"/>
    <s v="Adult"/>
    <s v="Escapement"/>
    <s v="Gillnet"/>
    <s v="Otoliths and Scales"/>
    <n v="14"/>
    <s v="12"/>
    <m/>
    <m/>
    <s v="Resorption present but not enough to suspect an annuli is missing.  Age unaffected."/>
    <x v="0"/>
  </r>
  <r>
    <n v="112649"/>
    <x v="1"/>
    <x v="2"/>
    <s v="8"/>
    <x v="3"/>
    <s v="1035019"/>
    <s v="2023-09-24"/>
    <s v="2023-09-28"/>
    <x v="0"/>
    <s v="Adult"/>
    <s v="Escapement"/>
    <s v="Gillnet"/>
    <s v="Otoliths and Scales"/>
    <n v="15"/>
    <s v="13"/>
    <m/>
    <m/>
    <m/>
    <x v="5"/>
  </r>
  <r>
    <n v="112649"/>
    <x v="1"/>
    <x v="2"/>
    <s v="8"/>
    <x v="3"/>
    <s v="1035019"/>
    <s v="2023-09-24"/>
    <s v="2023-09-28"/>
    <x v="0"/>
    <s v="Adult"/>
    <s v="Escapement"/>
    <s v="Gillnet"/>
    <s v="Otoliths and Scales"/>
    <n v="16"/>
    <s v="12"/>
    <m/>
    <m/>
    <s v="Resorption present but not enough to suspect an annuli is missing.  Age unaffected."/>
    <x v="0"/>
  </r>
  <r>
    <n v="112649"/>
    <x v="1"/>
    <x v="2"/>
    <s v="8"/>
    <x v="3"/>
    <s v="1035019"/>
    <s v="2023-09-24"/>
    <s v="2023-09-28"/>
    <x v="0"/>
    <s v="Adult"/>
    <s v="Escapement"/>
    <s v="Gillnet"/>
    <s v="Otoliths and Scales"/>
    <n v="17"/>
    <s v="12"/>
    <m/>
    <m/>
    <s v="Resorption present but not enough to suspect an annuli is missing.  Age unaffected."/>
    <x v="0"/>
  </r>
  <r>
    <n v="112649"/>
    <x v="1"/>
    <x v="2"/>
    <s v="8"/>
    <x v="3"/>
    <s v="1035019"/>
    <s v="2023-09-24"/>
    <s v="2023-09-28"/>
    <x v="0"/>
    <s v="Adult"/>
    <s v="Escapement"/>
    <s v="Gillnet"/>
    <s v="Otoliths and Scales"/>
    <n v="18"/>
    <s v="12"/>
    <m/>
    <m/>
    <s v="Resorption present but not enough to suspect an annuli is missing.  Age unaffected."/>
    <x v="0"/>
  </r>
  <r>
    <n v="112649"/>
    <x v="1"/>
    <x v="2"/>
    <s v="8"/>
    <x v="3"/>
    <s v="1035019"/>
    <s v="2023-09-24"/>
    <s v="2023-09-28"/>
    <x v="0"/>
    <s v="Adult"/>
    <s v="Escapement"/>
    <s v="Gillnet"/>
    <s v="Otoliths and Scales"/>
    <n v="19"/>
    <s v="12"/>
    <m/>
    <m/>
    <m/>
    <x v="0"/>
  </r>
  <r>
    <n v="112649"/>
    <x v="1"/>
    <x v="2"/>
    <s v="8"/>
    <x v="3"/>
    <s v="1035019"/>
    <s v="2023-09-24"/>
    <s v="2023-09-28"/>
    <x v="0"/>
    <s v="Adult"/>
    <s v="Escapement"/>
    <s v="Gillnet"/>
    <s v="Otoliths and Scales"/>
    <n v="20"/>
    <s v="12"/>
    <m/>
    <m/>
    <s v="Resorption present but not enough to suspect an annuli is missing.  Age unaffected."/>
    <x v="0"/>
  </r>
  <r>
    <n v="112649"/>
    <x v="1"/>
    <x v="2"/>
    <s v="8"/>
    <x v="3"/>
    <s v="1035019"/>
    <s v="2023-09-24"/>
    <s v="2023-09-28"/>
    <x v="0"/>
    <s v="Adult"/>
    <s v="Escapement"/>
    <s v="Gillnet"/>
    <s v="Otoliths and Scales"/>
    <n v="21"/>
    <s v="13"/>
    <m/>
    <m/>
    <s v="Resorption present but not enough to suspect an annuli is missing.  Age unaffected."/>
    <x v="5"/>
  </r>
  <r>
    <n v="112649"/>
    <x v="1"/>
    <x v="2"/>
    <s v="8"/>
    <x v="3"/>
    <s v="1035019"/>
    <s v="2023-09-24"/>
    <s v="2023-09-28"/>
    <x v="0"/>
    <s v="Adult"/>
    <s v="Escapement"/>
    <s v="Gillnet"/>
    <s v="Otoliths and Scales"/>
    <n v="22"/>
    <s v="12"/>
    <m/>
    <m/>
    <s v="Resorption present but not enough to suspect an annuli is missing.  Age unaffected."/>
    <x v="0"/>
  </r>
  <r>
    <n v="112649"/>
    <x v="1"/>
    <x v="2"/>
    <s v="8"/>
    <x v="3"/>
    <s v="1035019"/>
    <s v="2023-09-24"/>
    <s v="2023-09-28"/>
    <x v="0"/>
    <s v="Adult"/>
    <s v="Escapement"/>
    <s v="Gillnet"/>
    <s v="Otoliths and Scales"/>
    <n v="23"/>
    <s v="12"/>
    <m/>
    <m/>
    <s v="Resorption present but not enough to suspect an annuli is missing.  Age unaffected."/>
    <x v="0"/>
  </r>
  <r>
    <n v="112649"/>
    <x v="1"/>
    <x v="2"/>
    <s v="8"/>
    <x v="3"/>
    <s v="1035019"/>
    <s v="2023-09-24"/>
    <s v="2023-09-28"/>
    <x v="0"/>
    <s v="Adult"/>
    <s v="Escapement"/>
    <s v="Gillnet"/>
    <s v="Otoliths and Scales"/>
    <n v="24"/>
    <s v="12"/>
    <m/>
    <m/>
    <m/>
    <x v="0"/>
  </r>
  <r>
    <n v="112649"/>
    <x v="1"/>
    <x v="2"/>
    <s v="8"/>
    <x v="3"/>
    <s v="1035020"/>
    <s v="2023-09-27"/>
    <s v="2023-09-28"/>
    <x v="0"/>
    <s v="Adult"/>
    <s v="Escapement"/>
    <s v="Gillnet"/>
    <s v="Otoliths and Scales"/>
    <n v="1"/>
    <s v="12"/>
    <m/>
    <m/>
    <m/>
    <x v="0"/>
  </r>
  <r>
    <n v="112649"/>
    <x v="1"/>
    <x v="2"/>
    <s v="8"/>
    <x v="3"/>
    <s v="1035020"/>
    <s v="2023-09-27"/>
    <s v="2023-09-28"/>
    <x v="0"/>
    <s v="Adult"/>
    <s v="Escapement"/>
    <s v="Gillnet"/>
    <s v="Otoliths and Scales"/>
    <n v="2"/>
    <s v="13"/>
    <m/>
    <m/>
    <s v="Resorption present but not enough to suspect an annuli is missing.  Age unaffected."/>
    <x v="5"/>
  </r>
  <r>
    <n v="112649"/>
    <x v="1"/>
    <x v="2"/>
    <s v="8"/>
    <x v="3"/>
    <s v="1035020"/>
    <s v="2023-09-27"/>
    <s v="2023-09-28"/>
    <x v="0"/>
    <s v="Adult"/>
    <s v="Escapement"/>
    <s v="Gillnet"/>
    <s v="Otoliths and Scales"/>
    <n v="3"/>
    <m/>
    <s v="F1"/>
    <s v="Resorbed Scale"/>
    <m/>
    <x v="8"/>
  </r>
  <r>
    <n v="112649"/>
    <x v="1"/>
    <x v="2"/>
    <s v="8"/>
    <x v="3"/>
    <s v="1035020"/>
    <s v="2023-09-27"/>
    <s v="2023-09-28"/>
    <x v="0"/>
    <s v="Adult"/>
    <s v="Escapement"/>
    <s v="Gillnet"/>
    <s v="Otoliths and Scales"/>
    <n v="4"/>
    <m/>
    <s v="F1"/>
    <s v="Resorbed Scale"/>
    <m/>
    <x v="8"/>
  </r>
  <r>
    <n v="112649"/>
    <x v="1"/>
    <x v="2"/>
    <s v="8"/>
    <x v="3"/>
    <s v="1035020"/>
    <s v="2023-09-27"/>
    <s v="2023-09-28"/>
    <x v="0"/>
    <s v="Adult"/>
    <s v="Escapement"/>
    <s v="Gillnet"/>
    <s v="Otoliths and Scales"/>
    <n v="5"/>
    <s v="12"/>
    <m/>
    <m/>
    <s v="Resorption present but not enough to suspect an annuli is missing.  Age unaffected."/>
    <x v="0"/>
  </r>
  <r>
    <n v="112649"/>
    <x v="1"/>
    <x v="2"/>
    <s v="8"/>
    <x v="3"/>
    <s v="1035020"/>
    <s v="2023-09-27"/>
    <s v="2023-09-28"/>
    <x v="0"/>
    <s v="Adult"/>
    <s v="Escapement"/>
    <s v="Gillnet"/>
    <s v="Otoliths and Scales"/>
    <n v="6"/>
    <s v="12"/>
    <m/>
    <m/>
    <s v="Resorption present but not enough to suspect an annuli is missing.  Age unaffected."/>
    <x v="0"/>
  </r>
  <r>
    <n v="112649"/>
    <x v="1"/>
    <x v="2"/>
    <s v="8"/>
    <x v="3"/>
    <s v="1035020"/>
    <s v="2023-09-27"/>
    <s v="2023-09-28"/>
    <x v="0"/>
    <s v="Adult"/>
    <s v="Escapement"/>
    <s v="Gillnet"/>
    <s v="Otoliths and Scales"/>
    <n v="7"/>
    <s v="12"/>
    <m/>
    <m/>
    <s v="Resorption present but not enough to suspect an annuli is missing.  Age unaffected."/>
    <x v="0"/>
  </r>
  <r>
    <n v="112649"/>
    <x v="1"/>
    <x v="2"/>
    <s v="8"/>
    <x v="3"/>
    <s v="1035020"/>
    <s v="2023-09-27"/>
    <s v="2023-09-28"/>
    <x v="0"/>
    <s v="Adult"/>
    <s v="Escapement"/>
    <s v="Gillnet"/>
    <s v="Otoliths and Scales"/>
    <n v="8"/>
    <s v="12"/>
    <m/>
    <m/>
    <s v="Resorption present but not enough to suspect an annuli is missing.  Age unaffected."/>
    <x v="0"/>
  </r>
  <r>
    <n v="112649"/>
    <x v="1"/>
    <x v="2"/>
    <s v="8"/>
    <x v="3"/>
    <s v="1035020"/>
    <s v="2023-09-27"/>
    <s v="2023-09-28"/>
    <x v="0"/>
    <s v="Adult"/>
    <s v="Escapement"/>
    <s v="Gillnet"/>
    <s v="Otoliths and Scales"/>
    <n v="9"/>
    <s v="13"/>
    <m/>
    <m/>
    <s v="Resorption present but not enough to suspect an annuli is missing.  Age unaffected."/>
    <x v="5"/>
  </r>
  <r>
    <n v="112649"/>
    <x v="1"/>
    <x v="2"/>
    <s v="8"/>
    <x v="3"/>
    <s v="1035020"/>
    <s v="2023-09-27"/>
    <s v="2023-09-28"/>
    <x v="0"/>
    <s v="Adult"/>
    <s v="Escapement"/>
    <s v="Gillnet"/>
    <s v="Otoliths and Scales"/>
    <n v="10"/>
    <s v="12"/>
    <m/>
    <m/>
    <s v="Resorption present but not enough to suspect an annuli is missing.  Age unaffected."/>
    <x v="0"/>
  </r>
  <r>
    <n v="112649"/>
    <x v="1"/>
    <x v="2"/>
    <s v="8"/>
    <x v="3"/>
    <s v="1035020"/>
    <s v="2023-09-27"/>
    <s v="2023-09-28"/>
    <x v="0"/>
    <s v="Adult"/>
    <s v="Escapement"/>
    <s v="Gillnet"/>
    <s v="Otoliths and Scales"/>
    <n v="11"/>
    <s v="12"/>
    <m/>
    <m/>
    <s v="Resorption present but not enough to suspect an annuli is missing.  Age unaffected."/>
    <x v="0"/>
  </r>
  <r>
    <n v="112649"/>
    <x v="1"/>
    <x v="2"/>
    <s v="8"/>
    <x v="3"/>
    <s v="1035020"/>
    <s v="2023-09-27"/>
    <s v="2023-09-28"/>
    <x v="0"/>
    <s v="Adult"/>
    <s v="Escapement"/>
    <s v="Gillnet"/>
    <s v="Otoliths and Scales"/>
    <n v="12"/>
    <s v="13"/>
    <m/>
    <m/>
    <s v="Resorption present but not enough to suspect an annuli is missing.  Age unaffected."/>
    <x v="5"/>
  </r>
  <r>
    <n v="112649"/>
    <x v="1"/>
    <x v="2"/>
    <s v="8"/>
    <x v="3"/>
    <s v="1035020"/>
    <s v="2023-09-27"/>
    <s v="2023-09-28"/>
    <x v="0"/>
    <s v="Adult"/>
    <s v="Escapement"/>
    <s v="Gillnet"/>
    <s v="Otoliths and Scales"/>
    <n v="13"/>
    <s v="12"/>
    <m/>
    <m/>
    <s v="Resorption present but not enough to suspect an annuli is missing.  Age unaffected."/>
    <x v="0"/>
  </r>
  <r>
    <n v="112649"/>
    <x v="1"/>
    <x v="2"/>
    <s v="8"/>
    <x v="3"/>
    <s v="1035020"/>
    <s v="2023-09-27"/>
    <s v="2023-09-28"/>
    <x v="0"/>
    <s v="Adult"/>
    <s v="Escapement"/>
    <s v="Gillnet"/>
    <s v="Otoliths and Scales"/>
    <n v="14"/>
    <s v="12"/>
    <m/>
    <m/>
    <s v="Resorption present but not enough to suspect an annuli is missing.  Age unaffected."/>
    <x v="0"/>
  </r>
  <r>
    <n v="112649"/>
    <x v="1"/>
    <x v="2"/>
    <s v="8"/>
    <x v="3"/>
    <s v="1035020"/>
    <s v="2023-09-27"/>
    <s v="2023-09-28"/>
    <x v="0"/>
    <s v="Adult"/>
    <s v="Escapement"/>
    <s v="Gillnet"/>
    <s v="Otoliths and Scales"/>
    <n v="15"/>
    <s v="03"/>
    <m/>
    <m/>
    <s v="Resorption present but not enough to suspect an annuli is missing.  Age unaffected."/>
    <x v="7"/>
  </r>
  <r>
    <n v="112649"/>
    <x v="1"/>
    <x v="2"/>
    <s v="8"/>
    <x v="3"/>
    <s v="1035020"/>
    <s v="2023-09-27"/>
    <s v="2023-09-28"/>
    <x v="0"/>
    <s v="Adult"/>
    <s v="Escapement"/>
    <s v="Gillnet"/>
    <s v="Otoliths and Scales"/>
    <n v="16"/>
    <s v="03"/>
    <m/>
    <m/>
    <m/>
    <x v="7"/>
  </r>
  <r>
    <n v="112649"/>
    <x v="1"/>
    <x v="2"/>
    <s v="8"/>
    <x v="3"/>
    <s v="1035020"/>
    <s v="2023-09-27"/>
    <s v="2023-09-28"/>
    <x v="0"/>
    <s v="Adult"/>
    <s v="Escapement"/>
    <s v="Gillnet"/>
    <s v="Otoliths and Scales"/>
    <n v="17"/>
    <s v="13"/>
    <m/>
    <m/>
    <s v="Resorption present but not enough to suspect an annuli is missing.  Age unaffected."/>
    <x v="5"/>
  </r>
  <r>
    <n v="112649"/>
    <x v="1"/>
    <x v="2"/>
    <s v="8"/>
    <x v="3"/>
    <s v="1035020"/>
    <s v="2023-09-27"/>
    <s v="2023-09-28"/>
    <x v="0"/>
    <s v="Adult"/>
    <s v="Escapement"/>
    <s v="Gillnet"/>
    <s v="Otoliths and Scales"/>
    <n v="18"/>
    <s v="23"/>
    <m/>
    <m/>
    <s v="Resorption present but not enough to suspect an annuli is missing.  Age unaffected."/>
    <x v="10"/>
  </r>
  <r>
    <n v="112649"/>
    <x v="1"/>
    <x v="2"/>
    <s v="8"/>
    <x v="3"/>
    <s v="1035020"/>
    <s v="2023-09-27"/>
    <s v="2023-09-28"/>
    <x v="0"/>
    <s v="Adult"/>
    <s v="Escapement"/>
    <s v="Gillnet"/>
    <s v="Otoliths and Scales"/>
    <n v="19"/>
    <s v="12"/>
    <m/>
    <m/>
    <s v="Resorption present but not enough to suspect an annuli is missing.  Age unaffected."/>
    <x v="0"/>
  </r>
  <r>
    <n v="112649"/>
    <x v="1"/>
    <x v="2"/>
    <s v="8"/>
    <x v="3"/>
    <s v="1035020"/>
    <s v="2023-09-27"/>
    <s v="2023-09-28"/>
    <x v="0"/>
    <s v="Adult"/>
    <s v="Escapement"/>
    <s v="Gillnet"/>
    <s v="Otoliths and Scales"/>
    <n v="20"/>
    <s v="12"/>
    <m/>
    <m/>
    <s v="Resorption present but not enough to suspect an annuli is missing.  Age unaffected."/>
    <x v="0"/>
  </r>
  <r>
    <n v="112649"/>
    <x v="1"/>
    <x v="2"/>
    <s v="8"/>
    <x v="3"/>
    <s v="1035020"/>
    <s v="2023-09-27"/>
    <s v="2023-09-28"/>
    <x v="0"/>
    <s v="Adult"/>
    <s v="Escapement"/>
    <s v="Gillnet"/>
    <s v="Otoliths and Scales"/>
    <n v="21"/>
    <s v="12"/>
    <m/>
    <m/>
    <s v="Resorption present but not enough to suspect an annuli is missing.  Age unaffected."/>
    <x v="0"/>
  </r>
  <r>
    <n v="112649"/>
    <x v="1"/>
    <x v="2"/>
    <s v="8"/>
    <x v="3"/>
    <s v="1035020"/>
    <s v="2023-09-27"/>
    <s v="2023-09-28"/>
    <x v="0"/>
    <s v="Adult"/>
    <s v="Escapement"/>
    <s v="Gillnet"/>
    <s v="Otoliths and Scales"/>
    <n v="22"/>
    <s v="13"/>
    <m/>
    <m/>
    <s v="Resorption present but not enough to suspect an annuli is missing.  Age unaffected."/>
    <x v="5"/>
  </r>
  <r>
    <n v="112649"/>
    <x v="1"/>
    <x v="2"/>
    <s v="8"/>
    <x v="3"/>
    <s v="1035020"/>
    <s v="2023-09-27"/>
    <s v="2023-09-28"/>
    <x v="0"/>
    <s v="Adult"/>
    <s v="Escapement"/>
    <s v="Gillnet"/>
    <s v="Otoliths and Scales"/>
    <n v="23"/>
    <s v="12"/>
    <m/>
    <m/>
    <s v="Resorption present but not enough to suspect an annuli is missing.  Age unaffected."/>
    <x v="0"/>
  </r>
  <r>
    <n v="112649"/>
    <x v="1"/>
    <x v="2"/>
    <s v="8"/>
    <x v="3"/>
    <s v="1035020"/>
    <s v="2023-09-27"/>
    <s v="2023-09-28"/>
    <x v="0"/>
    <s v="Adult"/>
    <s v="Escapement"/>
    <s v="Gillnet"/>
    <s v="Otoliths and Scales"/>
    <n v="24"/>
    <s v="12"/>
    <m/>
    <m/>
    <s v="Resorption present but not enough to suspect an annuli is missing.  Age unaffected."/>
    <x v="0"/>
  </r>
  <r>
    <n v="112649"/>
    <x v="1"/>
    <x v="2"/>
    <s v="8"/>
    <x v="3"/>
    <s v="1035020"/>
    <s v="2023-09-27"/>
    <s v="2023-09-28"/>
    <x v="0"/>
    <s v="Adult"/>
    <s v="Escapement"/>
    <s v="Gillnet"/>
    <s v="Otoliths and Scales"/>
    <n v="25"/>
    <s v="12"/>
    <m/>
    <m/>
    <s v="Resorption present but not enough to suspect an annuli is missing.  Age unaffected."/>
    <x v="0"/>
  </r>
  <r>
    <n v="112649"/>
    <x v="1"/>
    <x v="2"/>
    <s v="8"/>
    <x v="3"/>
    <s v="1035021"/>
    <s v="2023-09-27"/>
    <s v="2023-09-28"/>
    <x v="0"/>
    <s v="Adult"/>
    <s v="Escapement"/>
    <s v="Gillnet"/>
    <s v="Otoliths and Scales"/>
    <n v="1"/>
    <s v="12"/>
    <m/>
    <m/>
    <s v="Resorption present but not enough to suspect an annuli is missing.  Age unaffected."/>
    <x v="0"/>
  </r>
  <r>
    <n v="112649"/>
    <x v="1"/>
    <x v="2"/>
    <s v="8"/>
    <x v="3"/>
    <s v="1035021"/>
    <s v="2023-09-27"/>
    <s v="2023-09-28"/>
    <x v="0"/>
    <s v="Adult"/>
    <s v="Escapement"/>
    <s v="Gillnet"/>
    <s v="Otoliths and Scales"/>
    <n v="2"/>
    <s v="12"/>
    <m/>
    <m/>
    <m/>
    <x v="0"/>
  </r>
  <r>
    <n v="112649"/>
    <x v="1"/>
    <x v="2"/>
    <s v="8"/>
    <x v="3"/>
    <s v="1035021"/>
    <s v="2023-09-27"/>
    <s v="2023-09-28"/>
    <x v="0"/>
    <s v="Adult"/>
    <s v="Escapement"/>
    <s v="Gillnet"/>
    <s v="Otoliths and Scales"/>
    <n v="3"/>
    <s v="12"/>
    <m/>
    <m/>
    <m/>
    <x v="0"/>
  </r>
  <r>
    <n v="112649"/>
    <x v="1"/>
    <x v="2"/>
    <s v="8"/>
    <x v="3"/>
    <s v="1035021"/>
    <s v="2023-09-27"/>
    <s v="2023-09-28"/>
    <x v="0"/>
    <s v="Adult"/>
    <s v="Escapement"/>
    <s v="Gillnet"/>
    <s v="Otoliths and Scales"/>
    <n v="4"/>
    <s v="12"/>
    <m/>
    <m/>
    <m/>
    <x v="0"/>
  </r>
  <r>
    <n v="112649"/>
    <x v="1"/>
    <x v="2"/>
    <s v="8"/>
    <x v="3"/>
    <s v="1035021"/>
    <s v="2023-09-27"/>
    <s v="2023-09-28"/>
    <x v="0"/>
    <s v="Adult"/>
    <s v="Escapement"/>
    <s v="Gillnet"/>
    <s v="Otoliths and Scales"/>
    <n v="5"/>
    <s v="13"/>
    <m/>
    <m/>
    <m/>
    <x v="5"/>
  </r>
  <r>
    <n v="112649"/>
    <x v="1"/>
    <x v="2"/>
    <s v="8"/>
    <x v="3"/>
    <s v="1035021"/>
    <s v="2023-09-27"/>
    <s v="2023-09-28"/>
    <x v="0"/>
    <s v="Adult"/>
    <s v="Escapement"/>
    <s v="Gillnet"/>
    <s v="Otoliths and Scales"/>
    <n v="6"/>
    <s v="12"/>
    <m/>
    <m/>
    <m/>
    <x v="0"/>
  </r>
  <r>
    <n v="112649"/>
    <x v="1"/>
    <x v="2"/>
    <s v="8"/>
    <x v="3"/>
    <s v="1035021"/>
    <s v="2023-09-27"/>
    <s v="2023-09-28"/>
    <x v="0"/>
    <s v="Adult"/>
    <s v="Escapement"/>
    <s v="Gillnet"/>
    <s v="Otoliths and Scales"/>
    <n v="7"/>
    <s v="12"/>
    <m/>
    <m/>
    <s v="Resorption present but not enough to suspect an annuli is missing.  Age unaffected."/>
    <x v="0"/>
  </r>
  <r>
    <n v="112649"/>
    <x v="1"/>
    <x v="2"/>
    <s v="8"/>
    <x v="3"/>
    <s v="1035021"/>
    <s v="2023-09-27"/>
    <s v="2023-09-28"/>
    <x v="0"/>
    <s v="Adult"/>
    <s v="Escapement"/>
    <s v="Gillnet"/>
    <s v="Otoliths and Scales"/>
    <n v="8"/>
    <s v="12"/>
    <m/>
    <m/>
    <s v="Resorption present but not enough to suspect an annuli is missing.  Age unaffected."/>
    <x v="0"/>
  </r>
  <r>
    <n v="112649"/>
    <x v="1"/>
    <x v="2"/>
    <s v="8"/>
    <x v="3"/>
    <s v="1035021"/>
    <s v="2023-09-27"/>
    <s v="2023-09-28"/>
    <x v="0"/>
    <s v="Adult"/>
    <s v="Escapement"/>
    <s v="Gillnet"/>
    <s v="Otoliths and Scales"/>
    <n v="9"/>
    <s v="13"/>
    <m/>
    <m/>
    <s v="Resorption present but not enough to suspect an annuli is missing.  Age unaffected."/>
    <x v="5"/>
  </r>
  <r>
    <n v="112649"/>
    <x v="1"/>
    <x v="2"/>
    <s v="8"/>
    <x v="3"/>
    <s v="1035021"/>
    <s v="2023-09-27"/>
    <s v="2023-09-28"/>
    <x v="0"/>
    <s v="Adult"/>
    <s v="Escapement"/>
    <s v="Gillnet"/>
    <s v="Otoliths and Scales"/>
    <n v="10"/>
    <m/>
    <m/>
    <s v="No Age - See Container Comments"/>
    <m/>
    <x v="1"/>
  </r>
  <r>
    <n v="112649"/>
    <x v="1"/>
    <x v="2"/>
    <s v="8"/>
    <x v="3"/>
    <s v="1035021"/>
    <s v="2023-09-27"/>
    <s v="2023-09-28"/>
    <x v="0"/>
    <s v="Adult"/>
    <s v="Escapement"/>
    <s v="Gillnet"/>
    <s v="Otoliths and Scales"/>
    <n v="11"/>
    <s v="13"/>
    <m/>
    <m/>
    <s v="Resorption present but not enough to suspect an annuli is missing.  Age unaffected."/>
    <x v="5"/>
  </r>
  <r>
    <n v="112649"/>
    <x v="1"/>
    <x v="2"/>
    <s v="8"/>
    <x v="3"/>
    <s v="1035021"/>
    <s v="2023-09-27"/>
    <s v="2023-09-28"/>
    <x v="0"/>
    <s v="Adult"/>
    <s v="Escapement"/>
    <s v="Gillnet"/>
    <s v="Otoliths and Scales"/>
    <n v="12"/>
    <s v="12"/>
    <m/>
    <m/>
    <s v="Resorption present but not enough to suspect an annuli is missing.  Age unaffected."/>
    <x v="0"/>
  </r>
  <r>
    <n v="112649"/>
    <x v="1"/>
    <x v="2"/>
    <s v="8"/>
    <x v="3"/>
    <s v="1035021"/>
    <s v="2023-09-27"/>
    <s v="2023-09-28"/>
    <x v="0"/>
    <s v="Adult"/>
    <s v="Escapement"/>
    <s v="Gillnet"/>
    <s v="Otoliths and Scales"/>
    <n v="13"/>
    <s v="13"/>
    <m/>
    <m/>
    <m/>
    <x v="5"/>
  </r>
  <r>
    <n v="112649"/>
    <x v="1"/>
    <x v="2"/>
    <s v="8"/>
    <x v="3"/>
    <s v="1035021"/>
    <s v="2023-09-27"/>
    <s v="2023-09-28"/>
    <x v="0"/>
    <s v="Adult"/>
    <s v="Escapement"/>
    <s v="Gillnet"/>
    <s v="Otoliths and Scales"/>
    <n v="14"/>
    <s v="12"/>
    <m/>
    <m/>
    <m/>
    <x v="0"/>
  </r>
  <r>
    <n v="112649"/>
    <x v="1"/>
    <x v="2"/>
    <s v="8"/>
    <x v="3"/>
    <s v="1035021"/>
    <s v="2023-09-27"/>
    <s v="2023-09-28"/>
    <x v="0"/>
    <s v="Adult"/>
    <s v="Escapement"/>
    <s v="Gillnet"/>
    <s v="Otoliths and Scales"/>
    <n v="15"/>
    <s v="12"/>
    <m/>
    <m/>
    <s v="Resorption present but not enough to suspect an annuli is missing.  Age unaffected."/>
    <x v="0"/>
  </r>
  <r>
    <n v="112649"/>
    <x v="1"/>
    <x v="2"/>
    <s v="8"/>
    <x v="3"/>
    <s v="1035021"/>
    <s v="2023-09-27"/>
    <s v="2023-09-28"/>
    <x v="0"/>
    <s v="Adult"/>
    <s v="Escapement"/>
    <s v="Gillnet"/>
    <s v="Otoliths and Scales"/>
    <n v="16"/>
    <s v="12"/>
    <m/>
    <m/>
    <s v="Resorption present but not enough to suspect an annuli is missing.  Age unaffected."/>
    <x v="0"/>
  </r>
  <r>
    <n v="112649"/>
    <x v="1"/>
    <x v="2"/>
    <s v="8"/>
    <x v="3"/>
    <s v="1035021"/>
    <s v="2023-09-27"/>
    <s v="2023-09-28"/>
    <x v="0"/>
    <s v="Adult"/>
    <s v="Escapement"/>
    <s v="Gillnet"/>
    <s v="Otoliths and Scales"/>
    <n v="17"/>
    <s v="12"/>
    <m/>
    <m/>
    <m/>
    <x v="0"/>
  </r>
  <r>
    <n v="112649"/>
    <x v="1"/>
    <x v="2"/>
    <s v="8"/>
    <x v="3"/>
    <s v="1035021"/>
    <s v="2023-09-27"/>
    <s v="2023-09-28"/>
    <x v="0"/>
    <s v="Adult"/>
    <s v="Escapement"/>
    <s v="Gillnet"/>
    <s v="Otoliths and Scales"/>
    <n v="18"/>
    <s v="12"/>
    <m/>
    <m/>
    <m/>
    <x v="0"/>
  </r>
  <r>
    <n v="112649"/>
    <x v="1"/>
    <x v="2"/>
    <s v="8"/>
    <x v="3"/>
    <s v="1035021"/>
    <s v="2023-09-27"/>
    <s v="2023-09-28"/>
    <x v="0"/>
    <s v="Adult"/>
    <s v="Escapement"/>
    <s v="Gillnet"/>
    <s v="Otoliths and Scales"/>
    <n v="19"/>
    <s v="12"/>
    <m/>
    <m/>
    <s v="Resorption present but not enough to suspect an annuli is missing.  Age unaffected."/>
    <x v="0"/>
  </r>
  <r>
    <n v="112649"/>
    <x v="1"/>
    <x v="2"/>
    <s v="8"/>
    <x v="3"/>
    <s v="1035021"/>
    <s v="2023-09-27"/>
    <s v="2023-09-28"/>
    <x v="0"/>
    <s v="Adult"/>
    <s v="Escapement"/>
    <s v="Gillnet"/>
    <s v="Otoliths and Scales"/>
    <n v="20"/>
    <m/>
    <m/>
    <s v="No Structure"/>
    <m/>
    <x v="1"/>
  </r>
  <r>
    <n v="112649"/>
    <x v="1"/>
    <x v="2"/>
    <s v="8"/>
    <x v="3"/>
    <s v="1035021"/>
    <s v="2023-09-27"/>
    <s v="2023-09-28"/>
    <x v="0"/>
    <s v="Adult"/>
    <s v="Escapement"/>
    <s v="Gillnet"/>
    <s v="Otoliths and Scales"/>
    <n v="21"/>
    <s v="12"/>
    <m/>
    <m/>
    <s v="Resorption present but not enough to suspect an annuli is missing.  Age unaffected."/>
    <x v="0"/>
  </r>
  <r>
    <n v="112649"/>
    <x v="1"/>
    <x v="2"/>
    <s v="8"/>
    <x v="3"/>
    <s v="1035021"/>
    <s v="2023-09-27"/>
    <s v="2023-09-28"/>
    <x v="0"/>
    <s v="Adult"/>
    <s v="Escapement"/>
    <s v="Gillnet"/>
    <s v="Otoliths and Scales"/>
    <n v="22"/>
    <s v="13"/>
    <m/>
    <m/>
    <s v="Resorption present but not enough to suspect an annuli is missing.  Age unaffected."/>
    <x v="5"/>
  </r>
  <r>
    <n v="112649"/>
    <x v="1"/>
    <x v="2"/>
    <s v="8"/>
    <x v="3"/>
    <s v="1035021"/>
    <s v="2023-09-27"/>
    <s v="2023-09-28"/>
    <x v="0"/>
    <s v="Adult"/>
    <s v="Escapement"/>
    <s v="Gillnet"/>
    <s v="Otoliths and Scales"/>
    <n v="23"/>
    <s v="03"/>
    <m/>
    <m/>
    <s v="Resorption present but not enough to suspect an annuli is missing.  Age unaffected."/>
    <x v="7"/>
  </r>
  <r>
    <n v="112649"/>
    <x v="1"/>
    <x v="2"/>
    <s v="8"/>
    <x v="3"/>
    <s v="1035021"/>
    <s v="2023-09-27"/>
    <s v="2023-09-28"/>
    <x v="0"/>
    <s v="Adult"/>
    <s v="Escapement"/>
    <s v="Gillnet"/>
    <s v="Otoliths and Scales"/>
    <n v="24"/>
    <s v="12"/>
    <m/>
    <m/>
    <s v="Resorption present but not enough to suspect an annuli is missing.  Age unaffected."/>
    <x v="0"/>
  </r>
  <r>
    <n v="112649"/>
    <x v="1"/>
    <x v="2"/>
    <s v="8"/>
    <x v="3"/>
    <s v="1035021"/>
    <s v="2023-09-27"/>
    <s v="2023-09-28"/>
    <x v="0"/>
    <s v="Adult"/>
    <s v="Escapement"/>
    <s v="Gillnet"/>
    <s v="Otoliths and Scales"/>
    <n v="25"/>
    <s v="12"/>
    <m/>
    <m/>
    <m/>
    <x v="0"/>
  </r>
  <r>
    <n v="112637"/>
    <x v="1"/>
    <x v="2"/>
    <s v="8"/>
    <x v="4"/>
    <s v="1049175"/>
    <s v="2023-09-19"/>
    <s v="2023-10-03"/>
    <x v="0"/>
    <s v="Adult"/>
    <s v="Escapement"/>
    <s v="Gillnet"/>
    <s v="Otoliths and Scales"/>
    <n v="1"/>
    <s v="13"/>
    <m/>
    <m/>
    <m/>
    <x v="5"/>
  </r>
  <r>
    <n v="112637"/>
    <x v="1"/>
    <x v="2"/>
    <s v="8"/>
    <x v="4"/>
    <s v="1049175"/>
    <s v="2023-09-19"/>
    <s v="2023-10-03"/>
    <x v="0"/>
    <s v="Adult"/>
    <s v="Escapement"/>
    <s v="Gillnet"/>
    <s v="Otoliths and Scales"/>
    <n v="2"/>
    <s v="13"/>
    <m/>
    <m/>
    <m/>
    <x v="5"/>
  </r>
  <r>
    <n v="112637"/>
    <x v="1"/>
    <x v="2"/>
    <s v="8"/>
    <x v="4"/>
    <s v="1049175"/>
    <s v="2023-09-19"/>
    <s v="2023-10-03"/>
    <x v="0"/>
    <s v="Adult"/>
    <s v="Escapement"/>
    <s v="Gillnet"/>
    <s v="Otoliths and Scales"/>
    <n v="3"/>
    <s v="13"/>
    <m/>
    <m/>
    <m/>
    <x v="5"/>
  </r>
  <r>
    <n v="112637"/>
    <x v="1"/>
    <x v="2"/>
    <s v="8"/>
    <x v="4"/>
    <s v="1049175"/>
    <s v="2023-09-19"/>
    <s v="2023-10-03"/>
    <x v="0"/>
    <s v="Adult"/>
    <s v="Escapement"/>
    <s v="Gillnet"/>
    <s v="Otoliths and Scales"/>
    <n v="4"/>
    <s v="13"/>
    <m/>
    <m/>
    <m/>
    <x v="5"/>
  </r>
  <r>
    <n v="112637"/>
    <x v="1"/>
    <x v="2"/>
    <s v="8"/>
    <x v="4"/>
    <s v="1049175"/>
    <s v="2023-09-19"/>
    <s v="2023-10-03"/>
    <x v="0"/>
    <s v="Adult"/>
    <s v="Escapement"/>
    <s v="Gillnet"/>
    <s v="Otoliths and Scales"/>
    <n v="5"/>
    <s v="12"/>
    <m/>
    <m/>
    <m/>
    <x v="0"/>
  </r>
  <r>
    <n v="112637"/>
    <x v="1"/>
    <x v="2"/>
    <s v="8"/>
    <x v="4"/>
    <s v="1049175"/>
    <s v="2023-09-19"/>
    <s v="2023-10-03"/>
    <x v="0"/>
    <s v="Adult"/>
    <s v="Escapement"/>
    <s v="Gillnet"/>
    <s v="Otoliths and Scales"/>
    <n v="6"/>
    <s v="12"/>
    <m/>
    <m/>
    <s v="Resorption present but not enough to suspect an annuli is missing.  Age unaffected."/>
    <x v="0"/>
  </r>
  <r>
    <n v="112637"/>
    <x v="1"/>
    <x v="2"/>
    <s v="8"/>
    <x v="4"/>
    <s v="1049175"/>
    <s v="2023-09-19"/>
    <s v="2023-10-03"/>
    <x v="0"/>
    <s v="Adult"/>
    <s v="Escapement"/>
    <s v="Gillnet"/>
    <s v="Otoliths and Scales"/>
    <n v="7"/>
    <s v="12"/>
    <m/>
    <m/>
    <m/>
    <x v="0"/>
  </r>
  <r>
    <n v="112637"/>
    <x v="1"/>
    <x v="2"/>
    <s v="8"/>
    <x v="4"/>
    <s v="1049175"/>
    <s v="2023-09-19"/>
    <s v="2023-10-03"/>
    <x v="0"/>
    <s v="Adult"/>
    <s v="Escapement"/>
    <s v="Gillnet"/>
    <s v="Otoliths and Scales"/>
    <n v="8"/>
    <m/>
    <s v="M3"/>
    <m/>
    <m/>
    <x v="6"/>
  </r>
  <r>
    <n v="112637"/>
    <x v="1"/>
    <x v="2"/>
    <s v="8"/>
    <x v="4"/>
    <s v="1049175"/>
    <s v="2023-09-19"/>
    <s v="2023-10-03"/>
    <x v="0"/>
    <s v="Adult"/>
    <s v="Escapement"/>
    <s v="Gillnet"/>
    <s v="Otoliths and Scales"/>
    <n v="9"/>
    <s v="12"/>
    <m/>
    <m/>
    <m/>
    <x v="0"/>
  </r>
  <r>
    <n v="112637"/>
    <x v="1"/>
    <x v="2"/>
    <s v="8"/>
    <x v="4"/>
    <s v="1049175"/>
    <s v="2023-09-19"/>
    <s v="2023-10-03"/>
    <x v="0"/>
    <s v="Adult"/>
    <s v="Escapement"/>
    <s v="Gillnet"/>
    <s v="Otoliths and Scales"/>
    <n v="10"/>
    <s v="12"/>
    <m/>
    <m/>
    <s v="Resorption present but not enough to suspect an annuli is missing.  Age unaffected."/>
    <x v="0"/>
  </r>
  <r>
    <n v="112637"/>
    <x v="1"/>
    <x v="2"/>
    <s v="8"/>
    <x v="4"/>
    <s v="1049175"/>
    <s v="2023-09-19"/>
    <s v="2023-10-03"/>
    <x v="0"/>
    <s v="Adult"/>
    <s v="Escapement"/>
    <s v="Gillnet"/>
    <s v="Otoliths and Scales"/>
    <n v="11"/>
    <s v="13"/>
    <m/>
    <m/>
    <m/>
    <x v="5"/>
  </r>
  <r>
    <n v="112637"/>
    <x v="1"/>
    <x v="2"/>
    <s v="8"/>
    <x v="4"/>
    <s v="1049175"/>
    <s v="2023-09-19"/>
    <s v="2023-10-03"/>
    <x v="0"/>
    <s v="Adult"/>
    <s v="Escapement"/>
    <s v="Gillnet"/>
    <s v="Otoliths and Scales"/>
    <n v="12"/>
    <s v="13"/>
    <m/>
    <m/>
    <m/>
    <x v="5"/>
  </r>
  <r>
    <n v="112637"/>
    <x v="1"/>
    <x v="2"/>
    <s v="8"/>
    <x v="4"/>
    <s v="1049175"/>
    <s v="2023-09-19"/>
    <s v="2023-10-03"/>
    <x v="0"/>
    <s v="Adult"/>
    <s v="Escapement"/>
    <s v="Gillnet"/>
    <s v="Otoliths and Scales"/>
    <n v="13"/>
    <s v="13"/>
    <m/>
    <m/>
    <s v="Resorption present but not enough to suspect an annuli is missing.  Age unaffected."/>
    <x v="5"/>
  </r>
  <r>
    <n v="112637"/>
    <x v="1"/>
    <x v="2"/>
    <s v="8"/>
    <x v="4"/>
    <s v="1049175"/>
    <s v="2023-09-19"/>
    <s v="2023-10-03"/>
    <x v="0"/>
    <s v="Adult"/>
    <s v="Escapement"/>
    <s v="Gillnet"/>
    <s v="Otoliths and Scales"/>
    <n v="14"/>
    <s v="13"/>
    <m/>
    <m/>
    <s v="Resorption present but not enough to suspect an annuli is missing.  Age unaffected."/>
    <x v="5"/>
  </r>
  <r>
    <n v="112637"/>
    <x v="1"/>
    <x v="2"/>
    <s v="8"/>
    <x v="4"/>
    <s v="1049175"/>
    <s v="2023-09-19"/>
    <s v="2023-10-03"/>
    <x v="0"/>
    <s v="Adult"/>
    <s v="Escapement"/>
    <s v="Gillnet"/>
    <s v="Otoliths and Scales"/>
    <n v="15"/>
    <s v="12"/>
    <m/>
    <m/>
    <m/>
    <x v="0"/>
  </r>
  <r>
    <n v="112637"/>
    <x v="1"/>
    <x v="2"/>
    <s v="8"/>
    <x v="4"/>
    <s v="1049175"/>
    <s v="2023-09-19"/>
    <s v="2023-10-03"/>
    <x v="0"/>
    <s v="Adult"/>
    <s v="Escapement"/>
    <s v="Gillnet"/>
    <s v="Otoliths and Scales"/>
    <n v="16"/>
    <s v="11"/>
    <m/>
    <m/>
    <m/>
    <x v="3"/>
  </r>
  <r>
    <n v="112637"/>
    <x v="1"/>
    <x v="2"/>
    <s v="8"/>
    <x v="4"/>
    <s v="1049175"/>
    <s v="2023-09-19"/>
    <s v="2023-10-03"/>
    <x v="0"/>
    <s v="Adult"/>
    <s v="Escapement"/>
    <s v="Gillnet"/>
    <s v="Otoliths and Scales"/>
    <n v="17"/>
    <s v="13"/>
    <m/>
    <m/>
    <m/>
    <x v="5"/>
  </r>
  <r>
    <n v="112637"/>
    <x v="1"/>
    <x v="2"/>
    <s v="8"/>
    <x v="4"/>
    <s v="1049175"/>
    <s v="2023-09-19"/>
    <s v="2023-10-03"/>
    <x v="0"/>
    <s v="Adult"/>
    <s v="Escapement"/>
    <s v="Gillnet"/>
    <s v="Otoliths and Scales"/>
    <n v="18"/>
    <s v="13"/>
    <m/>
    <m/>
    <m/>
    <x v="5"/>
  </r>
  <r>
    <n v="112637"/>
    <x v="1"/>
    <x v="2"/>
    <s v="8"/>
    <x v="4"/>
    <s v="1049175"/>
    <s v="2023-09-19"/>
    <s v="2023-10-03"/>
    <x v="0"/>
    <s v="Adult"/>
    <s v="Escapement"/>
    <s v="Gillnet"/>
    <s v="Otoliths and Scales"/>
    <n v="19"/>
    <s v="13"/>
    <m/>
    <m/>
    <m/>
    <x v="5"/>
  </r>
  <r>
    <n v="112637"/>
    <x v="1"/>
    <x v="2"/>
    <s v="8"/>
    <x v="4"/>
    <s v="1049175"/>
    <s v="2023-09-19"/>
    <s v="2023-10-03"/>
    <x v="0"/>
    <s v="Adult"/>
    <s v="Escapement"/>
    <s v="Gillnet"/>
    <s v="Otoliths and Scales"/>
    <n v="20"/>
    <s v="12"/>
    <m/>
    <m/>
    <s v="Resorption present but not enough to suspect an annuli is missing.  Age unaffected."/>
    <x v="0"/>
  </r>
  <r>
    <n v="112637"/>
    <x v="1"/>
    <x v="2"/>
    <s v="8"/>
    <x v="4"/>
    <s v="1049175"/>
    <s v="2023-09-19"/>
    <s v="2023-10-03"/>
    <x v="0"/>
    <s v="Adult"/>
    <s v="Escapement"/>
    <s v="Gillnet"/>
    <s v="Otoliths and Scales"/>
    <n v="21"/>
    <s v="13"/>
    <m/>
    <m/>
    <s v="Resorption present but not enough to suspect an annuli is missing.  Age unaffected."/>
    <x v="5"/>
  </r>
  <r>
    <n v="112637"/>
    <x v="1"/>
    <x v="2"/>
    <s v="8"/>
    <x v="4"/>
    <s v="1049175"/>
    <s v="2023-09-19"/>
    <s v="2023-10-03"/>
    <x v="0"/>
    <s v="Adult"/>
    <s v="Escapement"/>
    <s v="Gillnet"/>
    <s v="Otoliths and Scales"/>
    <n v="22"/>
    <s v="13"/>
    <m/>
    <m/>
    <s v="Resorption present but not enough to suspect an annuli is missing.  Age unaffected."/>
    <x v="5"/>
  </r>
  <r>
    <n v="112637"/>
    <x v="1"/>
    <x v="2"/>
    <s v="8"/>
    <x v="4"/>
    <s v="1049175"/>
    <s v="2023-09-19"/>
    <s v="2023-10-03"/>
    <x v="0"/>
    <s v="Adult"/>
    <s v="Escapement"/>
    <s v="Gillnet"/>
    <s v="Otoliths and Scales"/>
    <n v="23"/>
    <s v="13"/>
    <m/>
    <m/>
    <s v="Resorption present but not enough to suspect an annuli is missing.  Age unaffected."/>
    <x v="5"/>
  </r>
  <r>
    <n v="112637"/>
    <x v="1"/>
    <x v="2"/>
    <s v="8"/>
    <x v="4"/>
    <s v="1049175"/>
    <s v="2023-09-19"/>
    <s v="2023-10-03"/>
    <x v="0"/>
    <s v="Adult"/>
    <s v="Escapement"/>
    <s v="Gillnet"/>
    <s v="Otoliths and Scales"/>
    <n v="24"/>
    <s v="13"/>
    <m/>
    <m/>
    <m/>
    <x v="5"/>
  </r>
  <r>
    <n v="112637"/>
    <x v="1"/>
    <x v="2"/>
    <s v="8"/>
    <x v="4"/>
    <s v="1049175"/>
    <s v="2023-09-19"/>
    <s v="2023-10-03"/>
    <x v="0"/>
    <s v="Adult"/>
    <s v="Escapement"/>
    <s v="Gillnet"/>
    <s v="Otoliths and Scales"/>
    <n v="25"/>
    <s v="13"/>
    <m/>
    <m/>
    <s v="Resorption present but not enough to suspect an annuli is missing.  Age unaffected."/>
    <x v="5"/>
  </r>
  <r>
    <n v="112637"/>
    <x v="1"/>
    <x v="2"/>
    <s v="8"/>
    <x v="4"/>
    <s v="1049175"/>
    <s v="2023-09-19"/>
    <s v="2023-10-03"/>
    <x v="0"/>
    <s v="Adult"/>
    <s v="Escapement"/>
    <s v="Gillnet"/>
    <s v="Otoliths and Scales"/>
    <n v="26"/>
    <s v="12"/>
    <m/>
    <m/>
    <m/>
    <x v="0"/>
  </r>
  <r>
    <n v="112637"/>
    <x v="1"/>
    <x v="2"/>
    <s v="8"/>
    <x v="4"/>
    <s v="1049175"/>
    <s v="2023-09-19"/>
    <s v="2023-10-03"/>
    <x v="0"/>
    <s v="Adult"/>
    <s v="Escapement"/>
    <s v="Gillnet"/>
    <s v="Otoliths and Scales"/>
    <n v="27"/>
    <s v="12"/>
    <m/>
    <m/>
    <m/>
    <x v="0"/>
  </r>
  <r>
    <n v="112637"/>
    <x v="1"/>
    <x v="2"/>
    <s v="8"/>
    <x v="4"/>
    <s v="1049175"/>
    <s v="2023-09-19"/>
    <s v="2023-10-03"/>
    <x v="0"/>
    <s v="Adult"/>
    <s v="Escapement"/>
    <s v="Gillnet"/>
    <s v="Otoliths and Scales"/>
    <n v="28"/>
    <s v="12"/>
    <m/>
    <m/>
    <m/>
    <x v="0"/>
  </r>
  <r>
    <n v="112637"/>
    <x v="1"/>
    <x v="2"/>
    <s v="8"/>
    <x v="4"/>
    <s v="1049175"/>
    <s v="2023-09-19"/>
    <s v="2023-10-03"/>
    <x v="0"/>
    <s v="Adult"/>
    <s v="Escapement"/>
    <s v="Gillnet"/>
    <s v="Otoliths and Scales"/>
    <n v="29"/>
    <s v="13"/>
    <m/>
    <m/>
    <m/>
    <x v="5"/>
  </r>
  <r>
    <n v="112637"/>
    <x v="1"/>
    <x v="2"/>
    <s v="8"/>
    <x v="4"/>
    <s v="1049175"/>
    <s v="2023-09-19"/>
    <s v="2023-10-03"/>
    <x v="0"/>
    <s v="Adult"/>
    <s v="Escapement"/>
    <s v="Gillnet"/>
    <s v="Otoliths and Scales"/>
    <n v="30"/>
    <s v="12"/>
    <m/>
    <m/>
    <m/>
    <x v="0"/>
  </r>
  <r>
    <n v="112637"/>
    <x v="1"/>
    <x v="2"/>
    <s v="8"/>
    <x v="4"/>
    <s v="1049175"/>
    <s v="2023-09-19"/>
    <s v="2023-10-03"/>
    <x v="0"/>
    <s v="Adult"/>
    <s v="Escapement"/>
    <s v="Gillnet"/>
    <s v="Otoliths and Scales"/>
    <n v="31"/>
    <s v="12"/>
    <m/>
    <m/>
    <m/>
    <x v="0"/>
  </r>
  <r>
    <n v="112637"/>
    <x v="1"/>
    <x v="2"/>
    <s v="8"/>
    <x v="4"/>
    <s v="1049175"/>
    <s v="2023-09-19"/>
    <s v="2023-10-03"/>
    <x v="0"/>
    <s v="Adult"/>
    <s v="Escapement"/>
    <s v="Gillnet"/>
    <s v="Otoliths and Scales"/>
    <n v="32"/>
    <s v="12"/>
    <m/>
    <m/>
    <m/>
    <x v="0"/>
  </r>
  <r>
    <n v="112637"/>
    <x v="1"/>
    <x v="2"/>
    <s v="8"/>
    <x v="4"/>
    <s v="1049175"/>
    <s v="2023-09-19"/>
    <s v="2023-10-03"/>
    <x v="0"/>
    <s v="Adult"/>
    <s v="Escapement"/>
    <s v="Gillnet"/>
    <s v="Otoliths and Scales"/>
    <n v="33"/>
    <s v="13"/>
    <m/>
    <m/>
    <s v="Resorption present but not enough to suspect an annuli is missing.  Age unaffected."/>
    <x v="5"/>
  </r>
  <r>
    <n v="112637"/>
    <x v="1"/>
    <x v="2"/>
    <s v="8"/>
    <x v="4"/>
    <s v="1049175"/>
    <s v="2023-09-19"/>
    <s v="2023-10-03"/>
    <x v="0"/>
    <s v="Adult"/>
    <s v="Escapement"/>
    <s v="Gillnet"/>
    <s v="Otoliths and Scales"/>
    <n v="34"/>
    <s v="13"/>
    <m/>
    <m/>
    <m/>
    <x v="5"/>
  </r>
  <r>
    <n v="112637"/>
    <x v="1"/>
    <x v="2"/>
    <s v="8"/>
    <x v="4"/>
    <s v="1049175"/>
    <s v="2023-09-19"/>
    <s v="2023-10-03"/>
    <x v="0"/>
    <s v="Adult"/>
    <s v="Escapement"/>
    <s v="Gillnet"/>
    <s v="Otoliths and Scales"/>
    <n v="35"/>
    <s v="12"/>
    <m/>
    <m/>
    <m/>
    <x v="0"/>
  </r>
  <r>
    <n v="112637"/>
    <x v="1"/>
    <x v="2"/>
    <s v="8"/>
    <x v="4"/>
    <s v="1049175"/>
    <s v="2023-09-19"/>
    <s v="2023-10-03"/>
    <x v="0"/>
    <s v="Adult"/>
    <s v="Escapement"/>
    <s v="Gillnet"/>
    <s v="Otoliths and Scales"/>
    <n v="36"/>
    <s v="13"/>
    <m/>
    <m/>
    <m/>
    <x v="5"/>
  </r>
  <r>
    <n v="112637"/>
    <x v="1"/>
    <x v="2"/>
    <s v="8"/>
    <x v="4"/>
    <s v="1049175"/>
    <s v="2023-09-19"/>
    <s v="2023-10-03"/>
    <x v="0"/>
    <s v="Adult"/>
    <s v="Escapement"/>
    <s v="Gillnet"/>
    <s v="Otoliths and Scales"/>
    <n v="37"/>
    <s v="13"/>
    <m/>
    <m/>
    <s v="Resorption present but not enough to suspect an annuli is missing.  Age unaffected."/>
    <x v="5"/>
  </r>
  <r>
    <n v="112637"/>
    <x v="1"/>
    <x v="2"/>
    <s v="8"/>
    <x v="4"/>
    <s v="1049175"/>
    <s v="2023-09-19"/>
    <s v="2023-10-03"/>
    <x v="0"/>
    <s v="Adult"/>
    <s v="Escapement"/>
    <s v="Gillnet"/>
    <s v="Otoliths and Scales"/>
    <n v="38"/>
    <s v="12"/>
    <m/>
    <m/>
    <m/>
    <x v="0"/>
  </r>
  <r>
    <n v="112637"/>
    <x v="1"/>
    <x v="2"/>
    <s v="8"/>
    <x v="4"/>
    <s v="1049175"/>
    <s v="2023-09-19"/>
    <s v="2023-10-03"/>
    <x v="0"/>
    <s v="Adult"/>
    <s v="Escapement"/>
    <s v="Gillnet"/>
    <s v="Otoliths and Scales"/>
    <n v="39"/>
    <s v="13"/>
    <m/>
    <m/>
    <m/>
    <x v="5"/>
  </r>
  <r>
    <n v="112637"/>
    <x v="1"/>
    <x v="2"/>
    <s v="8"/>
    <x v="4"/>
    <s v="1049175"/>
    <s v="2023-09-19"/>
    <s v="2023-10-03"/>
    <x v="0"/>
    <s v="Adult"/>
    <s v="Escapement"/>
    <s v="Gillnet"/>
    <s v="Otoliths and Scales"/>
    <n v="40"/>
    <s v="12"/>
    <m/>
    <m/>
    <m/>
    <x v="0"/>
  </r>
  <r>
    <n v="112637"/>
    <x v="1"/>
    <x v="2"/>
    <s v="8"/>
    <x v="4"/>
    <s v="1049175"/>
    <s v="2023-09-19"/>
    <s v="2023-10-03"/>
    <x v="0"/>
    <s v="Adult"/>
    <s v="Escapement"/>
    <s v="Gillnet"/>
    <s v="Otoliths and Scales"/>
    <n v="41"/>
    <s v="12"/>
    <m/>
    <m/>
    <m/>
    <x v="0"/>
  </r>
  <r>
    <n v="112637"/>
    <x v="1"/>
    <x v="2"/>
    <s v="8"/>
    <x v="4"/>
    <s v="1049175"/>
    <s v="2023-09-19"/>
    <s v="2023-10-03"/>
    <x v="0"/>
    <s v="Adult"/>
    <s v="Escapement"/>
    <s v="Gillnet"/>
    <s v="Otoliths and Scales"/>
    <n v="42"/>
    <s v="12"/>
    <m/>
    <m/>
    <m/>
    <x v="0"/>
  </r>
  <r>
    <n v="112637"/>
    <x v="1"/>
    <x v="2"/>
    <s v="8"/>
    <x v="4"/>
    <s v="1049175"/>
    <s v="2023-09-19"/>
    <s v="2023-10-03"/>
    <x v="0"/>
    <s v="Adult"/>
    <s v="Escapement"/>
    <s v="Gillnet"/>
    <s v="Otoliths and Scales"/>
    <n v="43"/>
    <s v="13"/>
    <m/>
    <m/>
    <m/>
    <x v="5"/>
  </r>
  <r>
    <n v="112637"/>
    <x v="1"/>
    <x v="2"/>
    <s v="8"/>
    <x v="4"/>
    <s v="1049175"/>
    <s v="2023-09-19"/>
    <s v="2023-10-03"/>
    <x v="0"/>
    <s v="Adult"/>
    <s v="Escapement"/>
    <s v="Gillnet"/>
    <s v="Otoliths and Scales"/>
    <n v="44"/>
    <s v="12"/>
    <m/>
    <m/>
    <m/>
    <x v="0"/>
  </r>
  <r>
    <n v="112637"/>
    <x v="1"/>
    <x v="2"/>
    <s v="8"/>
    <x v="4"/>
    <s v="1049175"/>
    <s v="2023-09-19"/>
    <s v="2023-10-03"/>
    <x v="0"/>
    <s v="Adult"/>
    <s v="Escapement"/>
    <s v="Gillnet"/>
    <s v="Otoliths and Scales"/>
    <n v="45"/>
    <s v="12"/>
    <m/>
    <m/>
    <m/>
    <x v="0"/>
  </r>
  <r>
    <n v="112637"/>
    <x v="1"/>
    <x v="2"/>
    <s v="8"/>
    <x v="4"/>
    <s v="1049175"/>
    <s v="2023-09-19"/>
    <s v="2023-10-03"/>
    <x v="0"/>
    <s v="Adult"/>
    <s v="Escapement"/>
    <s v="Gillnet"/>
    <s v="Otoliths and Scales"/>
    <n v="46"/>
    <s v="12"/>
    <m/>
    <m/>
    <m/>
    <x v="0"/>
  </r>
  <r>
    <n v="112637"/>
    <x v="1"/>
    <x v="2"/>
    <s v="8"/>
    <x v="4"/>
    <s v="1049175"/>
    <s v="2023-09-19"/>
    <s v="2023-10-03"/>
    <x v="0"/>
    <s v="Adult"/>
    <s v="Escapement"/>
    <s v="Gillnet"/>
    <s v="Otoliths and Scales"/>
    <n v="47"/>
    <s v="12"/>
    <m/>
    <m/>
    <m/>
    <x v="0"/>
  </r>
  <r>
    <n v="112637"/>
    <x v="1"/>
    <x v="2"/>
    <s v="8"/>
    <x v="4"/>
    <s v="1049175"/>
    <s v="2023-09-19"/>
    <s v="2023-10-03"/>
    <x v="0"/>
    <s v="Adult"/>
    <s v="Escapement"/>
    <s v="Gillnet"/>
    <s v="Otoliths and Scales"/>
    <n v="48"/>
    <m/>
    <s v="M2"/>
    <s v="Unresolved Freshwater Age"/>
    <m/>
    <x v="2"/>
  </r>
  <r>
    <n v="112637"/>
    <x v="1"/>
    <x v="2"/>
    <s v="8"/>
    <x v="4"/>
    <s v="1049175"/>
    <s v="2023-09-19"/>
    <s v="2023-10-03"/>
    <x v="0"/>
    <s v="Adult"/>
    <s v="Escapement"/>
    <s v="Gillnet"/>
    <s v="Otoliths and Scales"/>
    <n v="49"/>
    <m/>
    <m/>
    <s v="No Age - See Container Comments"/>
    <m/>
    <x v="1"/>
  </r>
  <r>
    <n v="112637"/>
    <x v="1"/>
    <x v="2"/>
    <s v="8"/>
    <x v="4"/>
    <s v="1049175"/>
    <s v="2023-09-19"/>
    <s v="2023-10-03"/>
    <x v="0"/>
    <s v="Adult"/>
    <s v="Escapement"/>
    <s v="Gillnet"/>
    <s v="Otoliths and Scales"/>
    <n v="50"/>
    <s v="12"/>
    <m/>
    <m/>
    <m/>
    <x v="0"/>
  </r>
  <r>
    <n v="112637"/>
    <x v="1"/>
    <x v="2"/>
    <s v="8"/>
    <x v="4"/>
    <s v="1049175"/>
    <s v="2023-09-19"/>
    <s v="2023-10-03"/>
    <x v="0"/>
    <s v="Adult"/>
    <s v="Escapement"/>
    <s v="Gillnet"/>
    <s v="Otoliths and Scales"/>
    <n v="51"/>
    <s v="13"/>
    <m/>
    <m/>
    <m/>
    <x v="5"/>
  </r>
  <r>
    <n v="112637"/>
    <x v="1"/>
    <x v="2"/>
    <s v="8"/>
    <x v="4"/>
    <s v="1049175"/>
    <s v="2023-09-19"/>
    <s v="2023-10-03"/>
    <x v="0"/>
    <s v="Adult"/>
    <s v="Escapement"/>
    <s v="Gillnet"/>
    <s v="Otoliths and Scales"/>
    <n v="52"/>
    <s v="13"/>
    <m/>
    <m/>
    <s v="Resorption present but not enough to suspect an annuli is missing.  Age unaffected."/>
    <x v="5"/>
  </r>
  <r>
    <n v="112637"/>
    <x v="1"/>
    <x v="2"/>
    <s v="8"/>
    <x v="4"/>
    <s v="1049175"/>
    <s v="2023-09-19"/>
    <s v="2023-10-03"/>
    <x v="0"/>
    <s v="Adult"/>
    <s v="Escapement"/>
    <s v="Gillnet"/>
    <s v="Otoliths and Scales"/>
    <n v="53"/>
    <s v="13"/>
    <m/>
    <m/>
    <m/>
    <x v="5"/>
  </r>
  <r>
    <n v="112637"/>
    <x v="1"/>
    <x v="2"/>
    <s v="8"/>
    <x v="4"/>
    <s v="1049175"/>
    <s v="2023-09-19"/>
    <s v="2023-10-03"/>
    <x v="0"/>
    <s v="Adult"/>
    <s v="Escapement"/>
    <s v="Gillnet"/>
    <s v="Otoliths and Scales"/>
    <n v="54"/>
    <s v="13"/>
    <m/>
    <m/>
    <m/>
    <x v="5"/>
  </r>
  <r>
    <n v="112637"/>
    <x v="1"/>
    <x v="2"/>
    <s v="8"/>
    <x v="4"/>
    <s v="1049175"/>
    <s v="2023-09-19"/>
    <s v="2023-10-03"/>
    <x v="0"/>
    <s v="Adult"/>
    <s v="Escapement"/>
    <s v="Gillnet"/>
    <s v="Otoliths and Scales"/>
    <n v="55"/>
    <s v="12"/>
    <m/>
    <m/>
    <m/>
    <x v="0"/>
  </r>
  <r>
    <n v="112637"/>
    <x v="1"/>
    <x v="2"/>
    <s v="8"/>
    <x v="4"/>
    <s v="1049175"/>
    <s v="2023-09-19"/>
    <s v="2023-10-03"/>
    <x v="0"/>
    <s v="Adult"/>
    <s v="Escapement"/>
    <s v="Gillnet"/>
    <s v="Otoliths and Scales"/>
    <n v="56"/>
    <s v="13"/>
    <m/>
    <m/>
    <m/>
    <x v="5"/>
  </r>
  <r>
    <n v="112637"/>
    <x v="1"/>
    <x v="2"/>
    <s v="8"/>
    <x v="4"/>
    <s v="1049175"/>
    <s v="2023-09-19"/>
    <s v="2023-10-03"/>
    <x v="0"/>
    <s v="Adult"/>
    <s v="Escapement"/>
    <s v="Gillnet"/>
    <s v="Otoliths and Scales"/>
    <n v="57"/>
    <s v="03"/>
    <m/>
    <m/>
    <s v="Resorption present but not enough to suspect an annuli is missing.  Age unaffected."/>
    <x v="7"/>
  </r>
  <r>
    <n v="112637"/>
    <x v="1"/>
    <x v="2"/>
    <s v="8"/>
    <x v="4"/>
    <s v="1049175"/>
    <s v="2023-09-19"/>
    <s v="2023-10-03"/>
    <x v="0"/>
    <s v="Adult"/>
    <s v="Escapement"/>
    <s v="Gillnet"/>
    <s v="Otoliths and Scales"/>
    <n v="58"/>
    <s v="13"/>
    <m/>
    <m/>
    <m/>
    <x v="5"/>
  </r>
  <r>
    <n v="112637"/>
    <x v="1"/>
    <x v="2"/>
    <s v="8"/>
    <x v="4"/>
    <s v="1049175"/>
    <s v="2023-09-19"/>
    <s v="2023-10-03"/>
    <x v="0"/>
    <s v="Adult"/>
    <s v="Escapement"/>
    <s v="Gillnet"/>
    <s v="Otoliths and Scales"/>
    <n v="59"/>
    <s v="12"/>
    <m/>
    <m/>
    <m/>
    <x v="0"/>
  </r>
  <r>
    <n v="112637"/>
    <x v="1"/>
    <x v="2"/>
    <s v="8"/>
    <x v="4"/>
    <s v="1049175"/>
    <s v="2023-09-19"/>
    <s v="2023-10-03"/>
    <x v="0"/>
    <s v="Adult"/>
    <s v="Escapement"/>
    <s v="Gillnet"/>
    <s v="Otoliths and Scales"/>
    <n v="60"/>
    <s v="12"/>
    <m/>
    <m/>
    <m/>
    <x v="0"/>
  </r>
  <r>
    <n v="112637"/>
    <x v="1"/>
    <x v="2"/>
    <s v="8"/>
    <x v="4"/>
    <s v="1049175"/>
    <s v="2023-09-19"/>
    <s v="2023-10-03"/>
    <x v="0"/>
    <s v="Adult"/>
    <s v="Escapement"/>
    <s v="Gillnet"/>
    <s v="Otoliths and Scales"/>
    <n v="61"/>
    <s v="13"/>
    <m/>
    <m/>
    <m/>
    <x v="5"/>
  </r>
  <r>
    <n v="112637"/>
    <x v="1"/>
    <x v="2"/>
    <s v="8"/>
    <x v="4"/>
    <s v="1049175"/>
    <s v="2023-09-19"/>
    <s v="2023-10-03"/>
    <x v="0"/>
    <s v="Adult"/>
    <s v="Escapement"/>
    <s v="Gillnet"/>
    <s v="Otoliths and Scales"/>
    <n v="62"/>
    <s v="12"/>
    <m/>
    <m/>
    <m/>
    <x v="0"/>
  </r>
  <r>
    <n v="112637"/>
    <x v="1"/>
    <x v="2"/>
    <s v="8"/>
    <x v="4"/>
    <s v="1049175"/>
    <s v="2023-09-19"/>
    <s v="2023-10-03"/>
    <x v="0"/>
    <s v="Adult"/>
    <s v="Escapement"/>
    <s v="Gillnet"/>
    <s v="Otoliths and Scales"/>
    <n v="63"/>
    <s v="12"/>
    <m/>
    <m/>
    <m/>
    <x v="0"/>
  </r>
  <r>
    <n v="112637"/>
    <x v="1"/>
    <x v="2"/>
    <s v="8"/>
    <x v="4"/>
    <s v="1049175"/>
    <s v="2023-09-19"/>
    <s v="2023-10-03"/>
    <x v="0"/>
    <s v="Adult"/>
    <s v="Escapement"/>
    <s v="Gillnet"/>
    <s v="Otoliths and Scales"/>
    <n v="64"/>
    <s v="12"/>
    <m/>
    <m/>
    <m/>
    <x v="0"/>
  </r>
  <r>
    <n v="112637"/>
    <x v="1"/>
    <x v="2"/>
    <s v="8"/>
    <x v="4"/>
    <s v="1049175"/>
    <s v="2023-09-19"/>
    <s v="2023-10-03"/>
    <x v="0"/>
    <s v="Adult"/>
    <s v="Escapement"/>
    <s v="Gillnet"/>
    <s v="Otoliths and Scales"/>
    <n v="65"/>
    <s v="12"/>
    <m/>
    <m/>
    <m/>
    <x v="0"/>
  </r>
  <r>
    <n v="112637"/>
    <x v="1"/>
    <x v="2"/>
    <s v="8"/>
    <x v="4"/>
    <s v="1049175"/>
    <s v="2023-09-19"/>
    <s v="2023-10-03"/>
    <x v="0"/>
    <s v="Adult"/>
    <s v="Escapement"/>
    <s v="Gillnet"/>
    <s v="Otoliths and Scales"/>
    <n v="66"/>
    <s v="13"/>
    <m/>
    <m/>
    <m/>
    <x v="5"/>
  </r>
  <r>
    <n v="112637"/>
    <x v="1"/>
    <x v="2"/>
    <s v="8"/>
    <x v="4"/>
    <s v="1049175"/>
    <s v="2023-09-19"/>
    <s v="2023-10-03"/>
    <x v="0"/>
    <s v="Adult"/>
    <s v="Escapement"/>
    <s v="Gillnet"/>
    <s v="Otoliths and Scales"/>
    <n v="67"/>
    <s v="13"/>
    <m/>
    <m/>
    <m/>
    <x v="5"/>
  </r>
  <r>
    <n v="112637"/>
    <x v="1"/>
    <x v="2"/>
    <s v="8"/>
    <x v="4"/>
    <s v="1049175"/>
    <s v="2023-09-19"/>
    <s v="2023-10-03"/>
    <x v="0"/>
    <s v="Adult"/>
    <s v="Escapement"/>
    <s v="Gillnet"/>
    <s v="Otoliths and Scales"/>
    <n v="68"/>
    <s v="13"/>
    <m/>
    <m/>
    <m/>
    <x v="5"/>
  </r>
  <r>
    <n v="112637"/>
    <x v="1"/>
    <x v="2"/>
    <s v="8"/>
    <x v="4"/>
    <s v="1049175"/>
    <s v="2023-09-19"/>
    <s v="2023-10-03"/>
    <x v="0"/>
    <s v="Adult"/>
    <s v="Escapement"/>
    <s v="Gillnet"/>
    <s v="Otoliths and Scales"/>
    <n v="69"/>
    <s v="13"/>
    <m/>
    <m/>
    <m/>
    <x v="5"/>
  </r>
  <r>
    <n v="112637"/>
    <x v="1"/>
    <x v="2"/>
    <s v="8"/>
    <x v="4"/>
    <s v="1049175"/>
    <s v="2023-09-19"/>
    <s v="2023-10-03"/>
    <x v="0"/>
    <s v="Adult"/>
    <s v="Escapement"/>
    <s v="Gillnet"/>
    <s v="Otoliths and Scales"/>
    <n v="70"/>
    <s v="13"/>
    <m/>
    <m/>
    <m/>
    <x v="5"/>
  </r>
  <r>
    <n v="112637"/>
    <x v="1"/>
    <x v="2"/>
    <s v="8"/>
    <x v="4"/>
    <s v="1049175"/>
    <s v="2023-09-19"/>
    <s v="2023-10-03"/>
    <x v="0"/>
    <s v="Adult"/>
    <s v="Escapement"/>
    <s v="Gillnet"/>
    <s v="Otoliths and Scales"/>
    <n v="71"/>
    <s v="12"/>
    <m/>
    <m/>
    <m/>
    <x v="0"/>
  </r>
  <r>
    <n v="112637"/>
    <x v="1"/>
    <x v="2"/>
    <s v="8"/>
    <x v="4"/>
    <s v="1049175"/>
    <s v="2023-09-19"/>
    <s v="2023-10-03"/>
    <x v="0"/>
    <s v="Adult"/>
    <s v="Escapement"/>
    <s v="Gillnet"/>
    <s v="Otoliths and Scales"/>
    <n v="72"/>
    <s v="12"/>
    <m/>
    <m/>
    <m/>
    <x v="0"/>
  </r>
  <r>
    <n v="112637"/>
    <x v="1"/>
    <x v="2"/>
    <s v="8"/>
    <x v="4"/>
    <s v="1049175"/>
    <s v="2023-09-19"/>
    <s v="2023-10-03"/>
    <x v="0"/>
    <s v="Adult"/>
    <s v="Escapement"/>
    <s v="Gillnet"/>
    <s v="Otoliths and Scales"/>
    <n v="73"/>
    <s v="12"/>
    <m/>
    <m/>
    <m/>
    <x v="0"/>
  </r>
  <r>
    <n v="112637"/>
    <x v="1"/>
    <x v="2"/>
    <s v="8"/>
    <x v="4"/>
    <s v="1049175"/>
    <s v="2023-09-19"/>
    <s v="2023-10-03"/>
    <x v="0"/>
    <s v="Adult"/>
    <s v="Escapement"/>
    <s v="Gillnet"/>
    <s v="Otoliths and Scales"/>
    <n v="74"/>
    <s v="12"/>
    <m/>
    <m/>
    <m/>
    <x v="0"/>
  </r>
  <r>
    <n v="112637"/>
    <x v="1"/>
    <x v="2"/>
    <s v="8"/>
    <x v="4"/>
    <s v="1049175"/>
    <s v="2023-09-19"/>
    <s v="2023-10-03"/>
    <x v="0"/>
    <s v="Adult"/>
    <s v="Escapement"/>
    <s v="Gillnet"/>
    <s v="Otoliths and Scales"/>
    <n v="75"/>
    <s v="11"/>
    <m/>
    <m/>
    <m/>
    <x v="3"/>
  </r>
  <r>
    <n v="112637"/>
    <x v="1"/>
    <x v="2"/>
    <s v="8"/>
    <x v="4"/>
    <s v="1049175"/>
    <s v="2023-09-19"/>
    <s v="2023-10-03"/>
    <x v="0"/>
    <s v="Adult"/>
    <s v="Escapement"/>
    <s v="Gillnet"/>
    <s v="Otoliths and Scales"/>
    <n v="76"/>
    <s v="12"/>
    <m/>
    <m/>
    <m/>
    <x v="0"/>
  </r>
  <r>
    <n v="112637"/>
    <x v="1"/>
    <x v="2"/>
    <s v="8"/>
    <x v="4"/>
    <s v="1049175"/>
    <s v="2023-09-19"/>
    <s v="2023-10-03"/>
    <x v="0"/>
    <s v="Adult"/>
    <s v="Escapement"/>
    <s v="Gillnet"/>
    <s v="Otoliths and Scales"/>
    <n v="77"/>
    <s v="12"/>
    <m/>
    <m/>
    <m/>
    <x v="0"/>
  </r>
  <r>
    <n v="112637"/>
    <x v="1"/>
    <x v="2"/>
    <s v="8"/>
    <x v="4"/>
    <s v="1049175"/>
    <s v="2023-09-19"/>
    <s v="2023-10-03"/>
    <x v="0"/>
    <s v="Adult"/>
    <s v="Escapement"/>
    <s v="Gillnet"/>
    <s v="Otoliths and Scales"/>
    <n v="78"/>
    <s v="03"/>
    <m/>
    <m/>
    <m/>
    <x v="7"/>
  </r>
  <r>
    <n v="112637"/>
    <x v="1"/>
    <x v="2"/>
    <s v="8"/>
    <x v="4"/>
    <s v="1049175"/>
    <s v="2023-09-19"/>
    <s v="2023-10-03"/>
    <x v="0"/>
    <s v="Adult"/>
    <s v="Escapement"/>
    <s v="Gillnet"/>
    <s v="Otoliths and Scales"/>
    <n v="79"/>
    <s v="13"/>
    <m/>
    <m/>
    <m/>
    <x v="5"/>
  </r>
  <r>
    <n v="112637"/>
    <x v="1"/>
    <x v="2"/>
    <s v="8"/>
    <x v="4"/>
    <s v="1049175"/>
    <s v="2023-09-19"/>
    <s v="2023-10-03"/>
    <x v="0"/>
    <s v="Adult"/>
    <s v="Escapement"/>
    <s v="Gillnet"/>
    <s v="Otoliths and Scales"/>
    <n v="80"/>
    <s v="12"/>
    <m/>
    <m/>
    <m/>
    <x v="0"/>
  </r>
  <r>
    <n v="112637"/>
    <x v="1"/>
    <x v="2"/>
    <s v="8"/>
    <x v="4"/>
    <s v="1049175"/>
    <s v="2023-09-19"/>
    <s v="2023-10-03"/>
    <x v="0"/>
    <s v="Adult"/>
    <s v="Escapement"/>
    <s v="Gillnet"/>
    <s v="Otoliths and Scales"/>
    <n v="81"/>
    <s v="12"/>
    <m/>
    <m/>
    <m/>
    <x v="0"/>
  </r>
  <r>
    <n v="112637"/>
    <x v="1"/>
    <x v="2"/>
    <s v="8"/>
    <x v="4"/>
    <s v="1049175"/>
    <s v="2023-09-19"/>
    <s v="2023-10-03"/>
    <x v="0"/>
    <s v="Adult"/>
    <s v="Escapement"/>
    <s v="Gillnet"/>
    <s v="Otoliths and Scales"/>
    <n v="82"/>
    <s v="03"/>
    <m/>
    <m/>
    <s v="Resorption present but not enough to suspect an annuli is missing.  Age unaffected."/>
    <x v="7"/>
  </r>
  <r>
    <n v="112637"/>
    <x v="1"/>
    <x v="2"/>
    <s v="8"/>
    <x v="4"/>
    <s v="1049175"/>
    <s v="2023-09-19"/>
    <s v="2023-10-03"/>
    <x v="0"/>
    <s v="Adult"/>
    <s v="Escapement"/>
    <s v="Gillnet"/>
    <s v="Otoliths and Scales"/>
    <n v="83"/>
    <s v="13"/>
    <m/>
    <m/>
    <m/>
    <x v="5"/>
  </r>
  <r>
    <n v="112637"/>
    <x v="1"/>
    <x v="2"/>
    <s v="8"/>
    <x v="4"/>
    <s v="1049175"/>
    <s v="2023-09-19"/>
    <s v="2023-10-03"/>
    <x v="0"/>
    <s v="Adult"/>
    <s v="Escapement"/>
    <s v="Gillnet"/>
    <s v="Otoliths and Scales"/>
    <n v="84"/>
    <s v="12"/>
    <m/>
    <m/>
    <m/>
    <x v="0"/>
  </r>
  <r>
    <m/>
    <x v="4"/>
    <x v="3"/>
    <m/>
    <x v="11"/>
    <m/>
    <m/>
    <m/>
    <x v="2"/>
    <m/>
    <m/>
    <m/>
    <m/>
    <m/>
    <m/>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D7B65-33F4-4604-B12A-06B567079BED}"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S41" firstHeaderRow="1" firstDataRow="2" firstDataCol="1" rowPageCount="1" colPageCount="1"/>
  <pivotFields count="19">
    <pivotField showAll="0"/>
    <pivotField axis="axisRow" showAll="0">
      <items count="6">
        <item x="0"/>
        <item x="1"/>
        <item x="2"/>
        <item x="4"/>
        <item x="3"/>
        <item t="default"/>
      </items>
    </pivotField>
    <pivotField axis="axisRow" showAll="0">
      <items count="5">
        <item x="1"/>
        <item x="0"/>
        <item x="3"/>
        <item x="2"/>
        <item t="default"/>
      </items>
    </pivotField>
    <pivotField showAll="0"/>
    <pivotField axis="axisRow" showAll="0">
      <items count="13">
        <item x="7"/>
        <item x="2"/>
        <item x="5"/>
        <item x="1"/>
        <item x="0"/>
        <item x="3"/>
        <item x="6"/>
        <item x="8"/>
        <item x="4"/>
        <item x="11"/>
        <item x="9"/>
        <item x="10"/>
        <item t="default"/>
      </items>
    </pivotField>
    <pivotField showAll="0"/>
    <pivotField showAll="0"/>
    <pivotField showAll="0"/>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axis="axisCol" dataField="1" showAll="0">
      <items count="19">
        <item x="11"/>
        <item x="8"/>
        <item x="2"/>
        <item x="4"/>
        <item x="3"/>
        <item x="6"/>
        <item x="7"/>
        <item x="0"/>
        <item x="5"/>
        <item x="9"/>
        <item x="10"/>
        <item x="1"/>
        <item x="12"/>
        <item x="13"/>
        <item x="14"/>
        <item x="15"/>
        <item x="16"/>
        <item x="17"/>
        <item t="default"/>
      </items>
    </pivotField>
  </pivotFields>
  <rowFields count="3">
    <field x="2"/>
    <field x="1"/>
    <field x="4"/>
  </rowFields>
  <rowItems count="37">
    <i>
      <x/>
    </i>
    <i r="1">
      <x/>
    </i>
    <i r="2">
      <x v="1"/>
    </i>
    <i r="2">
      <x v="5"/>
    </i>
    <i r="2">
      <x v="8"/>
    </i>
    <i r="1">
      <x v="1"/>
    </i>
    <i r="2">
      <x v="2"/>
    </i>
    <i r="2">
      <x v="5"/>
    </i>
    <i r="2">
      <x v="6"/>
    </i>
    <i r="1">
      <x v="2"/>
    </i>
    <i r="2">
      <x/>
    </i>
    <i r="2">
      <x v="5"/>
    </i>
    <i r="2">
      <x v="6"/>
    </i>
    <i r="2">
      <x v="7"/>
    </i>
    <i r="2">
      <x v="8"/>
    </i>
    <i r="1">
      <x v="4"/>
    </i>
    <i r="2">
      <x v="1"/>
    </i>
    <i>
      <x v="1"/>
    </i>
    <i r="1">
      <x/>
    </i>
    <i r="2">
      <x v="4"/>
    </i>
    <i r="1">
      <x v="1"/>
    </i>
    <i r="2">
      <x v="3"/>
    </i>
    <i r="1">
      <x v="2"/>
    </i>
    <i r="2">
      <x v="3"/>
    </i>
    <i r="1">
      <x v="4"/>
    </i>
    <i r="2">
      <x v="3"/>
    </i>
    <i>
      <x v="3"/>
    </i>
    <i r="1">
      <x v="1"/>
    </i>
    <i r="2">
      <x v="5"/>
    </i>
    <i r="2">
      <x v="8"/>
    </i>
    <i r="1">
      <x v="2"/>
    </i>
    <i r="2">
      <x v="5"/>
    </i>
    <i r="2">
      <x v="8"/>
    </i>
    <i r="1">
      <x v="4"/>
    </i>
    <i r="2">
      <x v="10"/>
    </i>
    <i r="2">
      <x v="11"/>
    </i>
    <i t="grand">
      <x/>
    </i>
  </rowItems>
  <colFields count="1">
    <field x="18"/>
  </colFields>
  <colItems count="18">
    <i>
      <x/>
    </i>
    <i>
      <x v="1"/>
    </i>
    <i>
      <x v="2"/>
    </i>
    <i>
      <x v="3"/>
    </i>
    <i>
      <x v="4"/>
    </i>
    <i>
      <x v="5"/>
    </i>
    <i>
      <x v="6"/>
    </i>
    <i>
      <x v="7"/>
    </i>
    <i>
      <x v="8"/>
    </i>
    <i>
      <x v="9"/>
    </i>
    <i>
      <x v="10"/>
    </i>
    <i>
      <x v="11"/>
    </i>
    <i>
      <x v="13"/>
    </i>
    <i>
      <x v="14"/>
    </i>
    <i>
      <x v="15"/>
    </i>
    <i>
      <x v="16"/>
    </i>
    <i>
      <x v="17"/>
    </i>
    <i t="grand">
      <x/>
    </i>
  </colItems>
  <pageFields count="1">
    <pageField fld="8" item="1" hier="-1"/>
  </pageFields>
  <dataFields count="1">
    <dataField name="Count of GR AG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D5FD19-A247-4496-84C2-18BC66AEC2A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H10" firstHeaderRow="1" firstDataRow="2" firstDataCol="1" rowPageCount="2" colPageCount="1"/>
  <pivotFields count="19">
    <pivotField showAll="0"/>
    <pivotField axis="axisRow" showAll="0">
      <items count="6">
        <item x="0"/>
        <item x="1"/>
        <item x="2"/>
        <item x="3"/>
        <item x="4"/>
        <item t="default"/>
      </items>
    </pivotField>
    <pivotField axis="axisPage" showAll="0">
      <items count="5">
        <item x="1"/>
        <item x="0"/>
        <item x="3"/>
        <item x="2"/>
        <item t="default"/>
      </items>
    </pivotField>
    <pivotField showAll="0"/>
    <pivotField axis="axisPage" multipleItemSelectionAllowed="1" showAll="0">
      <items count="13">
        <item h="1" x="7"/>
        <item h="1" x="2"/>
        <item h="1" x="5"/>
        <item x="1"/>
        <item x="0"/>
        <item h="1" x="3"/>
        <item h="1" x="6"/>
        <item h="1" x="8"/>
        <item h="1" x="4"/>
        <item h="1" x="11"/>
        <item h="1" x="9"/>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9">
        <item h="1" x="11"/>
        <item h="1" x="8"/>
        <item h="1" x="12"/>
        <item h="1" x="2"/>
        <item x="4"/>
        <item x="3"/>
        <item h="1" x="6"/>
        <item x="7"/>
        <item x="0"/>
        <item x="5"/>
        <item x="9"/>
        <item x="10"/>
        <item h="1" x="1"/>
        <item h="1" x="13"/>
        <item h="1" x="14"/>
        <item h="1" x="15"/>
        <item h="1" x="16"/>
        <item h="1" x="17"/>
        <item t="default"/>
      </items>
    </pivotField>
  </pivotFields>
  <rowFields count="1">
    <field x="1"/>
  </rowFields>
  <rowItems count="5">
    <i>
      <x/>
    </i>
    <i>
      <x v="1"/>
    </i>
    <i>
      <x v="2"/>
    </i>
    <i>
      <x v="3"/>
    </i>
    <i t="grand">
      <x/>
    </i>
  </rowItems>
  <colFields count="1">
    <field x="18"/>
  </colFields>
  <colItems count="7">
    <i>
      <x v="4"/>
    </i>
    <i>
      <x v="5"/>
    </i>
    <i>
      <x v="7"/>
    </i>
    <i>
      <x v="8"/>
    </i>
    <i>
      <x v="9"/>
    </i>
    <i>
      <x v="10"/>
    </i>
    <i t="grand">
      <x/>
    </i>
  </colItems>
  <pageFields count="2">
    <pageField fld="2" item="1" hier="-1"/>
    <pageField fld="4" hier="-1"/>
  </pageFields>
  <dataFields count="1">
    <dataField name="Count of GR AG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F038E8-1ACE-4EBF-B1F4-F03170860084}"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I25" firstHeaderRow="1" firstDataRow="2" firstDataCol="1" rowPageCount="1" colPageCount="1"/>
  <pivotFields count="19">
    <pivotField showAll="0"/>
    <pivotField axis="axisRow" showAll="0">
      <items count="6">
        <item x="0"/>
        <item x="1"/>
        <item x="2"/>
        <item x="3"/>
        <item x="4"/>
        <item t="default"/>
      </items>
    </pivotField>
    <pivotField axis="axisPage" multipleItemSelectionAllowed="1" showAll="0">
      <items count="5">
        <item x="1"/>
        <item h="1" x="0"/>
        <item h="1" x="3"/>
        <item x="2"/>
        <item t="default"/>
      </items>
    </pivotField>
    <pivotField showAll="0"/>
    <pivotField axis="axisRow" multipleItemSelectionAllowed="1" showAll="0">
      <items count="13">
        <item x="7"/>
        <item x="2"/>
        <item x="5"/>
        <item x="1"/>
        <item x="0"/>
        <item x="3"/>
        <item x="6"/>
        <item x="8"/>
        <item x="4"/>
        <item x="11"/>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19">
        <item h="1" x="11"/>
        <item h="1" x="8"/>
        <item h="1" x="12"/>
        <item h="1" x="2"/>
        <item x="4"/>
        <item x="3"/>
        <item h="1" x="6"/>
        <item x="7"/>
        <item x="0"/>
        <item x="5"/>
        <item x="9"/>
        <item x="10"/>
        <item h="1" x="1"/>
        <item h="1" x="13"/>
        <item h="1" x="14"/>
        <item h="1" x="15"/>
        <item h="1" x="16"/>
        <item h="1" x="17"/>
        <item t="default"/>
      </items>
    </pivotField>
  </pivotFields>
  <rowFields count="2">
    <field x="1"/>
    <field x="4"/>
  </rowFields>
  <rowItems count="20">
    <i>
      <x/>
    </i>
    <i r="1">
      <x v="1"/>
    </i>
    <i r="1">
      <x v="5"/>
    </i>
    <i r="1">
      <x v="8"/>
    </i>
    <i>
      <x v="1"/>
    </i>
    <i r="1">
      <x v="2"/>
    </i>
    <i r="1">
      <x v="5"/>
    </i>
    <i r="1">
      <x v="6"/>
    </i>
    <i r="1">
      <x v="8"/>
    </i>
    <i>
      <x v="2"/>
    </i>
    <i r="1">
      <x/>
    </i>
    <i r="1">
      <x v="5"/>
    </i>
    <i r="1">
      <x v="6"/>
    </i>
    <i r="1">
      <x v="7"/>
    </i>
    <i r="1">
      <x v="8"/>
    </i>
    <i>
      <x v="3"/>
    </i>
    <i r="1">
      <x v="1"/>
    </i>
    <i r="1">
      <x v="10"/>
    </i>
    <i r="1">
      <x v="11"/>
    </i>
    <i t="grand">
      <x/>
    </i>
  </rowItems>
  <colFields count="1">
    <field x="18"/>
  </colFields>
  <colItems count="8">
    <i>
      <x v="4"/>
    </i>
    <i>
      <x v="5"/>
    </i>
    <i>
      <x v="7"/>
    </i>
    <i>
      <x v="8"/>
    </i>
    <i>
      <x v="9"/>
    </i>
    <i>
      <x v="10"/>
    </i>
    <i>
      <x v="11"/>
    </i>
    <i t="grand">
      <x/>
    </i>
  </colItems>
  <pageFields count="1">
    <pageField fld="2" hier="-1"/>
  </pageFields>
  <dataFields count="1">
    <dataField name="Count of GR AGE"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9"/>
  <sheetViews>
    <sheetView tabSelected="1" workbookViewId="0">
      <selection activeCell="E29" sqref="E29"/>
    </sheetView>
  </sheetViews>
  <sheetFormatPr defaultRowHeight="15" x14ac:dyDescent="0.25"/>
  <cols>
    <col min="5" max="5" width="30.7109375" customWidth="1"/>
  </cols>
  <sheetData>
    <row r="1" spans="1:23"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v>102061</v>
      </c>
      <c r="B2" t="s">
        <v>23</v>
      </c>
      <c r="C2">
        <v>2022</v>
      </c>
      <c r="D2">
        <v>2022</v>
      </c>
      <c r="E2" t="s">
        <v>24</v>
      </c>
      <c r="F2" t="s">
        <v>25</v>
      </c>
      <c r="G2" t="s">
        <v>26</v>
      </c>
      <c r="H2" t="s">
        <v>27</v>
      </c>
      <c r="I2" s="1" t="s">
        <v>28</v>
      </c>
      <c r="J2" s="1" t="s">
        <v>29</v>
      </c>
      <c r="K2" t="s">
        <v>30</v>
      </c>
      <c r="L2" t="s">
        <v>31</v>
      </c>
      <c r="M2" t="s">
        <v>32</v>
      </c>
      <c r="N2" t="s">
        <v>33</v>
      </c>
      <c r="O2" t="s">
        <v>34</v>
      </c>
      <c r="P2">
        <v>2</v>
      </c>
      <c r="Q2" t="s">
        <v>35</v>
      </c>
      <c r="R2" t="s">
        <v>36</v>
      </c>
      <c r="S2" s="1" t="s">
        <v>37</v>
      </c>
      <c r="T2" s="1" t="s">
        <v>38</v>
      </c>
      <c r="U2">
        <v>27</v>
      </c>
      <c r="V2">
        <v>27</v>
      </c>
    </row>
    <row r="3" spans="1:23" x14ac:dyDescent="0.25">
      <c r="A3">
        <v>114303</v>
      </c>
      <c r="B3" t="s">
        <v>23</v>
      </c>
      <c r="C3">
        <v>2023</v>
      </c>
      <c r="D3">
        <v>2023</v>
      </c>
      <c r="E3" t="s">
        <v>24</v>
      </c>
      <c r="F3" t="s">
        <v>25</v>
      </c>
      <c r="G3" t="s">
        <v>26</v>
      </c>
      <c r="H3" t="s">
        <v>177</v>
      </c>
      <c r="I3" s="1" t="s">
        <v>178</v>
      </c>
      <c r="J3" s="1" t="s">
        <v>179</v>
      </c>
      <c r="K3" t="s">
        <v>180</v>
      </c>
      <c r="L3" t="s">
        <v>31</v>
      </c>
      <c r="M3" t="s">
        <v>32</v>
      </c>
      <c r="N3" t="s">
        <v>33</v>
      </c>
      <c r="O3" t="s">
        <v>181</v>
      </c>
      <c r="P3">
        <v>3</v>
      </c>
      <c r="Q3" t="s">
        <v>35</v>
      </c>
      <c r="R3" t="s">
        <v>36</v>
      </c>
      <c r="S3" s="1" t="s">
        <v>182</v>
      </c>
      <c r="T3" s="1" t="s">
        <v>183</v>
      </c>
      <c r="U3">
        <v>17</v>
      </c>
      <c r="V3">
        <v>17</v>
      </c>
    </row>
    <row r="4" spans="1:23" x14ac:dyDescent="0.25">
      <c r="A4">
        <v>128623</v>
      </c>
      <c r="B4" t="s">
        <v>23</v>
      </c>
      <c r="C4">
        <v>2024</v>
      </c>
      <c r="D4">
        <v>2024</v>
      </c>
      <c r="E4" t="s">
        <v>24</v>
      </c>
      <c r="F4" t="s">
        <v>25</v>
      </c>
      <c r="G4" t="s">
        <v>26</v>
      </c>
      <c r="H4" t="s">
        <v>177</v>
      </c>
      <c r="I4" s="1" t="s">
        <v>192</v>
      </c>
      <c r="J4" s="1" t="s">
        <v>193</v>
      </c>
      <c r="K4" t="s">
        <v>30</v>
      </c>
      <c r="L4" t="s">
        <v>31</v>
      </c>
      <c r="M4" t="s">
        <v>32</v>
      </c>
      <c r="N4" t="s">
        <v>33</v>
      </c>
      <c r="O4" t="s">
        <v>34</v>
      </c>
      <c r="P4">
        <v>1</v>
      </c>
      <c r="Q4" t="s">
        <v>35</v>
      </c>
      <c r="R4" t="s">
        <v>36</v>
      </c>
      <c r="S4" s="1" t="s">
        <v>194</v>
      </c>
      <c r="T4" s="1" t="s">
        <v>195</v>
      </c>
      <c r="U4">
        <v>12</v>
      </c>
      <c r="V4">
        <v>12</v>
      </c>
    </row>
    <row r="5" spans="1:23" x14ac:dyDescent="0.25">
      <c r="A5">
        <v>101623</v>
      </c>
      <c r="B5" t="s">
        <v>23</v>
      </c>
      <c r="C5">
        <v>2022</v>
      </c>
      <c r="D5">
        <v>2022</v>
      </c>
      <c r="E5" t="s">
        <v>200</v>
      </c>
      <c r="F5" t="s">
        <v>25</v>
      </c>
      <c r="G5" t="s">
        <v>26</v>
      </c>
      <c r="H5" t="s">
        <v>201</v>
      </c>
      <c r="I5" s="1" t="s">
        <v>202</v>
      </c>
      <c r="J5" s="1" t="s">
        <v>202</v>
      </c>
      <c r="K5" t="s">
        <v>30</v>
      </c>
      <c r="L5" t="s">
        <v>31</v>
      </c>
      <c r="M5" t="s">
        <v>32</v>
      </c>
      <c r="N5" t="s">
        <v>203</v>
      </c>
      <c r="O5" t="s">
        <v>204</v>
      </c>
      <c r="P5">
        <v>2</v>
      </c>
      <c r="Q5" t="s">
        <v>205</v>
      </c>
      <c r="R5" t="s">
        <v>206</v>
      </c>
      <c r="S5" s="1" t="s">
        <v>207</v>
      </c>
      <c r="T5" s="1" t="s">
        <v>208</v>
      </c>
      <c r="U5">
        <v>27</v>
      </c>
      <c r="V5">
        <v>14</v>
      </c>
    </row>
    <row r="6" spans="1:23" x14ac:dyDescent="0.25">
      <c r="A6">
        <v>101625</v>
      </c>
      <c r="B6" t="s">
        <v>23</v>
      </c>
      <c r="C6">
        <v>2022</v>
      </c>
      <c r="D6">
        <v>2022</v>
      </c>
      <c r="E6" t="s">
        <v>200</v>
      </c>
      <c r="F6" t="s">
        <v>25</v>
      </c>
      <c r="G6" t="s">
        <v>26</v>
      </c>
      <c r="H6" t="s">
        <v>201</v>
      </c>
      <c r="I6" s="1" t="s">
        <v>219</v>
      </c>
      <c r="J6" s="1" t="s">
        <v>220</v>
      </c>
      <c r="K6" t="s">
        <v>30</v>
      </c>
      <c r="L6" t="s">
        <v>31</v>
      </c>
      <c r="M6" t="s">
        <v>32</v>
      </c>
      <c r="N6" t="s">
        <v>203</v>
      </c>
      <c r="O6" t="s">
        <v>204</v>
      </c>
      <c r="P6">
        <v>3</v>
      </c>
      <c r="Q6" t="s">
        <v>205</v>
      </c>
      <c r="R6" t="s">
        <v>206</v>
      </c>
      <c r="S6" s="1" t="s">
        <v>207</v>
      </c>
      <c r="T6" s="1" t="s">
        <v>221</v>
      </c>
      <c r="U6">
        <v>33</v>
      </c>
      <c r="V6">
        <v>18</v>
      </c>
    </row>
    <row r="7" spans="1:23" x14ac:dyDescent="0.25">
      <c r="A7">
        <v>101627</v>
      </c>
      <c r="B7" t="s">
        <v>23</v>
      </c>
      <c r="C7">
        <v>2022</v>
      </c>
      <c r="D7">
        <v>2022</v>
      </c>
      <c r="E7" t="s">
        <v>200</v>
      </c>
      <c r="F7" t="s">
        <v>25</v>
      </c>
      <c r="G7" t="s">
        <v>26</v>
      </c>
      <c r="H7" t="s">
        <v>201</v>
      </c>
      <c r="I7" s="1" t="s">
        <v>232</v>
      </c>
      <c r="J7" s="1" t="s">
        <v>232</v>
      </c>
      <c r="K7" t="s">
        <v>30</v>
      </c>
      <c r="L7" t="s">
        <v>31</v>
      </c>
      <c r="M7" t="s">
        <v>32</v>
      </c>
      <c r="N7" t="s">
        <v>203</v>
      </c>
      <c r="O7" t="s">
        <v>204</v>
      </c>
      <c r="P7">
        <v>2</v>
      </c>
      <c r="Q7" t="s">
        <v>205</v>
      </c>
      <c r="R7" t="s">
        <v>206</v>
      </c>
      <c r="S7" s="1" t="s">
        <v>207</v>
      </c>
      <c r="T7" s="1" t="s">
        <v>208</v>
      </c>
      <c r="U7">
        <v>4</v>
      </c>
      <c r="V7">
        <v>2</v>
      </c>
    </row>
    <row r="8" spans="1:23" x14ac:dyDescent="0.25">
      <c r="A8">
        <v>101629</v>
      </c>
      <c r="B8" t="s">
        <v>23</v>
      </c>
      <c r="C8">
        <v>2022</v>
      </c>
      <c r="D8">
        <v>2022</v>
      </c>
      <c r="E8" t="s">
        <v>200</v>
      </c>
      <c r="F8" t="s">
        <v>25</v>
      </c>
      <c r="G8" t="s">
        <v>26</v>
      </c>
      <c r="H8" t="s">
        <v>201</v>
      </c>
      <c r="I8" s="1" t="s">
        <v>240</v>
      </c>
      <c r="J8" s="1" t="s">
        <v>232</v>
      </c>
      <c r="K8" t="s">
        <v>30</v>
      </c>
      <c r="L8" t="s">
        <v>31</v>
      </c>
      <c r="M8" t="s">
        <v>32</v>
      </c>
      <c r="N8" t="s">
        <v>203</v>
      </c>
      <c r="O8" t="s">
        <v>34</v>
      </c>
      <c r="P8">
        <v>3</v>
      </c>
      <c r="Q8" t="s">
        <v>35</v>
      </c>
      <c r="R8" t="s">
        <v>36</v>
      </c>
      <c r="S8" s="1" t="s">
        <v>207</v>
      </c>
      <c r="T8" s="1" t="s">
        <v>208</v>
      </c>
      <c r="U8">
        <v>29</v>
      </c>
      <c r="V8">
        <v>29</v>
      </c>
    </row>
    <row r="9" spans="1:23" x14ac:dyDescent="0.25">
      <c r="A9">
        <v>101631</v>
      </c>
      <c r="B9" t="s">
        <v>23</v>
      </c>
      <c r="C9">
        <v>2022</v>
      </c>
      <c r="D9">
        <v>2022</v>
      </c>
      <c r="E9" t="s">
        <v>200</v>
      </c>
      <c r="F9" t="s">
        <v>25</v>
      </c>
      <c r="G9" t="s">
        <v>26</v>
      </c>
      <c r="H9" t="s">
        <v>201</v>
      </c>
      <c r="I9" s="1" t="s">
        <v>202</v>
      </c>
      <c r="J9" s="1" t="s">
        <v>232</v>
      </c>
      <c r="K9" t="s">
        <v>30</v>
      </c>
      <c r="L9" t="s">
        <v>31</v>
      </c>
      <c r="M9" t="s">
        <v>32</v>
      </c>
      <c r="N9" t="s">
        <v>203</v>
      </c>
      <c r="O9" t="s">
        <v>204</v>
      </c>
      <c r="P9">
        <v>2</v>
      </c>
      <c r="Q9" t="s">
        <v>205</v>
      </c>
      <c r="R9" t="s">
        <v>206</v>
      </c>
      <c r="S9" s="1" t="s">
        <v>207</v>
      </c>
      <c r="T9" s="1" t="s">
        <v>208</v>
      </c>
      <c r="U9">
        <v>10</v>
      </c>
      <c r="V9">
        <v>5</v>
      </c>
    </row>
    <row r="10" spans="1:23" x14ac:dyDescent="0.25">
      <c r="A10">
        <v>101633</v>
      </c>
      <c r="B10" t="s">
        <v>23</v>
      </c>
      <c r="C10">
        <v>2022</v>
      </c>
      <c r="D10">
        <v>2022</v>
      </c>
      <c r="E10" t="s">
        <v>200</v>
      </c>
      <c r="F10" t="s">
        <v>25</v>
      </c>
      <c r="G10" t="s">
        <v>26</v>
      </c>
      <c r="H10" t="s">
        <v>201</v>
      </c>
      <c r="I10" s="1" t="s">
        <v>243</v>
      </c>
      <c r="J10" s="1" t="s">
        <v>232</v>
      </c>
      <c r="K10" t="s">
        <v>30</v>
      </c>
      <c r="L10" t="s">
        <v>31</v>
      </c>
      <c r="M10" t="s">
        <v>32</v>
      </c>
      <c r="N10" t="s">
        <v>203</v>
      </c>
      <c r="O10" t="s">
        <v>34</v>
      </c>
      <c r="P10">
        <v>2</v>
      </c>
      <c r="Q10" t="s">
        <v>35</v>
      </c>
      <c r="R10" t="s">
        <v>36</v>
      </c>
      <c r="S10" s="1" t="s">
        <v>207</v>
      </c>
      <c r="T10" s="1" t="s">
        <v>208</v>
      </c>
      <c r="U10">
        <v>15</v>
      </c>
      <c r="V10">
        <v>15</v>
      </c>
    </row>
    <row r="11" spans="1:23" x14ac:dyDescent="0.25">
      <c r="A11">
        <v>101635</v>
      </c>
      <c r="B11" t="s">
        <v>23</v>
      </c>
      <c r="C11">
        <v>2022</v>
      </c>
      <c r="D11">
        <v>2022</v>
      </c>
      <c r="E11" t="s">
        <v>200</v>
      </c>
      <c r="F11" t="s">
        <v>25</v>
      </c>
      <c r="G11" t="s">
        <v>26</v>
      </c>
      <c r="H11" t="s">
        <v>201</v>
      </c>
      <c r="I11" s="1" t="s">
        <v>202</v>
      </c>
      <c r="J11" s="1" t="s">
        <v>202</v>
      </c>
      <c r="K11" t="s">
        <v>30</v>
      </c>
      <c r="L11" t="s">
        <v>31</v>
      </c>
      <c r="M11" t="s">
        <v>32</v>
      </c>
      <c r="N11" t="s">
        <v>203</v>
      </c>
      <c r="O11" t="s">
        <v>204</v>
      </c>
      <c r="P11">
        <v>2</v>
      </c>
      <c r="Q11" t="s">
        <v>205</v>
      </c>
      <c r="R11" t="s">
        <v>206</v>
      </c>
      <c r="S11" s="1" t="s">
        <v>207</v>
      </c>
      <c r="T11" s="1" t="s">
        <v>208</v>
      </c>
      <c r="U11">
        <v>6</v>
      </c>
      <c r="V11">
        <v>3</v>
      </c>
    </row>
    <row r="12" spans="1:23" x14ac:dyDescent="0.25">
      <c r="A12">
        <v>102641</v>
      </c>
      <c r="B12" t="s">
        <v>23</v>
      </c>
      <c r="C12">
        <v>2022</v>
      </c>
      <c r="D12">
        <v>2022</v>
      </c>
      <c r="E12" t="s">
        <v>200</v>
      </c>
      <c r="F12" t="s">
        <v>25</v>
      </c>
      <c r="G12" t="s">
        <v>26</v>
      </c>
      <c r="H12" t="s">
        <v>265</v>
      </c>
      <c r="I12" s="1" t="s">
        <v>266</v>
      </c>
      <c r="J12" s="1" t="s">
        <v>267</v>
      </c>
      <c r="K12" t="s">
        <v>30</v>
      </c>
      <c r="L12" t="s">
        <v>31</v>
      </c>
      <c r="M12" t="s">
        <v>32</v>
      </c>
      <c r="N12" t="s">
        <v>203</v>
      </c>
      <c r="O12" t="s">
        <v>34</v>
      </c>
      <c r="P12">
        <v>4</v>
      </c>
      <c r="Q12" t="s">
        <v>205</v>
      </c>
      <c r="R12" t="s">
        <v>206</v>
      </c>
      <c r="S12" s="1" t="s">
        <v>268</v>
      </c>
      <c r="T12" s="1" t="s">
        <v>221</v>
      </c>
      <c r="U12">
        <v>144</v>
      </c>
      <c r="V12">
        <v>93</v>
      </c>
    </row>
    <row r="13" spans="1:23" x14ac:dyDescent="0.25">
      <c r="A13">
        <v>102661</v>
      </c>
      <c r="B13" t="s">
        <v>23</v>
      </c>
      <c r="C13">
        <v>2022</v>
      </c>
      <c r="D13">
        <v>2022</v>
      </c>
      <c r="E13" t="s">
        <v>200</v>
      </c>
      <c r="F13" t="s">
        <v>25</v>
      </c>
      <c r="G13" t="s">
        <v>26</v>
      </c>
      <c r="H13" t="s">
        <v>279</v>
      </c>
      <c r="I13" s="1" t="s">
        <v>243</v>
      </c>
      <c r="J13" s="1" t="s">
        <v>280</v>
      </c>
      <c r="K13" t="s">
        <v>30</v>
      </c>
      <c r="L13" t="s">
        <v>31</v>
      </c>
      <c r="M13" t="s">
        <v>32</v>
      </c>
      <c r="N13" t="s">
        <v>203</v>
      </c>
      <c r="O13" t="s">
        <v>34</v>
      </c>
      <c r="P13">
        <v>5</v>
      </c>
      <c r="Q13" t="s">
        <v>205</v>
      </c>
      <c r="R13" t="s">
        <v>206</v>
      </c>
      <c r="S13" s="1" t="s">
        <v>281</v>
      </c>
      <c r="T13" s="1" t="s">
        <v>221</v>
      </c>
      <c r="U13">
        <v>175</v>
      </c>
      <c r="V13">
        <v>94</v>
      </c>
    </row>
    <row r="14" spans="1:23" x14ac:dyDescent="0.25">
      <c r="A14">
        <v>113245</v>
      </c>
      <c r="B14" t="s">
        <v>23</v>
      </c>
      <c r="C14">
        <v>2023</v>
      </c>
      <c r="D14">
        <v>2023</v>
      </c>
      <c r="E14" t="s">
        <v>200</v>
      </c>
      <c r="F14" t="s">
        <v>25</v>
      </c>
      <c r="G14" t="s">
        <v>26</v>
      </c>
      <c r="H14" t="s">
        <v>290</v>
      </c>
      <c r="I14" s="1" t="s">
        <v>291</v>
      </c>
      <c r="J14" s="1" t="s">
        <v>292</v>
      </c>
      <c r="K14" t="s">
        <v>30</v>
      </c>
      <c r="L14" t="s">
        <v>31</v>
      </c>
      <c r="M14" t="s">
        <v>32</v>
      </c>
      <c r="N14" t="s">
        <v>203</v>
      </c>
      <c r="O14" t="s">
        <v>204</v>
      </c>
      <c r="P14">
        <v>2</v>
      </c>
      <c r="Q14" t="s">
        <v>35</v>
      </c>
      <c r="R14" t="s">
        <v>206</v>
      </c>
      <c r="S14" s="1" t="s">
        <v>293</v>
      </c>
      <c r="T14" s="1" t="s">
        <v>294</v>
      </c>
      <c r="U14">
        <v>19</v>
      </c>
      <c r="V14">
        <v>10</v>
      </c>
    </row>
    <row r="15" spans="1:23" x14ac:dyDescent="0.25">
      <c r="A15">
        <v>113253</v>
      </c>
      <c r="B15" t="s">
        <v>23</v>
      </c>
      <c r="C15">
        <v>2023</v>
      </c>
      <c r="D15">
        <v>2023</v>
      </c>
      <c r="E15" t="s">
        <v>200</v>
      </c>
      <c r="F15" t="s">
        <v>25</v>
      </c>
      <c r="G15" t="s">
        <v>26</v>
      </c>
      <c r="H15" t="s">
        <v>265</v>
      </c>
      <c r="I15" s="1" t="s">
        <v>299</v>
      </c>
      <c r="J15" s="1" t="s">
        <v>292</v>
      </c>
      <c r="K15" t="s">
        <v>30</v>
      </c>
      <c r="L15" t="s">
        <v>31</v>
      </c>
      <c r="M15" t="s">
        <v>32</v>
      </c>
      <c r="N15" t="s">
        <v>203</v>
      </c>
      <c r="O15" t="s">
        <v>204</v>
      </c>
      <c r="P15">
        <v>1</v>
      </c>
      <c r="Q15" t="s">
        <v>35</v>
      </c>
      <c r="R15" t="s">
        <v>206</v>
      </c>
      <c r="S15" s="1" t="s">
        <v>293</v>
      </c>
      <c r="T15" s="1" t="s">
        <v>302</v>
      </c>
      <c r="U15">
        <v>1</v>
      </c>
      <c r="V15">
        <v>1</v>
      </c>
    </row>
    <row r="16" spans="1:23" x14ac:dyDescent="0.25">
      <c r="A16">
        <v>113281</v>
      </c>
      <c r="B16" t="s">
        <v>23</v>
      </c>
      <c r="C16">
        <v>2023</v>
      </c>
      <c r="D16">
        <v>2023</v>
      </c>
      <c r="E16" t="s">
        <v>200</v>
      </c>
      <c r="F16" t="s">
        <v>25</v>
      </c>
      <c r="G16" t="s">
        <v>26</v>
      </c>
      <c r="H16" t="s">
        <v>305</v>
      </c>
      <c r="I16" s="1" t="s">
        <v>291</v>
      </c>
      <c r="J16" s="1" t="s">
        <v>299</v>
      </c>
      <c r="K16" t="s">
        <v>30</v>
      </c>
      <c r="L16" t="s">
        <v>31</v>
      </c>
      <c r="M16" t="s">
        <v>32</v>
      </c>
      <c r="N16" t="s">
        <v>203</v>
      </c>
      <c r="O16" t="s">
        <v>34</v>
      </c>
      <c r="P16">
        <v>1</v>
      </c>
      <c r="Q16" t="s">
        <v>35</v>
      </c>
      <c r="R16" t="s">
        <v>36</v>
      </c>
      <c r="S16" s="1" t="s">
        <v>293</v>
      </c>
      <c r="T16" s="1" t="s">
        <v>294</v>
      </c>
      <c r="U16">
        <v>14</v>
      </c>
      <c r="V16">
        <v>14</v>
      </c>
    </row>
    <row r="17" spans="1:22" x14ac:dyDescent="0.25">
      <c r="A17">
        <v>131261</v>
      </c>
      <c r="B17" t="s">
        <v>23</v>
      </c>
      <c r="C17">
        <v>2024</v>
      </c>
      <c r="D17">
        <v>2024</v>
      </c>
      <c r="E17" t="s">
        <v>200</v>
      </c>
      <c r="F17" t="s">
        <v>25</v>
      </c>
      <c r="G17" t="s">
        <v>26</v>
      </c>
      <c r="H17" t="s">
        <v>279</v>
      </c>
      <c r="I17" s="1" t="s">
        <v>307</v>
      </c>
      <c r="J17" s="1" t="s">
        <v>308</v>
      </c>
      <c r="K17" t="s">
        <v>30</v>
      </c>
      <c r="L17" t="s">
        <v>31</v>
      </c>
      <c r="M17" t="s">
        <v>32</v>
      </c>
      <c r="N17" t="s">
        <v>203</v>
      </c>
      <c r="O17" t="s">
        <v>204</v>
      </c>
      <c r="P17">
        <v>3</v>
      </c>
      <c r="Q17" t="s">
        <v>309</v>
      </c>
      <c r="R17" t="s">
        <v>206</v>
      </c>
      <c r="S17" s="1" t="s">
        <v>194</v>
      </c>
      <c r="T17" s="1" t="s">
        <v>310</v>
      </c>
      <c r="U17">
        <v>60</v>
      </c>
      <c r="V17">
        <v>30</v>
      </c>
    </row>
    <row r="18" spans="1:22" x14ac:dyDescent="0.25">
      <c r="A18">
        <v>131281</v>
      </c>
      <c r="B18" t="s">
        <v>23</v>
      </c>
      <c r="C18">
        <v>2024</v>
      </c>
      <c r="D18">
        <v>2024</v>
      </c>
      <c r="E18" t="s">
        <v>200</v>
      </c>
      <c r="F18" t="s">
        <v>25</v>
      </c>
      <c r="G18" t="s">
        <v>26</v>
      </c>
      <c r="H18" t="s">
        <v>320</v>
      </c>
      <c r="I18" s="1" t="s">
        <v>312</v>
      </c>
      <c r="J18" s="1" t="s">
        <v>312</v>
      </c>
      <c r="K18" t="s">
        <v>30</v>
      </c>
      <c r="L18" t="s">
        <v>31</v>
      </c>
      <c r="M18" t="s">
        <v>32</v>
      </c>
      <c r="N18" t="s">
        <v>203</v>
      </c>
      <c r="O18" t="s">
        <v>321</v>
      </c>
      <c r="P18">
        <v>1</v>
      </c>
      <c r="Q18" t="s">
        <v>35</v>
      </c>
      <c r="R18" t="s">
        <v>36</v>
      </c>
      <c r="S18" s="1" t="s">
        <v>194</v>
      </c>
      <c r="T18" s="1" t="s">
        <v>310</v>
      </c>
      <c r="U18">
        <v>2</v>
      </c>
      <c r="V18">
        <v>2</v>
      </c>
    </row>
    <row r="19" spans="1:22" x14ac:dyDescent="0.25">
      <c r="A19">
        <v>131283</v>
      </c>
      <c r="B19" t="s">
        <v>23</v>
      </c>
      <c r="C19">
        <v>2024</v>
      </c>
      <c r="D19">
        <v>2024</v>
      </c>
      <c r="E19" t="s">
        <v>200</v>
      </c>
      <c r="F19" t="s">
        <v>25</v>
      </c>
      <c r="G19" t="s">
        <v>26</v>
      </c>
      <c r="H19" t="s">
        <v>265</v>
      </c>
      <c r="I19" s="1" t="s">
        <v>312</v>
      </c>
      <c r="J19" s="1" t="s">
        <v>312</v>
      </c>
      <c r="K19" t="s">
        <v>30</v>
      </c>
      <c r="L19" t="s">
        <v>31</v>
      </c>
      <c r="M19" t="s">
        <v>32</v>
      </c>
      <c r="N19" t="s">
        <v>203</v>
      </c>
      <c r="O19" t="s">
        <v>204</v>
      </c>
      <c r="P19">
        <v>1</v>
      </c>
      <c r="Q19" t="s">
        <v>35</v>
      </c>
      <c r="R19" t="s">
        <v>36</v>
      </c>
      <c r="S19" s="1" t="s">
        <v>194</v>
      </c>
      <c r="T19" s="1" t="s">
        <v>310</v>
      </c>
      <c r="U19">
        <v>2</v>
      </c>
      <c r="V19">
        <v>2</v>
      </c>
    </row>
    <row r="20" spans="1:22" x14ac:dyDescent="0.25">
      <c r="A20">
        <v>131285</v>
      </c>
      <c r="B20" t="s">
        <v>23</v>
      </c>
      <c r="C20">
        <v>2024</v>
      </c>
      <c r="D20">
        <v>2024</v>
      </c>
      <c r="E20" t="s">
        <v>200</v>
      </c>
      <c r="F20" t="s">
        <v>25</v>
      </c>
      <c r="G20" t="s">
        <v>26</v>
      </c>
      <c r="H20" t="s">
        <v>305</v>
      </c>
      <c r="I20" s="1" t="s">
        <v>307</v>
      </c>
      <c r="J20" s="1" t="s">
        <v>312</v>
      </c>
      <c r="K20" t="s">
        <v>30</v>
      </c>
      <c r="L20" t="s">
        <v>31</v>
      </c>
      <c r="M20" t="s">
        <v>32</v>
      </c>
      <c r="N20" t="s">
        <v>203</v>
      </c>
      <c r="O20" t="s">
        <v>321</v>
      </c>
      <c r="P20">
        <v>4</v>
      </c>
      <c r="Q20" t="s">
        <v>309</v>
      </c>
      <c r="R20" t="s">
        <v>206</v>
      </c>
      <c r="S20" s="1" t="s">
        <v>194</v>
      </c>
      <c r="T20" s="1" t="s">
        <v>310</v>
      </c>
      <c r="U20">
        <v>22</v>
      </c>
      <c r="V20">
        <v>19</v>
      </c>
    </row>
    <row r="21" spans="1:22" x14ac:dyDescent="0.25">
      <c r="A21">
        <v>131287</v>
      </c>
      <c r="B21" t="s">
        <v>23</v>
      </c>
      <c r="C21">
        <v>2024</v>
      </c>
      <c r="D21">
        <v>2024</v>
      </c>
      <c r="E21" t="s">
        <v>200</v>
      </c>
      <c r="F21" t="s">
        <v>25</v>
      </c>
      <c r="G21" t="s">
        <v>26</v>
      </c>
      <c r="H21" t="s">
        <v>330</v>
      </c>
      <c r="I21" s="1" t="s">
        <v>312</v>
      </c>
      <c r="J21" s="1" t="s">
        <v>312</v>
      </c>
      <c r="K21" t="s">
        <v>30</v>
      </c>
      <c r="L21" t="s">
        <v>31</v>
      </c>
      <c r="M21" t="s">
        <v>32</v>
      </c>
      <c r="N21" t="s">
        <v>203</v>
      </c>
      <c r="O21" t="s">
        <v>204</v>
      </c>
      <c r="P21">
        <v>2</v>
      </c>
      <c r="Q21" t="s">
        <v>309</v>
      </c>
      <c r="R21" t="s">
        <v>206</v>
      </c>
      <c r="S21" s="1" t="s">
        <v>194</v>
      </c>
      <c r="T21" s="1" t="s">
        <v>310</v>
      </c>
      <c r="U21">
        <v>6</v>
      </c>
      <c r="V21">
        <v>3</v>
      </c>
    </row>
    <row r="22" spans="1:22" x14ac:dyDescent="0.25">
      <c r="A22">
        <v>141539</v>
      </c>
      <c r="B22" t="s">
        <v>23</v>
      </c>
      <c r="C22">
        <v>2025</v>
      </c>
      <c r="D22">
        <v>2025</v>
      </c>
      <c r="E22" t="s">
        <v>24</v>
      </c>
      <c r="F22" t="s">
        <v>25</v>
      </c>
      <c r="G22" t="s">
        <v>26</v>
      </c>
      <c r="H22" t="s">
        <v>177</v>
      </c>
      <c r="I22" s="1" t="s">
        <v>340</v>
      </c>
      <c r="J22" s="1" t="s">
        <v>341</v>
      </c>
      <c r="K22" t="s">
        <v>30</v>
      </c>
      <c r="L22" t="s">
        <v>31</v>
      </c>
      <c r="M22" t="s">
        <v>32</v>
      </c>
      <c r="N22" t="s">
        <v>33</v>
      </c>
      <c r="O22" t="s">
        <v>34</v>
      </c>
      <c r="P22">
        <v>2</v>
      </c>
      <c r="Q22" t="s">
        <v>35</v>
      </c>
      <c r="R22" t="s">
        <v>36</v>
      </c>
      <c r="S22" s="1" t="s">
        <v>342</v>
      </c>
      <c r="T22" s="1" t="s">
        <v>343</v>
      </c>
      <c r="U22">
        <v>43</v>
      </c>
      <c r="V22">
        <v>43</v>
      </c>
    </row>
    <row r="23" spans="1:22" x14ac:dyDescent="0.25">
      <c r="A23">
        <v>145267</v>
      </c>
      <c r="B23" t="s">
        <v>23</v>
      </c>
      <c r="C23">
        <v>2025</v>
      </c>
      <c r="D23">
        <v>2025</v>
      </c>
      <c r="E23" t="s">
        <v>200</v>
      </c>
      <c r="F23" t="s">
        <v>25</v>
      </c>
      <c r="G23" t="s">
        <v>26</v>
      </c>
      <c r="H23" t="s">
        <v>201</v>
      </c>
      <c r="I23" s="1" t="s">
        <v>351</v>
      </c>
      <c r="J23" s="1" t="s">
        <v>352</v>
      </c>
      <c r="K23" t="s">
        <v>30</v>
      </c>
      <c r="L23" t="s">
        <v>31</v>
      </c>
      <c r="M23" t="s">
        <v>32</v>
      </c>
      <c r="N23" t="s">
        <v>203</v>
      </c>
      <c r="O23" t="s">
        <v>204</v>
      </c>
      <c r="P23">
        <v>8</v>
      </c>
      <c r="Q23" t="s">
        <v>35</v>
      </c>
      <c r="R23" t="s">
        <v>206</v>
      </c>
      <c r="S23" s="1" t="s">
        <v>353</v>
      </c>
      <c r="T23" s="1" t="s">
        <v>354</v>
      </c>
      <c r="U23">
        <v>278</v>
      </c>
      <c r="V23">
        <v>139</v>
      </c>
    </row>
    <row r="24" spans="1:22" x14ac:dyDescent="0.25">
      <c r="A24">
        <v>144793</v>
      </c>
      <c r="B24" t="s">
        <v>23</v>
      </c>
      <c r="C24">
        <v>2025</v>
      </c>
      <c r="D24">
        <v>2025</v>
      </c>
      <c r="E24" t="s">
        <v>377</v>
      </c>
      <c r="F24" t="s">
        <v>378</v>
      </c>
      <c r="G24" t="s">
        <v>26</v>
      </c>
      <c r="H24" t="s">
        <v>379</v>
      </c>
      <c r="I24" s="1" t="s">
        <v>380</v>
      </c>
      <c r="J24" s="1" t="s">
        <v>381</v>
      </c>
      <c r="K24" t="s">
        <v>180</v>
      </c>
      <c r="L24" t="s">
        <v>31</v>
      </c>
      <c r="M24" t="s">
        <v>32</v>
      </c>
      <c r="N24" t="s">
        <v>203</v>
      </c>
      <c r="O24" t="s">
        <v>34</v>
      </c>
      <c r="P24">
        <v>8</v>
      </c>
      <c r="Q24" t="s">
        <v>35</v>
      </c>
      <c r="R24" t="s">
        <v>206</v>
      </c>
      <c r="S24" s="1" t="s">
        <v>382</v>
      </c>
      <c r="T24" s="1" t="s">
        <v>354</v>
      </c>
      <c r="U24">
        <v>242</v>
      </c>
      <c r="V24">
        <v>121</v>
      </c>
    </row>
    <row r="25" spans="1:22" x14ac:dyDescent="0.25">
      <c r="A25">
        <v>144795</v>
      </c>
      <c r="B25" t="s">
        <v>402</v>
      </c>
      <c r="C25">
        <v>2025</v>
      </c>
      <c r="D25">
        <v>2025</v>
      </c>
      <c r="E25" t="s">
        <v>377</v>
      </c>
      <c r="F25" t="s">
        <v>378</v>
      </c>
      <c r="G25" t="s">
        <v>26</v>
      </c>
      <c r="H25" t="s">
        <v>403</v>
      </c>
      <c r="I25" s="1" t="s">
        <v>364</v>
      </c>
      <c r="J25" s="1" t="s">
        <v>404</v>
      </c>
      <c r="K25" t="s">
        <v>180</v>
      </c>
      <c r="L25" t="s">
        <v>31</v>
      </c>
      <c r="M25" t="s">
        <v>32</v>
      </c>
      <c r="N25" t="s">
        <v>203</v>
      </c>
      <c r="O25" t="s">
        <v>34</v>
      </c>
      <c r="P25">
        <v>5</v>
      </c>
      <c r="Q25" t="s">
        <v>35</v>
      </c>
      <c r="R25" t="s">
        <v>206</v>
      </c>
      <c r="S25" s="1" t="s">
        <v>382</v>
      </c>
      <c r="T25" s="1" t="s">
        <v>354</v>
      </c>
      <c r="U25">
        <v>178</v>
      </c>
      <c r="V25">
        <v>89</v>
      </c>
    </row>
    <row r="26" spans="1:22" x14ac:dyDescent="0.25">
      <c r="A26">
        <v>129185</v>
      </c>
      <c r="B26" t="s">
        <v>23</v>
      </c>
      <c r="C26">
        <v>2024</v>
      </c>
      <c r="D26">
        <v>2024</v>
      </c>
      <c r="E26" t="s">
        <v>377</v>
      </c>
      <c r="F26" t="s">
        <v>378</v>
      </c>
      <c r="G26" t="s">
        <v>26</v>
      </c>
      <c r="H26" t="s">
        <v>265</v>
      </c>
      <c r="I26" s="1" t="s">
        <v>415</v>
      </c>
      <c r="J26" s="1" t="s">
        <v>312</v>
      </c>
      <c r="K26" t="s">
        <v>180</v>
      </c>
      <c r="L26" t="s">
        <v>31</v>
      </c>
      <c r="M26" t="s">
        <v>32</v>
      </c>
      <c r="N26" t="s">
        <v>203</v>
      </c>
      <c r="O26" t="s">
        <v>34</v>
      </c>
      <c r="P26">
        <v>8</v>
      </c>
      <c r="Q26" t="s">
        <v>35</v>
      </c>
      <c r="R26" t="s">
        <v>206</v>
      </c>
      <c r="S26" s="1" t="s">
        <v>416</v>
      </c>
      <c r="T26" s="1" t="s">
        <v>417</v>
      </c>
      <c r="U26">
        <v>220</v>
      </c>
      <c r="V26">
        <v>110</v>
      </c>
    </row>
    <row r="27" spans="1:22" x14ac:dyDescent="0.25">
      <c r="A27">
        <v>129201</v>
      </c>
      <c r="B27" t="s">
        <v>23</v>
      </c>
      <c r="C27">
        <v>2024</v>
      </c>
      <c r="D27">
        <v>2024</v>
      </c>
      <c r="E27" t="s">
        <v>377</v>
      </c>
      <c r="F27" t="s">
        <v>378</v>
      </c>
      <c r="G27" t="s">
        <v>26</v>
      </c>
      <c r="H27" t="s">
        <v>279</v>
      </c>
      <c r="I27" s="1" t="s">
        <v>428</v>
      </c>
      <c r="J27" s="1" t="s">
        <v>429</v>
      </c>
      <c r="K27" t="s">
        <v>180</v>
      </c>
      <c r="L27" t="s">
        <v>31</v>
      </c>
      <c r="M27" t="s">
        <v>32</v>
      </c>
      <c r="N27" t="s">
        <v>203</v>
      </c>
      <c r="O27" t="s">
        <v>34</v>
      </c>
      <c r="P27">
        <v>4</v>
      </c>
      <c r="Q27" t="s">
        <v>35</v>
      </c>
      <c r="R27" t="s">
        <v>206</v>
      </c>
      <c r="S27" s="1" t="s">
        <v>416</v>
      </c>
      <c r="T27" s="1" t="s">
        <v>417</v>
      </c>
      <c r="U27">
        <v>98</v>
      </c>
      <c r="V27">
        <v>49</v>
      </c>
    </row>
    <row r="28" spans="1:22" x14ac:dyDescent="0.25">
      <c r="A28">
        <v>112649</v>
      </c>
      <c r="B28" t="s">
        <v>23</v>
      </c>
      <c r="C28">
        <v>2023</v>
      </c>
      <c r="D28">
        <v>2023</v>
      </c>
      <c r="E28" t="s">
        <v>377</v>
      </c>
      <c r="F28" t="s">
        <v>378</v>
      </c>
      <c r="G28" t="s">
        <v>26</v>
      </c>
      <c r="H28" t="s">
        <v>265</v>
      </c>
      <c r="I28" s="1" t="s">
        <v>442</v>
      </c>
      <c r="J28" s="1" t="s">
        <v>443</v>
      </c>
      <c r="L28" t="s">
        <v>31</v>
      </c>
      <c r="M28" t="s">
        <v>32</v>
      </c>
      <c r="N28" t="s">
        <v>203</v>
      </c>
      <c r="O28" t="s">
        <v>34</v>
      </c>
      <c r="P28">
        <v>5</v>
      </c>
      <c r="R28" t="s">
        <v>206</v>
      </c>
      <c r="S28" s="1" t="s">
        <v>444</v>
      </c>
      <c r="T28" s="1" t="s">
        <v>294</v>
      </c>
      <c r="U28">
        <v>198</v>
      </c>
      <c r="V28">
        <v>99</v>
      </c>
    </row>
    <row r="29" spans="1:22" x14ac:dyDescent="0.25">
      <c r="A29">
        <v>112637</v>
      </c>
      <c r="B29" t="s">
        <v>23</v>
      </c>
      <c r="C29">
        <v>2023</v>
      </c>
      <c r="D29">
        <v>2023</v>
      </c>
      <c r="E29" t="s">
        <v>377</v>
      </c>
      <c r="F29" t="s">
        <v>378</v>
      </c>
      <c r="G29" t="s">
        <v>26</v>
      </c>
      <c r="H29" t="s">
        <v>279</v>
      </c>
      <c r="I29" s="1" t="s">
        <v>452</v>
      </c>
      <c r="J29" s="1" t="s">
        <v>453</v>
      </c>
      <c r="L29" t="s">
        <v>31</v>
      </c>
      <c r="M29" t="s">
        <v>32</v>
      </c>
      <c r="N29" t="s">
        <v>203</v>
      </c>
      <c r="O29" t="s">
        <v>34</v>
      </c>
      <c r="P29">
        <v>5</v>
      </c>
      <c r="R29" t="s">
        <v>206</v>
      </c>
      <c r="S29" s="1" t="s">
        <v>444</v>
      </c>
      <c r="T29" s="1" t="s">
        <v>294</v>
      </c>
      <c r="U29">
        <v>168</v>
      </c>
      <c r="V29">
        <v>84</v>
      </c>
    </row>
  </sheetData>
  <pageMargins left="0.7" right="0.7" top="0.75" bottom="0.75" header="0.3" footer="0.3"/>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2"/>
  <sheetViews>
    <sheetView topLeftCell="A64" workbookViewId="0">
      <selection activeCell="A88" sqref="A88:I92"/>
    </sheetView>
  </sheetViews>
  <sheetFormatPr defaultRowHeight="15" x14ac:dyDescent="0.25"/>
  <sheetData>
    <row r="1" spans="1:9" x14ac:dyDescent="0.25">
      <c r="A1" s="2" t="s">
        <v>0</v>
      </c>
      <c r="B1" s="2" t="s">
        <v>39</v>
      </c>
      <c r="C1" s="2" t="s">
        <v>40</v>
      </c>
      <c r="D1" s="2" t="s">
        <v>41</v>
      </c>
      <c r="E1" s="2" t="s">
        <v>42</v>
      </c>
      <c r="F1" s="2" t="s">
        <v>43</v>
      </c>
      <c r="G1" s="2" t="s">
        <v>44</v>
      </c>
      <c r="H1" s="2" t="s">
        <v>16</v>
      </c>
      <c r="I1" s="2" t="s">
        <v>45</v>
      </c>
    </row>
    <row r="2" spans="1:9" x14ac:dyDescent="0.25">
      <c r="A2">
        <v>102061</v>
      </c>
      <c r="B2" t="s">
        <v>46</v>
      </c>
      <c r="D2" s="1" t="s">
        <v>28</v>
      </c>
      <c r="E2" s="1" t="s">
        <v>29</v>
      </c>
      <c r="F2" t="s">
        <v>47</v>
      </c>
      <c r="G2">
        <v>25</v>
      </c>
      <c r="H2" t="s">
        <v>48</v>
      </c>
    </row>
    <row r="3" spans="1:9" x14ac:dyDescent="0.25">
      <c r="A3">
        <v>102061</v>
      </c>
      <c r="B3" t="s">
        <v>49</v>
      </c>
      <c r="D3" s="1" t="s">
        <v>28</v>
      </c>
      <c r="E3" s="1" t="s">
        <v>29</v>
      </c>
      <c r="F3" t="s">
        <v>47</v>
      </c>
      <c r="G3">
        <v>2</v>
      </c>
      <c r="H3" t="s">
        <v>48</v>
      </c>
      <c r="I3" t="s">
        <v>50</v>
      </c>
    </row>
    <row r="4" spans="1:9" x14ac:dyDescent="0.25">
      <c r="A4">
        <v>114303</v>
      </c>
      <c r="B4" t="s">
        <v>184</v>
      </c>
      <c r="D4" s="1" t="s">
        <v>178</v>
      </c>
      <c r="E4" s="1" t="s">
        <v>185</v>
      </c>
      <c r="F4" t="s">
        <v>47</v>
      </c>
      <c r="G4">
        <v>4</v>
      </c>
      <c r="H4" t="s">
        <v>48</v>
      </c>
    </row>
    <row r="5" spans="1:9" x14ac:dyDescent="0.25">
      <c r="A5">
        <v>114303</v>
      </c>
      <c r="B5" t="s">
        <v>186</v>
      </c>
      <c r="D5" s="1" t="s">
        <v>187</v>
      </c>
      <c r="E5" s="1" t="s">
        <v>187</v>
      </c>
      <c r="F5" t="s">
        <v>47</v>
      </c>
      <c r="G5">
        <v>7</v>
      </c>
      <c r="H5" t="s">
        <v>48</v>
      </c>
    </row>
    <row r="6" spans="1:9" x14ac:dyDescent="0.25">
      <c r="A6">
        <v>114303</v>
      </c>
      <c r="B6" t="s">
        <v>188</v>
      </c>
      <c r="D6" s="1" t="s">
        <v>189</v>
      </c>
      <c r="E6" s="1" t="s">
        <v>179</v>
      </c>
      <c r="F6" t="s">
        <v>47</v>
      </c>
      <c r="G6">
        <v>6</v>
      </c>
      <c r="H6" t="s">
        <v>48</v>
      </c>
    </row>
    <row r="7" spans="1:9" x14ac:dyDescent="0.25">
      <c r="A7">
        <v>128623</v>
      </c>
      <c r="B7" t="s">
        <v>196</v>
      </c>
      <c r="D7" s="1" t="s">
        <v>192</v>
      </c>
      <c r="E7" s="1" t="s">
        <v>193</v>
      </c>
      <c r="F7" t="s">
        <v>47</v>
      </c>
      <c r="G7">
        <v>12</v>
      </c>
      <c r="H7" t="s">
        <v>48</v>
      </c>
    </row>
    <row r="8" spans="1:9" x14ac:dyDescent="0.25">
      <c r="A8">
        <v>101623</v>
      </c>
      <c r="B8" t="s">
        <v>209</v>
      </c>
      <c r="D8" s="1" t="s">
        <v>202</v>
      </c>
      <c r="E8" s="1" t="s">
        <v>202</v>
      </c>
      <c r="F8" t="s">
        <v>47</v>
      </c>
      <c r="G8">
        <v>14</v>
      </c>
      <c r="H8" t="s">
        <v>48</v>
      </c>
    </row>
    <row r="9" spans="1:9" x14ac:dyDescent="0.25">
      <c r="A9">
        <v>101623</v>
      </c>
      <c r="B9" t="s">
        <v>210</v>
      </c>
      <c r="C9" t="s">
        <v>211</v>
      </c>
      <c r="D9" s="1" t="s">
        <v>202</v>
      </c>
      <c r="E9" s="1" t="s">
        <v>202</v>
      </c>
      <c r="F9" t="s">
        <v>212</v>
      </c>
      <c r="G9">
        <v>13</v>
      </c>
      <c r="H9" t="s">
        <v>213</v>
      </c>
      <c r="I9" t="s">
        <v>214</v>
      </c>
    </row>
    <row r="10" spans="1:9" x14ac:dyDescent="0.25">
      <c r="A10">
        <v>101625</v>
      </c>
      <c r="B10" t="s">
        <v>222</v>
      </c>
      <c r="C10" t="s">
        <v>223</v>
      </c>
      <c r="D10" s="1" t="s">
        <v>219</v>
      </c>
      <c r="E10" s="1" t="s">
        <v>220</v>
      </c>
      <c r="F10" t="s">
        <v>47</v>
      </c>
      <c r="G10">
        <v>15</v>
      </c>
      <c r="H10" t="s">
        <v>48</v>
      </c>
      <c r="I10" t="s">
        <v>224</v>
      </c>
    </row>
    <row r="11" spans="1:9" x14ac:dyDescent="0.25">
      <c r="A11">
        <v>101625</v>
      </c>
      <c r="B11" t="s">
        <v>225</v>
      </c>
      <c r="C11" t="s">
        <v>226</v>
      </c>
      <c r="D11" s="1" t="s">
        <v>219</v>
      </c>
      <c r="E11" s="1" t="s">
        <v>220</v>
      </c>
      <c r="F11" t="s">
        <v>47</v>
      </c>
      <c r="G11">
        <v>3</v>
      </c>
      <c r="H11" t="s">
        <v>48</v>
      </c>
      <c r="I11" t="s">
        <v>227</v>
      </c>
    </row>
    <row r="12" spans="1:9" x14ac:dyDescent="0.25">
      <c r="A12">
        <v>101625</v>
      </c>
      <c r="B12" t="s">
        <v>228</v>
      </c>
      <c r="C12" t="s">
        <v>229</v>
      </c>
      <c r="D12" s="1" t="s">
        <v>230</v>
      </c>
      <c r="E12" s="1" t="s">
        <v>220</v>
      </c>
      <c r="F12" t="s">
        <v>212</v>
      </c>
      <c r="G12">
        <v>15</v>
      </c>
      <c r="H12" t="s">
        <v>213</v>
      </c>
      <c r="I12" t="s">
        <v>231</v>
      </c>
    </row>
    <row r="13" spans="1:9" x14ac:dyDescent="0.25">
      <c r="A13">
        <v>101627</v>
      </c>
      <c r="B13" t="s">
        <v>233</v>
      </c>
      <c r="C13" t="s">
        <v>234</v>
      </c>
      <c r="D13" s="1" t="s">
        <v>232</v>
      </c>
      <c r="E13" s="1" t="s">
        <v>232</v>
      </c>
      <c r="F13" t="s">
        <v>212</v>
      </c>
      <c r="G13">
        <v>2</v>
      </c>
      <c r="H13" t="s">
        <v>213</v>
      </c>
      <c r="I13" t="s">
        <v>235</v>
      </c>
    </row>
    <row r="14" spans="1:9" x14ac:dyDescent="0.25">
      <c r="A14">
        <v>101627</v>
      </c>
      <c r="B14" t="s">
        <v>236</v>
      </c>
      <c r="C14" t="s">
        <v>237</v>
      </c>
      <c r="D14" s="1" t="s">
        <v>232</v>
      </c>
      <c r="E14" s="1" t="s">
        <v>232</v>
      </c>
      <c r="F14" t="s">
        <v>47</v>
      </c>
      <c r="G14">
        <v>2</v>
      </c>
      <c r="H14" t="s">
        <v>238</v>
      </c>
      <c r="I14" t="s">
        <v>239</v>
      </c>
    </row>
    <row r="15" spans="1:9" x14ac:dyDescent="0.25">
      <c r="A15">
        <v>101629</v>
      </c>
      <c r="B15" t="s">
        <v>241</v>
      </c>
      <c r="C15" t="s">
        <v>242</v>
      </c>
      <c r="D15" s="1" t="s">
        <v>240</v>
      </c>
      <c r="E15" s="1" t="s">
        <v>243</v>
      </c>
      <c r="F15" t="s">
        <v>47</v>
      </c>
      <c r="G15">
        <v>10</v>
      </c>
      <c r="H15" t="s">
        <v>238</v>
      </c>
    </row>
    <row r="16" spans="1:9" x14ac:dyDescent="0.25">
      <c r="A16">
        <v>101629</v>
      </c>
      <c r="B16" t="s">
        <v>244</v>
      </c>
      <c r="C16" t="s">
        <v>245</v>
      </c>
      <c r="D16" s="1" t="s">
        <v>243</v>
      </c>
      <c r="E16" s="1" t="s">
        <v>232</v>
      </c>
      <c r="F16" t="s">
        <v>47</v>
      </c>
      <c r="G16">
        <v>10</v>
      </c>
      <c r="H16" t="s">
        <v>238</v>
      </c>
    </row>
    <row r="17" spans="1:9" x14ac:dyDescent="0.25">
      <c r="A17">
        <v>101629</v>
      </c>
      <c r="B17" t="s">
        <v>246</v>
      </c>
      <c r="C17" t="s">
        <v>247</v>
      </c>
      <c r="D17" s="1" t="s">
        <v>202</v>
      </c>
      <c r="E17" s="1" t="s">
        <v>232</v>
      </c>
      <c r="F17" t="s">
        <v>47</v>
      </c>
      <c r="G17">
        <v>9</v>
      </c>
      <c r="H17" t="s">
        <v>238</v>
      </c>
    </row>
    <row r="18" spans="1:9" x14ac:dyDescent="0.25">
      <c r="A18">
        <v>101631</v>
      </c>
      <c r="B18" t="s">
        <v>250</v>
      </c>
      <c r="C18" t="s">
        <v>251</v>
      </c>
      <c r="D18" s="1" t="s">
        <v>202</v>
      </c>
      <c r="E18" s="1" t="s">
        <v>232</v>
      </c>
      <c r="F18" t="s">
        <v>252</v>
      </c>
      <c r="G18">
        <v>5</v>
      </c>
      <c r="H18" t="s">
        <v>213</v>
      </c>
      <c r="I18" t="s">
        <v>253</v>
      </c>
    </row>
    <row r="19" spans="1:9" x14ac:dyDescent="0.25">
      <c r="A19">
        <v>101631</v>
      </c>
      <c r="B19" t="s">
        <v>254</v>
      </c>
      <c r="C19" t="s">
        <v>255</v>
      </c>
      <c r="D19" s="1" t="s">
        <v>202</v>
      </c>
      <c r="E19" s="1" t="s">
        <v>232</v>
      </c>
      <c r="F19" t="s">
        <v>47</v>
      </c>
      <c r="G19">
        <v>5</v>
      </c>
      <c r="H19" t="s">
        <v>238</v>
      </c>
      <c r="I19" t="s">
        <v>256</v>
      </c>
    </row>
    <row r="20" spans="1:9" x14ac:dyDescent="0.25">
      <c r="A20">
        <v>101633</v>
      </c>
      <c r="B20" t="s">
        <v>257</v>
      </c>
      <c r="C20" t="s">
        <v>258</v>
      </c>
      <c r="D20" s="1" t="s">
        <v>243</v>
      </c>
      <c r="E20" s="1" t="s">
        <v>243</v>
      </c>
      <c r="F20" t="s">
        <v>47</v>
      </c>
      <c r="G20">
        <v>7</v>
      </c>
      <c r="H20" t="s">
        <v>238</v>
      </c>
    </row>
    <row r="21" spans="1:9" x14ac:dyDescent="0.25">
      <c r="A21">
        <v>101633</v>
      </c>
      <c r="B21" t="s">
        <v>259</v>
      </c>
      <c r="C21" t="s">
        <v>260</v>
      </c>
      <c r="D21" s="1" t="s">
        <v>243</v>
      </c>
      <c r="E21" s="1" t="s">
        <v>232</v>
      </c>
      <c r="F21" t="s">
        <v>47</v>
      </c>
      <c r="G21">
        <v>8</v>
      </c>
      <c r="H21" t="s">
        <v>238</v>
      </c>
    </row>
    <row r="22" spans="1:9" x14ac:dyDescent="0.25">
      <c r="A22">
        <v>101635</v>
      </c>
      <c r="B22" t="s">
        <v>261</v>
      </c>
      <c r="D22" s="1" t="s">
        <v>202</v>
      </c>
      <c r="E22" s="1" t="s">
        <v>202</v>
      </c>
      <c r="F22" t="s">
        <v>47</v>
      </c>
      <c r="G22">
        <v>3</v>
      </c>
      <c r="H22" t="s">
        <v>48</v>
      </c>
    </row>
    <row r="23" spans="1:9" x14ac:dyDescent="0.25">
      <c r="A23">
        <v>101635</v>
      </c>
      <c r="B23" t="s">
        <v>262</v>
      </c>
      <c r="C23" t="s">
        <v>263</v>
      </c>
      <c r="D23" s="1" t="s">
        <v>202</v>
      </c>
      <c r="E23" s="1" t="s">
        <v>202</v>
      </c>
      <c r="F23" t="s">
        <v>212</v>
      </c>
      <c r="G23">
        <v>3</v>
      </c>
      <c r="H23" t="s">
        <v>213</v>
      </c>
      <c r="I23" t="s">
        <v>264</v>
      </c>
    </row>
    <row r="24" spans="1:9" x14ac:dyDescent="0.25">
      <c r="A24">
        <v>102641</v>
      </c>
      <c r="B24" t="s">
        <v>269</v>
      </c>
      <c r="D24" s="1" t="s">
        <v>266</v>
      </c>
      <c r="E24" s="1" t="s">
        <v>266</v>
      </c>
      <c r="F24" t="s">
        <v>47</v>
      </c>
      <c r="G24">
        <v>25</v>
      </c>
      <c r="H24" t="s">
        <v>48</v>
      </c>
    </row>
    <row r="25" spans="1:9" x14ac:dyDescent="0.25">
      <c r="A25">
        <v>102641</v>
      </c>
      <c r="B25" t="s">
        <v>270</v>
      </c>
      <c r="D25" s="1" t="s">
        <v>266</v>
      </c>
      <c r="E25" s="1" t="s">
        <v>267</v>
      </c>
      <c r="F25" t="s">
        <v>47</v>
      </c>
      <c r="G25">
        <v>18</v>
      </c>
      <c r="H25" t="s">
        <v>48</v>
      </c>
    </row>
    <row r="26" spans="1:9" x14ac:dyDescent="0.25">
      <c r="A26">
        <v>102641</v>
      </c>
      <c r="B26" t="s">
        <v>271</v>
      </c>
      <c r="D26" s="1" t="s">
        <v>266</v>
      </c>
      <c r="E26" s="1" t="s">
        <v>267</v>
      </c>
      <c r="F26" t="s">
        <v>212</v>
      </c>
      <c r="G26">
        <v>86</v>
      </c>
      <c r="H26" t="s">
        <v>272</v>
      </c>
      <c r="I26" t="s">
        <v>273</v>
      </c>
    </row>
    <row r="27" spans="1:9" x14ac:dyDescent="0.25">
      <c r="A27">
        <v>102641</v>
      </c>
      <c r="B27" t="s">
        <v>274</v>
      </c>
      <c r="D27" s="1" t="s">
        <v>267</v>
      </c>
      <c r="E27" s="1" t="s">
        <v>267</v>
      </c>
      <c r="F27" t="s">
        <v>47</v>
      </c>
      <c r="G27">
        <v>15</v>
      </c>
      <c r="H27" t="s">
        <v>48</v>
      </c>
    </row>
    <row r="28" spans="1:9" x14ac:dyDescent="0.25">
      <c r="A28">
        <v>102661</v>
      </c>
      <c r="B28" t="s">
        <v>282</v>
      </c>
      <c r="D28" s="1" t="s">
        <v>243</v>
      </c>
      <c r="E28" s="1" t="s">
        <v>266</v>
      </c>
      <c r="F28" t="s">
        <v>47</v>
      </c>
      <c r="G28">
        <v>25</v>
      </c>
      <c r="H28" t="s">
        <v>48</v>
      </c>
    </row>
    <row r="29" spans="1:9" x14ac:dyDescent="0.25">
      <c r="A29">
        <v>102661</v>
      </c>
      <c r="B29" t="s">
        <v>283</v>
      </c>
      <c r="D29" s="1" t="s">
        <v>243</v>
      </c>
      <c r="E29" s="1" t="s">
        <v>284</v>
      </c>
      <c r="F29" t="s">
        <v>212</v>
      </c>
      <c r="G29">
        <v>89</v>
      </c>
      <c r="H29" t="s">
        <v>213</v>
      </c>
      <c r="I29" t="s">
        <v>285</v>
      </c>
    </row>
    <row r="30" spans="1:9" x14ac:dyDescent="0.25">
      <c r="A30">
        <v>102661</v>
      </c>
      <c r="B30" t="s">
        <v>286</v>
      </c>
      <c r="D30" s="1" t="s">
        <v>266</v>
      </c>
      <c r="E30" s="1" t="s">
        <v>266</v>
      </c>
      <c r="F30" t="s">
        <v>47</v>
      </c>
      <c r="G30">
        <v>25</v>
      </c>
      <c r="H30" t="s">
        <v>48</v>
      </c>
    </row>
    <row r="31" spans="1:9" x14ac:dyDescent="0.25">
      <c r="A31">
        <v>102661</v>
      </c>
      <c r="B31" t="s">
        <v>287</v>
      </c>
      <c r="D31" s="1" t="s">
        <v>288</v>
      </c>
      <c r="E31" s="1" t="s">
        <v>280</v>
      </c>
      <c r="F31" t="s">
        <v>47</v>
      </c>
      <c r="G31">
        <v>25</v>
      </c>
      <c r="H31" t="s">
        <v>48</v>
      </c>
    </row>
    <row r="32" spans="1:9" x14ac:dyDescent="0.25">
      <c r="A32">
        <v>102661</v>
      </c>
      <c r="B32" t="s">
        <v>289</v>
      </c>
      <c r="D32" s="1" t="s">
        <v>280</v>
      </c>
      <c r="E32" s="1" t="s">
        <v>280</v>
      </c>
      <c r="F32" t="s">
        <v>47</v>
      </c>
      <c r="G32">
        <v>11</v>
      </c>
      <c r="H32" t="s">
        <v>48</v>
      </c>
    </row>
    <row r="33" spans="1:9" x14ac:dyDescent="0.25">
      <c r="A33">
        <v>113245</v>
      </c>
      <c r="B33" t="s">
        <v>295</v>
      </c>
      <c r="D33" s="1" t="s">
        <v>291</v>
      </c>
      <c r="E33" s="1" t="s">
        <v>292</v>
      </c>
      <c r="F33" t="s">
        <v>47</v>
      </c>
      <c r="G33">
        <v>10</v>
      </c>
      <c r="H33" t="s">
        <v>48</v>
      </c>
      <c r="I33" t="s">
        <v>296</v>
      </c>
    </row>
    <row r="34" spans="1:9" x14ac:dyDescent="0.25">
      <c r="A34">
        <v>113245</v>
      </c>
      <c r="B34" t="s">
        <v>297</v>
      </c>
      <c r="C34" t="s">
        <v>298</v>
      </c>
      <c r="D34" s="1" t="s">
        <v>299</v>
      </c>
      <c r="E34" s="1" t="s">
        <v>292</v>
      </c>
      <c r="F34" t="s">
        <v>212</v>
      </c>
      <c r="G34">
        <v>9</v>
      </c>
      <c r="H34" t="s">
        <v>213</v>
      </c>
      <c r="I34" t="s">
        <v>300</v>
      </c>
    </row>
    <row r="35" spans="1:9" x14ac:dyDescent="0.25">
      <c r="A35">
        <v>113253</v>
      </c>
      <c r="B35" t="s">
        <v>303</v>
      </c>
      <c r="C35" t="s">
        <v>298</v>
      </c>
      <c r="D35" s="1" t="s">
        <v>299</v>
      </c>
      <c r="E35" s="1" t="s">
        <v>292</v>
      </c>
      <c r="F35" t="s">
        <v>212</v>
      </c>
      <c r="G35">
        <v>1</v>
      </c>
      <c r="H35" t="s">
        <v>213</v>
      </c>
      <c r="I35" t="s">
        <v>304</v>
      </c>
    </row>
    <row r="36" spans="1:9" x14ac:dyDescent="0.25">
      <c r="A36">
        <v>113281</v>
      </c>
      <c r="B36" t="s">
        <v>306</v>
      </c>
      <c r="D36" s="1" t="s">
        <v>291</v>
      </c>
      <c r="E36" s="1" t="s">
        <v>299</v>
      </c>
      <c r="F36" t="s">
        <v>47</v>
      </c>
      <c r="G36">
        <v>14</v>
      </c>
      <c r="H36" t="s">
        <v>48</v>
      </c>
    </row>
    <row r="37" spans="1:9" x14ac:dyDescent="0.25">
      <c r="A37">
        <v>131261</v>
      </c>
      <c r="B37" t="s">
        <v>311</v>
      </c>
      <c r="D37" s="1" t="s">
        <v>307</v>
      </c>
      <c r="E37" s="1" t="s">
        <v>312</v>
      </c>
      <c r="F37" t="s">
        <v>212</v>
      </c>
      <c r="G37">
        <v>30</v>
      </c>
      <c r="H37" t="s">
        <v>213</v>
      </c>
      <c r="I37" t="s">
        <v>313</v>
      </c>
    </row>
    <row r="38" spans="1:9" x14ac:dyDescent="0.25">
      <c r="A38">
        <v>131261</v>
      </c>
      <c r="B38" t="s">
        <v>314</v>
      </c>
      <c r="D38" s="1" t="s">
        <v>315</v>
      </c>
      <c r="E38" s="1" t="s">
        <v>308</v>
      </c>
      <c r="F38" t="s">
        <v>47</v>
      </c>
      <c r="G38">
        <v>25</v>
      </c>
      <c r="H38" t="s">
        <v>48</v>
      </c>
      <c r="I38" t="s">
        <v>316</v>
      </c>
    </row>
    <row r="39" spans="1:9" x14ac:dyDescent="0.25">
      <c r="A39">
        <v>131261</v>
      </c>
      <c r="B39" t="s">
        <v>317</v>
      </c>
      <c r="D39" s="1" t="s">
        <v>315</v>
      </c>
      <c r="E39" s="1" t="s">
        <v>308</v>
      </c>
      <c r="F39" t="s">
        <v>47</v>
      </c>
      <c r="G39">
        <v>5</v>
      </c>
      <c r="H39" t="s">
        <v>48</v>
      </c>
      <c r="I39" t="s">
        <v>318</v>
      </c>
    </row>
    <row r="40" spans="1:9" x14ac:dyDescent="0.25">
      <c r="A40">
        <v>131281</v>
      </c>
      <c r="B40" t="s">
        <v>322</v>
      </c>
      <c r="D40" s="1" t="s">
        <v>312</v>
      </c>
      <c r="E40" s="1" t="s">
        <v>312</v>
      </c>
      <c r="F40" t="s">
        <v>47</v>
      </c>
      <c r="G40">
        <v>2</v>
      </c>
      <c r="H40" t="s">
        <v>238</v>
      </c>
    </row>
    <row r="41" spans="1:9" x14ac:dyDescent="0.25">
      <c r="A41">
        <v>131283</v>
      </c>
      <c r="B41" t="s">
        <v>323</v>
      </c>
      <c r="D41" s="1" t="s">
        <v>312</v>
      </c>
      <c r="E41" s="1" t="s">
        <v>312</v>
      </c>
      <c r="F41" t="s">
        <v>47</v>
      </c>
      <c r="G41">
        <v>2</v>
      </c>
      <c r="H41" t="s">
        <v>48</v>
      </c>
    </row>
    <row r="42" spans="1:9" x14ac:dyDescent="0.25">
      <c r="A42">
        <v>131285</v>
      </c>
      <c r="B42" t="s">
        <v>324</v>
      </c>
      <c r="D42" s="1" t="s">
        <v>307</v>
      </c>
      <c r="E42" s="1" t="s">
        <v>312</v>
      </c>
      <c r="F42" t="s">
        <v>47</v>
      </c>
      <c r="G42">
        <v>10</v>
      </c>
      <c r="H42" t="s">
        <v>238</v>
      </c>
      <c r="I42" t="s">
        <v>325</v>
      </c>
    </row>
    <row r="43" spans="1:9" x14ac:dyDescent="0.25">
      <c r="A43">
        <v>131285</v>
      </c>
      <c r="B43" t="s">
        <v>326</v>
      </c>
      <c r="D43" s="1" t="s">
        <v>307</v>
      </c>
      <c r="E43" s="1" t="s">
        <v>312</v>
      </c>
      <c r="F43" t="s">
        <v>47</v>
      </c>
      <c r="G43">
        <v>7</v>
      </c>
      <c r="H43" t="s">
        <v>238</v>
      </c>
    </row>
    <row r="44" spans="1:9" x14ac:dyDescent="0.25">
      <c r="A44">
        <v>131285</v>
      </c>
      <c r="B44" t="s">
        <v>327</v>
      </c>
      <c r="D44" s="1" t="s">
        <v>307</v>
      </c>
      <c r="E44" s="1" t="s">
        <v>312</v>
      </c>
      <c r="F44" t="s">
        <v>212</v>
      </c>
      <c r="G44">
        <v>3</v>
      </c>
      <c r="H44" t="s">
        <v>213</v>
      </c>
    </row>
    <row r="45" spans="1:9" x14ac:dyDescent="0.25">
      <c r="A45">
        <v>131285</v>
      </c>
      <c r="B45" t="s">
        <v>328</v>
      </c>
      <c r="D45" s="1" t="s">
        <v>312</v>
      </c>
      <c r="E45" s="1" t="s">
        <v>312</v>
      </c>
      <c r="F45" t="s">
        <v>47</v>
      </c>
      <c r="G45">
        <v>2</v>
      </c>
      <c r="H45" t="s">
        <v>48</v>
      </c>
      <c r="I45" t="s">
        <v>329</v>
      </c>
    </row>
    <row r="46" spans="1:9" x14ac:dyDescent="0.25">
      <c r="A46">
        <v>131287</v>
      </c>
      <c r="B46" t="s">
        <v>331</v>
      </c>
      <c r="D46" s="1" t="s">
        <v>312</v>
      </c>
      <c r="E46" s="1" t="s">
        <v>312</v>
      </c>
      <c r="F46" t="s">
        <v>47</v>
      </c>
      <c r="G46">
        <v>3</v>
      </c>
      <c r="H46" t="s">
        <v>48</v>
      </c>
      <c r="I46" t="s">
        <v>332</v>
      </c>
    </row>
    <row r="47" spans="1:9" x14ac:dyDescent="0.25">
      <c r="A47">
        <v>131287</v>
      </c>
      <c r="B47" t="s">
        <v>333</v>
      </c>
      <c r="D47" s="1" t="s">
        <v>312</v>
      </c>
      <c r="E47" s="1" t="s">
        <v>312</v>
      </c>
      <c r="F47" t="s">
        <v>212</v>
      </c>
      <c r="G47">
        <v>3</v>
      </c>
      <c r="H47" t="s">
        <v>213</v>
      </c>
      <c r="I47" t="s">
        <v>334</v>
      </c>
    </row>
    <row r="48" spans="1:9" x14ac:dyDescent="0.25">
      <c r="A48">
        <v>141539</v>
      </c>
      <c r="B48" t="s">
        <v>344</v>
      </c>
      <c r="D48" s="1" t="s">
        <v>340</v>
      </c>
      <c r="E48" s="1" t="s">
        <v>341</v>
      </c>
      <c r="F48" t="s">
        <v>47</v>
      </c>
      <c r="G48">
        <v>25</v>
      </c>
      <c r="H48" t="s">
        <v>48</v>
      </c>
    </row>
    <row r="49" spans="1:9" x14ac:dyDescent="0.25">
      <c r="A49">
        <v>141539</v>
      </c>
      <c r="B49" t="s">
        <v>345</v>
      </c>
      <c r="D49" s="1" t="s">
        <v>346</v>
      </c>
      <c r="E49" s="1" t="s">
        <v>341</v>
      </c>
      <c r="F49" t="s">
        <v>47</v>
      </c>
      <c r="G49">
        <v>18</v>
      </c>
      <c r="H49" t="s">
        <v>48</v>
      </c>
      <c r="I49" t="s">
        <v>347</v>
      </c>
    </row>
    <row r="50" spans="1:9" x14ac:dyDescent="0.25">
      <c r="A50">
        <v>145267</v>
      </c>
      <c r="B50" t="s">
        <v>355</v>
      </c>
      <c r="C50" t="s">
        <v>356</v>
      </c>
      <c r="D50" s="1" t="s">
        <v>351</v>
      </c>
      <c r="E50" s="1" t="s">
        <v>357</v>
      </c>
      <c r="F50" t="s">
        <v>212</v>
      </c>
      <c r="G50">
        <v>100</v>
      </c>
      <c r="H50" t="s">
        <v>272</v>
      </c>
      <c r="I50" t="s">
        <v>358</v>
      </c>
    </row>
    <row r="51" spans="1:9" x14ac:dyDescent="0.25">
      <c r="A51">
        <v>145267</v>
      </c>
      <c r="B51" t="s">
        <v>359</v>
      </c>
      <c r="D51" s="1" t="s">
        <v>351</v>
      </c>
      <c r="E51" s="1" t="s">
        <v>360</v>
      </c>
      <c r="F51" t="s">
        <v>47</v>
      </c>
      <c r="G51">
        <v>25</v>
      </c>
      <c r="H51" t="s">
        <v>48</v>
      </c>
      <c r="I51" t="s">
        <v>361</v>
      </c>
    </row>
    <row r="52" spans="1:9" x14ac:dyDescent="0.25">
      <c r="A52">
        <v>145267</v>
      </c>
      <c r="B52" t="s">
        <v>362</v>
      </c>
      <c r="C52" t="s">
        <v>363</v>
      </c>
      <c r="D52" s="1" t="s">
        <v>364</v>
      </c>
      <c r="E52" s="1" t="s">
        <v>352</v>
      </c>
      <c r="F52" t="s">
        <v>212</v>
      </c>
      <c r="G52">
        <v>39</v>
      </c>
      <c r="H52" t="s">
        <v>272</v>
      </c>
    </row>
    <row r="53" spans="1:9" x14ac:dyDescent="0.25">
      <c r="A53">
        <v>145267</v>
      </c>
      <c r="B53" t="s">
        <v>365</v>
      </c>
      <c r="D53" s="1" t="s">
        <v>364</v>
      </c>
      <c r="E53" s="1" t="s">
        <v>366</v>
      </c>
      <c r="F53" t="s">
        <v>47</v>
      </c>
      <c r="G53">
        <v>14</v>
      </c>
      <c r="H53" t="s">
        <v>48</v>
      </c>
    </row>
    <row r="54" spans="1:9" x14ac:dyDescent="0.25">
      <c r="A54">
        <v>145267</v>
      </c>
      <c r="B54" t="s">
        <v>367</v>
      </c>
      <c r="D54" s="1" t="s">
        <v>360</v>
      </c>
      <c r="E54" s="1" t="s">
        <v>368</v>
      </c>
      <c r="F54" t="s">
        <v>47</v>
      </c>
      <c r="G54">
        <v>25</v>
      </c>
      <c r="H54" t="s">
        <v>48</v>
      </c>
    </row>
    <row r="55" spans="1:9" x14ac:dyDescent="0.25">
      <c r="A55">
        <v>145267</v>
      </c>
      <c r="B55" t="s">
        <v>369</v>
      </c>
      <c r="D55" s="1" t="s">
        <v>368</v>
      </c>
      <c r="E55" s="1" t="s">
        <v>370</v>
      </c>
      <c r="F55" t="s">
        <v>47</v>
      </c>
      <c r="G55">
        <v>25</v>
      </c>
      <c r="H55" t="s">
        <v>48</v>
      </c>
    </row>
    <row r="56" spans="1:9" x14ac:dyDescent="0.25">
      <c r="A56">
        <v>145267</v>
      </c>
      <c r="B56" t="s">
        <v>371</v>
      </c>
      <c r="D56" s="1" t="s">
        <v>370</v>
      </c>
      <c r="E56" s="1" t="s">
        <v>357</v>
      </c>
      <c r="F56" t="s">
        <v>47</v>
      </c>
      <c r="G56">
        <v>25</v>
      </c>
      <c r="H56" t="s">
        <v>48</v>
      </c>
    </row>
    <row r="57" spans="1:9" x14ac:dyDescent="0.25">
      <c r="A57">
        <v>145267</v>
      </c>
      <c r="B57" t="s">
        <v>372</v>
      </c>
      <c r="D57" s="1" t="s">
        <v>357</v>
      </c>
      <c r="E57" s="1" t="s">
        <v>352</v>
      </c>
      <c r="F57" t="s">
        <v>47</v>
      </c>
      <c r="G57">
        <v>25</v>
      </c>
      <c r="H57" t="s">
        <v>48</v>
      </c>
    </row>
    <row r="58" spans="1:9" x14ac:dyDescent="0.25">
      <c r="A58">
        <v>144793</v>
      </c>
      <c r="B58" t="s">
        <v>383</v>
      </c>
      <c r="C58" t="s">
        <v>384</v>
      </c>
      <c r="D58" s="1" t="s">
        <v>380</v>
      </c>
      <c r="E58" s="1" t="s">
        <v>380</v>
      </c>
      <c r="F58" t="s">
        <v>212</v>
      </c>
      <c r="G58">
        <v>100</v>
      </c>
      <c r="H58" t="s">
        <v>272</v>
      </c>
    </row>
    <row r="59" spans="1:9" x14ac:dyDescent="0.25">
      <c r="A59">
        <v>144793</v>
      </c>
      <c r="B59" t="s">
        <v>385</v>
      </c>
      <c r="C59" t="s">
        <v>386</v>
      </c>
      <c r="D59" s="1" t="s">
        <v>380</v>
      </c>
      <c r="E59" s="1" t="s">
        <v>381</v>
      </c>
      <c r="F59" t="s">
        <v>212</v>
      </c>
      <c r="G59">
        <v>21</v>
      </c>
      <c r="H59" t="s">
        <v>272</v>
      </c>
    </row>
    <row r="60" spans="1:9" x14ac:dyDescent="0.25">
      <c r="A60">
        <v>144793</v>
      </c>
      <c r="B60" t="s">
        <v>387</v>
      </c>
      <c r="D60" s="1" t="s">
        <v>380</v>
      </c>
      <c r="E60" s="1" t="s">
        <v>381</v>
      </c>
      <c r="F60" t="s">
        <v>47</v>
      </c>
      <c r="G60">
        <v>25</v>
      </c>
      <c r="H60" t="s">
        <v>48</v>
      </c>
    </row>
    <row r="61" spans="1:9" x14ac:dyDescent="0.25">
      <c r="A61">
        <v>144793</v>
      </c>
      <c r="B61" t="s">
        <v>388</v>
      </c>
      <c r="D61" s="1" t="s">
        <v>380</v>
      </c>
      <c r="E61" s="1" t="s">
        <v>381</v>
      </c>
      <c r="F61" t="s">
        <v>47</v>
      </c>
      <c r="G61">
        <v>25</v>
      </c>
      <c r="H61" t="s">
        <v>48</v>
      </c>
    </row>
    <row r="62" spans="1:9" x14ac:dyDescent="0.25">
      <c r="A62">
        <v>144793</v>
      </c>
      <c r="B62" t="s">
        <v>389</v>
      </c>
      <c r="D62" s="1" t="s">
        <v>380</v>
      </c>
      <c r="E62" s="1" t="s">
        <v>381</v>
      </c>
      <c r="F62" t="s">
        <v>47</v>
      </c>
      <c r="G62">
        <v>11</v>
      </c>
      <c r="H62" t="s">
        <v>48</v>
      </c>
      <c r="I62" t="s">
        <v>390</v>
      </c>
    </row>
    <row r="63" spans="1:9" x14ac:dyDescent="0.25">
      <c r="A63">
        <v>144793</v>
      </c>
      <c r="B63" t="s">
        <v>391</v>
      </c>
      <c r="D63" s="1" t="s">
        <v>380</v>
      </c>
      <c r="E63" s="1" t="s">
        <v>381</v>
      </c>
      <c r="F63" t="s">
        <v>47</v>
      </c>
      <c r="G63">
        <v>25</v>
      </c>
      <c r="H63" t="s">
        <v>48</v>
      </c>
    </row>
    <row r="64" spans="1:9" x14ac:dyDescent="0.25">
      <c r="A64">
        <v>144793</v>
      </c>
      <c r="B64" t="s">
        <v>392</v>
      </c>
      <c r="D64" s="1" t="s">
        <v>380</v>
      </c>
      <c r="E64" s="1" t="s">
        <v>381</v>
      </c>
      <c r="F64" t="s">
        <v>47</v>
      </c>
      <c r="G64">
        <v>25</v>
      </c>
      <c r="H64" t="s">
        <v>48</v>
      </c>
    </row>
    <row r="65" spans="1:9" x14ac:dyDescent="0.25">
      <c r="A65">
        <v>144793</v>
      </c>
      <c r="B65" t="s">
        <v>393</v>
      </c>
      <c r="D65" s="1" t="s">
        <v>380</v>
      </c>
      <c r="E65" s="1" t="s">
        <v>381</v>
      </c>
      <c r="F65" t="s">
        <v>47</v>
      </c>
      <c r="G65">
        <v>10</v>
      </c>
      <c r="H65" t="s">
        <v>48</v>
      </c>
    </row>
    <row r="66" spans="1:9" x14ac:dyDescent="0.25">
      <c r="A66">
        <v>144795</v>
      </c>
      <c r="B66" t="s">
        <v>405</v>
      </c>
      <c r="C66" t="s">
        <v>384</v>
      </c>
      <c r="D66" s="1" t="s">
        <v>364</v>
      </c>
      <c r="E66" s="1" t="s">
        <v>364</v>
      </c>
      <c r="F66" t="s">
        <v>212</v>
      </c>
      <c r="G66">
        <v>89</v>
      </c>
      <c r="H66" t="s">
        <v>272</v>
      </c>
    </row>
    <row r="67" spans="1:9" x14ac:dyDescent="0.25">
      <c r="A67">
        <v>144795</v>
      </c>
      <c r="B67" t="s">
        <v>406</v>
      </c>
      <c r="D67" s="1" t="s">
        <v>364</v>
      </c>
      <c r="E67" s="1" t="s">
        <v>404</v>
      </c>
      <c r="F67" t="s">
        <v>47</v>
      </c>
      <c r="G67">
        <v>25</v>
      </c>
      <c r="H67" t="s">
        <v>48</v>
      </c>
      <c r="I67" t="s">
        <v>407</v>
      </c>
    </row>
    <row r="68" spans="1:9" x14ac:dyDescent="0.25">
      <c r="A68">
        <v>144795</v>
      </c>
      <c r="B68" t="s">
        <v>408</v>
      </c>
      <c r="D68" s="1" t="s">
        <v>364</v>
      </c>
      <c r="E68" s="1" t="s">
        <v>404</v>
      </c>
      <c r="F68" t="s">
        <v>47</v>
      </c>
      <c r="G68">
        <v>25</v>
      </c>
      <c r="H68" t="s">
        <v>48</v>
      </c>
      <c r="I68" t="s">
        <v>409</v>
      </c>
    </row>
    <row r="69" spans="1:9" x14ac:dyDescent="0.25">
      <c r="A69">
        <v>144795</v>
      </c>
      <c r="B69" t="s">
        <v>410</v>
      </c>
      <c r="D69" s="1" t="s">
        <v>364</v>
      </c>
      <c r="E69" s="1" t="s">
        <v>404</v>
      </c>
      <c r="F69" t="s">
        <v>47</v>
      </c>
      <c r="G69">
        <v>25</v>
      </c>
      <c r="H69" t="s">
        <v>48</v>
      </c>
      <c r="I69" t="s">
        <v>411</v>
      </c>
    </row>
    <row r="70" spans="1:9" x14ac:dyDescent="0.25">
      <c r="A70">
        <v>144795</v>
      </c>
      <c r="B70" t="s">
        <v>412</v>
      </c>
      <c r="D70" s="1" t="s">
        <v>364</v>
      </c>
      <c r="E70" s="1" t="s">
        <v>404</v>
      </c>
      <c r="F70" t="s">
        <v>47</v>
      </c>
      <c r="G70">
        <v>14</v>
      </c>
      <c r="H70" t="s">
        <v>48</v>
      </c>
      <c r="I70" t="s">
        <v>413</v>
      </c>
    </row>
    <row r="71" spans="1:9" x14ac:dyDescent="0.25">
      <c r="A71">
        <v>129185</v>
      </c>
      <c r="B71" t="s">
        <v>418</v>
      </c>
      <c r="D71" s="1" t="s">
        <v>415</v>
      </c>
      <c r="E71" s="1" t="s">
        <v>312</v>
      </c>
      <c r="F71" t="s">
        <v>47</v>
      </c>
      <c r="G71">
        <v>25</v>
      </c>
      <c r="H71" t="s">
        <v>48</v>
      </c>
    </row>
    <row r="72" spans="1:9" x14ac:dyDescent="0.25">
      <c r="A72">
        <v>129185</v>
      </c>
      <c r="B72" t="s">
        <v>419</v>
      </c>
      <c r="D72" s="1" t="s">
        <v>415</v>
      </c>
      <c r="E72" s="1" t="s">
        <v>312</v>
      </c>
      <c r="F72" t="s">
        <v>47</v>
      </c>
      <c r="G72">
        <v>25</v>
      </c>
      <c r="H72" t="s">
        <v>48</v>
      </c>
    </row>
    <row r="73" spans="1:9" x14ac:dyDescent="0.25">
      <c r="A73">
        <v>129185</v>
      </c>
      <c r="B73" t="s">
        <v>420</v>
      </c>
      <c r="D73" s="1" t="s">
        <v>415</v>
      </c>
      <c r="E73" s="1" t="s">
        <v>312</v>
      </c>
      <c r="F73" t="s">
        <v>47</v>
      </c>
      <c r="G73">
        <v>5</v>
      </c>
      <c r="H73" t="s">
        <v>48</v>
      </c>
    </row>
    <row r="74" spans="1:9" x14ac:dyDescent="0.25">
      <c r="A74">
        <v>129185</v>
      </c>
      <c r="B74" t="s">
        <v>421</v>
      </c>
      <c r="D74" s="1" t="s">
        <v>415</v>
      </c>
      <c r="E74" s="1" t="s">
        <v>312</v>
      </c>
      <c r="F74" t="s">
        <v>47</v>
      </c>
      <c r="G74">
        <v>25</v>
      </c>
      <c r="H74" t="s">
        <v>48</v>
      </c>
    </row>
    <row r="75" spans="1:9" x14ac:dyDescent="0.25">
      <c r="A75">
        <v>129185</v>
      </c>
      <c r="B75" t="s">
        <v>422</v>
      </c>
      <c r="D75" s="1" t="s">
        <v>415</v>
      </c>
      <c r="E75" s="1" t="s">
        <v>312</v>
      </c>
      <c r="F75" t="s">
        <v>47</v>
      </c>
      <c r="G75">
        <v>25</v>
      </c>
      <c r="H75" t="s">
        <v>48</v>
      </c>
    </row>
    <row r="76" spans="1:9" x14ac:dyDescent="0.25">
      <c r="A76">
        <v>129185</v>
      </c>
      <c r="B76" t="s">
        <v>423</v>
      </c>
      <c r="D76" s="1" t="s">
        <v>415</v>
      </c>
      <c r="E76" s="1" t="s">
        <v>312</v>
      </c>
      <c r="F76" t="s">
        <v>47</v>
      </c>
      <c r="G76">
        <v>5</v>
      </c>
      <c r="H76" t="s">
        <v>48</v>
      </c>
    </row>
    <row r="77" spans="1:9" x14ac:dyDescent="0.25">
      <c r="A77">
        <v>129185</v>
      </c>
      <c r="B77" t="s">
        <v>424</v>
      </c>
      <c r="C77" t="s">
        <v>384</v>
      </c>
      <c r="D77" s="1" t="s">
        <v>415</v>
      </c>
      <c r="E77" s="1" t="s">
        <v>415</v>
      </c>
      <c r="F77" t="s">
        <v>212</v>
      </c>
      <c r="G77">
        <v>100</v>
      </c>
      <c r="H77" t="s">
        <v>213</v>
      </c>
      <c r="I77" t="s">
        <v>425</v>
      </c>
    </row>
    <row r="78" spans="1:9" x14ac:dyDescent="0.25">
      <c r="A78">
        <v>129185</v>
      </c>
      <c r="B78" t="s">
        <v>426</v>
      </c>
      <c r="C78" t="s">
        <v>386</v>
      </c>
      <c r="D78" s="1" t="s">
        <v>415</v>
      </c>
      <c r="E78" s="1" t="s">
        <v>415</v>
      </c>
      <c r="F78" t="s">
        <v>212</v>
      </c>
      <c r="G78">
        <v>10</v>
      </c>
      <c r="H78" t="s">
        <v>213</v>
      </c>
    </row>
    <row r="79" spans="1:9" x14ac:dyDescent="0.25">
      <c r="A79">
        <v>129201</v>
      </c>
      <c r="B79" t="s">
        <v>430</v>
      </c>
      <c r="D79" s="1" t="s">
        <v>428</v>
      </c>
      <c r="E79" s="1" t="s">
        <v>429</v>
      </c>
      <c r="F79" t="s">
        <v>47</v>
      </c>
      <c r="G79">
        <v>25</v>
      </c>
      <c r="H79" t="s">
        <v>48</v>
      </c>
      <c r="I79" t="s">
        <v>431</v>
      </c>
    </row>
    <row r="80" spans="1:9" x14ac:dyDescent="0.25">
      <c r="A80">
        <v>129201</v>
      </c>
      <c r="B80" t="s">
        <v>432</v>
      </c>
      <c r="D80" s="1" t="s">
        <v>428</v>
      </c>
      <c r="E80" s="1" t="s">
        <v>429</v>
      </c>
      <c r="F80" t="s">
        <v>47</v>
      </c>
      <c r="G80">
        <v>23</v>
      </c>
      <c r="H80" t="s">
        <v>48</v>
      </c>
      <c r="I80" t="s">
        <v>433</v>
      </c>
    </row>
    <row r="81" spans="1:9" x14ac:dyDescent="0.25">
      <c r="A81">
        <v>129201</v>
      </c>
      <c r="B81" t="s">
        <v>434</v>
      </c>
      <c r="D81" s="1" t="s">
        <v>428</v>
      </c>
      <c r="E81" s="1" t="s">
        <v>429</v>
      </c>
      <c r="F81" t="s">
        <v>47</v>
      </c>
      <c r="G81">
        <v>1</v>
      </c>
      <c r="H81" t="s">
        <v>48</v>
      </c>
    </row>
    <row r="82" spans="1:9" x14ac:dyDescent="0.25">
      <c r="A82">
        <v>129201</v>
      </c>
      <c r="B82" t="s">
        <v>435</v>
      </c>
      <c r="C82" t="s">
        <v>384</v>
      </c>
      <c r="D82" s="1" t="s">
        <v>428</v>
      </c>
      <c r="E82" s="1" t="s">
        <v>428</v>
      </c>
      <c r="F82" t="s">
        <v>212</v>
      </c>
      <c r="G82">
        <v>49</v>
      </c>
      <c r="H82" t="s">
        <v>213</v>
      </c>
    </row>
    <row r="83" spans="1:9" x14ac:dyDescent="0.25">
      <c r="A83">
        <v>112649</v>
      </c>
      <c r="B83" t="s">
        <v>445</v>
      </c>
      <c r="D83" s="1" t="s">
        <v>442</v>
      </c>
      <c r="E83" s="1" t="s">
        <v>443</v>
      </c>
      <c r="F83" t="s">
        <v>47</v>
      </c>
      <c r="G83">
        <v>24</v>
      </c>
      <c r="H83" t="s">
        <v>48</v>
      </c>
    </row>
    <row r="84" spans="1:9" x14ac:dyDescent="0.25">
      <c r="A84">
        <v>112649</v>
      </c>
      <c r="B84" t="s">
        <v>446</v>
      </c>
      <c r="D84" s="1" t="s">
        <v>447</v>
      </c>
      <c r="E84" s="1" t="s">
        <v>443</v>
      </c>
      <c r="F84" t="s">
        <v>47</v>
      </c>
      <c r="G84">
        <v>25</v>
      </c>
      <c r="H84" t="s">
        <v>48</v>
      </c>
    </row>
    <row r="85" spans="1:9" x14ac:dyDescent="0.25">
      <c r="A85">
        <v>112649</v>
      </c>
      <c r="B85" t="s">
        <v>448</v>
      </c>
      <c r="D85" s="1" t="s">
        <v>447</v>
      </c>
      <c r="E85" s="1" t="s">
        <v>443</v>
      </c>
      <c r="F85" t="s">
        <v>47</v>
      </c>
      <c r="G85">
        <v>25</v>
      </c>
      <c r="H85" t="s">
        <v>48</v>
      </c>
    </row>
    <row r="86" spans="1:9" x14ac:dyDescent="0.25">
      <c r="A86">
        <v>112649</v>
      </c>
      <c r="B86" t="s">
        <v>449</v>
      </c>
      <c r="D86" s="1" t="s">
        <v>447</v>
      </c>
      <c r="E86" s="1" t="s">
        <v>443</v>
      </c>
      <c r="F86" t="s">
        <v>47</v>
      </c>
      <c r="G86">
        <v>25</v>
      </c>
      <c r="H86" t="s">
        <v>48</v>
      </c>
    </row>
    <row r="87" spans="1:9" x14ac:dyDescent="0.25">
      <c r="A87">
        <v>112649</v>
      </c>
      <c r="B87" t="s">
        <v>450</v>
      </c>
      <c r="C87" t="s">
        <v>386</v>
      </c>
      <c r="D87" s="1" t="s">
        <v>447</v>
      </c>
      <c r="E87" s="1" t="s">
        <v>447</v>
      </c>
      <c r="F87" t="s">
        <v>212</v>
      </c>
      <c r="G87">
        <v>99</v>
      </c>
      <c r="H87" t="s">
        <v>213</v>
      </c>
    </row>
    <row r="88" spans="1:9" x14ac:dyDescent="0.25">
      <c r="A88">
        <v>112637</v>
      </c>
      <c r="B88" t="s">
        <v>454</v>
      </c>
      <c r="D88" s="1" t="s">
        <v>452</v>
      </c>
      <c r="E88" s="1" t="s">
        <v>453</v>
      </c>
      <c r="F88" t="s">
        <v>47</v>
      </c>
      <c r="G88">
        <v>25</v>
      </c>
      <c r="H88" t="s">
        <v>48</v>
      </c>
      <c r="I88" t="s">
        <v>455</v>
      </c>
    </row>
    <row r="89" spans="1:9" x14ac:dyDescent="0.25">
      <c r="A89">
        <v>112637</v>
      </c>
      <c r="B89" t="s">
        <v>456</v>
      </c>
      <c r="D89" s="1" t="s">
        <v>452</v>
      </c>
      <c r="E89" s="1" t="s">
        <v>453</v>
      </c>
      <c r="F89" t="s">
        <v>47</v>
      </c>
      <c r="G89">
        <v>25</v>
      </c>
      <c r="H89" t="s">
        <v>48</v>
      </c>
    </row>
    <row r="90" spans="1:9" x14ac:dyDescent="0.25">
      <c r="A90">
        <v>112637</v>
      </c>
      <c r="B90" t="s">
        <v>457</v>
      </c>
      <c r="D90" s="1" t="s">
        <v>452</v>
      </c>
      <c r="E90" s="1" t="s">
        <v>452</v>
      </c>
      <c r="F90" t="s">
        <v>47</v>
      </c>
      <c r="G90">
        <v>25</v>
      </c>
      <c r="H90" t="s">
        <v>48</v>
      </c>
    </row>
    <row r="91" spans="1:9" x14ac:dyDescent="0.25">
      <c r="A91">
        <v>112637</v>
      </c>
      <c r="B91" t="s">
        <v>458</v>
      </c>
      <c r="D91" s="1" t="s">
        <v>452</v>
      </c>
      <c r="E91" s="1" t="s">
        <v>453</v>
      </c>
      <c r="F91" t="s">
        <v>47</v>
      </c>
      <c r="G91">
        <v>9</v>
      </c>
      <c r="H91" t="s">
        <v>48</v>
      </c>
    </row>
    <row r="92" spans="1:9" x14ac:dyDescent="0.25">
      <c r="A92">
        <v>112637</v>
      </c>
      <c r="B92" t="s">
        <v>459</v>
      </c>
      <c r="C92" t="s">
        <v>384</v>
      </c>
      <c r="D92" s="1" t="s">
        <v>452</v>
      </c>
      <c r="E92" s="1" t="s">
        <v>453</v>
      </c>
      <c r="F92" t="s">
        <v>212</v>
      </c>
      <c r="G92">
        <v>84</v>
      </c>
      <c r="H92" t="s">
        <v>213</v>
      </c>
    </row>
  </sheetData>
  <pageMargins left="0.7" right="0.7" top="0.75" bottom="0.75" header="0.3" footer="0.3"/>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48"/>
  <sheetViews>
    <sheetView topLeftCell="A1057" workbookViewId="0">
      <selection activeCell="A1065" sqref="A1065:XFD1148"/>
    </sheetView>
  </sheetViews>
  <sheetFormatPr defaultRowHeight="15" x14ac:dyDescent="0.25"/>
  <cols>
    <col min="5" max="5" width="23.42578125" customWidth="1"/>
  </cols>
  <sheetData>
    <row r="1" spans="1:19" x14ac:dyDescent="0.25">
      <c r="A1" s="2" t="s">
        <v>0</v>
      </c>
      <c r="B1" s="2" t="s">
        <v>2</v>
      </c>
      <c r="C1" s="2" t="s">
        <v>4</v>
      </c>
      <c r="D1" s="2" t="s">
        <v>6</v>
      </c>
      <c r="E1" s="2" t="s">
        <v>7</v>
      </c>
      <c r="F1" s="2" t="s">
        <v>39</v>
      </c>
      <c r="G1" s="2" t="s">
        <v>41</v>
      </c>
      <c r="H1" s="2" t="s">
        <v>42</v>
      </c>
      <c r="I1" s="2" t="s">
        <v>11</v>
      </c>
      <c r="J1" s="2" t="s">
        <v>12</v>
      </c>
      <c r="K1" s="2" t="s">
        <v>13</v>
      </c>
      <c r="L1" s="2" t="s">
        <v>14</v>
      </c>
      <c r="M1" s="2" t="s">
        <v>17</v>
      </c>
      <c r="N1" s="2" t="s">
        <v>51</v>
      </c>
      <c r="O1" s="2" t="s">
        <v>52</v>
      </c>
      <c r="P1" s="2" t="s">
        <v>53</v>
      </c>
      <c r="Q1" s="2" t="s">
        <v>54</v>
      </c>
      <c r="R1" s="2" t="s">
        <v>55</v>
      </c>
      <c r="S1" s="2" t="s">
        <v>56</v>
      </c>
    </row>
    <row r="2" spans="1:19" x14ac:dyDescent="0.25">
      <c r="A2">
        <v>102061</v>
      </c>
      <c r="B2">
        <v>2022</v>
      </c>
      <c r="C2" t="s">
        <v>24</v>
      </c>
      <c r="D2" t="s">
        <v>26</v>
      </c>
      <c r="E2" t="s">
        <v>27</v>
      </c>
      <c r="F2" t="s">
        <v>46</v>
      </c>
      <c r="G2" s="1" t="s">
        <v>28</v>
      </c>
      <c r="H2" s="1" t="s">
        <v>29</v>
      </c>
      <c r="I2" t="s">
        <v>31</v>
      </c>
      <c r="J2" t="s">
        <v>32</v>
      </c>
      <c r="K2" t="s">
        <v>33</v>
      </c>
      <c r="L2" t="s">
        <v>34</v>
      </c>
      <c r="M2" t="s">
        <v>36</v>
      </c>
      <c r="N2">
        <v>1</v>
      </c>
      <c r="O2" t="s">
        <v>57</v>
      </c>
      <c r="S2" t="s">
        <v>58</v>
      </c>
    </row>
    <row r="3" spans="1:19" x14ac:dyDescent="0.25">
      <c r="A3">
        <v>102061</v>
      </c>
      <c r="B3">
        <v>2022</v>
      </c>
      <c r="C3" t="s">
        <v>24</v>
      </c>
      <c r="D3" t="s">
        <v>26</v>
      </c>
      <c r="E3" t="s">
        <v>27</v>
      </c>
      <c r="F3" t="s">
        <v>46</v>
      </c>
      <c r="G3" s="1" t="s">
        <v>28</v>
      </c>
      <c r="H3" s="1" t="s">
        <v>29</v>
      </c>
      <c r="I3" t="s">
        <v>31</v>
      </c>
      <c r="J3" t="s">
        <v>32</v>
      </c>
      <c r="K3" t="s">
        <v>33</v>
      </c>
      <c r="L3" t="s">
        <v>34</v>
      </c>
      <c r="M3" t="s">
        <v>36</v>
      </c>
      <c r="N3">
        <v>2</v>
      </c>
      <c r="O3" t="s">
        <v>57</v>
      </c>
      <c r="S3" t="s">
        <v>58</v>
      </c>
    </row>
    <row r="4" spans="1:19" x14ac:dyDescent="0.25">
      <c r="A4">
        <v>102061</v>
      </c>
      <c r="B4">
        <v>2022</v>
      </c>
      <c r="C4" t="s">
        <v>24</v>
      </c>
      <c r="D4" t="s">
        <v>26</v>
      </c>
      <c r="E4" t="s">
        <v>27</v>
      </c>
      <c r="F4" t="s">
        <v>46</v>
      </c>
      <c r="G4" s="1" t="s">
        <v>28</v>
      </c>
      <c r="H4" s="1" t="s">
        <v>29</v>
      </c>
      <c r="I4" t="s">
        <v>31</v>
      </c>
      <c r="J4" t="s">
        <v>32</v>
      </c>
      <c r="K4" t="s">
        <v>33</v>
      </c>
      <c r="L4" t="s">
        <v>34</v>
      </c>
      <c r="M4" t="s">
        <v>36</v>
      </c>
      <c r="N4">
        <v>3</v>
      </c>
      <c r="Q4" t="s">
        <v>59</v>
      </c>
    </row>
    <row r="5" spans="1:19" x14ac:dyDescent="0.25">
      <c r="A5">
        <v>102061</v>
      </c>
      <c r="B5">
        <v>2022</v>
      </c>
      <c r="C5" t="s">
        <v>24</v>
      </c>
      <c r="D5" t="s">
        <v>26</v>
      </c>
      <c r="E5" t="s">
        <v>27</v>
      </c>
      <c r="F5" t="s">
        <v>46</v>
      </c>
      <c r="G5" s="1" t="s">
        <v>28</v>
      </c>
      <c r="H5" s="1" t="s">
        <v>29</v>
      </c>
      <c r="I5" t="s">
        <v>31</v>
      </c>
      <c r="J5" t="s">
        <v>32</v>
      </c>
      <c r="K5" t="s">
        <v>33</v>
      </c>
      <c r="L5" t="s">
        <v>34</v>
      </c>
      <c r="M5" t="s">
        <v>36</v>
      </c>
      <c r="N5">
        <v>4</v>
      </c>
      <c r="P5" t="s">
        <v>60</v>
      </c>
      <c r="Q5" t="s">
        <v>59</v>
      </c>
      <c r="S5" t="s">
        <v>61</v>
      </c>
    </row>
    <row r="6" spans="1:19" x14ac:dyDescent="0.25">
      <c r="A6">
        <v>102061</v>
      </c>
      <c r="B6">
        <v>2022</v>
      </c>
      <c r="C6" t="s">
        <v>24</v>
      </c>
      <c r="D6" t="s">
        <v>26</v>
      </c>
      <c r="E6" t="s">
        <v>27</v>
      </c>
      <c r="F6" t="s">
        <v>46</v>
      </c>
      <c r="G6" s="1" t="s">
        <v>28</v>
      </c>
      <c r="H6" s="1" t="s">
        <v>29</v>
      </c>
      <c r="I6" t="s">
        <v>31</v>
      </c>
      <c r="J6" t="s">
        <v>32</v>
      </c>
      <c r="K6" t="s">
        <v>33</v>
      </c>
      <c r="L6" t="s">
        <v>34</v>
      </c>
      <c r="M6" t="s">
        <v>36</v>
      </c>
      <c r="N6">
        <v>5</v>
      </c>
      <c r="O6" t="s">
        <v>57</v>
      </c>
      <c r="S6" t="s">
        <v>58</v>
      </c>
    </row>
    <row r="7" spans="1:19" x14ac:dyDescent="0.25">
      <c r="A7">
        <v>102061</v>
      </c>
      <c r="B7">
        <v>2022</v>
      </c>
      <c r="C7" t="s">
        <v>24</v>
      </c>
      <c r="D7" t="s">
        <v>26</v>
      </c>
      <c r="E7" t="s">
        <v>27</v>
      </c>
      <c r="F7" t="s">
        <v>46</v>
      </c>
      <c r="G7" s="1" t="s">
        <v>28</v>
      </c>
      <c r="H7" s="1" t="s">
        <v>29</v>
      </c>
      <c r="I7" t="s">
        <v>31</v>
      </c>
      <c r="J7" t="s">
        <v>32</v>
      </c>
      <c r="K7" t="s">
        <v>33</v>
      </c>
      <c r="L7" t="s">
        <v>34</v>
      </c>
      <c r="M7" t="s">
        <v>36</v>
      </c>
      <c r="N7">
        <v>6</v>
      </c>
      <c r="O7" t="s">
        <v>57</v>
      </c>
      <c r="S7" t="s">
        <v>58</v>
      </c>
    </row>
    <row r="8" spans="1:19" x14ac:dyDescent="0.25">
      <c r="A8">
        <v>102061</v>
      </c>
      <c r="B8">
        <v>2022</v>
      </c>
      <c r="C8" t="s">
        <v>24</v>
      </c>
      <c r="D8" t="s">
        <v>26</v>
      </c>
      <c r="E8" t="s">
        <v>27</v>
      </c>
      <c r="F8" t="s">
        <v>46</v>
      </c>
      <c r="G8" s="1" t="s">
        <v>28</v>
      </c>
      <c r="H8" s="1" t="s">
        <v>29</v>
      </c>
      <c r="I8" t="s">
        <v>62</v>
      </c>
      <c r="J8" t="s">
        <v>32</v>
      </c>
      <c r="K8" t="s">
        <v>33</v>
      </c>
      <c r="L8" t="s">
        <v>34</v>
      </c>
      <c r="M8" t="s">
        <v>36</v>
      </c>
      <c r="N8">
        <v>7</v>
      </c>
      <c r="O8" t="s">
        <v>63</v>
      </c>
      <c r="S8" t="s">
        <v>64</v>
      </c>
    </row>
    <row r="9" spans="1:19" x14ac:dyDescent="0.25">
      <c r="A9">
        <v>102061</v>
      </c>
      <c r="B9">
        <v>2022</v>
      </c>
      <c r="C9" t="s">
        <v>24</v>
      </c>
      <c r="D9" t="s">
        <v>26</v>
      </c>
      <c r="E9" t="s">
        <v>27</v>
      </c>
      <c r="F9" t="s">
        <v>46</v>
      </c>
      <c r="G9" s="1" t="s">
        <v>28</v>
      </c>
      <c r="H9" s="1" t="s">
        <v>29</v>
      </c>
      <c r="I9" t="s">
        <v>31</v>
      </c>
      <c r="J9" t="s">
        <v>32</v>
      </c>
      <c r="K9" t="s">
        <v>33</v>
      </c>
      <c r="L9" t="s">
        <v>34</v>
      </c>
      <c r="M9" t="s">
        <v>36</v>
      </c>
      <c r="N9">
        <v>8</v>
      </c>
      <c r="Q9" t="s">
        <v>65</v>
      </c>
    </row>
    <row r="10" spans="1:19" x14ac:dyDescent="0.25">
      <c r="A10">
        <v>102061</v>
      </c>
      <c r="B10">
        <v>2022</v>
      </c>
      <c r="C10" t="s">
        <v>24</v>
      </c>
      <c r="D10" t="s">
        <v>26</v>
      </c>
      <c r="E10" t="s">
        <v>27</v>
      </c>
      <c r="F10" t="s">
        <v>46</v>
      </c>
      <c r="G10" s="1" t="s">
        <v>28</v>
      </c>
      <c r="H10" s="1" t="s">
        <v>29</v>
      </c>
      <c r="I10" t="s">
        <v>31</v>
      </c>
      <c r="J10" t="s">
        <v>32</v>
      </c>
      <c r="K10" t="s">
        <v>33</v>
      </c>
      <c r="L10" t="s">
        <v>34</v>
      </c>
      <c r="M10" t="s">
        <v>36</v>
      </c>
      <c r="N10">
        <v>9</v>
      </c>
      <c r="P10" t="s">
        <v>60</v>
      </c>
      <c r="Q10" t="s">
        <v>59</v>
      </c>
      <c r="S10" t="s">
        <v>61</v>
      </c>
    </row>
    <row r="11" spans="1:19" x14ac:dyDescent="0.25">
      <c r="A11">
        <v>102061</v>
      </c>
      <c r="B11">
        <v>2022</v>
      </c>
      <c r="C11" t="s">
        <v>24</v>
      </c>
      <c r="D11" t="s">
        <v>26</v>
      </c>
      <c r="E11" t="s">
        <v>27</v>
      </c>
      <c r="F11" t="s">
        <v>46</v>
      </c>
      <c r="G11" s="1" t="s">
        <v>28</v>
      </c>
      <c r="H11" s="1" t="s">
        <v>29</v>
      </c>
      <c r="I11" t="s">
        <v>31</v>
      </c>
      <c r="J11" t="s">
        <v>32</v>
      </c>
      <c r="K11" t="s">
        <v>33</v>
      </c>
      <c r="L11" t="s">
        <v>34</v>
      </c>
      <c r="M11" t="s">
        <v>36</v>
      </c>
      <c r="N11">
        <v>10</v>
      </c>
      <c r="O11" t="s">
        <v>57</v>
      </c>
      <c r="S11" t="s">
        <v>58</v>
      </c>
    </row>
    <row r="12" spans="1:19" x14ac:dyDescent="0.25">
      <c r="A12">
        <v>102061</v>
      </c>
      <c r="B12">
        <v>2022</v>
      </c>
      <c r="C12" t="s">
        <v>24</v>
      </c>
      <c r="D12" t="s">
        <v>26</v>
      </c>
      <c r="E12" t="s">
        <v>27</v>
      </c>
      <c r="F12" t="s">
        <v>46</v>
      </c>
      <c r="G12" s="1" t="s">
        <v>28</v>
      </c>
      <c r="H12" s="1" t="s">
        <v>29</v>
      </c>
      <c r="I12" t="s">
        <v>31</v>
      </c>
      <c r="J12" t="s">
        <v>32</v>
      </c>
      <c r="K12" t="s">
        <v>33</v>
      </c>
      <c r="L12" t="s">
        <v>34</v>
      </c>
      <c r="M12" t="s">
        <v>36</v>
      </c>
      <c r="N12">
        <v>11</v>
      </c>
      <c r="P12" t="s">
        <v>60</v>
      </c>
      <c r="Q12" t="s">
        <v>59</v>
      </c>
      <c r="S12" t="s">
        <v>61</v>
      </c>
    </row>
    <row r="13" spans="1:19" x14ac:dyDescent="0.25">
      <c r="A13">
        <v>102061</v>
      </c>
      <c r="B13">
        <v>2022</v>
      </c>
      <c r="C13" t="s">
        <v>24</v>
      </c>
      <c r="D13" t="s">
        <v>26</v>
      </c>
      <c r="E13" t="s">
        <v>27</v>
      </c>
      <c r="F13" t="s">
        <v>46</v>
      </c>
      <c r="G13" s="1" t="s">
        <v>28</v>
      </c>
      <c r="H13" s="1" t="s">
        <v>29</v>
      </c>
      <c r="I13" t="s">
        <v>31</v>
      </c>
      <c r="J13" t="s">
        <v>32</v>
      </c>
      <c r="K13" t="s">
        <v>33</v>
      </c>
      <c r="L13" t="s">
        <v>34</v>
      </c>
      <c r="M13" t="s">
        <v>36</v>
      </c>
      <c r="N13">
        <v>12</v>
      </c>
      <c r="O13" t="s">
        <v>57</v>
      </c>
      <c r="S13" t="s">
        <v>58</v>
      </c>
    </row>
    <row r="14" spans="1:19" x14ac:dyDescent="0.25">
      <c r="A14">
        <v>102061</v>
      </c>
      <c r="B14">
        <v>2022</v>
      </c>
      <c r="C14" t="s">
        <v>24</v>
      </c>
      <c r="D14" t="s">
        <v>26</v>
      </c>
      <c r="E14" t="s">
        <v>27</v>
      </c>
      <c r="F14" t="s">
        <v>46</v>
      </c>
      <c r="G14" s="1" t="s">
        <v>28</v>
      </c>
      <c r="H14" s="1" t="s">
        <v>29</v>
      </c>
      <c r="I14" t="s">
        <v>31</v>
      </c>
      <c r="J14" t="s">
        <v>32</v>
      </c>
      <c r="K14" t="s">
        <v>33</v>
      </c>
      <c r="L14" t="s">
        <v>34</v>
      </c>
      <c r="M14" t="s">
        <v>36</v>
      </c>
      <c r="N14">
        <v>13</v>
      </c>
      <c r="O14" t="s">
        <v>66</v>
      </c>
      <c r="S14" t="s">
        <v>67</v>
      </c>
    </row>
    <row r="15" spans="1:19" x14ac:dyDescent="0.25">
      <c r="A15">
        <v>102061</v>
      </c>
      <c r="B15">
        <v>2022</v>
      </c>
      <c r="C15" t="s">
        <v>24</v>
      </c>
      <c r="D15" t="s">
        <v>26</v>
      </c>
      <c r="E15" t="s">
        <v>27</v>
      </c>
      <c r="F15" t="s">
        <v>46</v>
      </c>
      <c r="G15" s="1" t="s">
        <v>28</v>
      </c>
      <c r="H15" s="1" t="s">
        <v>29</v>
      </c>
      <c r="I15" t="s">
        <v>31</v>
      </c>
      <c r="J15" t="s">
        <v>32</v>
      </c>
      <c r="K15" t="s">
        <v>33</v>
      </c>
      <c r="L15" t="s">
        <v>34</v>
      </c>
      <c r="M15" t="s">
        <v>36</v>
      </c>
      <c r="N15">
        <v>14</v>
      </c>
      <c r="Q15" t="s">
        <v>59</v>
      </c>
    </row>
    <row r="16" spans="1:19" x14ac:dyDescent="0.25">
      <c r="A16">
        <v>102061</v>
      </c>
      <c r="B16">
        <v>2022</v>
      </c>
      <c r="C16" t="s">
        <v>24</v>
      </c>
      <c r="D16" t="s">
        <v>26</v>
      </c>
      <c r="E16" t="s">
        <v>27</v>
      </c>
      <c r="F16" t="s">
        <v>46</v>
      </c>
      <c r="G16" s="1" t="s">
        <v>28</v>
      </c>
      <c r="H16" s="1" t="s">
        <v>29</v>
      </c>
      <c r="I16" t="s">
        <v>31</v>
      </c>
      <c r="J16" t="s">
        <v>32</v>
      </c>
      <c r="K16" t="s">
        <v>33</v>
      </c>
      <c r="L16" t="s">
        <v>34</v>
      </c>
      <c r="M16" t="s">
        <v>36</v>
      </c>
      <c r="N16">
        <v>15</v>
      </c>
      <c r="O16" t="s">
        <v>57</v>
      </c>
      <c r="S16" t="s">
        <v>58</v>
      </c>
    </row>
    <row r="17" spans="1:19" x14ac:dyDescent="0.25">
      <c r="A17">
        <v>102061</v>
      </c>
      <c r="B17">
        <v>2022</v>
      </c>
      <c r="C17" t="s">
        <v>24</v>
      </c>
      <c r="D17" t="s">
        <v>26</v>
      </c>
      <c r="E17" t="s">
        <v>27</v>
      </c>
      <c r="F17" t="s">
        <v>46</v>
      </c>
      <c r="G17" s="1" t="s">
        <v>28</v>
      </c>
      <c r="H17" s="1" t="s">
        <v>29</v>
      </c>
      <c r="I17" t="s">
        <v>31</v>
      </c>
      <c r="J17" t="s">
        <v>32</v>
      </c>
      <c r="K17" t="s">
        <v>33</v>
      </c>
      <c r="L17" t="s">
        <v>34</v>
      </c>
      <c r="M17" t="s">
        <v>36</v>
      </c>
      <c r="N17">
        <v>16</v>
      </c>
      <c r="O17" t="s">
        <v>68</v>
      </c>
      <c r="S17" t="s">
        <v>69</v>
      </c>
    </row>
    <row r="18" spans="1:19" x14ac:dyDescent="0.25">
      <c r="A18">
        <v>102061</v>
      </c>
      <c r="B18">
        <v>2022</v>
      </c>
      <c r="C18" t="s">
        <v>24</v>
      </c>
      <c r="D18" t="s">
        <v>26</v>
      </c>
      <c r="E18" t="s">
        <v>27</v>
      </c>
      <c r="F18" t="s">
        <v>46</v>
      </c>
      <c r="G18" s="1" t="s">
        <v>28</v>
      </c>
      <c r="H18" s="1" t="s">
        <v>29</v>
      </c>
      <c r="I18" t="s">
        <v>62</v>
      </c>
      <c r="J18" t="s">
        <v>32</v>
      </c>
      <c r="K18" t="s">
        <v>33</v>
      </c>
      <c r="L18" t="s">
        <v>34</v>
      </c>
      <c r="M18" t="s">
        <v>36</v>
      </c>
      <c r="N18">
        <v>17</v>
      </c>
      <c r="O18" t="s">
        <v>63</v>
      </c>
      <c r="S18" t="s">
        <v>64</v>
      </c>
    </row>
    <row r="19" spans="1:19" x14ac:dyDescent="0.25">
      <c r="A19">
        <v>102061</v>
      </c>
      <c r="B19">
        <v>2022</v>
      </c>
      <c r="C19" t="s">
        <v>24</v>
      </c>
      <c r="D19" t="s">
        <v>26</v>
      </c>
      <c r="E19" t="s">
        <v>27</v>
      </c>
      <c r="F19" t="s">
        <v>46</v>
      </c>
      <c r="G19" s="1" t="s">
        <v>28</v>
      </c>
      <c r="H19" s="1" t="s">
        <v>29</v>
      </c>
      <c r="I19" t="s">
        <v>31</v>
      </c>
      <c r="J19" t="s">
        <v>32</v>
      </c>
      <c r="K19" t="s">
        <v>33</v>
      </c>
      <c r="L19" t="s">
        <v>34</v>
      </c>
      <c r="M19" t="s">
        <v>36</v>
      </c>
      <c r="N19">
        <v>18</v>
      </c>
      <c r="P19" t="s">
        <v>70</v>
      </c>
      <c r="Q19" t="s">
        <v>59</v>
      </c>
      <c r="S19" t="s">
        <v>71</v>
      </c>
    </row>
    <row r="20" spans="1:19" x14ac:dyDescent="0.25">
      <c r="A20">
        <v>102061</v>
      </c>
      <c r="B20">
        <v>2022</v>
      </c>
      <c r="C20" t="s">
        <v>24</v>
      </c>
      <c r="D20" t="s">
        <v>26</v>
      </c>
      <c r="E20" t="s">
        <v>27</v>
      </c>
      <c r="F20" t="s">
        <v>46</v>
      </c>
      <c r="G20" s="1" t="s">
        <v>28</v>
      </c>
      <c r="H20" s="1" t="s">
        <v>29</v>
      </c>
      <c r="I20" t="s">
        <v>31</v>
      </c>
      <c r="J20" t="s">
        <v>32</v>
      </c>
      <c r="K20" t="s">
        <v>33</v>
      </c>
      <c r="L20" t="s">
        <v>34</v>
      </c>
      <c r="M20" t="s">
        <v>36</v>
      </c>
      <c r="N20">
        <v>19</v>
      </c>
      <c r="O20" t="s">
        <v>68</v>
      </c>
      <c r="S20" t="s">
        <v>69</v>
      </c>
    </row>
    <row r="21" spans="1:19" x14ac:dyDescent="0.25">
      <c r="A21">
        <v>102061</v>
      </c>
      <c r="B21">
        <v>2022</v>
      </c>
      <c r="C21" t="s">
        <v>24</v>
      </c>
      <c r="D21" t="s">
        <v>26</v>
      </c>
      <c r="E21" t="s">
        <v>27</v>
      </c>
      <c r="F21" t="s">
        <v>46</v>
      </c>
      <c r="G21" s="1" t="s">
        <v>28</v>
      </c>
      <c r="H21" s="1" t="s">
        <v>29</v>
      </c>
      <c r="I21" t="s">
        <v>31</v>
      </c>
      <c r="J21" t="s">
        <v>32</v>
      </c>
      <c r="K21" t="s">
        <v>33</v>
      </c>
      <c r="L21" t="s">
        <v>34</v>
      </c>
      <c r="M21" t="s">
        <v>36</v>
      </c>
      <c r="N21">
        <v>20</v>
      </c>
      <c r="O21" t="s">
        <v>57</v>
      </c>
      <c r="S21" t="s">
        <v>58</v>
      </c>
    </row>
    <row r="22" spans="1:19" x14ac:dyDescent="0.25">
      <c r="A22">
        <v>102061</v>
      </c>
      <c r="B22">
        <v>2022</v>
      </c>
      <c r="C22" t="s">
        <v>24</v>
      </c>
      <c r="D22" t="s">
        <v>26</v>
      </c>
      <c r="E22" t="s">
        <v>27</v>
      </c>
      <c r="F22" t="s">
        <v>46</v>
      </c>
      <c r="G22" s="1" t="s">
        <v>28</v>
      </c>
      <c r="H22" s="1" t="s">
        <v>29</v>
      </c>
      <c r="I22" t="s">
        <v>31</v>
      </c>
      <c r="J22" t="s">
        <v>32</v>
      </c>
      <c r="K22" t="s">
        <v>33</v>
      </c>
      <c r="L22" t="s">
        <v>34</v>
      </c>
      <c r="M22" t="s">
        <v>36</v>
      </c>
      <c r="N22">
        <v>21</v>
      </c>
      <c r="Q22" t="s">
        <v>59</v>
      </c>
    </row>
    <row r="23" spans="1:19" x14ac:dyDescent="0.25">
      <c r="A23">
        <v>102061</v>
      </c>
      <c r="B23">
        <v>2022</v>
      </c>
      <c r="C23" t="s">
        <v>24</v>
      </c>
      <c r="D23" t="s">
        <v>26</v>
      </c>
      <c r="E23" t="s">
        <v>27</v>
      </c>
      <c r="F23" t="s">
        <v>46</v>
      </c>
      <c r="G23" s="1" t="s">
        <v>28</v>
      </c>
      <c r="H23" s="1" t="s">
        <v>29</v>
      </c>
      <c r="I23" t="s">
        <v>31</v>
      </c>
      <c r="J23" t="s">
        <v>32</v>
      </c>
      <c r="K23" t="s">
        <v>33</v>
      </c>
      <c r="L23" t="s">
        <v>34</v>
      </c>
      <c r="M23" t="s">
        <v>36</v>
      </c>
      <c r="N23">
        <v>22</v>
      </c>
      <c r="Q23" t="s">
        <v>59</v>
      </c>
    </row>
    <row r="24" spans="1:19" x14ac:dyDescent="0.25">
      <c r="A24">
        <v>102061</v>
      </c>
      <c r="B24">
        <v>2022</v>
      </c>
      <c r="C24" t="s">
        <v>24</v>
      </c>
      <c r="D24" t="s">
        <v>26</v>
      </c>
      <c r="E24" t="s">
        <v>27</v>
      </c>
      <c r="F24" t="s">
        <v>46</v>
      </c>
      <c r="G24" s="1" t="s">
        <v>28</v>
      </c>
      <c r="H24" s="1" t="s">
        <v>29</v>
      </c>
      <c r="I24" t="s">
        <v>31</v>
      </c>
      <c r="J24" t="s">
        <v>32</v>
      </c>
      <c r="K24" t="s">
        <v>33</v>
      </c>
      <c r="L24" t="s">
        <v>34</v>
      </c>
      <c r="M24" t="s">
        <v>36</v>
      </c>
      <c r="N24">
        <v>23</v>
      </c>
      <c r="Q24" t="s">
        <v>72</v>
      </c>
    </row>
    <row r="25" spans="1:19" x14ac:dyDescent="0.25">
      <c r="A25">
        <v>102061</v>
      </c>
      <c r="B25">
        <v>2022</v>
      </c>
      <c r="C25" t="s">
        <v>24</v>
      </c>
      <c r="D25" t="s">
        <v>26</v>
      </c>
      <c r="E25" t="s">
        <v>27</v>
      </c>
      <c r="F25" t="s">
        <v>46</v>
      </c>
      <c r="G25" s="1" t="s">
        <v>28</v>
      </c>
      <c r="H25" s="1" t="s">
        <v>29</v>
      </c>
      <c r="I25" t="s">
        <v>31</v>
      </c>
      <c r="J25" t="s">
        <v>32</v>
      </c>
      <c r="K25" t="s">
        <v>33</v>
      </c>
      <c r="L25" t="s">
        <v>34</v>
      </c>
      <c r="M25" t="s">
        <v>36</v>
      </c>
      <c r="N25">
        <v>24</v>
      </c>
      <c r="Q25" t="s">
        <v>72</v>
      </c>
    </row>
    <row r="26" spans="1:19" x14ac:dyDescent="0.25">
      <c r="A26">
        <v>102061</v>
      </c>
      <c r="B26">
        <v>2022</v>
      </c>
      <c r="C26" t="s">
        <v>24</v>
      </c>
      <c r="D26" t="s">
        <v>26</v>
      </c>
      <c r="E26" t="s">
        <v>27</v>
      </c>
      <c r="F26" t="s">
        <v>46</v>
      </c>
      <c r="G26" s="1" t="s">
        <v>28</v>
      </c>
      <c r="H26" s="1" t="s">
        <v>29</v>
      </c>
      <c r="I26" t="s">
        <v>31</v>
      </c>
      <c r="J26" t="s">
        <v>32</v>
      </c>
      <c r="K26" t="s">
        <v>33</v>
      </c>
      <c r="L26" t="s">
        <v>34</v>
      </c>
      <c r="M26" t="s">
        <v>36</v>
      </c>
      <c r="N26">
        <v>25</v>
      </c>
      <c r="Q26" t="s">
        <v>72</v>
      </c>
    </row>
    <row r="27" spans="1:19" x14ac:dyDescent="0.25">
      <c r="A27">
        <v>102061</v>
      </c>
      <c r="B27">
        <v>2022</v>
      </c>
      <c r="C27" t="s">
        <v>24</v>
      </c>
      <c r="D27" t="s">
        <v>26</v>
      </c>
      <c r="E27" t="s">
        <v>27</v>
      </c>
      <c r="F27" t="s">
        <v>49</v>
      </c>
      <c r="G27" s="1" t="s">
        <v>28</v>
      </c>
      <c r="H27" s="1" t="s">
        <v>29</v>
      </c>
      <c r="I27" t="s">
        <v>31</v>
      </c>
      <c r="J27" t="s">
        <v>32</v>
      </c>
      <c r="K27" t="s">
        <v>33</v>
      </c>
      <c r="L27" t="s">
        <v>34</v>
      </c>
      <c r="M27" t="s">
        <v>36</v>
      </c>
      <c r="N27">
        <v>1</v>
      </c>
      <c r="Q27" t="s">
        <v>72</v>
      </c>
    </row>
    <row r="28" spans="1:19" x14ac:dyDescent="0.25">
      <c r="A28">
        <v>102061</v>
      </c>
      <c r="B28">
        <v>2022</v>
      </c>
      <c r="C28" t="s">
        <v>24</v>
      </c>
      <c r="D28" t="s">
        <v>26</v>
      </c>
      <c r="E28" t="s">
        <v>27</v>
      </c>
      <c r="F28" t="s">
        <v>49</v>
      </c>
      <c r="G28" s="1" t="s">
        <v>28</v>
      </c>
      <c r="H28" s="1" t="s">
        <v>29</v>
      </c>
      <c r="I28" t="s">
        <v>31</v>
      </c>
      <c r="J28" t="s">
        <v>32</v>
      </c>
      <c r="K28" t="s">
        <v>33</v>
      </c>
      <c r="L28" t="s">
        <v>34</v>
      </c>
      <c r="M28" t="s">
        <v>36</v>
      </c>
      <c r="N28">
        <v>2</v>
      </c>
      <c r="P28" t="s">
        <v>70</v>
      </c>
      <c r="Q28" t="s">
        <v>59</v>
      </c>
      <c r="S28" t="s">
        <v>71</v>
      </c>
    </row>
    <row r="29" spans="1:19" x14ac:dyDescent="0.25">
      <c r="A29">
        <v>114303</v>
      </c>
      <c r="B29">
        <v>2023</v>
      </c>
      <c r="C29" t="s">
        <v>24</v>
      </c>
      <c r="D29" t="s">
        <v>26</v>
      </c>
      <c r="E29" t="s">
        <v>177</v>
      </c>
      <c r="F29" t="s">
        <v>186</v>
      </c>
      <c r="G29" s="1" t="s">
        <v>187</v>
      </c>
      <c r="H29" s="1" t="s">
        <v>187</v>
      </c>
      <c r="I29" t="s">
        <v>31</v>
      </c>
      <c r="J29" t="s">
        <v>32</v>
      </c>
      <c r="K29" t="s">
        <v>33</v>
      </c>
      <c r="L29" t="s">
        <v>181</v>
      </c>
      <c r="M29" t="s">
        <v>36</v>
      </c>
      <c r="N29">
        <v>1</v>
      </c>
      <c r="P29" t="s">
        <v>60</v>
      </c>
      <c r="Q29" t="s">
        <v>130</v>
      </c>
      <c r="S29" t="s">
        <v>61</v>
      </c>
    </row>
    <row r="30" spans="1:19" x14ac:dyDescent="0.25">
      <c r="A30">
        <v>114303</v>
      </c>
      <c r="B30">
        <v>2023</v>
      </c>
      <c r="C30" t="s">
        <v>24</v>
      </c>
      <c r="D30" t="s">
        <v>26</v>
      </c>
      <c r="E30" t="s">
        <v>177</v>
      </c>
      <c r="F30" t="s">
        <v>186</v>
      </c>
      <c r="G30" s="1" t="s">
        <v>187</v>
      </c>
      <c r="H30" s="1" t="s">
        <v>187</v>
      </c>
      <c r="I30" t="s">
        <v>31</v>
      </c>
      <c r="J30" t="s">
        <v>32</v>
      </c>
      <c r="K30" t="s">
        <v>33</v>
      </c>
      <c r="L30" t="s">
        <v>181</v>
      </c>
      <c r="M30" t="s">
        <v>36</v>
      </c>
      <c r="N30">
        <v>2</v>
      </c>
      <c r="O30" t="s">
        <v>57</v>
      </c>
      <c r="S30" t="s">
        <v>58</v>
      </c>
    </row>
    <row r="31" spans="1:19" x14ac:dyDescent="0.25">
      <c r="A31">
        <v>114303</v>
      </c>
      <c r="B31">
        <v>2023</v>
      </c>
      <c r="C31" t="s">
        <v>24</v>
      </c>
      <c r="D31" t="s">
        <v>26</v>
      </c>
      <c r="E31" t="s">
        <v>177</v>
      </c>
      <c r="F31" t="s">
        <v>186</v>
      </c>
      <c r="G31" s="1" t="s">
        <v>187</v>
      </c>
      <c r="H31" s="1" t="s">
        <v>187</v>
      </c>
      <c r="I31" t="s">
        <v>31</v>
      </c>
      <c r="J31" t="s">
        <v>32</v>
      </c>
      <c r="K31" t="s">
        <v>33</v>
      </c>
      <c r="L31" t="s">
        <v>181</v>
      </c>
      <c r="M31" t="s">
        <v>36</v>
      </c>
      <c r="N31">
        <v>3</v>
      </c>
      <c r="O31" t="s">
        <v>57</v>
      </c>
      <c r="S31" t="s">
        <v>58</v>
      </c>
    </row>
    <row r="32" spans="1:19" x14ac:dyDescent="0.25">
      <c r="A32">
        <v>114303</v>
      </c>
      <c r="B32">
        <v>2023</v>
      </c>
      <c r="C32" t="s">
        <v>24</v>
      </c>
      <c r="D32" t="s">
        <v>26</v>
      </c>
      <c r="E32" t="s">
        <v>177</v>
      </c>
      <c r="F32" t="s">
        <v>186</v>
      </c>
      <c r="G32" s="1" t="s">
        <v>187</v>
      </c>
      <c r="H32" s="1" t="s">
        <v>187</v>
      </c>
      <c r="I32" t="s">
        <v>31</v>
      </c>
      <c r="J32" t="s">
        <v>32</v>
      </c>
      <c r="K32" t="s">
        <v>33</v>
      </c>
      <c r="L32" t="s">
        <v>181</v>
      </c>
      <c r="M32" t="s">
        <v>36</v>
      </c>
      <c r="N32">
        <v>4</v>
      </c>
      <c r="Q32" t="s">
        <v>72</v>
      </c>
    </row>
    <row r="33" spans="1:19" x14ac:dyDescent="0.25">
      <c r="A33">
        <v>114303</v>
      </c>
      <c r="B33">
        <v>2023</v>
      </c>
      <c r="C33" t="s">
        <v>24</v>
      </c>
      <c r="D33" t="s">
        <v>26</v>
      </c>
      <c r="E33" t="s">
        <v>177</v>
      </c>
      <c r="F33" t="s">
        <v>186</v>
      </c>
      <c r="G33" s="1" t="s">
        <v>187</v>
      </c>
      <c r="H33" s="1" t="s">
        <v>187</v>
      </c>
      <c r="I33" t="s">
        <v>31</v>
      </c>
      <c r="J33" t="s">
        <v>32</v>
      </c>
      <c r="K33" t="s">
        <v>33</v>
      </c>
      <c r="L33" t="s">
        <v>181</v>
      </c>
      <c r="M33" t="s">
        <v>36</v>
      </c>
      <c r="N33">
        <v>5</v>
      </c>
      <c r="O33" t="s">
        <v>68</v>
      </c>
      <c r="R33" t="s">
        <v>190</v>
      </c>
      <c r="S33" t="s">
        <v>69</v>
      </c>
    </row>
    <row r="34" spans="1:19" x14ac:dyDescent="0.25">
      <c r="A34">
        <v>114303</v>
      </c>
      <c r="B34">
        <v>2023</v>
      </c>
      <c r="C34" t="s">
        <v>24</v>
      </c>
      <c r="D34" t="s">
        <v>26</v>
      </c>
      <c r="E34" t="s">
        <v>177</v>
      </c>
      <c r="F34" t="s">
        <v>186</v>
      </c>
      <c r="G34" s="1" t="s">
        <v>187</v>
      </c>
      <c r="H34" s="1" t="s">
        <v>187</v>
      </c>
      <c r="I34" t="s">
        <v>31</v>
      </c>
      <c r="J34" t="s">
        <v>32</v>
      </c>
      <c r="K34" t="s">
        <v>33</v>
      </c>
      <c r="L34" t="s">
        <v>181</v>
      </c>
      <c r="M34" t="s">
        <v>36</v>
      </c>
      <c r="N34">
        <v>6</v>
      </c>
      <c r="O34" t="s">
        <v>57</v>
      </c>
      <c r="S34" t="s">
        <v>58</v>
      </c>
    </row>
    <row r="35" spans="1:19" x14ac:dyDescent="0.25">
      <c r="A35">
        <v>114303</v>
      </c>
      <c r="B35">
        <v>2023</v>
      </c>
      <c r="C35" t="s">
        <v>24</v>
      </c>
      <c r="D35" t="s">
        <v>26</v>
      </c>
      <c r="E35" t="s">
        <v>177</v>
      </c>
      <c r="F35" t="s">
        <v>186</v>
      </c>
      <c r="G35" s="1" t="s">
        <v>187</v>
      </c>
      <c r="H35" s="1" t="s">
        <v>187</v>
      </c>
      <c r="I35" t="s">
        <v>31</v>
      </c>
      <c r="J35" t="s">
        <v>32</v>
      </c>
      <c r="K35" t="s">
        <v>33</v>
      </c>
      <c r="L35" t="s">
        <v>181</v>
      </c>
      <c r="M35" t="s">
        <v>36</v>
      </c>
      <c r="N35">
        <v>7</v>
      </c>
      <c r="P35" t="s">
        <v>60</v>
      </c>
      <c r="Q35" t="s">
        <v>130</v>
      </c>
      <c r="S35" t="s">
        <v>61</v>
      </c>
    </row>
    <row r="36" spans="1:19" x14ac:dyDescent="0.25">
      <c r="A36">
        <v>114303</v>
      </c>
      <c r="B36">
        <v>2023</v>
      </c>
      <c r="C36" t="s">
        <v>24</v>
      </c>
      <c r="D36" t="s">
        <v>26</v>
      </c>
      <c r="E36" t="s">
        <v>177</v>
      </c>
      <c r="F36" t="s">
        <v>188</v>
      </c>
      <c r="G36" s="1" t="s">
        <v>189</v>
      </c>
      <c r="H36" s="1" t="s">
        <v>179</v>
      </c>
      <c r="I36" t="s">
        <v>31</v>
      </c>
      <c r="J36" t="s">
        <v>32</v>
      </c>
      <c r="K36" t="s">
        <v>33</v>
      </c>
      <c r="L36" t="s">
        <v>181</v>
      </c>
      <c r="M36" t="s">
        <v>36</v>
      </c>
      <c r="N36">
        <v>1</v>
      </c>
      <c r="Q36" t="s">
        <v>151</v>
      </c>
    </row>
    <row r="37" spans="1:19" x14ac:dyDescent="0.25">
      <c r="A37">
        <v>114303</v>
      </c>
      <c r="B37">
        <v>2023</v>
      </c>
      <c r="C37" t="s">
        <v>24</v>
      </c>
      <c r="D37" t="s">
        <v>26</v>
      </c>
      <c r="E37" t="s">
        <v>177</v>
      </c>
      <c r="F37" t="s">
        <v>188</v>
      </c>
      <c r="G37" s="1" t="s">
        <v>189</v>
      </c>
      <c r="H37" s="1" t="s">
        <v>179</v>
      </c>
      <c r="I37" t="s">
        <v>31</v>
      </c>
      <c r="J37" t="s">
        <v>32</v>
      </c>
      <c r="K37" t="s">
        <v>33</v>
      </c>
      <c r="L37" t="s">
        <v>181</v>
      </c>
      <c r="M37" t="s">
        <v>36</v>
      </c>
      <c r="N37">
        <v>2</v>
      </c>
      <c r="Q37" t="s">
        <v>151</v>
      </c>
    </row>
    <row r="38" spans="1:19" x14ac:dyDescent="0.25">
      <c r="A38">
        <v>114303</v>
      </c>
      <c r="B38">
        <v>2023</v>
      </c>
      <c r="C38" t="s">
        <v>24</v>
      </c>
      <c r="D38" t="s">
        <v>26</v>
      </c>
      <c r="E38" t="s">
        <v>177</v>
      </c>
      <c r="F38" t="s">
        <v>188</v>
      </c>
      <c r="G38" s="1" t="s">
        <v>189</v>
      </c>
      <c r="H38" s="1" t="s">
        <v>179</v>
      </c>
      <c r="I38" t="s">
        <v>31</v>
      </c>
      <c r="J38" t="s">
        <v>32</v>
      </c>
      <c r="K38" t="s">
        <v>33</v>
      </c>
      <c r="L38" t="s">
        <v>181</v>
      </c>
      <c r="M38" t="s">
        <v>36</v>
      </c>
      <c r="N38">
        <v>3</v>
      </c>
      <c r="O38" t="s">
        <v>57</v>
      </c>
      <c r="S38" t="s">
        <v>58</v>
      </c>
    </row>
    <row r="39" spans="1:19" x14ac:dyDescent="0.25">
      <c r="A39">
        <v>114303</v>
      </c>
      <c r="B39">
        <v>2023</v>
      </c>
      <c r="C39" t="s">
        <v>24</v>
      </c>
      <c r="D39" t="s">
        <v>26</v>
      </c>
      <c r="E39" t="s">
        <v>177</v>
      </c>
      <c r="F39" t="s">
        <v>188</v>
      </c>
      <c r="G39" s="1" t="s">
        <v>189</v>
      </c>
      <c r="H39" s="1" t="s">
        <v>179</v>
      </c>
      <c r="I39" t="s">
        <v>31</v>
      </c>
      <c r="J39" t="s">
        <v>32</v>
      </c>
      <c r="K39" t="s">
        <v>33</v>
      </c>
      <c r="L39" t="s">
        <v>181</v>
      </c>
      <c r="M39" t="s">
        <v>36</v>
      </c>
      <c r="N39">
        <v>4</v>
      </c>
      <c r="Q39" t="s">
        <v>72</v>
      </c>
    </row>
    <row r="40" spans="1:19" x14ac:dyDescent="0.25">
      <c r="A40">
        <v>114303</v>
      </c>
      <c r="B40">
        <v>2023</v>
      </c>
      <c r="C40" t="s">
        <v>24</v>
      </c>
      <c r="D40" t="s">
        <v>26</v>
      </c>
      <c r="E40" t="s">
        <v>177</v>
      </c>
      <c r="F40" t="s">
        <v>188</v>
      </c>
      <c r="G40" s="1" t="s">
        <v>189</v>
      </c>
      <c r="H40" s="1" t="s">
        <v>179</v>
      </c>
      <c r="I40" t="s">
        <v>31</v>
      </c>
      <c r="J40" t="s">
        <v>32</v>
      </c>
      <c r="K40" t="s">
        <v>33</v>
      </c>
      <c r="L40" t="s">
        <v>181</v>
      </c>
      <c r="M40" t="s">
        <v>36</v>
      </c>
      <c r="N40">
        <v>5</v>
      </c>
      <c r="Q40" t="s">
        <v>72</v>
      </c>
    </row>
    <row r="41" spans="1:19" x14ac:dyDescent="0.25">
      <c r="A41">
        <v>114303</v>
      </c>
      <c r="B41">
        <v>2023</v>
      </c>
      <c r="C41" t="s">
        <v>24</v>
      </c>
      <c r="D41" t="s">
        <v>26</v>
      </c>
      <c r="E41" t="s">
        <v>177</v>
      </c>
      <c r="F41" t="s">
        <v>188</v>
      </c>
      <c r="G41" s="1" t="s">
        <v>189</v>
      </c>
      <c r="H41" s="1" t="s">
        <v>179</v>
      </c>
      <c r="I41" t="s">
        <v>31</v>
      </c>
      <c r="J41" t="s">
        <v>32</v>
      </c>
      <c r="K41" t="s">
        <v>33</v>
      </c>
      <c r="L41" t="s">
        <v>181</v>
      </c>
      <c r="M41" t="s">
        <v>36</v>
      </c>
      <c r="N41">
        <v>6</v>
      </c>
      <c r="O41" t="s">
        <v>57</v>
      </c>
      <c r="S41" t="s">
        <v>58</v>
      </c>
    </row>
    <row r="42" spans="1:19" x14ac:dyDescent="0.25">
      <c r="A42">
        <v>114303</v>
      </c>
      <c r="B42">
        <v>2023</v>
      </c>
      <c r="C42" t="s">
        <v>24</v>
      </c>
      <c r="D42" t="s">
        <v>26</v>
      </c>
      <c r="E42" t="s">
        <v>177</v>
      </c>
      <c r="F42" t="s">
        <v>184</v>
      </c>
      <c r="G42" s="1" t="s">
        <v>178</v>
      </c>
      <c r="H42" s="1" t="s">
        <v>185</v>
      </c>
      <c r="I42" t="s">
        <v>31</v>
      </c>
      <c r="J42" t="s">
        <v>32</v>
      </c>
      <c r="K42" t="s">
        <v>33</v>
      </c>
      <c r="L42" t="s">
        <v>181</v>
      </c>
      <c r="M42" t="s">
        <v>36</v>
      </c>
      <c r="N42">
        <v>1</v>
      </c>
      <c r="P42" t="s">
        <v>70</v>
      </c>
      <c r="Q42" t="s">
        <v>59</v>
      </c>
      <c r="S42" t="s">
        <v>71</v>
      </c>
    </row>
    <row r="43" spans="1:19" x14ac:dyDescent="0.25">
      <c r="A43">
        <v>114303</v>
      </c>
      <c r="B43">
        <v>2023</v>
      </c>
      <c r="C43" t="s">
        <v>24</v>
      </c>
      <c r="D43" t="s">
        <v>26</v>
      </c>
      <c r="E43" t="s">
        <v>177</v>
      </c>
      <c r="F43" t="s">
        <v>184</v>
      </c>
      <c r="G43" s="1" t="s">
        <v>178</v>
      </c>
      <c r="H43" s="1" t="s">
        <v>185</v>
      </c>
      <c r="I43" t="s">
        <v>31</v>
      </c>
      <c r="J43" t="s">
        <v>32</v>
      </c>
      <c r="K43" t="s">
        <v>33</v>
      </c>
      <c r="L43" t="s">
        <v>181</v>
      </c>
      <c r="M43" t="s">
        <v>36</v>
      </c>
      <c r="N43">
        <v>2</v>
      </c>
      <c r="Q43" t="s">
        <v>72</v>
      </c>
    </row>
    <row r="44" spans="1:19" x14ac:dyDescent="0.25">
      <c r="A44">
        <v>114303</v>
      </c>
      <c r="B44">
        <v>2023</v>
      </c>
      <c r="C44" t="s">
        <v>24</v>
      </c>
      <c r="D44" t="s">
        <v>26</v>
      </c>
      <c r="E44" t="s">
        <v>177</v>
      </c>
      <c r="F44" t="s">
        <v>184</v>
      </c>
      <c r="G44" s="1" t="s">
        <v>178</v>
      </c>
      <c r="H44" s="1" t="s">
        <v>185</v>
      </c>
      <c r="I44" t="s">
        <v>31</v>
      </c>
      <c r="J44" t="s">
        <v>32</v>
      </c>
      <c r="K44" t="s">
        <v>33</v>
      </c>
      <c r="L44" t="s">
        <v>181</v>
      </c>
      <c r="M44" t="s">
        <v>36</v>
      </c>
      <c r="N44">
        <v>3</v>
      </c>
      <c r="P44" t="s">
        <v>70</v>
      </c>
      <c r="Q44" t="s">
        <v>59</v>
      </c>
      <c r="S44" t="s">
        <v>71</v>
      </c>
    </row>
    <row r="45" spans="1:19" x14ac:dyDescent="0.25">
      <c r="A45">
        <v>114303</v>
      </c>
      <c r="B45">
        <v>2023</v>
      </c>
      <c r="C45" t="s">
        <v>24</v>
      </c>
      <c r="D45" t="s">
        <v>26</v>
      </c>
      <c r="E45" t="s">
        <v>177</v>
      </c>
      <c r="F45" t="s">
        <v>184</v>
      </c>
      <c r="G45" s="1" t="s">
        <v>178</v>
      </c>
      <c r="H45" s="1" t="s">
        <v>185</v>
      </c>
      <c r="I45" t="s">
        <v>31</v>
      </c>
      <c r="J45" t="s">
        <v>32</v>
      </c>
      <c r="K45" t="s">
        <v>33</v>
      </c>
      <c r="L45" t="s">
        <v>181</v>
      </c>
      <c r="M45" t="s">
        <v>36</v>
      </c>
      <c r="N45">
        <v>4</v>
      </c>
      <c r="O45" t="s">
        <v>57</v>
      </c>
      <c r="S45" t="s">
        <v>58</v>
      </c>
    </row>
    <row r="46" spans="1:19" x14ac:dyDescent="0.25">
      <c r="A46">
        <v>128623</v>
      </c>
      <c r="B46">
        <v>2024</v>
      </c>
      <c r="C46" t="s">
        <v>24</v>
      </c>
      <c r="D46" t="s">
        <v>26</v>
      </c>
      <c r="E46" t="s">
        <v>177</v>
      </c>
      <c r="F46" t="s">
        <v>196</v>
      </c>
      <c r="G46" s="1" t="s">
        <v>192</v>
      </c>
      <c r="H46" s="1" t="s">
        <v>193</v>
      </c>
      <c r="I46" t="s">
        <v>31</v>
      </c>
      <c r="J46" t="s">
        <v>32</v>
      </c>
      <c r="K46" t="s">
        <v>33</v>
      </c>
      <c r="L46" t="s">
        <v>34</v>
      </c>
      <c r="M46" t="s">
        <v>36</v>
      </c>
      <c r="N46">
        <v>1</v>
      </c>
      <c r="P46" t="s">
        <v>70</v>
      </c>
      <c r="S46" t="s">
        <v>71</v>
      </c>
    </row>
    <row r="47" spans="1:19" x14ac:dyDescent="0.25">
      <c r="A47">
        <v>128623</v>
      </c>
      <c r="B47">
        <v>2024</v>
      </c>
      <c r="C47" t="s">
        <v>24</v>
      </c>
      <c r="D47" t="s">
        <v>26</v>
      </c>
      <c r="E47" t="s">
        <v>177</v>
      </c>
      <c r="F47" t="s">
        <v>196</v>
      </c>
      <c r="G47" s="1" t="s">
        <v>192</v>
      </c>
      <c r="H47" s="1" t="s">
        <v>193</v>
      </c>
      <c r="I47" t="s">
        <v>31</v>
      </c>
      <c r="J47" t="s">
        <v>32</v>
      </c>
      <c r="K47" t="s">
        <v>33</v>
      </c>
      <c r="L47" t="s">
        <v>34</v>
      </c>
      <c r="M47" t="s">
        <v>36</v>
      </c>
      <c r="N47">
        <v>2</v>
      </c>
      <c r="O47" t="s">
        <v>68</v>
      </c>
      <c r="S47" t="s">
        <v>69</v>
      </c>
    </row>
    <row r="48" spans="1:19" x14ac:dyDescent="0.25">
      <c r="A48">
        <v>128623</v>
      </c>
      <c r="B48">
        <v>2024</v>
      </c>
      <c r="C48" t="s">
        <v>24</v>
      </c>
      <c r="D48" t="s">
        <v>26</v>
      </c>
      <c r="E48" t="s">
        <v>177</v>
      </c>
      <c r="F48" t="s">
        <v>196</v>
      </c>
      <c r="G48" s="1" t="s">
        <v>192</v>
      </c>
      <c r="H48" s="1" t="s">
        <v>193</v>
      </c>
      <c r="I48" t="s">
        <v>31</v>
      </c>
      <c r="J48" t="s">
        <v>32</v>
      </c>
      <c r="K48" t="s">
        <v>33</v>
      </c>
      <c r="L48" t="s">
        <v>34</v>
      </c>
      <c r="M48" t="s">
        <v>36</v>
      </c>
      <c r="N48">
        <v>3</v>
      </c>
      <c r="O48" t="s">
        <v>57</v>
      </c>
      <c r="R48" t="s">
        <v>190</v>
      </c>
      <c r="S48" t="s">
        <v>58</v>
      </c>
    </row>
    <row r="49" spans="1:19" x14ac:dyDescent="0.25">
      <c r="A49">
        <v>128623</v>
      </c>
      <c r="B49">
        <v>2024</v>
      </c>
      <c r="C49" t="s">
        <v>24</v>
      </c>
      <c r="D49" t="s">
        <v>26</v>
      </c>
      <c r="E49" t="s">
        <v>177</v>
      </c>
      <c r="F49" t="s">
        <v>196</v>
      </c>
      <c r="G49" s="1" t="s">
        <v>192</v>
      </c>
      <c r="H49" s="1" t="s">
        <v>193</v>
      </c>
      <c r="I49" t="s">
        <v>31</v>
      </c>
      <c r="J49" t="s">
        <v>32</v>
      </c>
      <c r="K49" t="s">
        <v>33</v>
      </c>
      <c r="L49" t="s">
        <v>34</v>
      </c>
      <c r="M49" t="s">
        <v>36</v>
      </c>
      <c r="N49">
        <v>4</v>
      </c>
      <c r="Q49" t="s">
        <v>65</v>
      </c>
    </row>
    <row r="50" spans="1:19" x14ac:dyDescent="0.25">
      <c r="A50">
        <v>128623</v>
      </c>
      <c r="B50">
        <v>2024</v>
      </c>
      <c r="C50" t="s">
        <v>24</v>
      </c>
      <c r="D50" t="s">
        <v>26</v>
      </c>
      <c r="E50" t="s">
        <v>177</v>
      </c>
      <c r="F50" t="s">
        <v>196</v>
      </c>
      <c r="G50" s="1" t="s">
        <v>192</v>
      </c>
      <c r="H50" s="1" t="s">
        <v>193</v>
      </c>
      <c r="I50" t="s">
        <v>31</v>
      </c>
      <c r="J50" t="s">
        <v>32</v>
      </c>
      <c r="K50" t="s">
        <v>33</v>
      </c>
      <c r="L50" t="s">
        <v>34</v>
      </c>
      <c r="M50" t="s">
        <v>36</v>
      </c>
      <c r="N50">
        <v>5</v>
      </c>
      <c r="O50" t="s">
        <v>57</v>
      </c>
      <c r="R50" t="s">
        <v>190</v>
      </c>
      <c r="S50" t="s">
        <v>58</v>
      </c>
    </row>
    <row r="51" spans="1:19" x14ac:dyDescent="0.25">
      <c r="A51">
        <v>128623</v>
      </c>
      <c r="B51">
        <v>2024</v>
      </c>
      <c r="C51" t="s">
        <v>24</v>
      </c>
      <c r="D51" t="s">
        <v>26</v>
      </c>
      <c r="E51" t="s">
        <v>177</v>
      </c>
      <c r="F51" t="s">
        <v>196</v>
      </c>
      <c r="G51" s="1" t="s">
        <v>192</v>
      </c>
      <c r="H51" s="1" t="s">
        <v>193</v>
      </c>
      <c r="I51" t="s">
        <v>31</v>
      </c>
      <c r="J51" t="s">
        <v>32</v>
      </c>
      <c r="K51" t="s">
        <v>33</v>
      </c>
      <c r="L51" t="s">
        <v>34</v>
      </c>
      <c r="M51" t="s">
        <v>36</v>
      </c>
      <c r="N51">
        <v>6</v>
      </c>
      <c r="O51" t="s">
        <v>197</v>
      </c>
      <c r="R51" t="s">
        <v>190</v>
      </c>
      <c r="S51" t="s">
        <v>198</v>
      </c>
    </row>
    <row r="52" spans="1:19" x14ac:dyDescent="0.25">
      <c r="A52">
        <v>128623</v>
      </c>
      <c r="B52">
        <v>2024</v>
      </c>
      <c r="C52" t="s">
        <v>24</v>
      </c>
      <c r="D52" t="s">
        <v>26</v>
      </c>
      <c r="E52" t="s">
        <v>177</v>
      </c>
      <c r="F52" t="s">
        <v>196</v>
      </c>
      <c r="G52" s="1" t="s">
        <v>192</v>
      </c>
      <c r="H52" s="1" t="s">
        <v>193</v>
      </c>
      <c r="I52" t="s">
        <v>31</v>
      </c>
      <c r="J52" t="s">
        <v>32</v>
      </c>
      <c r="K52" t="s">
        <v>33</v>
      </c>
      <c r="L52" t="s">
        <v>34</v>
      </c>
      <c r="M52" t="s">
        <v>36</v>
      </c>
      <c r="N52">
        <v>7</v>
      </c>
      <c r="O52" t="s">
        <v>57</v>
      </c>
      <c r="R52" t="s">
        <v>190</v>
      </c>
      <c r="S52" t="s">
        <v>58</v>
      </c>
    </row>
    <row r="53" spans="1:19" x14ac:dyDescent="0.25">
      <c r="A53">
        <v>128623</v>
      </c>
      <c r="B53">
        <v>2024</v>
      </c>
      <c r="C53" t="s">
        <v>24</v>
      </c>
      <c r="D53" t="s">
        <v>26</v>
      </c>
      <c r="E53" t="s">
        <v>177</v>
      </c>
      <c r="F53" t="s">
        <v>196</v>
      </c>
      <c r="G53" s="1" t="s">
        <v>192</v>
      </c>
      <c r="H53" s="1" t="s">
        <v>193</v>
      </c>
      <c r="I53" t="s">
        <v>31</v>
      </c>
      <c r="J53" t="s">
        <v>32</v>
      </c>
      <c r="K53" t="s">
        <v>33</v>
      </c>
      <c r="L53" t="s">
        <v>34</v>
      </c>
      <c r="M53" t="s">
        <v>36</v>
      </c>
      <c r="N53">
        <v>8</v>
      </c>
      <c r="O53" t="s">
        <v>197</v>
      </c>
      <c r="R53" t="s">
        <v>190</v>
      </c>
      <c r="S53" t="s">
        <v>198</v>
      </c>
    </row>
    <row r="54" spans="1:19" x14ac:dyDescent="0.25">
      <c r="A54">
        <v>128623</v>
      </c>
      <c r="B54">
        <v>2024</v>
      </c>
      <c r="C54" t="s">
        <v>24</v>
      </c>
      <c r="D54" t="s">
        <v>26</v>
      </c>
      <c r="E54" t="s">
        <v>177</v>
      </c>
      <c r="F54" t="s">
        <v>196</v>
      </c>
      <c r="G54" s="1" t="s">
        <v>192</v>
      </c>
      <c r="H54" s="1" t="s">
        <v>193</v>
      </c>
      <c r="I54" t="s">
        <v>31</v>
      </c>
      <c r="J54" t="s">
        <v>32</v>
      </c>
      <c r="K54" t="s">
        <v>33</v>
      </c>
      <c r="L54" t="s">
        <v>34</v>
      </c>
      <c r="M54" t="s">
        <v>36</v>
      </c>
      <c r="N54">
        <v>9</v>
      </c>
      <c r="O54" t="s">
        <v>57</v>
      </c>
      <c r="R54" t="s">
        <v>190</v>
      </c>
      <c r="S54" t="s">
        <v>58</v>
      </c>
    </row>
    <row r="55" spans="1:19" x14ac:dyDescent="0.25">
      <c r="A55">
        <v>128623</v>
      </c>
      <c r="B55">
        <v>2024</v>
      </c>
      <c r="C55" t="s">
        <v>24</v>
      </c>
      <c r="D55" t="s">
        <v>26</v>
      </c>
      <c r="E55" t="s">
        <v>177</v>
      </c>
      <c r="F55" t="s">
        <v>196</v>
      </c>
      <c r="G55" s="1" t="s">
        <v>192</v>
      </c>
      <c r="H55" s="1" t="s">
        <v>193</v>
      </c>
      <c r="I55" t="s">
        <v>31</v>
      </c>
      <c r="J55" t="s">
        <v>32</v>
      </c>
      <c r="K55" t="s">
        <v>33</v>
      </c>
      <c r="L55" t="s">
        <v>34</v>
      </c>
      <c r="M55" t="s">
        <v>36</v>
      </c>
      <c r="N55">
        <v>10</v>
      </c>
      <c r="O55" t="s">
        <v>57</v>
      </c>
      <c r="R55" t="s">
        <v>190</v>
      </c>
      <c r="S55" t="s">
        <v>58</v>
      </c>
    </row>
    <row r="56" spans="1:19" x14ac:dyDescent="0.25">
      <c r="A56">
        <v>128623</v>
      </c>
      <c r="B56">
        <v>2024</v>
      </c>
      <c r="C56" t="s">
        <v>24</v>
      </c>
      <c r="D56" t="s">
        <v>26</v>
      </c>
      <c r="E56" t="s">
        <v>177</v>
      </c>
      <c r="F56" t="s">
        <v>196</v>
      </c>
      <c r="G56" s="1" t="s">
        <v>192</v>
      </c>
      <c r="H56" s="1" t="s">
        <v>193</v>
      </c>
      <c r="I56" t="s">
        <v>31</v>
      </c>
      <c r="J56" t="s">
        <v>32</v>
      </c>
      <c r="K56" t="s">
        <v>33</v>
      </c>
      <c r="L56" t="s">
        <v>34</v>
      </c>
      <c r="M56" t="s">
        <v>36</v>
      </c>
      <c r="N56">
        <v>11</v>
      </c>
      <c r="Q56" t="s">
        <v>59</v>
      </c>
    </row>
    <row r="57" spans="1:19" x14ac:dyDescent="0.25">
      <c r="A57">
        <v>128623</v>
      </c>
      <c r="B57">
        <v>2024</v>
      </c>
      <c r="C57" t="s">
        <v>24</v>
      </c>
      <c r="D57" t="s">
        <v>26</v>
      </c>
      <c r="E57" t="s">
        <v>177</v>
      </c>
      <c r="F57" t="s">
        <v>196</v>
      </c>
      <c r="G57" s="1" t="s">
        <v>192</v>
      </c>
      <c r="H57" s="1" t="s">
        <v>193</v>
      </c>
      <c r="I57" t="s">
        <v>31</v>
      </c>
      <c r="J57" t="s">
        <v>32</v>
      </c>
      <c r="K57" t="s">
        <v>33</v>
      </c>
      <c r="L57" t="s">
        <v>34</v>
      </c>
      <c r="M57" t="s">
        <v>36</v>
      </c>
      <c r="N57">
        <v>12</v>
      </c>
      <c r="O57" t="s">
        <v>57</v>
      </c>
      <c r="R57" t="s">
        <v>190</v>
      </c>
      <c r="S57" t="s">
        <v>58</v>
      </c>
    </row>
    <row r="58" spans="1:19" x14ac:dyDescent="0.25">
      <c r="A58">
        <v>101623</v>
      </c>
      <c r="B58">
        <v>2022</v>
      </c>
      <c r="C58" t="s">
        <v>200</v>
      </c>
      <c r="D58" t="s">
        <v>26</v>
      </c>
      <c r="E58" t="s">
        <v>201</v>
      </c>
      <c r="F58" t="s">
        <v>210</v>
      </c>
      <c r="G58" s="1" t="s">
        <v>202</v>
      </c>
      <c r="H58" s="1" t="s">
        <v>202</v>
      </c>
      <c r="I58" t="s">
        <v>31</v>
      </c>
      <c r="J58" t="s">
        <v>32</v>
      </c>
      <c r="K58" t="s">
        <v>203</v>
      </c>
      <c r="L58" t="s">
        <v>204</v>
      </c>
      <c r="M58" t="s">
        <v>206</v>
      </c>
      <c r="N58">
        <v>1</v>
      </c>
      <c r="O58" t="s">
        <v>68</v>
      </c>
      <c r="S58" t="s">
        <v>69</v>
      </c>
    </row>
    <row r="59" spans="1:19" x14ac:dyDescent="0.25">
      <c r="A59">
        <v>101623</v>
      </c>
      <c r="B59">
        <v>2022</v>
      </c>
      <c r="C59" t="s">
        <v>200</v>
      </c>
      <c r="D59" t="s">
        <v>26</v>
      </c>
      <c r="E59" t="s">
        <v>201</v>
      </c>
      <c r="F59" t="s">
        <v>210</v>
      </c>
      <c r="G59" s="1" t="s">
        <v>202</v>
      </c>
      <c r="H59" s="1" t="s">
        <v>202</v>
      </c>
      <c r="I59" t="s">
        <v>31</v>
      </c>
      <c r="J59" t="s">
        <v>32</v>
      </c>
      <c r="K59" t="s">
        <v>203</v>
      </c>
      <c r="L59" t="s">
        <v>204</v>
      </c>
      <c r="M59" t="s">
        <v>206</v>
      </c>
      <c r="N59">
        <v>2</v>
      </c>
      <c r="O59" t="s">
        <v>57</v>
      </c>
      <c r="R59" t="s">
        <v>190</v>
      </c>
      <c r="S59" t="s">
        <v>58</v>
      </c>
    </row>
    <row r="60" spans="1:19" x14ac:dyDescent="0.25">
      <c r="A60">
        <v>101623</v>
      </c>
      <c r="B60">
        <v>2022</v>
      </c>
      <c r="C60" t="s">
        <v>200</v>
      </c>
      <c r="D60" t="s">
        <v>26</v>
      </c>
      <c r="E60" t="s">
        <v>201</v>
      </c>
      <c r="F60" t="s">
        <v>210</v>
      </c>
      <c r="G60" s="1" t="s">
        <v>202</v>
      </c>
      <c r="H60" s="1" t="s">
        <v>202</v>
      </c>
      <c r="I60" t="s">
        <v>31</v>
      </c>
      <c r="J60" t="s">
        <v>32</v>
      </c>
      <c r="K60" t="s">
        <v>203</v>
      </c>
      <c r="L60" t="s">
        <v>204</v>
      </c>
      <c r="M60" t="s">
        <v>206</v>
      </c>
      <c r="N60">
        <v>3</v>
      </c>
      <c r="O60" t="s">
        <v>57</v>
      </c>
      <c r="S60" t="s">
        <v>58</v>
      </c>
    </row>
    <row r="61" spans="1:19" x14ac:dyDescent="0.25">
      <c r="A61">
        <v>101623</v>
      </c>
      <c r="B61">
        <v>2022</v>
      </c>
      <c r="C61" t="s">
        <v>200</v>
      </c>
      <c r="D61" t="s">
        <v>26</v>
      </c>
      <c r="E61" t="s">
        <v>201</v>
      </c>
      <c r="F61" t="s">
        <v>210</v>
      </c>
      <c r="G61" s="1" t="s">
        <v>202</v>
      </c>
      <c r="H61" s="1" t="s">
        <v>202</v>
      </c>
      <c r="I61" t="s">
        <v>31</v>
      </c>
      <c r="J61" t="s">
        <v>32</v>
      </c>
      <c r="K61" t="s">
        <v>203</v>
      </c>
      <c r="L61" t="s">
        <v>204</v>
      </c>
      <c r="M61" t="s">
        <v>206</v>
      </c>
      <c r="N61">
        <v>4</v>
      </c>
      <c r="O61" t="s">
        <v>57</v>
      </c>
      <c r="S61" t="s">
        <v>58</v>
      </c>
    </row>
    <row r="62" spans="1:19" x14ac:dyDescent="0.25">
      <c r="A62">
        <v>101623</v>
      </c>
      <c r="B62">
        <v>2022</v>
      </c>
      <c r="C62" t="s">
        <v>200</v>
      </c>
      <c r="D62" t="s">
        <v>26</v>
      </c>
      <c r="E62" t="s">
        <v>201</v>
      </c>
      <c r="F62" t="s">
        <v>210</v>
      </c>
      <c r="G62" s="1" t="s">
        <v>202</v>
      </c>
      <c r="H62" s="1" t="s">
        <v>202</v>
      </c>
      <c r="I62" t="s">
        <v>31</v>
      </c>
      <c r="J62" t="s">
        <v>32</v>
      </c>
      <c r="K62" t="s">
        <v>203</v>
      </c>
      <c r="L62" t="s">
        <v>204</v>
      </c>
      <c r="M62" t="s">
        <v>206</v>
      </c>
      <c r="N62">
        <v>5</v>
      </c>
      <c r="O62" t="s">
        <v>57</v>
      </c>
      <c r="S62" t="s">
        <v>58</v>
      </c>
    </row>
    <row r="63" spans="1:19" x14ac:dyDescent="0.25">
      <c r="A63">
        <v>101623</v>
      </c>
      <c r="B63">
        <v>2022</v>
      </c>
      <c r="C63" t="s">
        <v>200</v>
      </c>
      <c r="D63" t="s">
        <v>26</v>
      </c>
      <c r="E63" t="s">
        <v>201</v>
      </c>
      <c r="F63" t="s">
        <v>210</v>
      </c>
      <c r="G63" s="1" t="s">
        <v>202</v>
      </c>
      <c r="H63" s="1" t="s">
        <v>202</v>
      </c>
      <c r="I63" t="s">
        <v>31</v>
      </c>
      <c r="J63" t="s">
        <v>32</v>
      </c>
      <c r="K63" t="s">
        <v>203</v>
      </c>
      <c r="L63" t="s">
        <v>204</v>
      </c>
      <c r="M63" t="s">
        <v>206</v>
      </c>
      <c r="N63">
        <v>6</v>
      </c>
      <c r="Q63" t="s">
        <v>169</v>
      </c>
    </row>
    <row r="64" spans="1:19" x14ac:dyDescent="0.25">
      <c r="A64">
        <v>101623</v>
      </c>
      <c r="B64">
        <v>2022</v>
      </c>
      <c r="C64" t="s">
        <v>200</v>
      </c>
      <c r="D64" t="s">
        <v>26</v>
      </c>
      <c r="E64" t="s">
        <v>201</v>
      </c>
      <c r="F64" t="s">
        <v>210</v>
      </c>
      <c r="G64" s="1" t="s">
        <v>202</v>
      </c>
      <c r="H64" s="1" t="s">
        <v>202</v>
      </c>
      <c r="I64" t="s">
        <v>31</v>
      </c>
      <c r="J64" t="s">
        <v>32</v>
      </c>
      <c r="K64" t="s">
        <v>203</v>
      </c>
      <c r="L64" t="s">
        <v>204</v>
      </c>
      <c r="M64" t="s">
        <v>206</v>
      </c>
      <c r="N64">
        <v>7</v>
      </c>
      <c r="O64" t="s">
        <v>57</v>
      </c>
      <c r="S64" t="s">
        <v>58</v>
      </c>
    </row>
    <row r="65" spans="1:19" x14ac:dyDescent="0.25">
      <c r="A65">
        <v>101623</v>
      </c>
      <c r="B65">
        <v>2022</v>
      </c>
      <c r="C65" t="s">
        <v>200</v>
      </c>
      <c r="D65" t="s">
        <v>26</v>
      </c>
      <c r="E65" t="s">
        <v>201</v>
      </c>
      <c r="F65" t="s">
        <v>210</v>
      </c>
      <c r="G65" s="1" t="s">
        <v>202</v>
      </c>
      <c r="H65" s="1" t="s">
        <v>202</v>
      </c>
      <c r="I65" t="s">
        <v>31</v>
      </c>
      <c r="J65" t="s">
        <v>32</v>
      </c>
      <c r="K65" t="s">
        <v>203</v>
      </c>
      <c r="L65" t="s">
        <v>204</v>
      </c>
      <c r="M65" t="s">
        <v>206</v>
      </c>
      <c r="N65">
        <v>8</v>
      </c>
      <c r="O65" t="s">
        <v>57</v>
      </c>
      <c r="S65" t="s">
        <v>58</v>
      </c>
    </row>
    <row r="66" spans="1:19" x14ac:dyDescent="0.25">
      <c r="A66">
        <v>101623</v>
      </c>
      <c r="B66">
        <v>2022</v>
      </c>
      <c r="C66" t="s">
        <v>200</v>
      </c>
      <c r="D66" t="s">
        <v>26</v>
      </c>
      <c r="E66" t="s">
        <v>201</v>
      </c>
      <c r="F66" t="s">
        <v>210</v>
      </c>
      <c r="G66" s="1" t="s">
        <v>202</v>
      </c>
      <c r="H66" s="1" t="s">
        <v>202</v>
      </c>
      <c r="I66" t="s">
        <v>31</v>
      </c>
      <c r="J66" t="s">
        <v>32</v>
      </c>
      <c r="K66" t="s">
        <v>203</v>
      </c>
      <c r="L66" t="s">
        <v>204</v>
      </c>
      <c r="M66" t="s">
        <v>206</v>
      </c>
      <c r="N66">
        <v>9</v>
      </c>
      <c r="O66" t="s">
        <v>68</v>
      </c>
      <c r="S66" t="s">
        <v>69</v>
      </c>
    </row>
    <row r="67" spans="1:19" x14ac:dyDescent="0.25">
      <c r="A67">
        <v>101623</v>
      </c>
      <c r="B67">
        <v>2022</v>
      </c>
      <c r="C67" t="s">
        <v>200</v>
      </c>
      <c r="D67" t="s">
        <v>26</v>
      </c>
      <c r="E67" t="s">
        <v>201</v>
      </c>
      <c r="F67" t="s">
        <v>210</v>
      </c>
      <c r="G67" s="1" t="s">
        <v>202</v>
      </c>
      <c r="H67" s="1" t="s">
        <v>202</v>
      </c>
      <c r="I67" t="s">
        <v>31</v>
      </c>
      <c r="J67" t="s">
        <v>32</v>
      </c>
      <c r="K67" t="s">
        <v>203</v>
      </c>
      <c r="L67" t="s">
        <v>204</v>
      </c>
      <c r="M67" t="s">
        <v>206</v>
      </c>
      <c r="N67">
        <v>10</v>
      </c>
      <c r="O67" t="s">
        <v>57</v>
      </c>
      <c r="S67" t="s">
        <v>58</v>
      </c>
    </row>
    <row r="68" spans="1:19" x14ac:dyDescent="0.25">
      <c r="A68">
        <v>101623</v>
      </c>
      <c r="B68">
        <v>2022</v>
      </c>
      <c r="C68" t="s">
        <v>200</v>
      </c>
      <c r="D68" t="s">
        <v>26</v>
      </c>
      <c r="E68" t="s">
        <v>201</v>
      </c>
      <c r="F68" t="s">
        <v>210</v>
      </c>
      <c r="G68" s="1" t="s">
        <v>202</v>
      </c>
      <c r="H68" s="1" t="s">
        <v>202</v>
      </c>
      <c r="I68" t="s">
        <v>31</v>
      </c>
      <c r="J68" t="s">
        <v>32</v>
      </c>
      <c r="K68" t="s">
        <v>203</v>
      </c>
      <c r="L68" t="s">
        <v>204</v>
      </c>
      <c r="M68" t="s">
        <v>206</v>
      </c>
      <c r="N68">
        <v>11</v>
      </c>
      <c r="O68" t="s">
        <v>57</v>
      </c>
      <c r="S68" t="s">
        <v>58</v>
      </c>
    </row>
    <row r="69" spans="1:19" x14ac:dyDescent="0.25">
      <c r="A69">
        <v>101623</v>
      </c>
      <c r="B69">
        <v>2022</v>
      </c>
      <c r="C69" t="s">
        <v>200</v>
      </c>
      <c r="D69" t="s">
        <v>26</v>
      </c>
      <c r="E69" t="s">
        <v>201</v>
      </c>
      <c r="F69" t="s">
        <v>210</v>
      </c>
      <c r="G69" s="1" t="s">
        <v>202</v>
      </c>
      <c r="H69" s="1" t="s">
        <v>202</v>
      </c>
      <c r="I69" t="s">
        <v>31</v>
      </c>
      <c r="J69" t="s">
        <v>32</v>
      </c>
      <c r="K69" t="s">
        <v>203</v>
      </c>
      <c r="L69" t="s">
        <v>204</v>
      </c>
      <c r="M69" t="s">
        <v>206</v>
      </c>
      <c r="N69">
        <v>12</v>
      </c>
      <c r="O69" t="s">
        <v>57</v>
      </c>
      <c r="S69" t="s">
        <v>58</v>
      </c>
    </row>
    <row r="70" spans="1:19" x14ac:dyDescent="0.25">
      <c r="A70">
        <v>101623</v>
      </c>
      <c r="B70">
        <v>2022</v>
      </c>
      <c r="C70" t="s">
        <v>200</v>
      </c>
      <c r="D70" t="s">
        <v>26</v>
      </c>
      <c r="E70" t="s">
        <v>201</v>
      </c>
      <c r="F70" t="s">
        <v>210</v>
      </c>
      <c r="G70" s="1" t="s">
        <v>202</v>
      </c>
      <c r="H70" s="1" t="s">
        <v>202</v>
      </c>
      <c r="I70" t="s">
        <v>31</v>
      </c>
      <c r="J70" t="s">
        <v>32</v>
      </c>
      <c r="K70" t="s">
        <v>203</v>
      </c>
      <c r="L70" t="s">
        <v>204</v>
      </c>
      <c r="M70" t="s">
        <v>206</v>
      </c>
      <c r="N70">
        <v>13</v>
      </c>
      <c r="O70" t="s">
        <v>57</v>
      </c>
      <c r="S70" t="s">
        <v>58</v>
      </c>
    </row>
    <row r="71" spans="1:19" x14ac:dyDescent="0.25">
      <c r="A71">
        <v>101623</v>
      </c>
      <c r="B71">
        <v>2022</v>
      </c>
      <c r="C71" t="s">
        <v>200</v>
      </c>
      <c r="D71" t="s">
        <v>26</v>
      </c>
      <c r="E71" t="s">
        <v>201</v>
      </c>
      <c r="F71" t="s">
        <v>210</v>
      </c>
      <c r="G71" s="1" t="s">
        <v>202</v>
      </c>
      <c r="H71" s="1" t="s">
        <v>202</v>
      </c>
      <c r="I71" t="s">
        <v>31</v>
      </c>
      <c r="J71" t="s">
        <v>32</v>
      </c>
      <c r="K71" t="s">
        <v>203</v>
      </c>
      <c r="L71" t="s">
        <v>204</v>
      </c>
      <c r="M71" t="s">
        <v>206</v>
      </c>
      <c r="N71">
        <v>14</v>
      </c>
      <c r="O71" t="s">
        <v>57</v>
      </c>
      <c r="R71" t="s">
        <v>190</v>
      </c>
      <c r="S71" t="s">
        <v>58</v>
      </c>
    </row>
    <row r="72" spans="1:19" x14ac:dyDescent="0.25">
      <c r="A72">
        <v>101625</v>
      </c>
      <c r="B72">
        <v>2022</v>
      </c>
      <c r="C72" t="s">
        <v>200</v>
      </c>
      <c r="D72" t="s">
        <v>26</v>
      </c>
      <c r="E72" t="s">
        <v>201</v>
      </c>
      <c r="F72" t="s">
        <v>222</v>
      </c>
      <c r="G72" s="1" t="s">
        <v>219</v>
      </c>
      <c r="H72" s="1" t="s">
        <v>220</v>
      </c>
      <c r="I72" t="s">
        <v>31</v>
      </c>
      <c r="J72" t="s">
        <v>32</v>
      </c>
      <c r="K72" t="s">
        <v>203</v>
      </c>
      <c r="L72" t="s">
        <v>204</v>
      </c>
      <c r="M72" t="s">
        <v>206</v>
      </c>
      <c r="N72">
        <v>1</v>
      </c>
      <c r="P72" t="s">
        <v>99</v>
      </c>
      <c r="S72" t="s">
        <v>100</v>
      </c>
    </row>
    <row r="73" spans="1:19" x14ac:dyDescent="0.25">
      <c r="A73">
        <v>101625</v>
      </c>
      <c r="B73">
        <v>2022</v>
      </c>
      <c r="C73" t="s">
        <v>200</v>
      </c>
      <c r="D73" t="s">
        <v>26</v>
      </c>
      <c r="E73" t="s">
        <v>201</v>
      </c>
      <c r="F73" t="s">
        <v>222</v>
      </c>
      <c r="G73" s="1" t="s">
        <v>219</v>
      </c>
      <c r="H73" s="1" t="s">
        <v>220</v>
      </c>
      <c r="I73" t="s">
        <v>31</v>
      </c>
      <c r="J73" t="s">
        <v>32</v>
      </c>
      <c r="K73" t="s">
        <v>203</v>
      </c>
      <c r="L73" t="s">
        <v>204</v>
      </c>
      <c r="M73" t="s">
        <v>206</v>
      </c>
      <c r="N73">
        <v>2</v>
      </c>
      <c r="O73" t="s">
        <v>57</v>
      </c>
      <c r="S73" t="s">
        <v>58</v>
      </c>
    </row>
    <row r="74" spans="1:19" x14ac:dyDescent="0.25">
      <c r="A74">
        <v>101625</v>
      </c>
      <c r="B74">
        <v>2022</v>
      </c>
      <c r="C74" t="s">
        <v>200</v>
      </c>
      <c r="D74" t="s">
        <v>26</v>
      </c>
      <c r="E74" t="s">
        <v>201</v>
      </c>
      <c r="F74" t="s">
        <v>222</v>
      </c>
      <c r="G74" s="1" t="s">
        <v>219</v>
      </c>
      <c r="H74" s="1" t="s">
        <v>220</v>
      </c>
      <c r="I74" t="s">
        <v>31</v>
      </c>
      <c r="J74" t="s">
        <v>32</v>
      </c>
      <c r="K74" t="s">
        <v>203</v>
      </c>
      <c r="L74" t="s">
        <v>204</v>
      </c>
      <c r="M74" t="s">
        <v>206</v>
      </c>
      <c r="N74">
        <v>3</v>
      </c>
      <c r="O74" t="s">
        <v>57</v>
      </c>
      <c r="S74" t="s">
        <v>58</v>
      </c>
    </row>
    <row r="75" spans="1:19" x14ac:dyDescent="0.25">
      <c r="A75">
        <v>101625</v>
      </c>
      <c r="B75">
        <v>2022</v>
      </c>
      <c r="C75" t="s">
        <v>200</v>
      </c>
      <c r="D75" t="s">
        <v>26</v>
      </c>
      <c r="E75" t="s">
        <v>201</v>
      </c>
      <c r="F75" t="s">
        <v>222</v>
      </c>
      <c r="G75" s="1" t="s">
        <v>219</v>
      </c>
      <c r="H75" s="1" t="s">
        <v>220</v>
      </c>
      <c r="I75" t="s">
        <v>31</v>
      </c>
      <c r="J75" t="s">
        <v>32</v>
      </c>
      <c r="K75" t="s">
        <v>203</v>
      </c>
      <c r="L75" t="s">
        <v>204</v>
      </c>
      <c r="M75" t="s">
        <v>206</v>
      </c>
      <c r="N75">
        <v>4</v>
      </c>
      <c r="O75" t="s">
        <v>57</v>
      </c>
      <c r="S75" t="s">
        <v>58</v>
      </c>
    </row>
    <row r="76" spans="1:19" x14ac:dyDescent="0.25">
      <c r="A76">
        <v>101625</v>
      </c>
      <c r="B76">
        <v>2022</v>
      </c>
      <c r="C76" t="s">
        <v>200</v>
      </c>
      <c r="D76" t="s">
        <v>26</v>
      </c>
      <c r="E76" t="s">
        <v>201</v>
      </c>
      <c r="F76" t="s">
        <v>222</v>
      </c>
      <c r="G76" s="1" t="s">
        <v>219</v>
      </c>
      <c r="H76" s="1" t="s">
        <v>220</v>
      </c>
      <c r="I76" t="s">
        <v>31</v>
      </c>
      <c r="J76" t="s">
        <v>32</v>
      </c>
      <c r="K76" t="s">
        <v>203</v>
      </c>
      <c r="L76" t="s">
        <v>204</v>
      </c>
      <c r="M76" t="s">
        <v>206</v>
      </c>
      <c r="N76">
        <v>5</v>
      </c>
      <c r="O76" t="s">
        <v>57</v>
      </c>
      <c r="S76" t="s">
        <v>58</v>
      </c>
    </row>
    <row r="77" spans="1:19" x14ac:dyDescent="0.25">
      <c r="A77">
        <v>101625</v>
      </c>
      <c r="B77">
        <v>2022</v>
      </c>
      <c r="C77" t="s">
        <v>200</v>
      </c>
      <c r="D77" t="s">
        <v>26</v>
      </c>
      <c r="E77" t="s">
        <v>201</v>
      </c>
      <c r="F77" t="s">
        <v>222</v>
      </c>
      <c r="G77" s="1" t="s">
        <v>219</v>
      </c>
      <c r="H77" s="1" t="s">
        <v>220</v>
      </c>
      <c r="I77" t="s">
        <v>31</v>
      </c>
      <c r="J77" t="s">
        <v>32</v>
      </c>
      <c r="K77" t="s">
        <v>203</v>
      </c>
      <c r="L77" t="s">
        <v>204</v>
      </c>
      <c r="M77" t="s">
        <v>206</v>
      </c>
      <c r="N77">
        <v>6</v>
      </c>
      <c r="O77" t="s">
        <v>57</v>
      </c>
      <c r="R77" t="s">
        <v>190</v>
      </c>
      <c r="S77" t="s">
        <v>58</v>
      </c>
    </row>
    <row r="78" spans="1:19" x14ac:dyDescent="0.25">
      <c r="A78">
        <v>101625</v>
      </c>
      <c r="B78">
        <v>2022</v>
      </c>
      <c r="C78" t="s">
        <v>200</v>
      </c>
      <c r="D78" t="s">
        <v>26</v>
      </c>
      <c r="E78" t="s">
        <v>201</v>
      </c>
      <c r="F78" t="s">
        <v>222</v>
      </c>
      <c r="G78" s="1" t="s">
        <v>219</v>
      </c>
      <c r="H78" s="1" t="s">
        <v>220</v>
      </c>
      <c r="I78" t="s">
        <v>31</v>
      </c>
      <c r="J78" t="s">
        <v>32</v>
      </c>
      <c r="K78" t="s">
        <v>203</v>
      </c>
      <c r="L78" t="s">
        <v>204</v>
      </c>
      <c r="M78" t="s">
        <v>206</v>
      </c>
      <c r="N78">
        <v>7</v>
      </c>
      <c r="O78" t="s">
        <v>57</v>
      </c>
      <c r="S78" t="s">
        <v>58</v>
      </c>
    </row>
    <row r="79" spans="1:19" x14ac:dyDescent="0.25">
      <c r="A79">
        <v>101625</v>
      </c>
      <c r="B79">
        <v>2022</v>
      </c>
      <c r="C79" t="s">
        <v>200</v>
      </c>
      <c r="D79" t="s">
        <v>26</v>
      </c>
      <c r="E79" t="s">
        <v>201</v>
      </c>
      <c r="F79" t="s">
        <v>222</v>
      </c>
      <c r="G79" s="1" t="s">
        <v>219</v>
      </c>
      <c r="H79" s="1" t="s">
        <v>220</v>
      </c>
      <c r="I79" t="s">
        <v>31</v>
      </c>
      <c r="J79" t="s">
        <v>32</v>
      </c>
      <c r="K79" t="s">
        <v>203</v>
      </c>
      <c r="L79" t="s">
        <v>204</v>
      </c>
      <c r="M79" t="s">
        <v>206</v>
      </c>
      <c r="N79">
        <v>8</v>
      </c>
      <c r="O79" t="s">
        <v>57</v>
      </c>
      <c r="R79" t="s">
        <v>190</v>
      </c>
      <c r="S79" t="s">
        <v>58</v>
      </c>
    </row>
    <row r="80" spans="1:19" x14ac:dyDescent="0.25">
      <c r="A80">
        <v>101625</v>
      </c>
      <c r="B80">
        <v>2022</v>
      </c>
      <c r="C80" t="s">
        <v>200</v>
      </c>
      <c r="D80" t="s">
        <v>26</v>
      </c>
      <c r="E80" t="s">
        <v>201</v>
      </c>
      <c r="F80" t="s">
        <v>222</v>
      </c>
      <c r="G80" s="1" t="s">
        <v>219</v>
      </c>
      <c r="H80" s="1" t="s">
        <v>220</v>
      </c>
      <c r="I80" t="s">
        <v>31</v>
      </c>
      <c r="J80" t="s">
        <v>32</v>
      </c>
      <c r="K80" t="s">
        <v>203</v>
      </c>
      <c r="L80" t="s">
        <v>204</v>
      </c>
      <c r="M80" t="s">
        <v>206</v>
      </c>
      <c r="N80">
        <v>9</v>
      </c>
      <c r="O80" t="s">
        <v>57</v>
      </c>
      <c r="S80" t="s">
        <v>58</v>
      </c>
    </row>
    <row r="81" spans="1:19" x14ac:dyDescent="0.25">
      <c r="A81">
        <v>101625</v>
      </c>
      <c r="B81">
        <v>2022</v>
      </c>
      <c r="C81" t="s">
        <v>200</v>
      </c>
      <c r="D81" t="s">
        <v>26</v>
      </c>
      <c r="E81" t="s">
        <v>201</v>
      </c>
      <c r="F81" t="s">
        <v>222</v>
      </c>
      <c r="G81" s="1" t="s">
        <v>219</v>
      </c>
      <c r="H81" s="1" t="s">
        <v>220</v>
      </c>
      <c r="I81" t="s">
        <v>31</v>
      </c>
      <c r="J81" t="s">
        <v>32</v>
      </c>
      <c r="K81" t="s">
        <v>203</v>
      </c>
      <c r="L81" t="s">
        <v>204</v>
      </c>
      <c r="M81" t="s">
        <v>206</v>
      </c>
      <c r="N81">
        <v>10</v>
      </c>
      <c r="P81" t="s">
        <v>99</v>
      </c>
      <c r="S81" t="s">
        <v>100</v>
      </c>
    </row>
    <row r="82" spans="1:19" x14ac:dyDescent="0.25">
      <c r="A82">
        <v>101625</v>
      </c>
      <c r="B82">
        <v>2022</v>
      </c>
      <c r="C82" t="s">
        <v>200</v>
      </c>
      <c r="D82" t="s">
        <v>26</v>
      </c>
      <c r="E82" t="s">
        <v>201</v>
      </c>
      <c r="F82" t="s">
        <v>222</v>
      </c>
      <c r="G82" s="1" t="s">
        <v>219</v>
      </c>
      <c r="H82" s="1" t="s">
        <v>220</v>
      </c>
      <c r="I82" t="s">
        <v>31</v>
      </c>
      <c r="J82" t="s">
        <v>32</v>
      </c>
      <c r="K82" t="s">
        <v>203</v>
      </c>
      <c r="L82" t="s">
        <v>204</v>
      </c>
      <c r="M82" t="s">
        <v>206</v>
      </c>
      <c r="N82">
        <v>11</v>
      </c>
      <c r="O82" t="s">
        <v>68</v>
      </c>
      <c r="S82" t="s">
        <v>69</v>
      </c>
    </row>
    <row r="83" spans="1:19" x14ac:dyDescent="0.25">
      <c r="A83">
        <v>101625</v>
      </c>
      <c r="B83">
        <v>2022</v>
      </c>
      <c r="C83" t="s">
        <v>200</v>
      </c>
      <c r="D83" t="s">
        <v>26</v>
      </c>
      <c r="E83" t="s">
        <v>201</v>
      </c>
      <c r="F83" t="s">
        <v>222</v>
      </c>
      <c r="G83" s="1" t="s">
        <v>219</v>
      </c>
      <c r="H83" s="1" t="s">
        <v>220</v>
      </c>
      <c r="I83" t="s">
        <v>31</v>
      </c>
      <c r="J83" t="s">
        <v>32</v>
      </c>
      <c r="K83" t="s">
        <v>203</v>
      </c>
      <c r="L83" t="s">
        <v>204</v>
      </c>
      <c r="M83" t="s">
        <v>206</v>
      </c>
      <c r="N83">
        <v>12</v>
      </c>
      <c r="O83" t="s">
        <v>57</v>
      </c>
      <c r="S83" t="s">
        <v>58</v>
      </c>
    </row>
    <row r="84" spans="1:19" x14ac:dyDescent="0.25">
      <c r="A84">
        <v>101625</v>
      </c>
      <c r="B84">
        <v>2022</v>
      </c>
      <c r="C84" t="s">
        <v>200</v>
      </c>
      <c r="D84" t="s">
        <v>26</v>
      </c>
      <c r="E84" t="s">
        <v>201</v>
      </c>
      <c r="F84" t="s">
        <v>222</v>
      </c>
      <c r="G84" s="1" t="s">
        <v>219</v>
      </c>
      <c r="H84" s="1" t="s">
        <v>220</v>
      </c>
      <c r="I84" t="s">
        <v>31</v>
      </c>
      <c r="J84" t="s">
        <v>32</v>
      </c>
      <c r="K84" t="s">
        <v>203</v>
      </c>
      <c r="L84" t="s">
        <v>204</v>
      </c>
      <c r="M84" t="s">
        <v>206</v>
      </c>
      <c r="N84">
        <v>13</v>
      </c>
      <c r="O84" t="s">
        <v>68</v>
      </c>
      <c r="R84" t="s">
        <v>190</v>
      </c>
      <c r="S84" t="s">
        <v>69</v>
      </c>
    </row>
    <row r="85" spans="1:19" x14ac:dyDescent="0.25">
      <c r="A85">
        <v>101625</v>
      </c>
      <c r="B85">
        <v>2022</v>
      </c>
      <c r="C85" t="s">
        <v>200</v>
      </c>
      <c r="D85" t="s">
        <v>26</v>
      </c>
      <c r="E85" t="s">
        <v>201</v>
      </c>
      <c r="F85" t="s">
        <v>222</v>
      </c>
      <c r="G85" s="1" t="s">
        <v>219</v>
      </c>
      <c r="H85" s="1" t="s">
        <v>220</v>
      </c>
      <c r="I85" t="s">
        <v>31</v>
      </c>
      <c r="J85" t="s">
        <v>32</v>
      </c>
      <c r="K85" t="s">
        <v>203</v>
      </c>
      <c r="L85" t="s">
        <v>204</v>
      </c>
      <c r="M85" t="s">
        <v>206</v>
      </c>
      <c r="N85">
        <v>14</v>
      </c>
      <c r="O85" t="s">
        <v>57</v>
      </c>
      <c r="R85" t="s">
        <v>190</v>
      </c>
      <c r="S85" t="s">
        <v>58</v>
      </c>
    </row>
    <row r="86" spans="1:19" x14ac:dyDescent="0.25">
      <c r="A86">
        <v>101625</v>
      </c>
      <c r="B86">
        <v>2022</v>
      </c>
      <c r="C86" t="s">
        <v>200</v>
      </c>
      <c r="D86" t="s">
        <v>26</v>
      </c>
      <c r="E86" t="s">
        <v>201</v>
      </c>
      <c r="F86" t="s">
        <v>222</v>
      </c>
      <c r="G86" s="1" t="s">
        <v>219</v>
      </c>
      <c r="H86" s="1" t="s">
        <v>220</v>
      </c>
      <c r="I86" t="s">
        <v>31</v>
      </c>
      <c r="J86" t="s">
        <v>32</v>
      </c>
      <c r="K86" t="s">
        <v>203</v>
      </c>
      <c r="L86" t="s">
        <v>204</v>
      </c>
      <c r="M86" t="s">
        <v>206</v>
      </c>
      <c r="N86">
        <v>15</v>
      </c>
      <c r="O86" t="s">
        <v>57</v>
      </c>
      <c r="S86" t="s">
        <v>58</v>
      </c>
    </row>
    <row r="87" spans="1:19" x14ac:dyDescent="0.25">
      <c r="A87">
        <v>101625</v>
      </c>
      <c r="B87">
        <v>2022</v>
      </c>
      <c r="C87" t="s">
        <v>200</v>
      </c>
      <c r="D87" t="s">
        <v>26</v>
      </c>
      <c r="E87" t="s">
        <v>201</v>
      </c>
      <c r="F87" t="s">
        <v>225</v>
      </c>
      <c r="G87" s="1" t="s">
        <v>219</v>
      </c>
      <c r="H87" s="1" t="s">
        <v>220</v>
      </c>
      <c r="I87" t="s">
        <v>31</v>
      </c>
      <c r="J87" t="s">
        <v>32</v>
      </c>
      <c r="K87" t="s">
        <v>203</v>
      </c>
      <c r="L87" t="s">
        <v>204</v>
      </c>
      <c r="M87" t="s">
        <v>206</v>
      </c>
      <c r="N87">
        <v>1</v>
      </c>
      <c r="O87" t="s">
        <v>57</v>
      </c>
      <c r="S87" t="s">
        <v>58</v>
      </c>
    </row>
    <row r="88" spans="1:19" x14ac:dyDescent="0.25">
      <c r="A88">
        <v>101625</v>
      </c>
      <c r="B88">
        <v>2022</v>
      </c>
      <c r="C88" t="s">
        <v>200</v>
      </c>
      <c r="D88" t="s">
        <v>26</v>
      </c>
      <c r="E88" t="s">
        <v>201</v>
      </c>
      <c r="F88" t="s">
        <v>225</v>
      </c>
      <c r="G88" s="1" t="s">
        <v>219</v>
      </c>
      <c r="H88" s="1" t="s">
        <v>220</v>
      </c>
      <c r="I88" t="s">
        <v>31</v>
      </c>
      <c r="J88" t="s">
        <v>32</v>
      </c>
      <c r="K88" t="s">
        <v>203</v>
      </c>
      <c r="L88" t="s">
        <v>204</v>
      </c>
      <c r="M88" t="s">
        <v>206</v>
      </c>
      <c r="N88">
        <v>2</v>
      </c>
      <c r="P88" t="s">
        <v>99</v>
      </c>
      <c r="S88" t="s">
        <v>100</v>
      </c>
    </row>
    <row r="89" spans="1:19" x14ac:dyDescent="0.25">
      <c r="A89">
        <v>101625</v>
      </c>
      <c r="B89">
        <v>2022</v>
      </c>
      <c r="C89" t="s">
        <v>200</v>
      </c>
      <c r="D89" t="s">
        <v>26</v>
      </c>
      <c r="E89" t="s">
        <v>201</v>
      </c>
      <c r="F89" t="s">
        <v>225</v>
      </c>
      <c r="G89" s="1" t="s">
        <v>219</v>
      </c>
      <c r="H89" s="1" t="s">
        <v>220</v>
      </c>
      <c r="I89" t="s">
        <v>31</v>
      </c>
      <c r="J89" t="s">
        <v>32</v>
      </c>
      <c r="K89" t="s">
        <v>203</v>
      </c>
      <c r="L89" t="s">
        <v>204</v>
      </c>
      <c r="M89" t="s">
        <v>206</v>
      </c>
      <c r="N89">
        <v>3</v>
      </c>
      <c r="P89" t="s">
        <v>99</v>
      </c>
      <c r="S89" t="s">
        <v>100</v>
      </c>
    </row>
    <row r="90" spans="1:19" x14ac:dyDescent="0.25">
      <c r="A90">
        <v>101627</v>
      </c>
      <c r="B90">
        <v>2022</v>
      </c>
      <c r="C90" t="s">
        <v>200</v>
      </c>
      <c r="D90" t="s">
        <v>26</v>
      </c>
      <c r="E90" t="s">
        <v>201</v>
      </c>
      <c r="F90" t="s">
        <v>233</v>
      </c>
      <c r="G90" s="1" t="s">
        <v>232</v>
      </c>
      <c r="H90" s="1" t="s">
        <v>232</v>
      </c>
      <c r="I90" t="s">
        <v>31</v>
      </c>
      <c r="J90" t="s">
        <v>32</v>
      </c>
      <c r="K90" t="s">
        <v>203</v>
      </c>
      <c r="L90" t="s">
        <v>204</v>
      </c>
      <c r="M90" t="s">
        <v>206</v>
      </c>
      <c r="N90">
        <v>1</v>
      </c>
      <c r="O90" t="s">
        <v>57</v>
      </c>
      <c r="S90" t="s">
        <v>58</v>
      </c>
    </row>
    <row r="91" spans="1:19" x14ac:dyDescent="0.25">
      <c r="A91">
        <v>101627</v>
      </c>
      <c r="B91">
        <v>2022</v>
      </c>
      <c r="C91" t="s">
        <v>200</v>
      </c>
      <c r="D91" t="s">
        <v>26</v>
      </c>
      <c r="E91" t="s">
        <v>201</v>
      </c>
      <c r="F91" t="s">
        <v>233</v>
      </c>
      <c r="G91" s="1" t="s">
        <v>232</v>
      </c>
      <c r="H91" s="1" t="s">
        <v>232</v>
      </c>
      <c r="I91" t="s">
        <v>31</v>
      </c>
      <c r="J91" t="s">
        <v>32</v>
      </c>
      <c r="K91" t="s">
        <v>203</v>
      </c>
      <c r="L91" t="s">
        <v>204</v>
      </c>
      <c r="M91" t="s">
        <v>206</v>
      </c>
      <c r="N91">
        <v>2</v>
      </c>
      <c r="O91" t="s">
        <v>68</v>
      </c>
      <c r="S91" t="s">
        <v>69</v>
      </c>
    </row>
    <row r="92" spans="1:19" x14ac:dyDescent="0.25">
      <c r="A92">
        <v>101629</v>
      </c>
      <c r="B92">
        <v>2022</v>
      </c>
      <c r="C92" t="s">
        <v>200</v>
      </c>
      <c r="D92" t="s">
        <v>26</v>
      </c>
      <c r="E92" t="s">
        <v>201</v>
      </c>
      <c r="F92" t="s">
        <v>244</v>
      </c>
      <c r="G92" s="1" t="s">
        <v>243</v>
      </c>
      <c r="H92" s="1" t="s">
        <v>232</v>
      </c>
      <c r="I92" t="s">
        <v>31</v>
      </c>
      <c r="J92" t="s">
        <v>32</v>
      </c>
      <c r="K92" t="s">
        <v>203</v>
      </c>
      <c r="L92" t="s">
        <v>34</v>
      </c>
      <c r="M92" t="s">
        <v>36</v>
      </c>
      <c r="N92">
        <v>1</v>
      </c>
      <c r="P92" t="s">
        <v>99</v>
      </c>
      <c r="Q92" t="s">
        <v>149</v>
      </c>
      <c r="R92" t="s">
        <v>248</v>
      </c>
      <c r="S92" t="s">
        <v>100</v>
      </c>
    </row>
    <row r="93" spans="1:19" x14ac:dyDescent="0.25">
      <c r="A93">
        <v>101629</v>
      </c>
      <c r="B93">
        <v>2022</v>
      </c>
      <c r="C93" t="s">
        <v>200</v>
      </c>
      <c r="D93" t="s">
        <v>26</v>
      </c>
      <c r="E93" t="s">
        <v>201</v>
      </c>
      <c r="F93" t="s">
        <v>244</v>
      </c>
      <c r="G93" s="1" t="s">
        <v>243</v>
      </c>
      <c r="H93" s="1" t="s">
        <v>232</v>
      </c>
      <c r="I93" t="s">
        <v>31</v>
      </c>
      <c r="J93" t="s">
        <v>32</v>
      </c>
      <c r="K93" t="s">
        <v>203</v>
      </c>
      <c r="L93" t="s">
        <v>34</v>
      </c>
      <c r="M93" t="s">
        <v>36</v>
      </c>
      <c r="N93">
        <v>2</v>
      </c>
      <c r="P93" t="s">
        <v>60</v>
      </c>
      <c r="Q93" t="s">
        <v>59</v>
      </c>
      <c r="R93" t="s">
        <v>249</v>
      </c>
      <c r="S93" t="s">
        <v>61</v>
      </c>
    </row>
    <row r="94" spans="1:19" x14ac:dyDescent="0.25">
      <c r="A94">
        <v>101629</v>
      </c>
      <c r="B94">
        <v>2022</v>
      </c>
      <c r="C94" t="s">
        <v>200</v>
      </c>
      <c r="D94" t="s">
        <v>26</v>
      </c>
      <c r="E94" t="s">
        <v>201</v>
      </c>
      <c r="F94" t="s">
        <v>244</v>
      </c>
      <c r="G94" s="1" t="s">
        <v>243</v>
      </c>
      <c r="H94" s="1" t="s">
        <v>232</v>
      </c>
      <c r="I94" t="s">
        <v>31</v>
      </c>
      <c r="J94" t="s">
        <v>32</v>
      </c>
      <c r="K94" t="s">
        <v>203</v>
      </c>
      <c r="L94" t="s">
        <v>34</v>
      </c>
      <c r="M94" t="s">
        <v>36</v>
      </c>
      <c r="N94">
        <v>3</v>
      </c>
      <c r="P94" t="s">
        <v>60</v>
      </c>
      <c r="Q94" t="s">
        <v>59</v>
      </c>
      <c r="R94" t="s">
        <v>249</v>
      </c>
      <c r="S94" t="s">
        <v>61</v>
      </c>
    </row>
    <row r="95" spans="1:19" x14ac:dyDescent="0.25">
      <c r="A95">
        <v>101629</v>
      </c>
      <c r="B95">
        <v>2022</v>
      </c>
      <c r="C95" t="s">
        <v>200</v>
      </c>
      <c r="D95" t="s">
        <v>26</v>
      </c>
      <c r="E95" t="s">
        <v>201</v>
      </c>
      <c r="F95" t="s">
        <v>244</v>
      </c>
      <c r="G95" s="1" t="s">
        <v>243</v>
      </c>
      <c r="H95" s="1" t="s">
        <v>232</v>
      </c>
      <c r="I95" t="s">
        <v>31</v>
      </c>
      <c r="J95" t="s">
        <v>32</v>
      </c>
      <c r="K95" t="s">
        <v>203</v>
      </c>
      <c r="L95" t="s">
        <v>34</v>
      </c>
      <c r="M95" t="s">
        <v>36</v>
      </c>
      <c r="N95">
        <v>4</v>
      </c>
      <c r="P95" t="s">
        <v>99</v>
      </c>
      <c r="Q95" t="s">
        <v>149</v>
      </c>
      <c r="R95" t="s">
        <v>248</v>
      </c>
      <c r="S95" t="s">
        <v>100</v>
      </c>
    </row>
    <row r="96" spans="1:19" x14ac:dyDescent="0.25">
      <c r="A96">
        <v>101629</v>
      </c>
      <c r="B96">
        <v>2022</v>
      </c>
      <c r="C96" t="s">
        <v>200</v>
      </c>
      <c r="D96" t="s">
        <v>26</v>
      </c>
      <c r="E96" t="s">
        <v>201</v>
      </c>
      <c r="F96" t="s">
        <v>244</v>
      </c>
      <c r="G96" s="1" t="s">
        <v>243</v>
      </c>
      <c r="H96" s="1" t="s">
        <v>232</v>
      </c>
      <c r="I96" t="s">
        <v>31</v>
      </c>
      <c r="J96" t="s">
        <v>32</v>
      </c>
      <c r="K96" t="s">
        <v>203</v>
      </c>
      <c r="L96" t="s">
        <v>34</v>
      </c>
      <c r="M96" t="s">
        <v>36</v>
      </c>
      <c r="N96">
        <v>5</v>
      </c>
      <c r="O96" t="s">
        <v>57</v>
      </c>
      <c r="R96" t="s">
        <v>249</v>
      </c>
      <c r="S96" t="s">
        <v>58</v>
      </c>
    </row>
    <row r="97" spans="1:19" x14ac:dyDescent="0.25">
      <c r="A97">
        <v>101629</v>
      </c>
      <c r="B97">
        <v>2022</v>
      </c>
      <c r="C97" t="s">
        <v>200</v>
      </c>
      <c r="D97" t="s">
        <v>26</v>
      </c>
      <c r="E97" t="s">
        <v>201</v>
      </c>
      <c r="F97" t="s">
        <v>244</v>
      </c>
      <c r="G97" s="1" t="s">
        <v>243</v>
      </c>
      <c r="H97" s="1" t="s">
        <v>232</v>
      </c>
      <c r="I97" t="s">
        <v>31</v>
      </c>
      <c r="J97" t="s">
        <v>32</v>
      </c>
      <c r="K97" t="s">
        <v>203</v>
      </c>
      <c r="L97" t="s">
        <v>34</v>
      </c>
      <c r="M97" t="s">
        <v>36</v>
      </c>
      <c r="N97">
        <v>6</v>
      </c>
      <c r="P97" t="s">
        <v>99</v>
      </c>
      <c r="Q97" t="s">
        <v>149</v>
      </c>
      <c r="R97" t="s">
        <v>248</v>
      </c>
      <c r="S97" t="s">
        <v>100</v>
      </c>
    </row>
    <row r="98" spans="1:19" x14ac:dyDescent="0.25">
      <c r="A98">
        <v>101629</v>
      </c>
      <c r="B98">
        <v>2022</v>
      </c>
      <c r="C98" t="s">
        <v>200</v>
      </c>
      <c r="D98" t="s">
        <v>26</v>
      </c>
      <c r="E98" t="s">
        <v>201</v>
      </c>
      <c r="F98" t="s">
        <v>244</v>
      </c>
      <c r="G98" s="1" t="s">
        <v>243</v>
      </c>
      <c r="H98" s="1" t="s">
        <v>232</v>
      </c>
      <c r="I98" t="s">
        <v>31</v>
      </c>
      <c r="J98" t="s">
        <v>32</v>
      </c>
      <c r="K98" t="s">
        <v>203</v>
      </c>
      <c r="L98" t="s">
        <v>34</v>
      </c>
      <c r="M98" t="s">
        <v>36</v>
      </c>
      <c r="N98">
        <v>7</v>
      </c>
      <c r="O98" t="s">
        <v>57</v>
      </c>
      <c r="R98" t="s">
        <v>249</v>
      </c>
      <c r="S98" t="s">
        <v>58</v>
      </c>
    </row>
    <row r="99" spans="1:19" x14ac:dyDescent="0.25">
      <c r="A99">
        <v>101629</v>
      </c>
      <c r="B99">
        <v>2022</v>
      </c>
      <c r="C99" t="s">
        <v>200</v>
      </c>
      <c r="D99" t="s">
        <v>26</v>
      </c>
      <c r="E99" t="s">
        <v>201</v>
      </c>
      <c r="F99" t="s">
        <v>244</v>
      </c>
      <c r="G99" s="1" t="s">
        <v>243</v>
      </c>
      <c r="H99" s="1" t="s">
        <v>232</v>
      </c>
      <c r="I99" t="s">
        <v>31</v>
      </c>
      <c r="J99" t="s">
        <v>32</v>
      </c>
      <c r="K99" t="s">
        <v>203</v>
      </c>
      <c r="L99" t="s">
        <v>34</v>
      </c>
      <c r="M99" t="s">
        <v>36</v>
      </c>
      <c r="N99">
        <v>8</v>
      </c>
      <c r="P99" t="s">
        <v>99</v>
      </c>
      <c r="Q99" t="s">
        <v>149</v>
      </c>
      <c r="R99" t="s">
        <v>248</v>
      </c>
      <c r="S99" t="s">
        <v>100</v>
      </c>
    </row>
    <row r="100" spans="1:19" x14ac:dyDescent="0.25">
      <c r="A100">
        <v>101629</v>
      </c>
      <c r="B100">
        <v>2022</v>
      </c>
      <c r="C100" t="s">
        <v>200</v>
      </c>
      <c r="D100" t="s">
        <v>26</v>
      </c>
      <c r="E100" t="s">
        <v>201</v>
      </c>
      <c r="F100" t="s">
        <v>244</v>
      </c>
      <c r="G100" s="1" t="s">
        <v>243</v>
      </c>
      <c r="H100" s="1" t="s">
        <v>232</v>
      </c>
      <c r="I100" t="s">
        <v>31</v>
      </c>
      <c r="J100" t="s">
        <v>32</v>
      </c>
      <c r="K100" t="s">
        <v>203</v>
      </c>
      <c r="L100" t="s">
        <v>34</v>
      </c>
      <c r="M100" t="s">
        <v>36</v>
      </c>
      <c r="N100">
        <v>9</v>
      </c>
      <c r="O100" t="s">
        <v>57</v>
      </c>
      <c r="R100" t="s">
        <v>249</v>
      </c>
      <c r="S100" t="s">
        <v>58</v>
      </c>
    </row>
    <row r="101" spans="1:19" x14ac:dyDescent="0.25">
      <c r="A101">
        <v>101629</v>
      </c>
      <c r="B101">
        <v>2022</v>
      </c>
      <c r="C101" t="s">
        <v>200</v>
      </c>
      <c r="D101" t="s">
        <v>26</v>
      </c>
      <c r="E101" t="s">
        <v>201</v>
      </c>
      <c r="F101" t="s">
        <v>244</v>
      </c>
      <c r="G101" s="1" t="s">
        <v>243</v>
      </c>
      <c r="H101" s="1" t="s">
        <v>232</v>
      </c>
      <c r="I101" t="s">
        <v>31</v>
      </c>
      <c r="J101" t="s">
        <v>32</v>
      </c>
      <c r="K101" t="s">
        <v>203</v>
      </c>
      <c r="L101" t="s">
        <v>34</v>
      </c>
      <c r="M101" t="s">
        <v>36</v>
      </c>
      <c r="N101">
        <v>10</v>
      </c>
      <c r="P101" t="s">
        <v>99</v>
      </c>
      <c r="Q101" t="s">
        <v>149</v>
      </c>
      <c r="R101" t="s">
        <v>248</v>
      </c>
      <c r="S101" t="s">
        <v>100</v>
      </c>
    </row>
    <row r="102" spans="1:19" x14ac:dyDescent="0.25">
      <c r="A102">
        <v>101629</v>
      </c>
      <c r="B102">
        <v>2022</v>
      </c>
      <c r="C102" t="s">
        <v>200</v>
      </c>
      <c r="D102" t="s">
        <v>26</v>
      </c>
      <c r="E102" t="s">
        <v>201</v>
      </c>
      <c r="F102" t="s">
        <v>241</v>
      </c>
      <c r="G102" s="1" t="s">
        <v>240</v>
      </c>
      <c r="H102" s="1" t="s">
        <v>243</v>
      </c>
      <c r="I102" t="s">
        <v>31</v>
      </c>
      <c r="J102" t="s">
        <v>32</v>
      </c>
      <c r="K102" t="s">
        <v>203</v>
      </c>
      <c r="L102" t="s">
        <v>34</v>
      </c>
      <c r="M102" t="s">
        <v>36</v>
      </c>
      <c r="N102">
        <v>1</v>
      </c>
      <c r="O102" t="s">
        <v>68</v>
      </c>
      <c r="R102" t="s">
        <v>190</v>
      </c>
      <c r="S102" t="s">
        <v>69</v>
      </c>
    </row>
    <row r="103" spans="1:19" x14ac:dyDescent="0.25">
      <c r="A103">
        <v>101629</v>
      </c>
      <c r="B103">
        <v>2022</v>
      </c>
      <c r="C103" t="s">
        <v>200</v>
      </c>
      <c r="D103" t="s">
        <v>26</v>
      </c>
      <c r="E103" t="s">
        <v>201</v>
      </c>
      <c r="F103" t="s">
        <v>241</v>
      </c>
      <c r="G103" s="1" t="s">
        <v>240</v>
      </c>
      <c r="H103" s="1" t="s">
        <v>243</v>
      </c>
      <c r="I103" t="s">
        <v>31</v>
      </c>
      <c r="J103" t="s">
        <v>32</v>
      </c>
      <c r="K103" t="s">
        <v>203</v>
      </c>
      <c r="L103" t="s">
        <v>34</v>
      </c>
      <c r="M103" t="s">
        <v>36</v>
      </c>
      <c r="N103">
        <v>2</v>
      </c>
      <c r="O103" t="s">
        <v>63</v>
      </c>
      <c r="R103" t="s">
        <v>249</v>
      </c>
      <c r="S103" t="s">
        <v>64</v>
      </c>
    </row>
    <row r="104" spans="1:19" x14ac:dyDescent="0.25">
      <c r="A104">
        <v>101629</v>
      </c>
      <c r="B104">
        <v>2022</v>
      </c>
      <c r="C104" t="s">
        <v>200</v>
      </c>
      <c r="D104" t="s">
        <v>26</v>
      </c>
      <c r="E104" t="s">
        <v>201</v>
      </c>
      <c r="F104" t="s">
        <v>241</v>
      </c>
      <c r="G104" s="1" t="s">
        <v>240</v>
      </c>
      <c r="H104" s="1" t="s">
        <v>243</v>
      </c>
      <c r="I104" t="s">
        <v>31</v>
      </c>
      <c r="J104" t="s">
        <v>32</v>
      </c>
      <c r="K104" t="s">
        <v>203</v>
      </c>
      <c r="L104" t="s">
        <v>34</v>
      </c>
      <c r="M104" t="s">
        <v>36</v>
      </c>
      <c r="N104">
        <v>3</v>
      </c>
      <c r="P104" t="s">
        <v>99</v>
      </c>
      <c r="Q104" t="s">
        <v>149</v>
      </c>
      <c r="R104" t="s">
        <v>248</v>
      </c>
      <c r="S104" t="s">
        <v>100</v>
      </c>
    </row>
    <row r="105" spans="1:19" x14ac:dyDescent="0.25">
      <c r="A105">
        <v>101629</v>
      </c>
      <c r="B105">
        <v>2022</v>
      </c>
      <c r="C105" t="s">
        <v>200</v>
      </c>
      <c r="D105" t="s">
        <v>26</v>
      </c>
      <c r="E105" t="s">
        <v>201</v>
      </c>
      <c r="F105" t="s">
        <v>241</v>
      </c>
      <c r="G105" s="1" t="s">
        <v>240</v>
      </c>
      <c r="H105" s="1" t="s">
        <v>243</v>
      </c>
      <c r="I105" t="s">
        <v>31</v>
      </c>
      <c r="J105" t="s">
        <v>32</v>
      </c>
      <c r="K105" t="s">
        <v>203</v>
      </c>
      <c r="L105" t="s">
        <v>34</v>
      </c>
      <c r="M105" t="s">
        <v>36</v>
      </c>
      <c r="N105">
        <v>4</v>
      </c>
      <c r="O105" t="s">
        <v>68</v>
      </c>
      <c r="R105" t="s">
        <v>190</v>
      </c>
      <c r="S105" t="s">
        <v>69</v>
      </c>
    </row>
    <row r="106" spans="1:19" x14ac:dyDescent="0.25">
      <c r="A106">
        <v>101629</v>
      </c>
      <c r="B106">
        <v>2022</v>
      </c>
      <c r="C106" t="s">
        <v>200</v>
      </c>
      <c r="D106" t="s">
        <v>26</v>
      </c>
      <c r="E106" t="s">
        <v>201</v>
      </c>
      <c r="F106" t="s">
        <v>241</v>
      </c>
      <c r="G106" s="1" t="s">
        <v>240</v>
      </c>
      <c r="H106" s="1" t="s">
        <v>243</v>
      </c>
      <c r="I106" t="s">
        <v>31</v>
      </c>
      <c r="J106" t="s">
        <v>32</v>
      </c>
      <c r="K106" t="s">
        <v>203</v>
      </c>
      <c r="L106" t="s">
        <v>34</v>
      </c>
      <c r="M106" t="s">
        <v>36</v>
      </c>
      <c r="N106">
        <v>5</v>
      </c>
      <c r="P106" t="s">
        <v>99</v>
      </c>
      <c r="Q106" t="s">
        <v>149</v>
      </c>
      <c r="R106" t="s">
        <v>248</v>
      </c>
      <c r="S106" t="s">
        <v>100</v>
      </c>
    </row>
    <row r="107" spans="1:19" x14ac:dyDescent="0.25">
      <c r="A107">
        <v>101629</v>
      </c>
      <c r="B107">
        <v>2022</v>
      </c>
      <c r="C107" t="s">
        <v>200</v>
      </c>
      <c r="D107" t="s">
        <v>26</v>
      </c>
      <c r="E107" t="s">
        <v>201</v>
      </c>
      <c r="F107" t="s">
        <v>241</v>
      </c>
      <c r="G107" s="1" t="s">
        <v>240</v>
      </c>
      <c r="H107" s="1" t="s">
        <v>243</v>
      </c>
      <c r="I107" t="s">
        <v>31</v>
      </c>
      <c r="J107" t="s">
        <v>32</v>
      </c>
      <c r="K107" t="s">
        <v>203</v>
      </c>
      <c r="L107" t="s">
        <v>34</v>
      </c>
      <c r="M107" t="s">
        <v>36</v>
      </c>
      <c r="N107">
        <v>6</v>
      </c>
      <c r="O107" t="s">
        <v>57</v>
      </c>
      <c r="R107" t="s">
        <v>249</v>
      </c>
      <c r="S107" t="s">
        <v>58</v>
      </c>
    </row>
    <row r="108" spans="1:19" x14ac:dyDescent="0.25">
      <c r="A108">
        <v>101629</v>
      </c>
      <c r="B108">
        <v>2022</v>
      </c>
      <c r="C108" t="s">
        <v>200</v>
      </c>
      <c r="D108" t="s">
        <v>26</v>
      </c>
      <c r="E108" t="s">
        <v>201</v>
      </c>
      <c r="F108" t="s">
        <v>241</v>
      </c>
      <c r="G108" s="1" t="s">
        <v>240</v>
      </c>
      <c r="H108" s="1" t="s">
        <v>243</v>
      </c>
      <c r="I108" t="s">
        <v>31</v>
      </c>
      <c r="J108" t="s">
        <v>32</v>
      </c>
      <c r="K108" t="s">
        <v>203</v>
      </c>
      <c r="L108" t="s">
        <v>34</v>
      </c>
      <c r="M108" t="s">
        <v>36</v>
      </c>
      <c r="N108">
        <v>7</v>
      </c>
      <c r="O108" t="s">
        <v>57</v>
      </c>
      <c r="R108" t="s">
        <v>249</v>
      </c>
      <c r="S108" t="s">
        <v>58</v>
      </c>
    </row>
    <row r="109" spans="1:19" x14ac:dyDescent="0.25">
      <c r="A109">
        <v>101629</v>
      </c>
      <c r="B109">
        <v>2022</v>
      </c>
      <c r="C109" t="s">
        <v>200</v>
      </c>
      <c r="D109" t="s">
        <v>26</v>
      </c>
      <c r="E109" t="s">
        <v>201</v>
      </c>
      <c r="F109" t="s">
        <v>241</v>
      </c>
      <c r="G109" s="1" t="s">
        <v>240</v>
      </c>
      <c r="H109" s="1" t="s">
        <v>243</v>
      </c>
      <c r="I109" t="s">
        <v>31</v>
      </c>
      <c r="J109" t="s">
        <v>32</v>
      </c>
      <c r="K109" t="s">
        <v>203</v>
      </c>
      <c r="L109" t="s">
        <v>34</v>
      </c>
      <c r="M109" t="s">
        <v>36</v>
      </c>
      <c r="N109">
        <v>8</v>
      </c>
      <c r="O109" t="s">
        <v>57</v>
      </c>
      <c r="R109" t="s">
        <v>249</v>
      </c>
      <c r="S109" t="s">
        <v>58</v>
      </c>
    </row>
    <row r="110" spans="1:19" x14ac:dyDescent="0.25">
      <c r="A110">
        <v>101629</v>
      </c>
      <c r="B110">
        <v>2022</v>
      </c>
      <c r="C110" t="s">
        <v>200</v>
      </c>
      <c r="D110" t="s">
        <v>26</v>
      </c>
      <c r="E110" t="s">
        <v>201</v>
      </c>
      <c r="F110" t="s">
        <v>241</v>
      </c>
      <c r="G110" s="1" t="s">
        <v>240</v>
      </c>
      <c r="H110" s="1" t="s">
        <v>243</v>
      </c>
      <c r="I110" t="s">
        <v>31</v>
      </c>
      <c r="J110" t="s">
        <v>32</v>
      </c>
      <c r="K110" t="s">
        <v>203</v>
      </c>
      <c r="L110" t="s">
        <v>34</v>
      </c>
      <c r="M110" t="s">
        <v>36</v>
      </c>
      <c r="N110">
        <v>9</v>
      </c>
      <c r="Q110" t="s">
        <v>59</v>
      </c>
      <c r="R110" t="s">
        <v>248</v>
      </c>
    </row>
    <row r="111" spans="1:19" x14ac:dyDescent="0.25">
      <c r="A111">
        <v>101629</v>
      </c>
      <c r="B111">
        <v>2022</v>
      </c>
      <c r="C111" t="s">
        <v>200</v>
      </c>
      <c r="D111" t="s">
        <v>26</v>
      </c>
      <c r="E111" t="s">
        <v>201</v>
      </c>
      <c r="F111" t="s">
        <v>241</v>
      </c>
      <c r="G111" s="1" t="s">
        <v>240</v>
      </c>
      <c r="H111" s="1" t="s">
        <v>243</v>
      </c>
      <c r="I111" t="s">
        <v>31</v>
      </c>
      <c r="J111" t="s">
        <v>32</v>
      </c>
      <c r="K111" t="s">
        <v>203</v>
      </c>
      <c r="L111" t="s">
        <v>34</v>
      </c>
      <c r="M111" t="s">
        <v>36</v>
      </c>
      <c r="N111">
        <v>10</v>
      </c>
      <c r="P111" t="s">
        <v>99</v>
      </c>
      <c r="Q111" t="s">
        <v>149</v>
      </c>
      <c r="R111" t="s">
        <v>248</v>
      </c>
      <c r="S111" t="s">
        <v>100</v>
      </c>
    </row>
    <row r="112" spans="1:19" x14ac:dyDescent="0.25">
      <c r="A112">
        <v>101629</v>
      </c>
      <c r="B112">
        <v>2022</v>
      </c>
      <c r="C112" t="s">
        <v>200</v>
      </c>
      <c r="D112" t="s">
        <v>26</v>
      </c>
      <c r="E112" t="s">
        <v>201</v>
      </c>
      <c r="F112" t="s">
        <v>246</v>
      </c>
      <c r="G112" s="1" t="s">
        <v>202</v>
      </c>
      <c r="H112" s="1" t="s">
        <v>232</v>
      </c>
      <c r="I112" t="s">
        <v>31</v>
      </c>
      <c r="J112" t="s">
        <v>32</v>
      </c>
      <c r="K112" t="s">
        <v>203</v>
      </c>
      <c r="L112" t="s">
        <v>34</v>
      </c>
      <c r="M112" t="s">
        <v>36</v>
      </c>
      <c r="N112">
        <v>1</v>
      </c>
      <c r="O112" t="s">
        <v>57</v>
      </c>
      <c r="R112" t="s">
        <v>249</v>
      </c>
      <c r="S112" t="s">
        <v>58</v>
      </c>
    </row>
    <row r="113" spans="1:19" x14ac:dyDescent="0.25">
      <c r="A113">
        <v>101629</v>
      </c>
      <c r="B113">
        <v>2022</v>
      </c>
      <c r="C113" t="s">
        <v>200</v>
      </c>
      <c r="D113" t="s">
        <v>26</v>
      </c>
      <c r="E113" t="s">
        <v>201</v>
      </c>
      <c r="F113" t="s">
        <v>246</v>
      </c>
      <c r="G113" s="1" t="s">
        <v>202</v>
      </c>
      <c r="H113" s="1" t="s">
        <v>232</v>
      </c>
      <c r="I113" t="s">
        <v>31</v>
      </c>
      <c r="J113" t="s">
        <v>32</v>
      </c>
      <c r="K113" t="s">
        <v>203</v>
      </c>
      <c r="L113" t="s">
        <v>34</v>
      </c>
      <c r="M113" t="s">
        <v>36</v>
      </c>
      <c r="N113">
        <v>2</v>
      </c>
      <c r="O113" t="s">
        <v>57</v>
      </c>
      <c r="R113" t="s">
        <v>249</v>
      </c>
      <c r="S113" t="s">
        <v>58</v>
      </c>
    </row>
    <row r="114" spans="1:19" x14ac:dyDescent="0.25">
      <c r="A114">
        <v>101629</v>
      </c>
      <c r="B114">
        <v>2022</v>
      </c>
      <c r="C114" t="s">
        <v>200</v>
      </c>
      <c r="D114" t="s">
        <v>26</v>
      </c>
      <c r="E114" t="s">
        <v>201</v>
      </c>
      <c r="F114" t="s">
        <v>246</v>
      </c>
      <c r="G114" s="1" t="s">
        <v>202</v>
      </c>
      <c r="H114" s="1" t="s">
        <v>232</v>
      </c>
      <c r="I114" t="s">
        <v>31</v>
      </c>
      <c r="J114" t="s">
        <v>32</v>
      </c>
      <c r="K114" t="s">
        <v>203</v>
      </c>
      <c r="L114" t="s">
        <v>34</v>
      </c>
      <c r="M114" t="s">
        <v>36</v>
      </c>
      <c r="N114">
        <v>3</v>
      </c>
      <c r="P114" t="s">
        <v>99</v>
      </c>
      <c r="Q114" t="s">
        <v>149</v>
      </c>
      <c r="R114" t="s">
        <v>248</v>
      </c>
      <c r="S114" t="s">
        <v>100</v>
      </c>
    </row>
    <row r="115" spans="1:19" x14ac:dyDescent="0.25">
      <c r="A115">
        <v>101629</v>
      </c>
      <c r="B115">
        <v>2022</v>
      </c>
      <c r="C115" t="s">
        <v>200</v>
      </c>
      <c r="D115" t="s">
        <v>26</v>
      </c>
      <c r="E115" t="s">
        <v>201</v>
      </c>
      <c r="F115" t="s">
        <v>246</v>
      </c>
      <c r="G115" s="1" t="s">
        <v>202</v>
      </c>
      <c r="H115" s="1" t="s">
        <v>232</v>
      </c>
      <c r="I115" t="s">
        <v>31</v>
      </c>
      <c r="J115" t="s">
        <v>32</v>
      </c>
      <c r="K115" t="s">
        <v>203</v>
      </c>
      <c r="L115" t="s">
        <v>34</v>
      </c>
      <c r="M115" t="s">
        <v>36</v>
      </c>
      <c r="N115">
        <v>4</v>
      </c>
      <c r="O115" t="s">
        <v>57</v>
      </c>
      <c r="R115" t="s">
        <v>190</v>
      </c>
      <c r="S115" t="s">
        <v>58</v>
      </c>
    </row>
    <row r="116" spans="1:19" x14ac:dyDescent="0.25">
      <c r="A116">
        <v>101629</v>
      </c>
      <c r="B116">
        <v>2022</v>
      </c>
      <c r="C116" t="s">
        <v>200</v>
      </c>
      <c r="D116" t="s">
        <v>26</v>
      </c>
      <c r="E116" t="s">
        <v>201</v>
      </c>
      <c r="F116" t="s">
        <v>246</v>
      </c>
      <c r="G116" s="1" t="s">
        <v>202</v>
      </c>
      <c r="H116" s="1" t="s">
        <v>232</v>
      </c>
      <c r="I116" t="s">
        <v>31</v>
      </c>
      <c r="J116" t="s">
        <v>32</v>
      </c>
      <c r="K116" t="s">
        <v>203</v>
      </c>
      <c r="L116" t="s">
        <v>34</v>
      </c>
      <c r="M116" t="s">
        <v>36</v>
      </c>
      <c r="N116">
        <v>5</v>
      </c>
      <c r="P116" t="s">
        <v>99</v>
      </c>
      <c r="Q116" t="s">
        <v>149</v>
      </c>
      <c r="R116" t="s">
        <v>248</v>
      </c>
      <c r="S116" t="s">
        <v>100</v>
      </c>
    </row>
    <row r="117" spans="1:19" x14ac:dyDescent="0.25">
      <c r="A117">
        <v>101629</v>
      </c>
      <c r="B117">
        <v>2022</v>
      </c>
      <c r="C117" t="s">
        <v>200</v>
      </c>
      <c r="D117" t="s">
        <v>26</v>
      </c>
      <c r="E117" t="s">
        <v>201</v>
      </c>
      <c r="F117" t="s">
        <v>246</v>
      </c>
      <c r="G117" s="1" t="s">
        <v>202</v>
      </c>
      <c r="H117" s="1" t="s">
        <v>232</v>
      </c>
      <c r="I117" t="s">
        <v>31</v>
      </c>
      <c r="J117" t="s">
        <v>32</v>
      </c>
      <c r="K117" t="s">
        <v>203</v>
      </c>
      <c r="L117" t="s">
        <v>34</v>
      </c>
      <c r="M117" t="s">
        <v>36</v>
      </c>
      <c r="N117">
        <v>6</v>
      </c>
      <c r="O117" t="s">
        <v>57</v>
      </c>
      <c r="R117" t="s">
        <v>249</v>
      </c>
      <c r="S117" t="s">
        <v>58</v>
      </c>
    </row>
    <row r="118" spans="1:19" x14ac:dyDescent="0.25">
      <c r="A118">
        <v>101629</v>
      </c>
      <c r="B118">
        <v>2022</v>
      </c>
      <c r="C118" t="s">
        <v>200</v>
      </c>
      <c r="D118" t="s">
        <v>26</v>
      </c>
      <c r="E118" t="s">
        <v>201</v>
      </c>
      <c r="F118" t="s">
        <v>246</v>
      </c>
      <c r="G118" s="1" t="s">
        <v>202</v>
      </c>
      <c r="H118" s="1" t="s">
        <v>232</v>
      </c>
      <c r="I118" t="s">
        <v>31</v>
      </c>
      <c r="J118" t="s">
        <v>32</v>
      </c>
      <c r="K118" t="s">
        <v>203</v>
      </c>
      <c r="L118" t="s">
        <v>34</v>
      </c>
      <c r="M118" t="s">
        <v>36</v>
      </c>
      <c r="N118">
        <v>7</v>
      </c>
      <c r="O118" t="s">
        <v>57</v>
      </c>
      <c r="R118" t="s">
        <v>249</v>
      </c>
      <c r="S118" t="s">
        <v>58</v>
      </c>
    </row>
    <row r="119" spans="1:19" x14ac:dyDescent="0.25">
      <c r="A119">
        <v>101629</v>
      </c>
      <c r="B119">
        <v>2022</v>
      </c>
      <c r="C119" t="s">
        <v>200</v>
      </c>
      <c r="D119" t="s">
        <v>26</v>
      </c>
      <c r="E119" t="s">
        <v>201</v>
      </c>
      <c r="F119" t="s">
        <v>246</v>
      </c>
      <c r="G119" s="1" t="s">
        <v>202</v>
      </c>
      <c r="H119" s="1" t="s">
        <v>232</v>
      </c>
      <c r="I119" t="s">
        <v>31</v>
      </c>
      <c r="J119" t="s">
        <v>32</v>
      </c>
      <c r="K119" t="s">
        <v>203</v>
      </c>
      <c r="L119" t="s">
        <v>34</v>
      </c>
      <c r="M119" t="s">
        <v>36</v>
      </c>
      <c r="N119">
        <v>8</v>
      </c>
      <c r="O119" t="s">
        <v>57</v>
      </c>
      <c r="R119" t="s">
        <v>249</v>
      </c>
      <c r="S119" t="s">
        <v>58</v>
      </c>
    </row>
    <row r="120" spans="1:19" x14ac:dyDescent="0.25">
      <c r="A120">
        <v>101629</v>
      </c>
      <c r="B120">
        <v>2022</v>
      </c>
      <c r="C120" t="s">
        <v>200</v>
      </c>
      <c r="D120" t="s">
        <v>26</v>
      </c>
      <c r="E120" t="s">
        <v>201</v>
      </c>
      <c r="F120" t="s">
        <v>246</v>
      </c>
      <c r="G120" s="1" t="s">
        <v>202</v>
      </c>
      <c r="H120" s="1" t="s">
        <v>232</v>
      </c>
      <c r="I120" t="s">
        <v>31</v>
      </c>
      <c r="J120" t="s">
        <v>32</v>
      </c>
      <c r="K120" t="s">
        <v>203</v>
      </c>
      <c r="L120" t="s">
        <v>34</v>
      </c>
      <c r="M120" t="s">
        <v>36</v>
      </c>
      <c r="N120">
        <v>9</v>
      </c>
      <c r="P120" t="s">
        <v>99</v>
      </c>
      <c r="Q120" t="s">
        <v>149</v>
      </c>
      <c r="R120" t="s">
        <v>248</v>
      </c>
      <c r="S120" t="s">
        <v>100</v>
      </c>
    </row>
    <row r="121" spans="1:19" x14ac:dyDescent="0.25">
      <c r="A121">
        <v>101631</v>
      </c>
      <c r="B121">
        <v>2022</v>
      </c>
      <c r="C121" t="s">
        <v>200</v>
      </c>
      <c r="D121" t="s">
        <v>26</v>
      </c>
      <c r="E121" t="s">
        <v>201</v>
      </c>
      <c r="F121" t="s">
        <v>250</v>
      </c>
      <c r="G121" s="1" t="s">
        <v>202</v>
      </c>
      <c r="H121" s="1" t="s">
        <v>232</v>
      </c>
      <c r="I121" t="s">
        <v>31</v>
      </c>
      <c r="J121" t="s">
        <v>32</v>
      </c>
      <c r="K121" t="s">
        <v>203</v>
      </c>
      <c r="L121" t="s">
        <v>204</v>
      </c>
      <c r="M121" t="s">
        <v>206</v>
      </c>
      <c r="N121">
        <v>1</v>
      </c>
      <c r="O121" t="s">
        <v>68</v>
      </c>
      <c r="S121" t="s">
        <v>69</v>
      </c>
    </row>
    <row r="122" spans="1:19" x14ac:dyDescent="0.25">
      <c r="A122">
        <v>101631</v>
      </c>
      <c r="B122">
        <v>2022</v>
      </c>
      <c r="C122" t="s">
        <v>200</v>
      </c>
      <c r="D122" t="s">
        <v>26</v>
      </c>
      <c r="E122" t="s">
        <v>201</v>
      </c>
      <c r="F122" t="s">
        <v>250</v>
      </c>
      <c r="G122" s="1" t="s">
        <v>202</v>
      </c>
      <c r="H122" s="1" t="s">
        <v>232</v>
      </c>
      <c r="I122" t="s">
        <v>31</v>
      </c>
      <c r="J122" t="s">
        <v>32</v>
      </c>
      <c r="K122" t="s">
        <v>203</v>
      </c>
      <c r="L122" t="s">
        <v>204</v>
      </c>
      <c r="M122" t="s">
        <v>206</v>
      </c>
      <c r="N122">
        <v>2</v>
      </c>
      <c r="O122" t="s">
        <v>57</v>
      </c>
      <c r="S122" t="s">
        <v>58</v>
      </c>
    </row>
    <row r="123" spans="1:19" x14ac:dyDescent="0.25">
      <c r="A123">
        <v>101631</v>
      </c>
      <c r="B123">
        <v>2022</v>
      </c>
      <c r="C123" t="s">
        <v>200</v>
      </c>
      <c r="D123" t="s">
        <v>26</v>
      </c>
      <c r="E123" t="s">
        <v>201</v>
      </c>
      <c r="F123" t="s">
        <v>250</v>
      </c>
      <c r="G123" s="1" t="s">
        <v>202</v>
      </c>
      <c r="H123" s="1" t="s">
        <v>232</v>
      </c>
      <c r="I123" t="s">
        <v>31</v>
      </c>
      <c r="J123" t="s">
        <v>32</v>
      </c>
      <c r="K123" t="s">
        <v>203</v>
      </c>
      <c r="L123" t="s">
        <v>204</v>
      </c>
      <c r="M123" t="s">
        <v>206</v>
      </c>
      <c r="N123">
        <v>3</v>
      </c>
      <c r="O123" t="s">
        <v>57</v>
      </c>
      <c r="S123" t="s">
        <v>58</v>
      </c>
    </row>
    <row r="124" spans="1:19" x14ac:dyDescent="0.25">
      <c r="A124">
        <v>101631</v>
      </c>
      <c r="B124">
        <v>2022</v>
      </c>
      <c r="C124" t="s">
        <v>200</v>
      </c>
      <c r="D124" t="s">
        <v>26</v>
      </c>
      <c r="E124" t="s">
        <v>201</v>
      </c>
      <c r="F124" t="s">
        <v>250</v>
      </c>
      <c r="G124" s="1" t="s">
        <v>202</v>
      </c>
      <c r="H124" s="1" t="s">
        <v>232</v>
      </c>
      <c r="I124" t="s">
        <v>31</v>
      </c>
      <c r="J124" t="s">
        <v>32</v>
      </c>
      <c r="K124" t="s">
        <v>203</v>
      </c>
      <c r="L124" t="s">
        <v>204</v>
      </c>
      <c r="M124" t="s">
        <v>206</v>
      </c>
      <c r="N124">
        <v>4</v>
      </c>
      <c r="O124" t="s">
        <v>68</v>
      </c>
      <c r="S124" t="s">
        <v>69</v>
      </c>
    </row>
    <row r="125" spans="1:19" x14ac:dyDescent="0.25">
      <c r="A125">
        <v>101631</v>
      </c>
      <c r="B125">
        <v>2022</v>
      </c>
      <c r="C125" t="s">
        <v>200</v>
      </c>
      <c r="D125" t="s">
        <v>26</v>
      </c>
      <c r="E125" t="s">
        <v>201</v>
      </c>
      <c r="F125" t="s">
        <v>250</v>
      </c>
      <c r="G125" s="1" t="s">
        <v>202</v>
      </c>
      <c r="H125" s="1" t="s">
        <v>232</v>
      </c>
      <c r="I125" t="s">
        <v>31</v>
      </c>
      <c r="J125" t="s">
        <v>32</v>
      </c>
      <c r="K125" t="s">
        <v>203</v>
      </c>
      <c r="L125" t="s">
        <v>204</v>
      </c>
      <c r="M125" t="s">
        <v>206</v>
      </c>
      <c r="N125">
        <v>5</v>
      </c>
      <c r="O125" t="s">
        <v>197</v>
      </c>
      <c r="S125" t="s">
        <v>198</v>
      </c>
    </row>
    <row r="126" spans="1:19" x14ac:dyDescent="0.25">
      <c r="A126">
        <v>101633</v>
      </c>
      <c r="B126">
        <v>2022</v>
      </c>
      <c r="C126" t="s">
        <v>200</v>
      </c>
      <c r="D126" t="s">
        <v>26</v>
      </c>
      <c r="E126" t="s">
        <v>201</v>
      </c>
      <c r="F126" t="s">
        <v>257</v>
      </c>
      <c r="G126" s="1" t="s">
        <v>243</v>
      </c>
      <c r="H126" s="1" t="s">
        <v>243</v>
      </c>
      <c r="I126" t="s">
        <v>31</v>
      </c>
      <c r="J126" t="s">
        <v>32</v>
      </c>
      <c r="K126" t="s">
        <v>203</v>
      </c>
      <c r="L126" t="s">
        <v>34</v>
      </c>
      <c r="M126" t="s">
        <v>36</v>
      </c>
      <c r="N126">
        <v>1</v>
      </c>
      <c r="O126" t="s">
        <v>57</v>
      </c>
      <c r="R126" t="s">
        <v>249</v>
      </c>
      <c r="S126" t="s">
        <v>58</v>
      </c>
    </row>
    <row r="127" spans="1:19" x14ac:dyDescent="0.25">
      <c r="A127">
        <v>101633</v>
      </c>
      <c r="B127">
        <v>2022</v>
      </c>
      <c r="C127" t="s">
        <v>200</v>
      </c>
      <c r="D127" t="s">
        <v>26</v>
      </c>
      <c r="E127" t="s">
        <v>201</v>
      </c>
      <c r="F127" t="s">
        <v>257</v>
      </c>
      <c r="G127" s="1" t="s">
        <v>243</v>
      </c>
      <c r="H127" s="1" t="s">
        <v>243</v>
      </c>
      <c r="I127" t="s">
        <v>31</v>
      </c>
      <c r="J127" t="s">
        <v>32</v>
      </c>
      <c r="K127" t="s">
        <v>203</v>
      </c>
      <c r="L127" t="s">
        <v>34</v>
      </c>
      <c r="M127" t="s">
        <v>36</v>
      </c>
      <c r="N127">
        <v>2</v>
      </c>
      <c r="O127" t="s">
        <v>57</v>
      </c>
      <c r="R127" t="s">
        <v>249</v>
      </c>
      <c r="S127" t="s">
        <v>58</v>
      </c>
    </row>
    <row r="128" spans="1:19" x14ac:dyDescent="0.25">
      <c r="A128">
        <v>101633</v>
      </c>
      <c r="B128">
        <v>2022</v>
      </c>
      <c r="C128" t="s">
        <v>200</v>
      </c>
      <c r="D128" t="s">
        <v>26</v>
      </c>
      <c r="E128" t="s">
        <v>201</v>
      </c>
      <c r="F128" t="s">
        <v>257</v>
      </c>
      <c r="G128" s="1" t="s">
        <v>243</v>
      </c>
      <c r="H128" s="1" t="s">
        <v>243</v>
      </c>
      <c r="I128" t="s">
        <v>31</v>
      </c>
      <c r="J128" t="s">
        <v>32</v>
      </c>
      <c r="K128" t="s">
        <v>203</v>
      </c>
      <c r="L128" t="s">
        <v>34</v>
      </c>
      <c r="M128" t="s">
        <v>36</v>
      </c>
      <c r="N128">
        <v>3</v>
      </c>
      <c r="P128" t="s">
        <v>99</v>
      </c>
      <c r="Q128" t="s">
        <v>149</v>
      </c>
      <c r="R128" t="s">
        <v>248</v>
      </c>
      <c r="S128" t="s">
        <v>100</v>
      </c>
    </row>
    <row r="129" spans="1:19" x14ac:dyDescent="0.25">
      <c r="A129">
        <v>101633</v>
      </c>
      <c r="B129">
        <v>2022</v>
      </c>
      <c r="C129" t="s">
        <v>200</v>
      </c>
      <c r="D129" t="s">
        <v>26</v>
      </c>
      <c r="E129" t="s">
        <v>201</v>
      </c>
      <c r="F129" t="s">
        <v>257</v>
      </c>
      <c r="G129" s="1" t="s">
        <v>243</v>
      </c>
      <c r="H129" s="1" t="s">
        <v>243</v>
      </c>
      <c r="I129" t="s">
        <v>31</v>
      </c>
      <c r="J129" t="s">
        <v>32</v>
      </c>
      <c r="K129" t="s">
        <v>203</v>
      </c>
      <c r="L129" t="s">
        <v>34</v>
      </c>
      <c r="M129" t="s">
        <v>36</v>
      </c>
      <c r="N129">
        <v>4</v>
      </c>
      <c r="O129" t="s">
        <v>68</v>
      </c>
      <c r="R129" t="s">
        <v>190</v>
      </c>
      <c r="S129" t="s">
        <v>69</v>
      </c>
    </row>
    <row r="130" spans="1:19" x14ac:dyDescent="0.25">
      <c r="A130">
        <v>101633</v>
      </c>
      <c r="B130">
        <v>2022</v>
      </c>
      <c r="C130" t="s">
        <v>200</v>
      </c>
      <c r="D130" t="s">
        <v>26</v>
      </c>
      <c r="E130" t="s">
        <v>201</v>
      </c>
      <c r="F130" t="s">
        <v>257</v>
      </c>
      <c r="G130" s="1" t="s">
        <v>243</v>
      </c>
      <c r="H130" s="1" t="s">
        <v>243</v>
      </c>
      <c r="I130" t="s">
        <v>31</v>
      </c>
      <c r="J130" t="s">
        <v>32</v>
      </c>
      <c r="K130" t="s">
        <v>203</v>
      </c>
      <c r="L130" t="s">
        <v>34</v>
      </c>
      <c r="M130" t="s">
        <v>36</v>
      </c>
      <c r="N130">
        <v>5</v>
      </c>
      <c r="O130" t="s">
        <v>57</v>
      </c>
      <c r="R130" t="s">
        <v>249</v>
      </c>
      <c r="S130" t="s">
        <v>58</v>
      </c>
    </row>
    <row r="131" spans="1:19" x14ac:dyDescent="0.25">
      <c r="A131">
        <v>101633</v>
      </c>
      <c r="B131">
        <v>2022</v>
      </c>
      <c r="C131" t="s">
        <v>200</v>
      </c>
      <c r="D131" t="s">
        <v>26</v>
      </c>
      <c r="E131" t="s">
        <v>201</v>
      </c>
      <c r="F131" t="s">
        <v>257</v>
      </c>
      <c r="G131" s="1" t="s">
        <v>243</v>
      </c>
      <c r="H131" s="1" t="s">
        <v>243</v>
      </c>
      <c r="I131" t="s">
        <v>31</v>
      </c>
      <c r="J131" t="s">
        <v>32</v>
      </c>
      <c r="K131" t="s">
        <v>203</v>
      </c>
      <c r="L131" t="s">
        <v>34</v>
      </c>
      <c r="M131" t="s">
        <v>36</v>
      </c>
      <c r="N131">
        <v>6</v>
      </c>
      <c r="O131" t="s">
        <v>68</v>
      </c>
      <c r="R131" t="s">
        <v>190</v>
      </c>
      <c r="S131" t="s">
        <v>69</v>
      </c>
    </row>
    <row r="132" spans="1:19" x14ac:dyDescent="0.25">
      <c r="A132">
        <v>101633</v>
      </c>
      <c r="B132">
        <v>2022</v>
      </c>
      <c r="C132" t="s">
        <v>200</v>
      </c>
      <c r="D132" t="s">
        <v>26</v>
      </c>
      <c r="E132" t="s">
        <v>201</v>
      </c>
      <c r="F132" t="s">
        <v>257</v>
      </c>
      <c r="G132" s="1" t="s">
        <v>243</v>
      </c>
      <c r="H132" s="1" t="s">
        <v>243</v>
      </c>
      <c r="I132" t="s">
        <v>31</v>
      </c>
      <c r="J132" t="s">
        <v>32</v>
      </c>
      <c r="K132" t="s">
        <v>203</v>
      </c>
      <c r="L132" t="s">
        <v>34</v>
      </c>
      <c r="M132" t="s">
        <v>36</v>
      </c>
      <c r="N132">
        <v>7</v>
      </c>
      <c r="O132" t="s">
        <v>68</v>
      </c>
      <c r="R132" t="s">
        <v>249</v>
      </c>
      <c r="S132" t="s">
        <v>69</v>
      </c>
    </row>
    <row r="133" spans="1:19" x14ac:dyDescent="0.25">
      <c r="A133">
        <v>101633</v>
      </c>
      <c r="B133">
        <v>2022</v>
      </c>
      <c r="C133" t="s">
        <v>200</v>
      </c>
      <c r="D133" t="s">
        <v>26</v>
      </c>
      <c r="E133" t="s">
        <v>201</v>
      </c>
      <c r="F133" t="s">
        <v>259</v>
      </c>
      <c r="G133" s="1" t="s">
        <v>243</v>
      </c>
      <c r="H133" s="1" t="s">
        <v>232</v>
      </c>
      <c r="I133" t="s">
        <v>31</v>
      </c>
      <c r="J133" t="s">
        <v>32</v>
      </c>
      <c r="K133" t="s">
        <v>203</v>
      </c>
      <c r="L133" t="s">
        <v>34</v>
      </c>
      <c r="M133" t="s">
        <v>36</v>
      </c>
      <c r="N133">
        <v>1</v>
      </c>
      <c r="P133" t="s">
        <v>99</v>
      </c>
      <c r="Q133" t="s">
        <v>149</v>
      </c>
      <c r="R133" t="s">
        <v>248</v>
      </c>
      <c r="S133" t="s">
        <v>100</v>
      </c>
    </row>
    <row r="134" spans="1:19" x14ac:dyDescent="0.25">
      <c r="A134">
        <v>101633</v>
      </c>
      <c r="B134">
        <v>2022</v>
      </c>
      <c r="C134" t="s">
        <v>200</v>
      </c>
      <c r="D134" t="s">
        <v>26</v>
      </c>
      <c r="E134" t="s">
        <v>201</v>
      </c>
      <c r="F134" t="s">
        <v>259</v>
      </c>
      <c r="G134" s="1" t="s">
        <v>243</v>
      </c>
      <c r="H134" s="1" t="s">
        <v>232</v>
      </c>
      <c r="I134" t="s">
        <v>31</v>
      </c>
      <c r="J134" t="s">
        <v>32</v>
      </c>
      <c r="K134" t="s">
        <v>203</v>
      </c>
      <c r="L134" t="s">
        <v>34</v>
      </c>
      <c r="M134" t="s">
        <v>36</v>
      </c>
      <c r="N134">
        <v>2</v>
      </c>
      <c r="P134" t="s">
        <v>99</v>
      </c>
      <c r="Q134" t="s">
        <v>149</v>
      </c>
      <c r="R134" t="s">
        <v>248</v>
      </c>
      <c r="S134" t="s">
        <v>100</v>
      </c>
    </row>
    <row r="135" spans="1:19" x14ac:dyDescent="0.25">
      <c r="A135">
        <v>101633</v>
      </c>
      <c r="B135">
        <v>2022</v>
      </c>
      <c r="C135" t="s">
        <v>200</v>
      </c>
      <c r="D135" t="s">
        <v>26</v>
      </c>
      <c r="E135" t="s">
        <v>201</v>
      </c>
      <c r="F135" t="s">
        <v>259</v>
      </c>
      <c r="G135" s="1" t="s">
        <v>243</v>
      </c>
      <c r="H135" s="1" t="s">
        <v>232</v>
      </c>
      <c r="I135" t="s">
        <v>31</v>
      </c>
      <c r="J135" t="s">
        <v>32</v>
      </c>
      <c r="K135" t="s">
        <v>203</v>
      </c>
      <c r="L135" t="s">
        <v>34</v>
      </c>
      <c r="M135" t="s">
        <v>36</v>
      </c>
      <c r="N135">
        <v>3</v>
      </c>
      <c r="O135" t="s">
        <v>57</v>
      </c>
      <c r="R135" t="s">
        <v>249</v>
      </c>
      <c r="S135" t="s">
        <v>58</v>
      </c>
    </row>
    <row r="136" spans="1:19" x14ac:dyDescent="0.25">
      <c r="A136">
        <v>101633</v>
      </c>
      <c r="B136">
        <v>2022</v>
      </c>
      <c r="C136" t="s">
        <v>200</v>
      </c>
      <c r="D136" t="s">
        <v>26</v>
      </c>
      <c r="E136" t="s">
        <v>201</v>
      </c>
      <c r="F136" t="s">
        <v>259</v>
      </c>
      <c r="G136" s="1" t="s">
        <v>243</v>
      </c>
      <c r="H136" s="1" t="s">
        <v>232</v>
      </c>
      <c r="I136" t="s">
        <v>31</v>
      </c>
      <c r="J136" t="s">
        <v>32</v>
      </c>
      <c r="K136" t="s">
        <v>203</v>
      </c>
      <c r="L136" t="s">
        <v>34</v>
      </c>
      <c r="M136" t="s">
        <v>36</v>
      </c>
      <c r="N136">
        <v>4</v>
      </c>
      <c r="O136" t="s">
        <v>57</v>
      </c>
      <c r="R136" t="s">
        <v>249</v>
      </c>
      <c r="S136" t="s">
        <v>58</v>
      </c>
    </row>
    <row r="137" spans="1:19" x14ac:dyDescent="0.25">
      <c r="A137">
        <v>101633</v>
      </c>
      <c r="B137">
        <v>2022</v>
      </c>
      <c r="C137" t="s">
        <v>200</v>
      </c>
      <c r="D137" t="s">
        <v>26</v>
      </c>
      <c r="E137" t="s">
        <v>201</v>
      </c>
      <c r="F137" t="s">
        <v>259</v>
      </c>
      <c r="G137" s="1" t="s">
        <v>243</v>
      </c>
      <c r="H137" s="1" t="s">
        <v>232</v>
      </c>
      <c r="I137" t="s">
        <v>31</v>
      </c>
      <c r="J137" t="s">
        <v>32</v>
      </c>
      <c r="K137" t="s">
        <v>203</v>
      </c>
      <c r="L137" t="s">
        <v>34</v>
      </c>
      <c r="M137" t="s">
        <v>36</v>
      </c>
      <c r="N137">
        <v>5</v>
      </c>
      <c r="P137" t="s">
        <v>99</v>
      </c>
      <c r="Q137" t="s">
        <v>149</v>
      </c>
      <c r="R137" t="s">
        <v>248</v>
      </c>
      <c r="S137" t="s">
        <v>100</v>
      </c>
    </row>
    <row r="138" spans="1:19" x14ac:dyDescent="0.25">
      <c r="A138">
        <v>101633</v>
      </c>
      <c r="B138">
        <v>2022</v>
      </c>
      <c r="C138" t="s">
        <v>200</v>
      </c>
      <c r="D138" t="s">
        <v>26</v>
      </c>
      <c r="E138" t="s">
        <v>201</v>
      </c>
      <c r="F138" t="s">
        <v>259</v>
      </c>
      <c r="G138" s="1" t="s">
        <v>243</v>
      </c>
      <c r="H138" s="1" t="s">
        <v>232</v>
      </c>
      <c r="I138" t="s">
        <v>31</v>
      </c>
      <c r="J138" t="s">
        <v>32</v>
      </c>
      <c r="K138" t="s">
        <v>203</v>
      </c>
      <c r="L138" t="s">
        <v>34</v>
      </c>
      <c r="M138" t="s">
        <v>36</v>
      </c>
      <c r="N138">
        <v>6</v>
      </c>
      <c r="O138" t="s">
        <v>57</v>
      </c>
      <c r="R138" t="s">
        <v>190</v>
      </c>
      <c r="S138" t="s">
        <v>58</v>
      </c>
    </row>
    <row r="139" spans="1:19" x14ac:dyDescent="0.25">
      <c r="A139">
        <v>101633</v>
      </c>
      <c r="B139">
        <v>2022</v>
      </c>
      <c r="C139" t="s">
        <v>200</v>
      </c>
      <c r="D139" t="s">
        <v>26</v>
      </c>
      <c r="E139" t="s">
        <v>201</v>
      </c>
      <c r="F139" t="s">
        <v>259</v>
      </c>
      <c r="G139" s="1" t="s">
        <v>243</v>
      </c>
      <c r="H139" s="1" t="s">
        <v>232</v>
      </c>
      <c r="I139" t="s">
        <v>31</v>
      </c>
      <c r="J139" t="s">
        <v>32</v>
      </c>
      <c r="K139" t="s">
        <v>203</v>
      </c>
      <c r="L139" t="s">
        <v>34</v>
      </c>
      <c r="M139" t="s">
        <v>36</v>
      </c>
      <c r="N139">
        <v>7</v>
      </c>
      <c r="O139" t="s">
        <v>68</v>
      </c>
      <c r="R139" t="s">
        <v>190</v>
      </c>
      <c r="S139" t="s">
        <v>69</v>
      </c>
    </row>
    <row r="140" spans="1:19" x14ac:dyDescent="0.25">
      <c r="A140">
        <v>101633</v>
      </c>
      <c r="B140">
        <v>2022</v>
      </c>
      <c r="C140" t="s">
        <v>200</v>
      </c>
      <c r="D140" t="s">
        <v>26</v>
      </c>
      <c r="E140" t="s">
        <v>201</v>
      </c>
      <c r="F140" t="s">
        <v>259</v>
      </c>
      <c r="G140" s="1" t="s">
        <v>243</v>
      </c>
      <c r="H140" s="1" t="s">
        <v>232</v>
      </c>
      <c r="I140" t="s">
        <v>31</v>
      </c>
      <c r="J140" t="s">
        <v>32</v>
      </c>
      <c r="K140" t="s">
        <v>203</v>
      </c>
      <c r="L140" t="s">
        <v>34</v>
      </c>
      <c r="M140" t="s">
        <v>36</v>
      </c>
      <c r="N140">
        <v>8</v>
      </c>
      <c r="P140" t="s">
        <v>99</v>
      </c>
      <c r="Q140" t="s">
        <v>149</v>
      </c>
      <c r="R140" t="s">
        <v>248</v>
      </c>
      <c r="S140" t="s">
        <v>100</v>
      </c>
    </row>
    <row r="141" spans="1:19" x14ac:dyDescent="0.25">
      <c r="A141">
        <v>101635</v>
      </c>
      <c r="B141">
        <v>2022</v>
      </c>
      <c r="C141" t="s">
        <v>200</v>
      </c>
      <c r="D141" t="s">
        <v>26</v>
      </c>
      <c r="E141" t="s">
        <v>201</v>
      </c>
      <c r="F141" t="s">
        <v>262</v>
      </c>
      <c r="G141" s="1" t="s">
        <v>202</v>
      </c>
      <c r="H141" s="1" t="s">
        <v>202</v>
      </c>
      <c r="I141" t="s">
        <v>31</v>
      </c>
      <c r="J141" t="s">
        <v>32</v>
      </c>
      <c r="K141" t="s">
        <v>203</v>
      </c>
      <c r="L141" t="s">
        <v>204</v>
      </c>
      <c r="M141" t="s">
        <v>206</v>
      </c>
      <c r="N141">
        <v>1</v>
      </c>
      <c r="Q141" t="s">
        <v>151</v>
      </c>
    </row>
    <row r="142" spans="1:19" x14ac:dyDescent="0.25">
      <c r="A142">
        <v>101635</v>
      </c>
      <c r="B142">
        <v>2022</v>
      </c>
      <c r="C142" t="s">
        <v>200</v>
      </c>
      <c r="D142" t="s">
        <v>26</v>
      </c>
      <c r="E142" t="s">
        <v>201</v>
      </c>
      <c r="F142" t="s">
        <v>262</v>
      </c>
      <c r="G142" s="1" t="s">
        <v>202</v>
      </c>
      <c r="H142" s="1" t="s">
        <v>202</v>
      </c>
      <c r="I142" t="s">
        <v>31</v>
      </c>
      <c r="J142" t="s">
        <v>32</v>
      </c>
      <c r="K142" t="s">
        <v>203</v>
      </c>
      <c r="L142" t="s">
        <v>204</v>
      </c>
      <c r="M142" t="s">
        <v>206</v>
      </c>
      <c r="N142">
        <v>2</v>
      </c>
      <c r="O142" t="s">
        <v>57</v>
      </c>
      <c r="S142" t="s">
        <v>58</v>
      </c>
    </row>
    <row r="143" spans="1:19" x14ac:dyDescent="0.25">
      <c r="A143">
        <v>101635</v>
      </c>
      <c r="B143">
        <v>2022</v>
      </c>
      <c r="C143" t="s">
        <v>200</v>
      </c>
      <c r="D143" t="s">
        <v>26</v>
      </c>
      <c r="E143" t="s">
        <v>201</v>
      </c>
      <c r="F143" t="s">
        <v>262</v>
      </c>
      <c r="G143" s="1" t="s">
        <v>202</v>
      </c>
      <c r="H143" s="1" t="s">
        <v>202</v>
      </c>
      <c r="I143" t="s">
        <v>31</v>
      </c>
      <c r="J143" t="s">
        <v>32</v>
      </c>
      <c r="K143" t="s">
        <v>203</v>
      </c>
      <c r="L143" t="s">
        <v>204</v>
      </c>
      <c r="M143" t="s">
        <v>206</v>
      </c>
      <c r="N143">
        <v>3</v>
      </c>
      <c r="O143" t="s">
        <v>68</v>
      </c>
      <c r="S143" t="s">
        <v>69</v>
      </c>
    </row>
    <row r="144" spans="1:19" x14ac:dyDescent="0.25">
      <c r="A144">
        <v>102641</v>
      </c>
      <c r="B144">
        <v>2022</v>
      </c>
      <c r="C144" t="s">
        <v>200</v>
      </c>
      <c r="D144" t="s">
        <v>26</v>
      </c>
      <c r="E144" t="s">
        <v>265</v>
      </c>
      <c r="F144" t="s">
        <v>271</v>
      </c>
      <c r="G144" s="1" t="s">
        <v>266</v>
      </c>
      <c r="H144" s="1" t="s">
        <v>267</v>
      </c>
      <c r="I144" t="s">
        <v>31</v>
      </c>
      <c r="J144" t="s">
        <v>32</v>
      </c>
      <c r="K144" t="s">
        <v>203</v>
      </c>
      <c r="L144" t="s">
        <v>34</v>
      </c>
      <c r="M144" t="s">
        <v>206</v>
      </c>
      <c r="N144">
        <v>1</v>
      </c>
      <c r="O144" t="s">
        <v>57</v>
      </c>
      <c r="S144" t="s">
        <v>58</v>
      </c>
    </row>
    <row r="145" spans="1:19" x14ac:dyDescent="0.25">
      <c r="A145">
        <v>102641</v>
      </c>
      <c r="B145">
        <v>2022</v>
      </c>
      <c r="C145" t="s">
        <v>200</v>
      </c>
      <c r="D145" t="s">
        <v>26</v>
      </c>
      <c r="E145" t="s">
        <v>265</v>
      </c>
      <c r="F145" t="s">
        <v>271</v>
      </c>
      <c r="G145" s="1" t="s">
        <v>266</v>
      </c>
      <c r="H145" s="1" t="s">
        <v>267</v>
      </c>
      <c r="I145" t="s">
        <v>31</v>
      </c>
      <c r="J145" t="s">
        <v>32</v>
      </c>
      <c r="K145" t="s">
        <v>203</v>
      </c>
      <c r="L145" t="s">
        <v>34</v>
      </c>
      <c r="M145" t="s">
        <v>206</v>
      </c>
      <c r="N145">
        <v>2</v>
      </c>
      <c r="O145" t="s">
        <v>57</v>
      </c>
      <c r="S145" t="s">
        <v>58</v>
      </c>
    </row>
    <row r="146" spans="1:19" x14ac:dyDescent="0.25">
      <c r="A146">
        <v>102641</v>
      </c>
      <c r="B146">
        <v>2022</v>
      </c>
      <c r="C146" t="s">
        <v>200</v>
      </c>
      <c r="D146" t="s">
        <v>26</v>
      </c>
      <c r="E146" t="s">
        <v>265</v>
      </c>
      <c r="F146" t="s">
        <v>271</v>
      </c>
      <c r="G146" s="1" t="s">
        <v>266</v>
      </c>
      <c r="H146" s="1" t="s">
        <v>267</v>
      </c>
      <c r="I146" t="s">
        <v>31</v>
      </c>
      <c r="J146" t="s">
        <v>32</v>
      </c>
      <c r="K146" t="s">
        <v>203</v>
      </c>
      <c r="L146" t="s">
        <v>34</v>
      </c>
      <c r="M146" t="s">
        <v>206</v>
      </c>
      <c r="N146">
        <v>3</v>
      </c>
      <c r="O146" t="s">
        <v>57</v>
      </c>
      <c r="S146" t="s">
        <v>58</v>
      </c>
    </row>
    <row r="147" spans="1:19" x14ac:dyDescent="0.25">
      <c r="A147">
        <v>102641</v>
      </c>
      <c r="B147">
        <v>2022</v>
      </c>
      <c r="C147" t="s">
        <v>200</v>
      </c>
      <c r="D147" t="s">
        <v>26</v>
      </c>
      <c r="E147" t="s">
        <v>265</v>
      </c>
      <c r="F147" t="s">
        <v>271</v>
      </c>
      <c r="G147" s="1" t="s">
        <v>266</v>
      </c>
      <c r="H147" s="1" t="s">
        <v>267</v>
      </c>
      <c r="I147" t="s">
        <v>31</v>
      </c>
      <c r="J147" t="s">
        <v>32</v>
      </c>
      <c r="K147" t="s">
        <v>203</v>
      </c>
      <c r="L147" t="s">
        <v>34</v>
      </c>
      <c r="M147" t="s">
        <v>206</v>
      </c>
      <c r="N147">
        <v>4</v>
      </c>
      <c r="O147" t="s">
        <v>57</v>
      </c>
      <c r="S147" t="s">
        <v>58</v>
      </c>
    </row>
    <row r="148" spans="1:19" x14ac:dyDescent="0.25">
      <c r="A148">
        <v>102641</v>
      </c>
      <c r="B148">
        <v>2022</v>
      </c>
      <c r="C148" t="s">
        <v>200</v>
      </c>
      <c r="D148" t="s">
        <v>26</v>
      </c>
      <c r="E148" t="s">
        <v>265</v>
      </c>
      <c r="F148" t="s">
        <v>271</v>
      </c>
      <c r="G148" s="1" t="s">
        <v>266</v>
      </c>
      <c r="H148" s="1" t="s">
        <v>267</v>
      </c>
      <c r="I148" t="s">
        <v>31</v>
      </c>
      <c r="J148" t="s">
        <v>32</v>
      </c>
      <c r="K148" t="s">
        <v>203</v>
      </c>
      <c r="L148" t="s">
        <v>34</v>
      </c>
      <c r="M148" t="s">
        <v>206</v>
      </c>
      <c r="N148">
        <v>5</v>
      </c>
      <c r="O148" t="s">
        <v>57</v>
      </c>
      <c r="S148" t="s">
        <v>58</v>
      </c>
    </row>
    <row r="149" spans="1:19" x14ac:dyDescent="0.25">
      <c r="A149">
        <v>102641</v>
      </c>
      <c r="B149">
        <v>2022</v>
      </c>
      <c r="C149" t="s">
        <v>200</v>
      </c>
      <c r="D149" t="s">
        <v>26</v>
      </c>
      <c r="E149" t="s">
        <v>265</v>
      </c>
      <c r="F149" t="s">
        <v>271</v>
      </c>
      <c r="G149" s="1" t="s">
        <v>266</v>
      </c>
      <c r="H149" s="1" t="s">
        <v>267</v>
      </c>
      <c r="I149" t="s">
        <v>31</v>
      </c>
      <c r="J149" t="s">
        <v>32</v>
      </c>
      <c r="K149" t="s">
        <v>203</v>
      </c>
      <c r="L149" t="s">
        <v>34</v>
      </c>
      <c r="M149" t="s">
        <v>206</v>
      </c>
      <c r="N149">
        <v>6</v>
      </c>
      <c r="O149" t="s">
        <v>275</v>
      </c>
      <c r="S149" t="s">
        <v>276</v>
      </c>
    </row>
    <row r="150" spans="1:19" x14ac:dyDescent="0.25">
      <c r="A150">
        <v>102641</v>
      </c>
      <c r="B150">
        <v>2022</v>
      </c>
      <c r="C150" t="s">
        <v>200</v>
      </c>
      <c r="D150" t="s">
        <v>26</v>
      </c>
      <c r="E150" t="s">
        <v>265</v>
      </c>
      <c r="F150" t="s">
        <v>271</v>
      </c>
      <c r="G150" s="1" t="s">
        <v>266</v>
      </c>
      <c r="H150" s="1" t="s">
        <v>267</v>
      </c>
      <c r="I150" t="s">
        <v>31</v>
      </c>
      <c r="J150" t="s">
        <v>32</v>
      </c>
      <c r="K150" t="s">
        <v>203</v>
      </c>
      <c r="L150" t="s">
        <v>34</v>
      </c>
      <c r="M150" t="s">
        <v>206</v>
      </c>
      <c r="N150">
        <v>7</v>
      </c>
      <c r="O150" t="s">
        <v>68</v>
      </c>
      <c r="S150" t="s">
        <v>69</v>
      </c>
    </row>
    <row r="151" spans="1:19" x14ac:dyDescent="0.25">
      <c r="A151">
        <v>102641</v>
      </c>
      <c r="B151">
        <v>2022</v>
      </c>
      <c r="C151" t="s">
        <v>200</v>
      </c>
      <c r="D151" t="s">
        <v>26</v>
      </c>
      <c r="E151" t="s">
        <v>265</v>
      </c>
      <c r="F151" t="s">
        <v>271</v>
      </c>
      <c r="G151" s="1" t="s">
        <v>266</v>
      </c>
      <c r="H151" s="1" t="s">
        <v>267</v>
      </c>
      <c r="I151" t="s">
        <v>31</v>
      </c>
      <c r="J151" t="s">
        <v>32</v>
      </c>
      <c r="K151" t="s">
        <v>203</v>
      </c>
      <c r="L151" t="s">
        <v>34</v>
      </c>
      <c r="M151" t="s">
        <v>206</v>
      </c>
      <c r="N151">
        <v>8</v>
      </c>
      <c r="O151" t="s">
        <v>57</v>
      </c>
      <c r="S151" t="s">
        <v>58</v>
      </c>
    </row>
    <row r="152" spans="1:19" x14ac:dyDescent="0.25">
      <c r="A152">
        <v>102641</v>
      </c>
      <c r="B152">
        <v>2022</v>
      </c>
      <c r="C152" t="s">
        <v>200</v>
      </c>
      <c r="D152" t="s">
        <v>26</v>
      </c>
      <c r="E152" t="s">
        <v>265</v>
      </c>
      <c r="F152" t="s">
        <v>271</v>
      </c>
      <c r="G152" s="1" t="s">
        <v>266</v>
      </c>
      <c r="H152" s="1" t="s">
        <v>267</v>
      </c>
      <c r="I152" t="s">
        <v>31</v>
      </c>
      <c r="J152" t="s">
        <v>32</v>
      </c>
      <c r="K152" t="s">
        <v>203</v>
      </c>
      <c r="L152" t="s">
        <v>34</v>
      </c>
      <c r="M152" t="s">
        <v>206</v>
      </c>
      <c r="N152">
        <v>9</v>
      </c>
      <c r="O152" t="s">
        <v>68</v>
      </c>
      <c r="S152" t="s">
        <v>69</v>
      </c>
    </row>
    <row r="153" spans="1:19" x14ac:dyDescent="0.25">
      <c r="A153">
        <v>102641</v>
      </c>
      <c r="B153">
        <v>2022</v>
      </c>
      <c r="C153" t="s">
        <v>200</v>
      </c>
      <c r="D153" t="s">
        <v>26</v>
      </c>
      <c r="E153" t="s">
        <v>265</v>
      </c>
      <c r="F153" t="s">
        <v>271</v>
      </c>
      <c r="G153" s="1" t="s">
        <v>266</v>
      </c>
      <c r="H153" s="1" t="s">
        <v>267</v>
      </c>
      <c r="I153" t="s">
        <v>31</v>
      </c>
      <c r="J153" t="s">
        <v>32</v>
      </c>
      <c r="K153" t="s">
        <v>203</v>
      </c>
      <c r="L153" t="s">
        <v>34</v>
      </c>
      <c r="M153" t="s">
        <v>206</v>
      </c>
      <c r="N153">
        <v>10</v>
      </c>
      <c r="O153" t="s">
        <v>57</v>
      </c>
      <c r="S153" t="s">
        <v>58</v>
      </c>
    </row>
    <row r="154" spans="1:19" x14ac:dyDescent="0.25">
      <c r="A154">
        <v>102641</v>
      </c>
      <c r="B154">
        <v>2022</v>
      </c>
      <c r="C154" t="s">
        <v>200</v>
      </c>
      <c r="D154" t="s">
        <v>26</v>
      </c>
      <c r="E154" t="s">
        <v>265</v>
      </c>
      <c r="F154" t="s">
        <v>271</v>
      </c>
      <c r="G154" s="1" t="s">
        <v>266</v>
      </c>
      <c r="H154" s="1" t="s">
        <v>267</v>
      </c>
      <c r="I154" t="s">
        <v>31</v>
      </c>
      <c r="J154" t="s">
        <v>32</v>
      </c>
      <c r="K154" t="s">
        <v>203</v>
      </c>
      <c r="L154" t="s">
        <v>34</v>
      </c>
      <c r="M154" t="s">
        <v>206</v>
      </c>
      <c r="N154">
        <v>11</v>
      </c>
      <c r="O154" t="s">
        <v>68</v>
      </c>
      <c r="S154" t="s">
        <v>69</v>
      </c>
    </row>
    <row r="155" spans="1:19" x14ac:dyDescent="0.25">
      <c r="A155">
        <v>102641</v>
      </c>
      <c r="B155">
        <v>2022</v>
      </c>
      <c r="C155" t="s">
        <v>200</v>
      </c>
      <c r="D155" t="s">
        <v>26</v>
      </c>
      <c r="E155" t="s">
        <v>265</v>
      </c>
      <c r="F155" t="s">
        <v>271</v>
      </c>
      <c r="G155" s="1" t="s">
        <v>266</v>
      </c>
      <c r="H155" s="1" t="s">
        <v>267</v>
      </c>
      <c r="I155" t="s">
        <v>31</v>
      </c>
      <c r="J155" t="s">
        <v>32</v>
      </c>
      <c r="K155" t="s">
        <v>203</v>
      </c>
      <c r="L155" t="s">
        <v>34</v>
      </c>
      <c r="M155" t="s">
        <v>206</v>
      </c>
      <c r="N155">
        <v>12</v>
      </c>
      <c r="O155" t="s">
        <v>68</v>
      </c>
      <c r="S155" t="s">
        <v>69</v>
      </c>
    </row>
    <row r="156" spans="1:19" x14ac:dyDescent="0.25">
      <c r="A156">
        <v>102641</v>
      </c>
      <c r="B156">
        <v>2022</v>
      </c>
      <c r="C156" t="s">
        <v>200</v>
      </c>
      <c r="D156" t="s">
        <v>26</v>
      </c>
      <c r="E156" t="s">
        <v>265</v>
      </c>
      <c r="F156" t="s">
        <v>271</v>
      </c>
      <c r="G156" s="1" t="s">
        <v>266</v>
      </c>
      <c r="H156" s="1" t="s">
        <v>267</v>
      </c>
      <c r="I156" t="s">
        <v>31</v>
      </c>
      <c r="J156" t="s">
        <v>32</v>
      </c>
      <c r="K156" t="s">
        <v>203</v>
      </c>
      <c r="L156" t="s">
        <v>34</v>
      </c>
      <c r="M156" t="s">
        <v>206</v>
      </c>
      <c r="N156">
        <v>13</v>
      </c>
      <c r="O156" t="s">
        <v>57</v>
      </c>
      <c r="S156" t="s">
        <v>58</v>
      </c>
    </row>
    <row r="157" spans="1:19" x14ac:dyDescent="0.25">
      <c r="A157">
        <v>102641</v>
      </c>
      <c r="B157">
        <v>2022</v>
      </c>
      <c r="C157" t="s">
        <v>200</v>
      </c>
      <c r="D157" t="s">
        <v>26</v>
      </c>
      <c r="E157" t="s">
        <v>265</v>
      </c>
      <c r="F157" t="s">
        <v>271</v>
      </c>
      <c r="G157" s="1" t="s">
        <v>266</v>
      </c>
      <c r="H157" s="1" t="s">
        <v>267</v>
      </c>
      <c r="I157" t="s">
        <v>31</v>
      </c>
      <c r="J157" t="s">
        <v>32</v>
      </c>
      <c r="K157" t="s">
        <v>203</v>
      </c>
      <c r="L157" t="s">
        <v>34</v>
      </c>
      <c r="M157" t="s">
        <v>206</v>
      </c>
      <c r="N157">
        <v>14</v>
      </c>
      <c r="O157" t="s">
        <v>57</v>
      </c>
      <c r="S157" t="s">
        <v>58</v>
      </c>
    </row>
    <row r="158" spans="1:19" x14ac:dyDescent="0.25">
      <c r="A158">
        <v>102641</v>
      </c>
      <c r="B158">
        <v>2022</v>
      </c>
      <c r="C158" t="s">
        <v>200</v>
      </c>
      <c r="D158" t="s">
        <v>26</v>
      </c>
      <c r="E158" t="s">
        <v>265</v>
      </c>
      <c r="F158" t="s">
        <v>271</v>
      </c>
      <c r="G158" s="1" t="s">
        <v>266</v>
      </c>
      <c r="H158" s="1" t="s">
        <v>267</v>
      </c>
      <c r="I158" t="s">
        <v>31</v>
      </c>
      <c r="J158" t="s">
        <v>32</v>
      </c>
      <c r="K158" t="s">
        <v>203</v>
      </c>
      <c r="L158" t="s">
        <v>34</v>
      </c>
      <c r="M158" t="s">
        <v>206</v>
      </c>
      <c r="N158">
        <v>15</v>
      </c>
      <c r="O158" t="s">
        <v>57</v>
      </c>
      <c r="S158" t="s">
        <v>58</v>
      </c>
    </row>
    <row r="159" spans="1:19" x14ac:dyDescent="0.25">
      <c r="A159">
        <v>102641</v>
      </c>
      <c r="B159">
        <v>2022</v>
      </c>
      <c r="C159" t="s">
        <v>200</v>
      </c>
      <c r="D159" t="s">
        <v>26</v>
      </c>
      <c r="E159" t="s">
        <v>265</v>
      </c>
      <c r="F159" t="s">
        <v>271</v>
      </c>
      <c r="G159" s="1" t="s">
        <v>266</v>
      </c>
      <c r="H159" s="1" t="s">
        <v>267</v>
      </c>
      <c r="I159" t="s">
        <v>31</v>
      </c>
      <c r="J159" t="s">
        <v>32</v>
      </c>
      <c r="K159" t="s">
        <v>203</v>
      </c>
      <c r="L159" t="s">
        <v>34</v>
      </c>
      <c r="M159" t="s">
        <v>206</v>
      </c>
      <c r="N159">
        <v>16</v>
      </c>
      <c r="O159" t="s">
        <v>57</v>
      </c>
      <c r="S159" t="s">
        <v>58</v>
      </c>
    </row>
    <row r="160" spans="1:19" x14ac:dyDescent="0.25">
      <c r="A160">
        <v>102641</v>
      </c>
      <c r="B160">
        <v>2022</v>
      </c>
      <c r="C160" t="s">
        <v>200</v>
      </c>
      <c r="D160" t="s">
        <v>26</v>
      </c>
      <c r="E160" t="s">
        <v>265</v>
      </c>
      <c r="F160" t="s">
        <v>271</v>
      </c>
      <c r="G160" s="1" t="s">
        <v>266</v>
      </c>
      <c r="H160" s="1" t="s">
        <v>267</v>
      </c>
      <c r="I160" t="s">
        <v>31</v>
      </c>
      <c r="J160" t="s">
        <v>32</v>
      </c>
      <c r="K160" t="s">
        <v>203</v>
      </c>
      <c r="L160" t="s">
        <v>34</v>
      </c>
      <c r="M160" t="s">
        <v>206</v>
      </c>
      <c r="N160">
        <v>17</v>
      </c>
      <c r="O160" t="s">
        <v>275</v>
      </c>
      <c r="S160" t="s">
        <v>276</v>
      </c>
    </row>
    <row r="161" spans="1:19" x14ac:dyDescent="0.25">
      <c r="A161">
        <v>102641</v>
      </c>
      <c r="B161">
        <v>2022</v>
      </c>
      <c r="C161" t="s">
        <v>200</v>
      </c>
      <c r="D161" t="s">
        <v>26</v>
      </c>
      <c r="E161" t="s">
        <v>265</v>
      </c>
      <c r="F161" t="s">
        <v>271</v>
      </c>
      <c r="G161" s="1" t="s">
        <v>266</v>
      </c>
      <c r="H161" s="1" t="s">
        <v>267</v>
      </c>
      <c r="I161" t="s">
        <v>31</v>
      </c>
      <c r="J161" t="s">
        <v>32</v>
      </c>
      <c r="K161" t="s">
        <v>203</v>
      </c>
      <c r="L161" t="s">
        <v>34</v>
      </c>
      <c r="M161" t="s">
        <v>206</v>
      </c>
      <c r="N161">
        <v>18</v>
      </c>
      <c r="Q161" t="s">
        <v>151</v>
      </c>
    </row>
    <row r="162" spans="1:19" x14ac:dyDescent="0.25">
      <c r="A162">
        <v>102641</v>
      </c>
      <c r="B162">
        <v>2022</v>
      </c>
      <c r="C162" t="s">
        <v>200</v>
      </c>
      <c r="D162" t="s">
        <v>26</v>
      </c>
      <c r="E162" t="s">
        <v>265</v>
      </c>
      <c r="F162" t="s">
        <v>271</v>
      </c>
      <c r="G162" s="1" t="s">
        <v>266</v>
      </c>
      <c r="H162" s="1" t="s">
        <v>267</v>
      </c>
      <c r="I162" t="s">
        <v>31</v>
      </c>
      <c r="J162" t="s">
        <v>32</v>
      </c>
      <c r="K162" t="s">
        <v>203</v>
      </c>
      <c r="L162" t="s">
        <v>34</v>
      </c>
      <c r="M162" t="s">
        <v>206</v>
      </c>
      <c r="N162">
        <v>19</v>
      </c>
      <c r="P162" t="s">
        <v>60</v>
      </c>
      <c r="Q162" t="s">
        <v>135</v>
      </c>
      <c r="S162" t="s">
        <v>61</v>
      </c>
    </row>
    <row r="163" spans="1:19" x14ac:dyDescent="0.25">
      <c r="A163">
        <v>102641</v>
      </c>
      <c r="B163">
        <v>2022</v>
      </c>
      <c r="C163" t="s">
        <v>200</v>
      </c>
      <c r="D163" t="s">
        <v>26</v>
      </c>
      <c r="E163" t="s">
        <v>265</v>
      </c>
      <c r="F163" t="s">
        <v>271</v>
      </c>
      <c r="G163" s="1" t="s">
        <v>266</v>
      </c>
      <c r="H163" s="1" t="s">
        <v>267</v>
      </c>
      <c r="I163" t="s">
        <v>31</v>
      </c>
      <c r="J163" t="s">
        <v>32</v>
      </c>
      <c r="K163" t="s">
        <v>203</v>
      </c>
      <c r="L163" t="s">
        <v>34</v>
      </c>
      <c r="M163" t="s">
        <v>206</v>
      </c>
      <c r="N163">
        <v>20</v>
      </c>
      <c r="O163" t="s">
        <v>57</v>
      </c>
      <c r="S163" t="s">
        <v>58</v>
      </c>
    </row>
    <row r="164" spans="1:19" x14ac:dyDescent="0.25">
      <c r="A164">
        <v>102641</v>
      </c>
      <c r="B164">
        <v>2022</v>
      </c>
      <c r="C164" t="s">
        <v>200</v>
      </c>
      <c r="D164" t="s">
        <v>26</v>
      </c>
      <c r="E164" t="s">
        <v>265</v>
      </c>
      <c r="F164" t="s">
        <v>271</v>
      </c>
      <c r="G164" s="1" t="s">
        <v>266</v>
      </c>
      <c r="H164" s="1" t="s">
        <v>267</v>
      </c>
      <c r="I164" t="s">
        <v>31</v>
      </c>
      <c r="J164" t="s">
        <v>32</v>
      </c>
      <c r="K164" t="s">
        <v>203</v>
      </c>
      <c r="L164" t="s">
        <v>34</v>
      </c>
      <c r="M164" t="s">
        <v>206</v>
      </c>
      <c r="N164">
        <v>21</v>
      </c>
      <c r="O164" t="s">
        <v>68</v>
      </c>
      <c r="S164" t="s">
        <v>69</v>
      </c>
    </row>
    <row r="165" spans="1:19" x14ac:dyDescent="0.25">
      <c r="A165">
        <v>102641</v>
      </c>
      <c r="B165">
        <v>2022</v>
      </c>
      <c r="C165" t="s">
        <v>200</v>
      </c>
      <c r="D165" t="s">
        <v>26</v>
      </c>
      <c r="E165" t="s">
        <v>265</v>
      </c>
      <c r="F165" t="s">
        <v>271</v>
      </c>
      <c r="G165" s="1" t="s">
        <v>266</v>
      </c>
      <c r="H165" s="1" t="s">
        <v>267</v>
      </c>
      <c r="I165" t="s">
        <v>31</v>
      </c>
      <c r="J165" t="s">
        <v>32</v>
      </c>
      <c r="K165" t="s">
        <v>203</v>
      </c>
      <c r="L165" t="s">
        <v>34</v>
      </c>
      <c r="M165" t="s">
        <v>206</v>
      </c>
      <c r="N165">
        <v>22</v>
      </c>
      <c r="O165" t="s">
        <v>57</v>
      </c>
      <c r="S165" t="s">
        <v>58</v>
      </c>
    </row>
    <row r="166" spans="1:19" x14ac:dyDescent="0.25">
      <c r="A166">
        <v>102641</v>
      </c>
      <c r="B166">
        <v>2022</v>
      </c>
      <c r="C166" t="s">
        <v>200</v>
      </c>
      <c r="D166" t="s">
        <v>26</v>
      </c>
      <c r="E166" t="s">
        <v>265</v>
      </c>
      <c r="F166" t="s">
        <v>271</v>
      </c>
      <c r="G166" s="1" t="s">
        <v>266</v>
      </c>
      <c r="H166" s="1" t="s">
        <v>267</v>
      </c>
      <c r="I166" t="s">
        <v>31</v>
      </c>
      <c r="J166" t="s">
        <v>32</v>
      </c>
      <c r="K166" t="s">
        <v>203</v>
      </c>
      <c r="L166" t="s">
        <v>34</v>
      </c>
      <c r="M166" t="s">
        <v>206</v>
      </c>
      <c r="N166">
        <v>23</v>
      </c>
      <c r="O166" t="s">
        <v>57</v>
      </c>
      <c r="S166" t="s">
        <v>58</v>
      </c>
    </row>
    <row r="167" spans="1:19" x14ac:dyDescent="0.25">
      <c r="A167">
        <v>102641</v>
      </c>
      <c r="B167">
        <v>2022</v>
      </c>
      <c r="C167" t="s">
        <v>200</v>
      </c>
      <c r="D167" t="s">
        <v>26</v>
      </c>
      <c r="E167" t="s">
        <v>265</v>
      </c>
      <c r="F167" t="s">
        <v>271</v>
      </c>
      <c r="G167" s="1" t="s">
        <v>266</v>
      </c>
      <c r="H167" s="1" t="s">
        <v>267</v>
      </c>
      <c r="I167" t="s">
        <v>31</v>
      </c>
      <c r="J167" t="s">
        <v>32</v>
      </c>
      <c r="K167" t="s">
        <v>203</v>
      </c>
      <c r="L167" t="s">
        <v>34</v>
      </c>
      <c r="M167" t="s">
        <v>206</v>
      </c>
      <c r="N167">
        <v>24</v>
      </c>
      <c r="O167" t="s">
        <v>57</v>
      </c>
      <c r="S167" t="s">
        <v>58</v>
      </c>
    </row>
    <row r="168" spans="1:19" x14ac:dyDescent="0.25">
      <c r="A168">
        <v>102641</v>
      </c>
      <c r="B168">
        <v>2022</v>
      </c>
      <c r="C168" t="s">
        <v>200</v>
      </c>
      <c r="D168" t="s">
        <v>26</v>
      </c>
      <c r="E168" t="s">
        <v>265</v>
      </c>
      <c r="F168" t="s">
        <v>271</v>
      </c>
      <c r="G168" s="1" t="s">
        <v>266</v>
      </c>
      <c r="H168" s="1" t="s">
        <v>267</v>
      </c>
      <c r="I168" t="s">
        <v>31</v>
      </c>
      <c r="J168" t="s">
        <v>32</v>
      </c>
      <c r="K168" t="s">
        <v>203</v>
      </c>
      <c r="L168" t="s">
        <v>34</v>
      </c>
      <c r="M168" t="s">
        <v>206</v>
      </c>
      <c r="N168">
        <v>25</v>
      </c>
      <c r="O168" t="s">
        <v>57</v>
      </c>
      <c r="S168" t="s">
        <v>58</v>
      </c>
    </row>
    <row r="169" spans="1:19" x14ac:dyDescent="0.25">
      <c r="A169">
        <v>102641</v>
      </c>
      <c r="B169">
        <v>2022</v>
      </c>
      <c r="C169" t="s">
        <v>200</v>
      </c>
      <c r="D169" t="s">
        <v>26</v>
      </c>
      <c r="E169" t="s">
        <v>265</v>
      </c>
      <c r="F169" t="s">
        <v>271</v>
      </c>
      <c r="G169" s="1" t="s">
        <v>266</v>
      </c>
      <c r="H169" s="1" t="s">
        <v>267</v>
      </c>
      <c r="I169" t="s">
        <v>31</v>
      </c>
      <c r="J169" t="s">
        <v>32</v>
      </c>
      <c r="K169" t="s">
        <v>203</v>
      </c>
      <c r="L169" t="s">
        <v>34</v>
      </c>
      <c r="M169" t="s">
        <v>206</v>
      </c>
      <c r="N169">
        <v>26</v>
      </c>
      <c r="O169" t="s">
        <v>275</v>
      </c>
      <c r="S169" t="s">
        <v>276</v>
      </c>
    </row>
    <row r="170" spans="1:19" x14ac:dyDescent="0.25">
      <c r="A170">
        <v>102641</v>
      </c>
      <c r="B170">
        <v>2022</v>
      </c>
      <c r="C170" t="s">
        <v>200</v>
      </c>
      <c r="D170" t="s">
        <v>26</v>
      </c>
      <c r="E170" t="s">
        <v>265</v>
      </c>
      <c r="F170" t="s">
        <v>271</v>
      </c>
      <c r="G170" s="1" t="s">
        <v>266</v>
      </c>
      <c r="H170" s="1" t="s">
        <v>267</v>
      </c>
      <c r="I170" t="s">
        <v>31</v>
      </c>
      <c r="J170" t="s">
        <v>32</v>
      </c>
      <c r="K170" t="s">
        <v>203</v>
      </c>
      <c r="L170" t="s">
        <v>34</v>
      </c>
      <c r="M170" t="s">
        <v>206</v>
      </c>
      <c r="N170">
        <v>27</v>
      </c>
      <c r="O170" t="s">
        <v>57</v>
      </c>
      <c r="S170" t="s">
        <v>58</v>
      </c>
    </row>
    <row r="171" spans="1:19" x14ac:dyDescent="0.25">
      <c r="A171">
        <v>102641</v>
      </c>
      <c r="B171">
        <v>2022</v>
      </c>
      <c r="C171" t="s">
        <v>200</v>
      </c>
      <c r="D171" t="s">
        <v>26</v>
      </c>
      <c r="E171" t="s">
        <v>265</v>
      </c>
      <c r="F171" t="s">
        <v>271</v>
      </c>
      <c r="G171" s="1" t="s">
        <v>266</v>
      </c>
      <c r="H171" s="1" t="s">
        <v>267</v>
      </c>
      <c r="I171" t="s">
        <v>31</v>
      </c>
      <c r="J171" t="s">
        <v>32</v>
      </c>
      <c r="K171" t="s">
        <v>203</v>
      </c>
      <c r="L171" t="s">
        <v>34</v>
      </c>
      <c r="M171" t="s">
        <v>206</v>
      </c>
      <c r="N171">
        <v>28</v>
      </c>
      <c r="O171" t="s">
        <v>57</v>
      </c>
      <c r="S171" t="s">
        <v>58</v>
      </c>
    </row>
    <row r="172" spans="1:19" x14ac:dyDescent="0.25">
      <c r="A172">
        <v>102641</v>
      </c>
      <c r="B172">
        <v>2022</v>
      </c>
      <c r="C172" t="s">
        <v>200</v>
      </c>
      <c r="D172" t="s">
        <v>26</v>
      </c>
      <c r="E172" t="s">
        <v>265</v>
      </c>
      <c r="F172" t="s">
        <v>271</v>
      </c>
      <c r="G172" s="1" t="s">
        <v>266</v>
      </c>
      <c r="H172" s="1" t="s">
        <v>267</v>
      </c>
      <c r="I172" t="s">
        <v>31</v>
      </c>
      <c r="J172" t="s">
        <v>32</v>
      </c>
      <c r="K172" t="s">
        <v>203</v>
      </c>
      <c r="L172" t="s">
        <v>34</v>
      </c>
      <c r="M172" t="s">
        <v>206</v>
      </c>
      <c r="N172">
        <v>29</v>
      </c>
      <c r="O172" t="s">
        <v>57</v>
      </c>
      <c r="S172" t="s">
        <v>58</v>
      </c>
    </row>
    <row r="173" spans="1:19" x14ac:dyDescent="0.25">
      <c r="A173">
        <v>102641</v>
      </c>
      <c r="B173">
        <v>2022</v>
      </c>
      <c r="C173" t="s">
        <v>200</v>
      </c>
      <c r="D173" t="s">
        <v>26</v>
      </c>
      <c r="E173" t="s">
        <v>265</v>
      </c>
      <c r="F173" t="s">
        <v>271</v>
      </c>
      <c r="G173" s="1" t="s">
        <v>266</v>
      </c>
      <c r="H173" s="1" t="s">
        <v>267</v>
      </c>
      <c r="I173" t="s">
        <v>31</v>
      </c>
      <c r="J173" t="s">
        <v>32</v>
      </c>
      <c r="K173" t="s">
        <v>203</v>
      </c>
      <c r="L173" t="s">
        <v>34</v>
      </c>
      <c r="M173" t="s">
        <v>206</v>
      </c>
      <c r="N173">
        <v>30</v>
      </c>
      <c r="O173" t="s">
        <v>57</v>
      </c>
      <c r="S173" t="s">
        <v>58</v>
      </c>
    </row>
    <row r="174" spans="1:19" x14ac:dyDescent="0.25">
      <c r="A174">
        <v>102641</v>
      </c>
      <c r="B174">
        <v>2022</v>
      </c>
      <c r="C174" t="s">
        <v>200</v>
      </c>
      <c r="D174" t="s">
        <v>26</v>
      </c>
      <c r="E174" t="s">
        <v>265</v>
      </c>
      <c r="F174" t="s">
        <v>271</v>
      </c>
      <c r="G174" s="1" t="s">
        <v>266</v>
      </c>
      <c r="H174" s="1" t="s">
        <v>267</v>
      </c>
      <c r="I174" t="s">
        <v>31</v>
      </c>
      <c r="J174" t="s">
        <v>32</v>
      </c>
      <c r="K174" t="s">
        <v>203</v>
      </c>
      <c r="L174" t="s">
        <v>34</v>
      </c>
      <c r="M174" t="s">
        <v>206</v>
      </c>
      <c r="N174">
        <v>31</v>
      </c>
      <c r="O174" t="s">
        <v>57</v>
      </c>
      <c r="S174" t="s">
        <v>58</v>
      </c>
    </row>
    <row r="175" spans="1:19" x14ac:dyDescent="0.25">
      <c r="A175">
        <v>102641</v>
      </c>
      <c r="B175">
        <v>2022</v>
      </c>
      <c r="C175" t="s">
        <v>200</v>
      </c>
      <c r="D175" t="s">
        <v>26</v>
      </c>
      <c r="E175" t="s">
        <v>265</v>
      </c>
      <c r="F175" t="s">
        <v>271</v>
      </c>
      <c r="G175" s="1" t="s">
        <v>266</v>
      </c>
      <c r="H175" s="1" t="s">
        <v>267</v>
      </c>
      <c r="I175" t="s">
        <v>31</v>
      </c>
      <c r="J175" t="s">
        <v>32</v>
      </c>
      <c r="K175" t="s">
        <v>203</v>
      </c>
      <c r="L175" t="s">
        <v>34</v>
      </c>
      <c r="M175" t="s">
        <v>206</v>
      </c>
      <c r="N175">
        <v>32</v>
      </c>
      <c r="O175" t="s">
        <v>57</v>
      </c>
      <c r="S175" t="s">
        <v>58</v>
      </c>
    </row>
    <row r="176" spans="1:19" x14ac:dyDescent="0.25">
      <c r="A176">
        <v>102641</v>
      </c>
      <c r="B176">
        <v>2022</v>
      </c>
      <c r="C176" t="s">
        <v>200</v>
      </c>
      <c r="D176" t="s">
        <v>26</v>
      </c>
      <c r="E176" t="s">
        <v>265</v>
      </c>
      <c r="F176" t="s">
        <v>271</v>
      </c>
      <c r="G176" s="1" t="s">
        <v>266</v>
      </c>
      <c r="H176" s="1" t="s">
        <v>267</v>
      </c>
      <c r="I176" t="s">
        <v>31</v>
      </c>
      <c r="J176" t="s">
        <v>32</v>
      </c>
      <c r="K176" t="s">
        <v>203</v>
      </c>
      <c r="L176" t="s">
        <v>34</v>
      </c>
      <c r="M176" t="s">
        <v>206</v>
      </c>
      <c r="N176">
        <v>33</v>
      </c>
      <c r="O176" t="s">
        <v>57</v>
      </c>
      <c r="S176" t="s">
        <v>58</v>
      </c>
    </row>
    <row r="177" spans="1:19" x14ac:dyDescent="0.25">
      <c r="A177">
        <v>102641</v>
      </c>
      <c r="B177">
        <v>2022</v>
      </c>
      <c r="C177" t="s">
        <v>200</v>
      </c>
      <c r="D177" t="s">
        <v>26</v>
      </c>
      <c r="E177" t="s">
        <v>265</v>
      </c>
      <c r="F177" t="s">
        <v>271</v>
      </c>
      <c r="G177" s="1" t="s">
        <v>266</v>
      </c>
      <c r="H177" s="1" t="s">
        <v>267</v>
      </c>
      <c r="I177" t="s">
        <v>31</v>
      </c>
      <c r="J177" t="s">
        <v>32</v>
      </c>
      <c r="K177" t="s">
        <v>203</v>
      </c>
      <c r="L177" t="s">
        <v>34</v>
      </c>
      <c r="M177" t="s">
        <v>206</v>
      </c>
      <c r="N177">
        <v>34</v>
      </c>
      <c r="O177" t="s">
        <v>68</v>
      </c>
      <c r="S177" t="s">
        <v>69</v>
      </c>
    </row>
    <row r="178" spans="1:19" x14ac:dyDescent="0.25">
      <c r="A178">
        <v>102641</v>
      </c>
      <c r="B178">
        <v>2022</v>
      </c>
      <c r="C178" t="s">
        <v>200</v>
      </c>
      <c r="D178" t="s">
        <v>26</v>
      </c>
      <c r="E178" t="s">
        <v>265</v>
      </c>
      <c r="F178" t="s">
        <v>271</v>
      </c>
      <c r="G178" s="1" t="s">
        <v>266</v>
      </c>
      <c r="H178" s="1" t="s">
        <v>267</v>
      </c>
      <c r="I178" t="s">
        <v>31</v>
      </c>
      <c r="J178" t="s">
        <v>32</v>
      </c>
      <c r="K178" t="s">
        <v>203</v>
      </c>
      <c r="L178" t="s">
        <v>34</v>
      </c>
      <c r="M178" t="s">
        <v>206</v>
      </c>
      <c r="N178">
        <v>35</v>
      </c>
      <c r="O178" t="s">
        <v>68</v>
      </c>
      <c r="S178" t="s">
        <v>69</v>
      </c>
    </row>
    <row r="179" spans="1:19" x14ac:dyDescent="0.25">
      <c r="A179">
        <v>102641</v>
      </c>
      <c r="B179">
        <v>2022</v>
      </c>
      <c r="C179" t="s">
        <v>200</v>
      </c>
      <c r="D179" t="s">
        <v>26</v>
      </c>
      <c r="E179" t="s">
        <v>265</v>
      </c>
      <c r="F179" t="s">
        <v>271</v>
      </c>
      <c r="G179" s="1" t="s">
        <v>266</v>
      </c>
      <c r="H179" s="1" t="s">
        <v>267</v>
      </c>
      <c r="I179" t="s">
        <v>31</v>
      </c>
      <c r="J179" t="s">
        <v>32</v>
      </c>
      <c r="K179" t="s">
        <v>203</v>
      </c>
      <c r="L179" t="s">
        <v>34</v>
      </c>
      <c r="M179" t="s">
        <v>206</v>
      </c>
      <c r="N179">
        <v>36</v>
      </c>
      <c r="O179" t="s">
        <v>57</v>
      </c>
      <c r="S179" t="s">
        <v>58</v>
      </c>
    </row>
    <row r="180" spans="1:19" x14ac:dyDescent="0.25">
      <c r="A180">
        <v>102641</v>
      </c>
      <c r="B180">
        <v>2022</v>
      </c>
      <c r="C180" t="s">
        <v>200</v>
      </c>
      <c r="D180" t="s">
        <v>26</v>
      </c>
      <c r="E180" t="s">
        <v>265</v>
      </c>
      <c r="F180" t="s">
        <v>271</v>
      </c>
      <c r="G180" s="1" t="s">
        <v>266</v>
      </c>
      <c r="H180" s="1" t="s">
        <v>267</v>
      </c>
      <c r="I180" t="s">
        <v>31</v>
      </c>
      <c r="J180" t="s">
        <v>32</v>
      </c>
      <c r="K180" t="s">
        <v>203</v>
      </c>
      <c r="L180" t="s">
        <v>34</v>
      </c>
      <c r="M180" t="s">
        <v>206</v>
      </c>
      <c r="N180">
        <v>37</v>
      </c>
      <c r="O180" t="s">
        <v>68</v>
      </c>
      <c r="S180" t="s">
        <v>69</v>
      </c>
    </row>
    <row r="181" spans="1:19" x14ac:dyDescent="0.25">
      <c r="A181">
        <v>102641</v>
      </c>
      <c r="B181">
        <v>2022</v>
      </c>
      <c r="C181" t="s">
        <v>200</v>
      </c>
      <c r="D181" t="s">
        <v>26</v>
      </c>
      <c r="E181" t="s">
        <v>265</v>
      </c>
      <c r="F181" t="s">
        <v>271</v>
      </c>
      <c r="G181" s="1" t="s">
        <v>266</v>
      </c>
      <c r="H181" s="1" t="s">
        <v>267</v>
      </c>
      <c r="I181" t="s">
        <v>31</v>
      </c>
      <c r="J181" t="s">
        <v>32</v>
      </c>
      <c r="K181" t="s">
        <v>203</v>
      </c>
      <c r="L181" t="s">
        <v>34</v>
      </c>
      <c r="M181" t="s">
        <v>206</v>
      </c>
      <c r="N181">
        <v>38</v>
      </c>
      <c r="O181" t="s">
        <v>57</v>
      </c>
      <c r="R181" t="s">
        <v>249</v>
      </c>
      <c r="S181" t="s">
        <v>58</v>
      </c>
    </row>
    <row r="182" spans="1:19" x14ac:dyDescent="0.25">
      <c r="A182">
        <v>102641</v>
      </c>
      <c r="B182">
        <v>2022</v>
      </c>
      <c r="C182" t="s">
        <v>200</v>
      </c>
      <c r="D182" t="s">
        <v>26</v>
      </c>
      <c r="E182" t="s">
        <v>265</v>
      </c>
      <c r="F182" t="s">
        <v>271</v>
      </c>
      <c r="G182" s="1" t="s">
        <v>266</v>
      </c>
      <c r="H182" s="1" t="s">
        <v>267</v>
      </c>
      <c r="I182" t="s">
        <v>31</v>
      </c>
      <c r="J182" t="s">
        <v>32</v>
      </c>
      <c r="K182" t="s">
        <v>203</v>
      </c>
      <c r="L182" t="s">
        <v>34</v>
      </c>
      <c r="M182" t="s">
        <v>206</v>
      </c>
      <c r="N182">
        <v>39</v>
      </c>
      <c r="O182" t="s">
        <v>57</v>
      </c>
      <c r="S182" t="s">
        <v>58</v>
      </c>
    </row>
    <row r="183" spans="1:19" x14ac:dyDescent="0.25">
      <c r="A183">
        <v>102641</v>
      </c>
      <c r="B183">
        <v>2022</v>
      </c>
      <c r="C183" t="s">
        <v>200</v>
      </c>
      <c r="D183" t="s">
        <v>26</v>
      </c>
      <c r="E183" t="s">
        <v>265</v>
      </c>
      <c r="F183" t="s">
        <v>271</v>
      </c>
      <c r="G183" s="1" t="s">
        <v>266</v>
      </c>
      <c r="H183" s="1" t="s">
        <v>267</v>
      </c>
      <c r="I183" t="s">
        <v>31</v>
      </c>
      <c r="J183" t="s">
        <v>32</v>
      </c>
      <c r="K183" t="s">
        <v>203</v>
      </c>
      <c r="L183" t="s">
        <v>34</v>
      </c>
      <c r="M183" t="s">
        <v>206</v>
      </c>
      <c r="N183">
        <v>40</v>
      </c>
      <c r="O183" t="s">
        <v>277</v>
      </c>
      <c r="S183" t="s">
        <v>278</v>
      </c>
    </row>
    <row r="184" spans="1:19" x14ac:dyDescent="0.25">
      <c r="A184">
        <v>102641</v>
      </c>
      <c r="B184">
        <v>2022</v>
      </c>
      <c r="C184" t="s">
        <v>200</v>
      </c>
      <c r="D184" t="s">
        <v>26</v>
      </c>
      <c r="E184" t="s">
        <v>265</v>
      </c>
      <c r="F184" t="s">
        <v>271</v>
      </c>
      <c r="G184" s="1" t="s">
        <v>266</v>
      </c>
      <c r="H184" s="1" t="s">
        <v>267</v>
      </c>
      <c r="I184" t="s">
        <v>31</v>
      </c>
      <c r="J184" t="s">
        <v>32</v>
      </c>
      <c r="K184" t="s">
        <v>203</v>
      </c>
      <c r="L184" t="s">
        <v>34</v>
      </c>
      <c r="M184" t="s">
        <v>206</v>
      </c>
      <c r="N184">
        <v>41</v>
      </c>
      <c r="O184" t="s">
        <v>57</v>
      </c>
      <c r="S184" t="s">
        <v>58</v>
      </c>
    </row>
    <row r="185" spans="1:19" x14ac:dyDescent="0.25">
      <c r="A185">
        <v>102641</v>
      </c>
      <c r="B185">
        <v>2022</v>
      </c>
      <c r="C185" t="s">
        <v>200</v>
      </c>
      <c r="D185" t="s">
        <v>26</v>
      </c>
      <c r="E185" t="s">
        <v>265</v>
      </c>
      <c r="F185" t="s">
        <v>271</v>
      </c>
      <c r="G185" s="1" t="s">
        <v>266</v>
      </c>
      <c r="H185" s="1" t="s">
        <v>267</v>
      </c>
      <c r="I185" t="s">
        <v>31</v>
      </c>
      <c r="J185" t="s">
        <v>32</v>
      </c>
      <c r="K185" t="s">
        <v>203</v>
      </c>
      <c r="L185" t="s">
        <v>34</v>
      </c>
      <c r="M185" t="s">
        <v>206</v>
      </c>
      <c r="N185">
        <v>42</v>
      </c>
      <c r="O185" t="s">
        <v>57</v>
      </c>
      <c r="S185" t="s">
        <v>58</v>
      </c>
    </row>
    <row r="186" spans="1:19" x14ac:dyDescent="0.25">
      <c r="A186">
        <v>102641</v>
      </c>
      <c r="B186">
        <v>2022</v>
      </c>
      <c r="C186" t="s">
        <v>200</v>
      </c>
      <c r="D186" t="s">
        <v>26</v>
      </c>
      <c r="E186" t="s">
        <v>265</v>
      </c>
      <c r="F186" t="s">
        <v>271</v>
      </c>
      <c r="G186" s="1" t="s">
        <v>266</v>
      </c>
      <c r="H186" s="1" t="s">
        <v>267</v>
      </c>
      <c r="I186" t="s">
        <v>31</v>
      </c>
      <c r="J186" t="s">
        <v>32</v>
      </c>
      <c r="K186" t="s">
        <v>203</v>
      </c>
      <c r="L186" t="s">
        <v>34</v>
      </c>
      <c r="M186" t="s">
        <v>206</v>
      </c>
      <c r="N186">
        <v>43</v>
      </c>
      <c r="O186" t="s">
        <v>57</v>
      </c>
      <c r="S186" t="s">
        <v>58</v>
      </c>
    </row>
    <row r="187" spans="1:19" x14ac:dyDescent="0.25">
      <c r="A187">
        <v>102641</v>
      </c>
      <c r="B187">
        <v>2022</v>
      </c>
      <c r="C187" t="s">
        <v>200</v>
      </c>
      <c r="D187" t="s">
        <v>26</v>
      </c>
      <c r="E187" t="s">
        <v>265</v>
      </c>
      <c r="F187" t="s">
        <v>271</v>
      </c>
      <c r="G187" s="1" t="s">
        <v>266</v>
      </c>
      <c r="H187" s="1" t="s">
        <v>267</v>
      </c>
      <c r="I187" t="s">
        <v>31</v>
      </c>
      <c r="J187" t="s">
        <v>32</v>
      </c>
      <c r="K187" t="s">
        <v>203</v>
      </c>
      <c r="L187" t="s">
        <v>34</v>
      </c>
      <c r="M187" t="s">
        <v>206</v>
      </c>
      <c r="N187">
        <v>44</v>
      </c>
      <c r="Q187" t="s">
        <v>151</v>
      </c>
    </row>
    <row r="188" spans="1:19" x14ac:dyDescent="0.25">
      <c r="A188">
        <v>102641</v>
      </c>
      <c r="B188">
        <v>2022</v>
      </c>
      <c r="C188" t="s">
        <v>200</v>
      </c>
      <c r="D188" t="s">
        <v>26</v>
      </c>
      <c r="E188" t="s">
        <v>265</v>
      </c>
      <c r="F188" t="s">
        <v>271</v>
      </c>
      <c r="G188" s="1" t="s">
        <v>266</v>
      </c>
      <c r="H188" s="1" t="s">
        <v>267</v>
      </c>
      <c r="I188" t="s">
        <v>31</v>
      </c>
      <c r="J188" t="s">
        <v>32</v>
      </c>
      <c r="K188" t="s">
        <v>203</v>
      </c>
      <c r="L188" t="s">
        <v>34</v>
      </c>
      <c r="M188" t="s">
        <v>206</v>
      </c>
      <c r="N188">
        <v>45</v>
      </c>
      <c r="Q188" t="s">
        <v>151</v>
      </c>
    </row>
    <row r="189" spans="1:19" x14ac:dyDescent="0.25">
      <c r="A189">
        <v>102641</v>
      </c>
      <c r="B189">
        <v>2022</v>
      </c>
      <c r="C189" t="s">
        <v>200</v>
      </c>
      <c r="D189" t="s">
        <v>26</v>
      </c>
      <c r="E189" t="s">
        <v>265</v>
      </c>
      <c r="F189" t="s">
        <v>271</v>
      </c>
      <c r="G189" s="1" t="s">
        <v>266</v>
      </c>
      <c r="H189" s="1" t="s">
        <v>267</v>
      </c>
      <c r="I189" t="s">
        <v>31</v>
      </c>
      <c r="J189" t="s">
        <v>32</v>
      </c>
      <c r="K189" t="s">
        <v>203</v>
      </c>
      <c r="L189" t="s">
        <v>34</v>
      </c>
      <c r="M189" t="s">
        <v>206</v>
      </c>
      <c r="N189">
        <v>46</v>
      </c>
      <c r="Q189" t="s">
        <v>151</v>
      </c>
    </row>
    <row r="190" spans="1:19" x14ac:dyDescent="0.25">
      <c r="A190">
        <v>102641</v>
      </c>
      <c r="B190">
        <v>2022</v>
      </c>
      <c r="C190" t="s">
        <v>200</v>
      </c>
      <c r="D190" t="s">
        <v>26</v>
      </c>
      <c r="E190" t="s">
        <v>265</v>
      </c>
      <c r="F190" t="s">
        <v>271</v>
      </c>
      <c r="G190" s="1" t="s">
        <v>266</v>
      </c>
      <c r="H190" s="1" t="s">
        <v>267</v>
      </c>
      <c r="I190" t="s">
        <v>31</v>
      </c>
      <c r="J190" t="s">
        <v>32</v>
      </c>
      <c r="K190" t="s">
        <v>203</v>
      </c>
      <c r="L190" t="s">
        <v>34</v>
      </c>
      <c r="M190" t="s">
        <v>206</v>
      </c>
      <c r="N190">
        <v>47</v>
      </c>
      <c r="Q190" t="s">
        <v>151</v>
      </c>
    </row>
    <row r="191" spans="1:19" x14ac:dyDescent="0.25">
      <c r="A191">
        <v>102641</v>
      </c>
      <c r="B191">
        <v>2022</v>
      </c>
      <c r="C191" t="s">
        <v>200</v>
      </c>
      <c r="D191" t="s">
        <v>26</v>
      </c>
      <c r="E191" t="s">
        <v>265</v>
      </c>
      <c r="F191" t="s">
        <v>271</v>
      </c>
      <c r="G191" s="1" t="s">
        <v>266</v>
      </c>
      <c r="H191" s="1" t="s">
        <v>267</v>
      </c>
      <c r="I191" t="s">
        <v>31</v>
      </c>
      <c r="J191" t="s">
        <v>32</v>
      </c>
      <c r="K191" t="s">
        <v>203</v>
      </c>
      <c r="L191" t="s">
        <v>34</v>
      </c>
      <c r="M191" t="s">
        <v>206</v>
      </c>
      <c r="N191">
        <v>48</v>
      </c>
      <c r="Q191" t="s">
        <v>151</v>
      </c>
    </row>
    <row r="192" spans="1:19" x14ac:dyDescent="0.25">
      <c r="A192">
        <v>102641</v>
      </c>
      <c r="B192">
        <v>2022</v>
      </c>
      <c r="C192" t="s">
        <v>200</v>
      </c>
      <c r="D192" t="s">
        <v>26</v>
      </c>
      <c r="E192" t="s">
        <v>265</v>
      </c>
      <c r="F192" t="s">
        <v>271</v>
      </c>
      <c r="G192" s="1" t="s">
        <v>266</v>
      </c>
      <c r="H192" s="1" t="s">
        <v>267</v>
      </c>
      <c r="I192" t="s">
        <v>31</v>
      </c>
      <c r="J192" t="s">
        <v>32</v>
      </c>
      <c r="K192" t="s">
        <v>203</v>
      </c>
      <c r="L192" t="s">
        <v>34</v>
      </c>
      <c r="M192" t="s">
        <v>206</v>
      </c>
      <c r="N192">
        <v>49</v>
      </c>
      <c r="Q192" t="s">
        <v>151</v>
      </c>
    </row>
    <row r="193" spans="1:19" x14ac:dyDescent="0.25">
      <c r="A193">
        <v>102641</v>
      </c>
      <c r="B193">
        <v>2022</v>
      </c>
      <c r="C193" t="s">
        <v>200</v>
      </c>
      <c r="D193" t="s">
        <v>26</v>
      </c>
      <c r="E193" t="s">
        <v>265</v>
      </c>
      <c r="F193" t="s">
        <v>271</v>
      </c>
      <c r="G193" s="1" t="s">
        <v>266</v>
      </c>
      <c r="H193" s="1" t="s">
        <v>267</v>
      </c>
      <c r="I193" t="s">
        <v>31</v>
      </c>
      <c r="J193" t="s">
        <v>32</v>
      </c>
      <c r="K193" t="s">
        <v>203</v>
      </c>
      <c r="L193" t="s">
        <v>34</v>
      </c>
      <c r="M193" t="s">
        <v>206</v>
      </c>
      <c r="N193">
        <v>50</v>
      </c>
      <c r="Q193" t="s">
        <v>151</v>
      </c>
    </row>
    <row r="194" spans="1:19" x14ac:dyDescent="0.25">
      <c r="A194">
        <v>102641</v>
      </c>
      <c r="B194">
        <v>2022</v>
      </c>
      <c r="C194" t="s">
        <v>200</v>
      </c>
      <c r="D194" t="s">
        <v>26</v>
      </c>
      <c r="E194" t="s">
        <v>265</v>
      </c>
      <c r="F194" t="s">
        <v>271</v>
      </c>
      <c r="G194" s="1" t="s">
        <v>266</v>
      </c>
      <c r="H194" s="1" t="s">
        <v>267</v>
      </c>
      <c r="I194" t="s">
        <v>31</v>
      </c>
      <c r="J194" t="s">
        <v>32</v>
      </c>
      <c r="K194" t="s">
        <v>203</v>
      </c>
      <c r="L194" t="s">
        <v>34</v>
      </c>
      <c r="M194" t="s">
        <v>206</v>
      </c>
      <c r="N194">
        <v>51</v>
      </c>
      <c r="O194" t="s">
        <v>57</v>
      </c>
      <c r="S194" t="s">
        <v>58</v>
      </c>
    </row>
    <row r="195" spans="1:19" x14ac:dyDescent="0.25">
      <c r="A195">
        <v>102641</v>
      </c>
      <c r="B195">
        <v>2022</v>
      </c>
      <c r="C195" t="s">
        <v>200</v>
      </c>
      <c r="D195" t="s">
        <v>26</v>
      </c>
      <c r="E195" t="s">
        <v>265</v>
      </c>
      <c r="F195" t="s">
        <v>271</v>
      </c>
      <c r="G195" s="1" t="s">
        <v>266</v>
      </c>
      <c r="H195" s="1" t="s">
        <v>267</v>
      </c>
      <c r="I195" t="s">
        <v>31</v>
      </c>
      <c r="J195" t="s">
        <v>32</v>
      </c>
      <c r="K195" t="s">
        <v>203</v>
      </c>
      <c r="L195" t="s">
        <v>34</v>
      </c>
      <c r="M195" t="s">
        <v>206</v>
      </c>
      <c r="N195">
        <v>52</v>
      </c>
      <c r="O195" t="s">
        <v>68</v>
      </c>
      <c r="S195" t="s">
        <v>69</v>
      </c>
    </row>
    <row r="196" spans="1:19" x14ac:dyDescent="0.25">
      <c r="A196">
        <v>102641</v>
      </c>
      <c r="B196">
        <v>2022</v>
      </c>
      <c r="C196" t="s">
        <v>200</v>
      </c>
      <c r="D196" t="s">
        <v>26</v>
      </c>
      <c r="E196" t="s">
        <v>265</v>
      </c>
      <c r="F196" t="s">
        <v>271</v>
      </c>
      <c r="G196" s="1" t="s">
        <v>266</v>
      </c>
      <c r="H196" s="1" t="s">
        <v>267</v>
      </c>
      <c r="I196" t="s">
        <v>31</v>
      </c>
      <c r="J196" t="s">
        <v>32</v>
      </c>
      <c r="K196" t="s">
        <v>203</v>
      </c>
      <c r="L196" t="s">
        <v>34</v>
      </c>
      <c r="M196" t="s">
        <v>206</v>
      </c>
      <c r="N196">
        <v>53</v>
      </c>
      <c r="O196" t="s">
        <v>57</v>
      </c>
      <c r="S196" t="s">
        <v>58</v>
      </c>
    </row>
    <row r="197" spans="1:19" x14ac:dyDescent="0.25">
      <c r="A197">
        <v>102641</v>
      </c>
      <c r="B197">
        <v>2022</v>
      </c>
      <c r="C197" t="s">
        <v>200</v>
      </c>
      <c r="D197" t="s">
        <v>26</v>
      </c>
      <c r="E197" t="s">
        <v>265</v>
      </c>
      <c r="F197" t="s">
        <v>271</v>
      </c>
      <c r="G197" s="1" t="s">
        <v>266</v>
      </c>
      <c r="H197" s="1" t="s">
        <v>267</v>
      </c>
      <c r="I197" t="s">
        <v>31</v>
      </c>
      <c r="J197" t="s">
        <v>32</v>
      </c>
      <c r="K197" t="s">
        <v>203</v>
      </c>
      <c r="L197" t="s">
        <v>34</v>
      </c>
      <c r="M197" t="s">
        <v>206</v>
      </c>
      <c r="N197">
        <v>54</v>
      </c>
      <c r="O197" t="s">
        <v>57</v>
      </c>
      <c r="S197" t="s">
        <v>58</v>
      </c>
    </row>
    <row r="198" spans="1:19" x14ac:dyDescent="0.25">
      <c r="A198">
        <v>102641</v>
      </c>
      <c r="B198">
        <v>2022</v>
      </c>
      <c r="C198" t="s">
        <v>200</v>
      </c>
      <c r="D198" t="s">
        <v>26</v>
      </c>
      <c r="E198" t="s">
        <v>265</v>
      </c>
      <c r="F198" t="s">
        <v>271</v>
      </c>
      <c r="G198" s="1" t="s">
        <v>266</v>
      </c>
      <c r="H198" s="1" t="s">
        <v>267</v>
      </c>
      <c r="I198" t="s">
        <v>31</v>
      </c>
      <c r="J198" t="s">
        <v>32</v>
      </c>
      <c r="K198" t="s">
        <v>203</v>
      </c>
      <c r="L198" t="s">
        <v>34</v>
      </c>
      <c r="M198" t="s">
        <v>206</v>
      </c>
      <c r="N198">
        <v>55</v>
      </c>
      <c r="O198" t="s">
        <v>68</v>
      </c>
      <c r="S198" t="s">
        <v>69</v>
      </c>
    </row>
    <row r="199" spans="1:19" x14ac:dyDescent="0.25">
      <c r="A199">
        <v>102641</v>
      </c>
      <c r="B199">
        <v>2022</v>
      </c>
      <c r="C199" t="s">
        <v>200</v>
      </c>
      <c r="D199" t="s">
        <v>26</v>
      </c>
      <c r="E199" t="s">
        <v>265</v>
      </c>
      <c r="F199" t="s">
        <v>271</v>
      </c>
      <c r="G199" s="1" t="s">
        <v>266</v>
      </c>
      <c r="H199" s="1" t="s">
        <v>267</v>
      </c>
      <c r="I199" t="s">
        <v>31</v>
      </c>
      <c r="J199" t="s">
        <v>32</v>
      </c>
      <c r="K199" t="s">
        <v>203</v>
      </c>
      <c r="L199" t="s">
        <v>34</v>
      </c>
      <c r="M199" t="s">
        <v>206</v>
      </c>
      <c r="N199">
        <v>56</v>
      </c>
      <c r="O199" t="s">
        <v>57</v>
      </c>
      <c r="S199" t="s">
        <v>58</v>
      </c>
    </row>
    <row r="200" spans="1:19" x14ac:dyDescent="0.25">
      <c r="A200">
        <v>102641</v>
      </c>
      <c r="B200">
        <v>2022</v>
      </c>
      <c r="C200" t="s">
        <v>200</v>
      </c>
      <c r="D200" t="s">
        <v>26</v>
      </c>
      <c r="E200" t="s">
        <v>265</v>
      </c>
      <c r="F200" t="s">
        <v>271</v>
      </c>
      <c r="G200" s="1" t="s">
        <v>266</v>
      </c>
      <c r="H200" s="1" t="s">
        <v>267</v>
      </c>
      <c r="I200" t="s">
        <v>31</v>
      </c>
      <c r="J200" t="s">
        <v>32</v>
      </c>
      <c r="K200" t="s">
        <v>203</v>
      </c>
      <c r="L200" t="s">
        <v>34</v>
      </c>
      <c r="M200" t="s">
        <v>206</v>
      </c>
      <c r="N200">
        <v>57</v>
      </c>
      <c r="O200" t="s">
        <v>68</v>
      </c>
      <c r="S200" t="s">
        <v>69</v>
      </c>
    </row>
    <row r="201" spans="1:19" x14ac:dyDescent="0.25">
      <c r="A201">
        <v>102641</v>
      </c>
      <c r="B201">
        <v>2022</v>
      </c>
      <c r="C201" t="s">
        <v>200</v>
      </c>
      <c r="D201" t="s">
        <v>26</v>
      </c>
      <c r="E201" t="s">
        <v>265</v>
      </c>
      <c r="F201" t="s">
        <v>271</v>
      </c>
      <c r="G201" s="1" t="s">
        <v>266</v>
      </c>
      <c r="H201" s="1" t="s">
        <v>267</v>
      </c>
      <c r="I201" t="s">
        <v>31</v>
      </c>
      <c r="J201" t="s">
        <v>32</v>
      </c>
      <c r="K201" t="s">
        <v>203</v>
      </c>
      <c r="L201" t="s">
        <v>34</v>
      </c>
      <c r="M201" t="s">
        <v>206</v>
      </c>
      <c r="N201">
        <v>58</v>
      </c>
      <c r="O201" t="s">
        <v>57</v>
      </c>
      <c r="S201" t="s">
        <v>58</v>
      </c>
    </row>
    <row r="202" spans="1:19" x14ac:dyDescent="0.25">
      <c r="A202">
        <v>102641</v>
      </c>
      <c r="B202">
        <v>2022</v>
      </c>
      <c r="C202" t="s">
        <v>200</v>
      </c>
      <c r="D202" t="s">
        <v>26</v>
      </c>
      <c r="E202" t="s">
        <v>265</v>
      </c>
      <c r="F202" t="s">
        <v>271</v>
      </c>
      <c r="G202" s="1" t="s">
        <v>266</v>
      </c>
      <c r="H202" s="1" t="s">
        <v>267</v>
      </c>
      <c r="I202" t="s">
        <v>31</v>
      </c>
      <c r="J202" t="s">
        <v>32</v>
      </c>
      <c r="K202" t="s">
        <v>203</v>
      </c>
      <c r="L202" t="s">
        <v>34</v>
      </c>
      <c r="M202" t="s">
        <v>206</v>
      </c>
      <c r="N202">
        <v>59</v>
      </c>
      <c r="O202" t="s">
        <v>68</v>
      </c>
      <c r="S202" t="s">
        <v>69</v>
      </c>
    </row>
    <row r="203" spans="1:19" x14ac:dyDescent="0.25">
      <c r="A203">
        <v>102641</v>
      </c>
      <c r="B203">
        <v>2022</v>
      </c>
      <c r="C203" t="s">
        <v>200</v>
      </c>
      <c r="D203" t="s">
        <v>26</v>
      </c>
      <c r="E203" t="s">
        <v>265</v>
      </c>
      <c r="F203" t="s">
        <v>271</v>
      </c>
      <c r="G203" s="1" t="s">
        <v>266</v>
      </c>
      <c r="H203" s="1" t="s">
        <v>267</v>
      </c>
      <c r="I203" t="s">
        <v>31</v>
      </c>
      <c r="J203" t="s">
        <v>32</v>
      </c>
      <c r="K203" t="s">
        <v>203</v>
      </c>
      <c r="L203" t="s">
        <v>34</v>
      </c>
      <c r="M203" t="s">
        <v>206</v>
      </c>
      <c r="N203">
        <v>60</v>
      </c>
      <c r="O203" t="s">
        <v>57</v>
      </c>
      <c r="S203" t="s">
        <v>58</v>
      </c>
    </row>
    <row r="204" spans="1:19" x14ac:dyDescent="0.25">
      <c r="A204">
        <v>102641</v>
      </c>
      <c r="B204">
        <v>2022</v>
      </c>
      <c r="C204" t="s">
        <v>200</v>
      </c>
      <c r="D204" t="s">
        <v>26</v>
      </c>
      <c r="E204" t="s">
        <v>265</v>
      </c>
      <c r="F204" t="s">
        <v>271</v>
      </c>
      <c r="G204" s="1" t="s">
        <v>266</v>
      </c>
      <c r="H204" s="1" t="s">
        <v>267</v>
      </c>
      <c r="I204" t="s">
        <v>31</v>
      </c>
      <c r="J204" t="s">
        <v>32</v>
      </c>
      <c r="K204" t="s">
        <v>203</v>
      </c>
      <c r="L204" t="s">
        <v>34</v>
      </c>
      <c r="M204" t="s">
        <v>206</v>
      </c>
      <c r="N204">
        <v>61</v>
      </c>
      <c r="O204" t="s">
        <v>68</v>
      </c>
      <c r="S204" t="s">
        <v>69</v>
      </c>
    </row>
    <row r="205" spans="1:19" x14ac:dyDescent="0.25">
      <c r="A205">
        <v>102641</v>
      </c>
      <c r="B205">
        <v>2022</v>
      </c>
      <c r="C205" t="s">
        <v>200</v>
      </c>
      <c r="D205" t="s">
        <v>26</v>
      </c>
      <c r="E205" t="s">
        <v>265</v>
      </c>
      <c r="F205" t="s">
        <v>271</v>
      </c>
      <c r="G205" s="1" t="s">
        <v>266</v>
      </c>
      <c r="H205" s="1" t="s">
        <v>267</v>
      </c>
      <c r="I205" t="s">
        <v>31</v>
      </c>
      <c r="J205" t="s">
        <v>32</v>
      </c>
      <c r="K205" t="s">
        <v>203</v>
      </c>
      <c r="L205" t="s">
        <v>34</v>
      </c>
      <c r="M205" t="s">
        <v>206</v>
      </c>
      <c r="N205">
        <v>62</v>
      </c>
      <c r="O205" t="s">
        <v>57</v>
      </c>
      <c r="S205" t="s">
        <v>58</v>
      </c>
    </row>
    <row r="206" spans="1:19" x14ac:dyDescent="0.25">
      <c r="A206">
        <v>102641</v>
      </c>
      <c r="B206">
        <v>2022</v>
      </c>
      <c r="C206" t="s">
        <v>200</v>
      </c>
      <c r="D206" t="s">
        <v>26</v>
      </c>
      <c r="E206" t="s">
        <v>265</v>
      </c>
      <c r="F206" t="s">
        <v>271</v>
      </c>
      <c r="G206" s="1" t="s">
        <v>266</v>
      </c>
      <c r="H206" s="1" t="s">
        <v>267</v>
      </c>
      <c r="I206" t="s">
        <v>31</v>
      </c>
      <c r="J206" t="s">
        <v>32</v>
      </c>
      <c r="K206" t="s">
        <v>203</v>
      </c>
      <c r="L206" t="s">
        <v>34</v>
      </c>
      <c r="M206" t="s">
        <v>206</v>
      </c>
      <c r="N206">
        <v>63</v>
      </c>
      <c r="O206" t="s">
        <v>57</v>
      </c>
      <c r="S206" t="s">
        <v>58</v>
      </c>
    </row>
    <row r="207" spans="1:19" x14ac:dyDescent="0.25">
      <c r="A207">
        <v>102641</v>
      </c>
      <c r="B207">
        <v>2022</v>
      </c>
      <c r="C207" t="s">
        <v>200</v>
      </c>
      <c r="D207" t="s">
        <v>26</v>
      </c>
      <c r="E207" t="s">
        <v>265</v>
      </c>
      <c r="F207" t="s">
        <v>271</v>
      </c>
      <c r="G207" s="1" t="s">
        <v>266</v>
      </c>
      <c r="H207" s="1" t="s">
        <v>267</v>
      </c>
      <c r="I207" t="s">
        <v>31</v>
      </c>
      <c r="J207" t="s">
        <v>32</v>
      </c>
      <c r="K207" t="s">
        <v>203</v>
      </c>
      <c r="L207" t="s">
        <v>34</v>
      </c>
      <c r="M207" t="s">
        <v>206</v>
      </c>
      <c r="N207">
        <v>64</v>
      </c>
      <c r="O207" t="s">
        <v>57</v>
      </c>
      <c r="S207" t="s">
        <v>58</v>
      </c>
    </row>
    <row r="208" spans="1:19" x14ac:dyDescent="0.25">
      <c r="A208">
        <v>102641</v>
      </c>
      <c r="B208">
        <v>2022</v>
      </c>
      <c r="C208" t="s">
        <v>200</v>
      </c>
      <c r="D208" t="s">
        <v>26</v>
      </c>
      <c r="E208" t="s">
        <v>265</v>
      </c>
      <c r="F208" t="s">
        <v>271</v>
      </c>
      <c r="G208" s="1" t="s">
        <v>266</v>
      </c>
      <c r="H208" s="1" t="s">
        <v>267</v>
      </c>
      <c r="I208" t="s">
        <v>31</v>
      </c>
      <c r="J208" t="s">
        <v>32</v>
      </c>
      <c r="K208" t="s">
        <v>203</v>
      </c>
      <c r="L208" t="s">
        <v>34</v>
      </c>
      <c r="M208" t="s">
        <v>206</v>
      </c>
      <c r="N208">
        <v>65</v>
      </c>
      <c r="O208" t="s">
        <v>68</v>
      </c>
      <c r="S208" t="s">
        <v>69</v>
      </c>
    </row>
    <row r="209" spans="1:19" x14ac:dyDescent="0.25">
      <c r="A209">
        <v>102641</v>
      </c>
      <c r="B209">
        <v>2022</v>
      </c>
      <c r="C209" t="s">
        <v>200</v>
      </c>
      <c r="D209" t="s">
        <v>26</v>
      </c>
      <c r="E209" t="s">
        <v>265</v>
      </c>
      <c r="F209" t="s">
        <v>271</v>
      </c>
      <c r="G209" s="1" t="s">
        <v>266</v>
      </c>
      <c r="H209" s="1" t="s">
        <v>267</v>
      </c>
      <c r="I209" t="s">
        <v>31</v>
      </c>
      <c r="J209" t="s">
        <v>32</v>
      </c>
      <c r="K209" t="s">
        <v>203</v>
      </c>
      <c r="L209" t="s">
        <v>34</v>
      </c>
      <c r="M209" t="s">
        <v>206</v>
      </c>
      <c r="N209">
        <v>66</v>
      </c>
      <c r="O209" t="s">
        <v>68</v>
      </c>
      <c r="S209" t="s">
        <v>69</v>
      </c>
    </row>
    <row r="210" spans="1:19" x14ac:dyDescent="0.25">
      <c r="A210">
        <v>102641</v>
      </c>
      <c r="B210">
        <v>2022</v>
      </c>
      <c r="C210" t="s">
        <v>200</v>
      </c>
      <c r="D210" t="s">
        <v>26</v>
      </c>
      <c r="E210" t="s">
        <v>265</v>
      </c>
      <c r="F210" t="s">
        <v>271</v>
      </c>
      <c r="G210" s="1" t="s">
        <v>266</v>
      </c>
      <c r="H210" s="1" t="s">
        <v>267</v>
      </c>
      <c r="I210" t="s">
        <v>31</v>
      </c>
      <c r="J210" t="s">
        <v>32</v>
      </c>
      <c r="K210" t="s">
        <v>203</v>
      </c>
      <c r="L210" t="s">
        <v>34</v>
      </c>
      <c r="M210" t="s">
        <v>206</v>
      </c>
      <c r="N210">
        <v>67</v>
      </c>
      <c r="O210" t="s">
        <v>57</v>
      </c>
      <c r="S210" t="s">
        <v>58</v>
      </c>
    </row>
    <row r="211" spans="1:19" x14ac:dyDescent="0.25">
      <c r="A211">
        <v>102641</v>
      </c>
      <c r="B211">
        <v>2022</v>
      </c>
      <c r="C211" t="s">
        <v>200</v>
      </c>
      <c r="D211" t="s">
        <v>26</v>
      </c>
      <c r="E211" t="s">
        <v>265</v>
      </c>
      <c r="F211" t="s">
        <v>271</v>
      </c>
      <c r="G211" s="1" t="s">
        <v>266</v>
      </c>
      <c r="H211" s="1" t="s">
        <v>267</v>
      </c>
      <c r="I211" t="s">
        <v>31</v>
      </c>
      <c r="J211" t="s">
        <v>32</v>
      </c>
      <c r="K211" t="s">
        <v>203</v>
      </c>
      <c r="L211" t="s">
        <v>34</v>
      </c>
      <c r="M211" t="s">
        <v>206</v>
      </c>
      <c r="N211">
        <v>68</v>
      </c>
      <c r="O211" t="s">
        <v>197</v>
      </c>
      <c r="S211" t="s">
        <v>198</v>
      </c>
    </row>
    <row r="212" spans="1:19" x14ac:dyDescent="0.25">
      <c r="A212">
        <v>102641</v>
      </c>
      <c r="B212">
        <v>2022</v>
      </c>
      <c r="C212" t="s">
        <v>200</v>
      </c>
      <c r="D212" t="s">
        <v>26</v>
      </c>
      <c r="E212" t="s">
        <v>265</v>
      </c>
      <c r="F212" t="s">
        <v>271</v>
      </c>
      <c r="G212" s="1" t="s">
        <v>266</v>
      </c>
      <c r="H212" s="1" t="s">
        <v>267</v>
      </c>
      <c r="I212" t="s">
        <v>31</v>
      </c>
      <c r="J212" t="s">
        <v>32</v>
      </c>
      <c r="K212" t="s">
        <v>203</v>
      </c>
      <c r="L212" t="s">
        <v>34</v>
      </c>
      <c r="M212" t="s">
        <v>206</v>
      </c>
      <c r="N212">
        <v>69</v>
      </c>
      <c r="O212" t="s">
        <v>57</v>
      </c>
      <c r="S212" t="s">
        <v>58</v>
      </c>
    </row>
    <row r="213" spans="1:19" x14ac:dyDescent="0.25">
      <c r="A213">
        <v>102641</v>
      </c>
      <c r="B213">
        <v>2022</v>
      </c>
      <c r="C213" t="s">
        <v>200</v>
      </c>
      <c r="D213" t="s">
        <v>26</v>
      </c>
      <c r="E213" t="s">
        <v>265</v>
      </c>
      <c r="F213" t="s">
        <v>271</v>
      </c>
      <c r="G213" s="1" t="s">
        <v>266</v>
      </c>
      <c r="H213" s="1" t="s">
        <v>267</v>
      </c>
      <c r="I213" t="s">
        <v>31</v>
      </c>
      <c r="J213" t="s">
        <v>32</v>
      </c>
      <c r="K213" t="s">
        <v>203</v>
      </c>
      <c r="L213" t="s">
        <v>34</v>
      </c>
      <c r="M213" t="s">
        <v>206</v>
      </c>
      <c r="N213">
        <v>70</v>
      </c>
      <c r="O213" t="s">
        <v>57</v>
      </c>
      <c r="S213" t="s">
        <v>58</v>
      </c>
    </row>
    <row r="214" spans="1:19" x14ac:dyDescent="0.25">
      <c r="A214">
        <v>102641</v>
      </c>
      <c r="B214">
        <v>2022</v>
      </c>
      <c r="C214" t="s">
        <v>200</v>
      </c>
      <c r="D214" t="s">
        <v>26</v>
      </c>
      <c r="E214" t="s">
        <v>265</v>
      </c>
      <c r="F214" t="s">
        <v>271</v>
      </c>
      <c r="G214" s="1" t="s">
        <v>266</v>
      </c>
      <c r="H214" s="1" t="s">
        <v>267</v>
      </c>
      <c r="I214" t="s">
        <v>31</v>
      </c>
      <c r="J214" t="s">
        <v>32</v>
      </c>
      <c r="K214" t="s">
        <v>203</v>
      </c>
      <c r="L214" t="s">
        <v>34</v>
      </c>
      <c r="M214" t="s">
        <v>206</v>
      </c>
      <c r="N214">
        <v>71</v>
      </c>
      <c r="O214" t="s">
        <v>68</v>
      </c>
      <c r="S214" t="s">
        <v>69</v>
      </c>
    </row>
    <row r="215" spans="1:19" x14ac:dyDescent="0.25">
      <c r="A215">
        <v>102641</v>
      </c>
      <c r="B215">
        <v>2022</v>
      </c>
      <c r="C215" t="s">
        <v>200</v>
      </c>
      <c r="D215" t="s">
        <v>26</v>
      </c>
      <c r="E215" t="s">
        <v>265</v>
      </c>
      <c r="F215" t="s">
        <v>271</v>
      </c>
      <c r="G215" s="1" t="s">
        <v>266</v>
      </c>
      <c r="H215" s="1" t="s">
        <v>267</v>
      </c>
      <c r="I215" t="s">
        <v>31</v>
      </c>
      <c r="J215" t="s">
        <v>32</v>
      </c>
      <c r="K215" t="s">
        <v>203</v>
      </c>
      <c r="L215" t="s">
        <v>34</v>
      </c>
      <c r="M215" t="s">
        <v>206</v>
      </c>
      <c r="N215">
        <v>72</v>
      </c>
      <c r="O215" t="s">
        <v>68</v>
      </c>
      <c r="S215" t="s">
        <v>69</v>
      </c>
    </row>
    <row r="216" spans="1:19" x14ac:dyDescent="0.25">
      <c r="A216">
        <v>102641</v>
      </c>
      <c r="B216">
        <v>2022</v>
      </c>
      <c r="C216" t="s">
        <v>200</v>
      </c>
      <c r="D216" t="s">
        <v>26</v>
      </c>
      <c r="E216" t="s">
        <v>265</v>
      </c>
      <c r="F216" t="s">
        <v>271</v>
      </c>
      <c r="G216" s="1" t="s">
        <v>266</v>
      </c>
      <c r="H216" s="1" t="s">
        <v>267</v>
      </c>
      <c r="I216" t="s">
        <v>31</v>
      </c>
      <c r="J216" t="s">
        <v>32</v>
      </c>
      <c r="K216" t="s">
        <v>203</v>
      </c>
      <c r="L216" t="s">
        <v>34</v>
      </c>
      <c r="M216" t="s">
        <v>206</v>
      </c>
      <c r="N216">
        <v>73</v>
      </c>
      <c r="O216" t="s">
        <v>68</v>
      </c>
      <c r="S216" t="s">
        <v>69</v>
      </c>
    </row>
    <row r="217" spans="1:19" x14ac:dyDescent="0.25">
      <c r="A217">
        <v>102641</v>
      </c>
      <c r="B217">
        <v>2022</v>
      </c>
      <c r="C217" t="s">
        <v>200</v>
      </c>
      <c r="D217" t="s">
        <v>26</v>
      </c>
      <c r="E217" t="s">
        <v>265</v>
      </c>
      <c r="F217" t="s">
        <v>271</v>
      </c>
      <c r="G217" s="1" t="s">
        <v>266</v>
      </c>
      <c r="H217" s="1" t="s">
        <v>267</v>
      </c>
      <c r="I217" t="s">
        <v>31</v>
      </c>
      <c r="J217" t="s">
        <v>32</v>
      </c>
      <c r="K217" t="s">
        <v>203</v>
      </c>
      <c r="L217" t="s">
        <v>34</v>
      </c>
      <c r="M217" t="s">
        <v>206</v>
      </c>
      <c r="N217">
        <v>74</v>
      </c>
      <c r="O217" t="s">
        <v>68</v>
      </c>
      <c r="S217" t="s">
        <v>69</v>
      </c>
    </row>
    <row r="218" spans="1:19" x14ac:dyDescent="0.25">
      <c r="A218">
        <v>102641</v>
      </c>
      <c r="B218">
        <v>2022</v>
      </c>
      <c r="C218" t="s">
        <v>200</v>
      </c>
      <c r="D218" t="s">
        <v>26</v>
      </c>
      <c r="E218" t="s">
        <v>265</v>
      </c>
      <c r="F218" t="s">
        <v>271</v>
      </c>
      <c r="G218" s="1" t="s">
        <v>266</v>
      </c>
      <c r="H218" s="1" t="s">
        <v>267</v>
      </c>
      <c r="I218" t="s">
        <v>31</v>
      </c>
      <c r="J218" t="s">
        <v>32</v>
      </c>
      <c r="K218" t="s">
        <v>203</v>
      </c>
      <c r="L218" t="s">
        <v>34</v>
      </c>
      <c r="M218" t="s">
        <v>206</v>
      </c>
      <c r="N218">
        <v>75</v>
      </c>
      <c r="O218" t="s">
        <v>57</v>
      </c>
      <c r="S218" t="s">
        <v>58</v>
      </c>
    </row>
    <row r="219" spans="1:19" x14ac:dyDescent="0.25">
      <c r="A219">
        <v>102641</v>
      </c>
      <c r="B219">
        <v>2022</v>
      </c>
      <c r="C219" t="s">
        <v>200</v>
      </c>
      <c r="D219" t="s">
        <v>26</v>
      </c>
      <c r="E219" t="s">
        <v>265</v>
      </c>
      <c r="F219" t="s">
        <v>271</v>
      </c>
      <c r="G219" s="1" t="s">
        <v>266</v>
      </c>
      <c r="H219" s="1" t="s">
        <v>267</v>
      </c>
      <c r="I219" t="s">
        <v>31</v>
      </c>
      <c r="J219" t="s">
        <v>32</v>
      </c>
      <c r="K219" t="s">
        <v>203</v>
      </c>
      <c r="L219" t="s">
        <v>34</v>
      </c>
      <c r="M219" t="s">
        <v>206</v>
      </c>
      <c r="N219">
        <v>76</v>
      </c>
      <c r="O219" t="s">
        <v>68</v>
      </c>
      <c r="S219" t="s">
        <v>69</v>
      </c>
    </row>
    <row r="220" spans="1:19" x14ac:dyDescent="0.25">
      <c r="A220">
        <v>102641</v>
      </c>
      <c r="B220">
        <v>2022</v>
      </c>
      <c r="C220" t="s">
        <v>200</v>
      </c>
      <c r="D220" t="s">
        <v>26</v>
      </c>
      <c r="E220" t="s">
        <v>265</v>
      </c>
      <c r="F220" t="s">
        <v>271</v>
      </c>
      <c r="G220" s="1" t="s">
        <v>266</v>
      </c>
      <c r="H220" s="1" t="s">
        <v>267</v>
      </c>
      <c r="I220" t="s">
        <v>31</v>
      </c>
      <c r="J220" t="s">
        <v>32</v>
      </c>
      <c r="K220" t="s">
        <v>203</v>
      </c>
      <c r="L220" t="s">
        <v>34</v>
      </c>
      <c r="M220" t="s">
        <v>206</v>
      </c>
      <c r="N220">
        <v>77</v>
      </c>
      <c r="O220" t="s">
        <v>57</v>
      </c>
      <c r="S220" t="s">
        <v>58</v>
      </c>
    </row>
    <row r="221" spans="1:19" x14ac:dyDescent="0.25">
      <c r="A221">
        <v>102641</v>
      </c>
      <c r="B221">
        <v>2022</v>
      </c>
      <c r="C221" t="s">
        <v>200</v>
      </c>
      <c r="D221" t="s">
        <v>26</v>
      </c>
      <c r="E221" t="s">
        <v>265</v>
      </c>
      <c r="F221" t="s">
        <v>271</v>
      </c>
      <c r="G221" s="1" t="s">
        <v>266</v>
      </c>
      <c r="H221" s="1" t="s">
        <v>267</v>
      </c>
      <c r="I221" t="s">
        <v>31</v>
      </c>
      <c r="J221" t="s">
        <v>32</v>
      </c>
      <c r="K221" t="s">
        <v>203</v>
      </c>
      <c r="L221" t="s">
        <v>34</v>
      </c>
      <c r="M221" t="s">
        <v>206</v>
      </c>
      <c r="N221">
        <v>78</v>
      </c>
      <c r="O221" t="s">
        <v>57</v>
      </c>
      <c r="S221" t="s">
        <v>58</v>
      </c>
    </row>
    <row r="222" spans="1:19" x14ac:dyDescent="0.25">
      <c r="A222">
        <v>102641</v>
      </c>
      <c r="B222">
        <v>2022</v>
      </c>
      <c r="C222" t="s">
        <v>200</v>
      </c>
      <c r="D222" t="s">
        <v>26</v>
      </c>
      <c r="E222" t="s">
        <v>265</v>
      </c>
      <c r="F222" t="s">
        <v>271</v>
      </c>
      <c r="G222" s="1" t="s">
        <v>266</v>
      </c>
      <c r="H222" s="1" t="s">
        <v>267</v>
      </c>
      <c r="I222" t="s">
        <v>31</v>
      </c>
      <c r="J222" t="s">
        <v>32</v>
      </c>
      <c r="K222" t="s">
        <v>203</v>
      </c>
      <c r="L222" t="s">
        <v>34</v>
      </c>
      <c r="M222" t="s">
        <v>206</v>
      </c>
      <c r="N222">
        <v>79</v>
      </c>
      <c r="O222" t="s">
        <v>57</v>
      </c>
      <c r="S222" t="s">
        <v>58</v>
      </c>
    </row>
    <row r="223" spans="1:19" x14ac:dyDescent="0.25">
      <c r="A223">
        <v>102641</v>
      </c>
      <c r="B223">
        <v>2022</v>
      </c>
      <c r="C223" t="s">
        <v>200</v>
      </c>
      <c r="D223" t="s">
        <v>26</v>
      </c>
      <c r="E223" t="s">
        <v>265</v>
      </c>
      <c r="F223" t="s">
        <v>271</v>
      </c>
      <c r="G223" s="1" t="s">
        <v>266</v>
      </c>
      <c r="H223" s="1" t="s">
        <v>267</v>
      </c>
      <c r="I223" t="s">
        <v>31</v>
      </c>
      <c r="J223" t="s">
        <v>32</v>
      </c>
      <c r="K223" t="s">
        <v>203</v>
      </c>
      <c r="L223" t="s">
        <v>34</v>
      </c>
      <c r="M223" t="s">
        <v>206</v>
      </c>
      <c r="N223">
        <v>80</v>
      </c>
      <c r="O223" t="s">
        <v>277</v>
      </c>
      <c r="S223" t="s">
        <v>278</v>
      </c>
    </row>
    <row r="224" spans="1:19" x14ac:dyDescent="0.25">
      <c r="A224">
        <v>102641</v>
      </c>
      <c r="B224">
        <v>2022</v>
      </c>
      <c r="C224" t="s">
        <v>200</v>
      </c>
      <c r="D224" t="s">
        <v>26</v>
      </c>
      <c r="E224" t="s">
        <v>265</v>
      </c>
      <c r="F224" t="s">
        <v>271</v>
      </c>
      <c r="G224" s="1" t="s">
        <v>266</v>
      </c>
      <c r="H224" s="1" t="s">
        <v>267</v>
      </c>
      <c r="I224" t="s">
        <v>31</v>
      </c>
      <c r="J224" t="s">
        <v>32</v>
      </c>
      <c r="K224" t="s">
        <v>203</v>
      </c>
      <c r="L224" t="s">
        <v>34</v>
      </c>
      <c r="M224" t="s">
        <v>206</v>
      </c>
      <c r="N224">
        <v>81</v>
      </c>
      <c r="O224" t="s">
        <v>57</v>
      </c>
      <c r="S224" t="s">
        <v>58</v>
      </c>
    </row>
    <row r="225" spans="1:19" x14ac:dyDescent="0.25">
      <c r="A225">
        <v>102641</v>
      </c>
      <c r="B225">
        <v>2022</v>
      </c>
      <c r="C225" t="s">
        <v>200</v>
      </c>
      <c r="D225" t="s">
        <v>26</v>
      </c>
      <c r="E225" t="s">
        <v>265</v>
      </c>
      <c r="F225" t="s">
        <v>271</v>
      </c>
      <c r="G225" s="1" t="s">
        <v>266</v>
      </c>
      <c r="H225" s="1" t="s">
        <v>267</v>
      </c>
      <c r="I225" t="s">
        <v>31</v>
      </c>
      <c r="J225" t="s">
        <v>32</v>
      </c>
      <c r="K225" t="s">
        <v>203</v>
      </c>
      <c r="L225" t="s">
        <v>34</v>
      </c>
      <c r="M225" t="s">
        <v>206</v>
      </c>
      <c r="N225">
        <v>82</v>
      </c>
      <c r="O225" t="s">
        <v>57</v>
      </c>
      <c r="S225" t="s">
        <v>58</v>
      </c>
    </row>
    <row r="226" spans="1:19" x14ac:dyDescent="0.25">
      <c r="A226">
        <v>102641</v>
      </c>
      <c r="B226">
        <v>2022</v>
      </c>
      <c r="C226" t="s">
        <v>200</v>
      </c>
      <c r="D226" t="s">
        <v>26</v>
      </c>
      <c r="E226" t="s">
        <v>265</v>
      </c>
      <c r="F226" t="s">
        <v>271</v>
      </c>
      <c r="G226" s="1" t="s">
        <v>266</v>
      </c>
      <c r="H226" s="1" t="s">
        <v>267</v>
      </c>
      <c r="I226" t="s">
        <v>31</v>
      </c>
      <c r="J226" t="s">
        <v>32</v>
      </c>
      <c r="K226" t="s">
        <v>203</v>
      </c>
      <c r="L226" t="s">
        <v>34</v>
      </c>
      <c r="M226" t="s">
        <v>206</v>
      </c>
      <c r="N226">
        <v>83</v>
      </c>
      <c r="P226" t="s">
        <v>99</v>
      </c>
      <c r="Q226" t="s">
        <v>149</v>
      </c>
      <c r="R226" t="s">
        <v>248</v>
      </c>
      <c r="S226" t="s">
        <v>100</v>
      </c>
    </row>
    <row r="227" spans="1:19" x14ac:dyDescent="0.25">
      <c r="A227">
        <v>102641</v>
      </c>
      <c r="B227">
        <v>2022</v>
      </c>
      <c r="C227" t="s">
        <v>200</v>
      </c>
      <c r="D227" t="s">
        <v>26</v>
      </c>
      <c r="E227" t="s">
        <v>265</v>
      </c>
      <c r="F227" t="s">
        <v>271</v>
      </c>
      <c r="G227" s="1" t="s">
        <v>266</v>
      </c>
      <c r="H227" s="1" t="s">
        <v>267</v>
      </c>
      <c r="I227" t="s">
        <v>31</v>
      </c>
      <c r="J227" t="s">
        <v>32</v>
      </c>
      <c r="K227" t="s">
        <v>203</v>
      </c>
      <c r="L227" t="s">
        <v>34</v>
      </c>
      <c r="M227" t="s">
        <v>206</v>
      </c>
      <c r="N227">
        <v>84</v>
      </c>
      <c r="O227" t="s">
        <v>68</v>
      </c>
      <c r="S227" t="s">
        <v>69</v>
      </c>
    </row>
    <row r="228" spans="1:19" x14ac:dyDescent="0.25">
      <c r="A228">
        <v>102641</v>
      </c>
      <c r="B228">
        <v>2022</v>
      </c>
      <c r="C228" t="s">
        <v>200</v>
      </c>
      <c r="D228" t="s">
        <v>26</v>
      </c>
      <c r="E228" t="s">
        <v>265</v>
      </c>
      <c r="F228" t="s">
        <v>271</v>
      </c>
      <c r="G228" s="1" t="s">
        <v>266</v>
      </c>
      <c r="H228" s="1" t="s">
        <v>267</v>
      </c>
      <c r="I228" t="s">
        <v>31</v>
      </c>
      <c r="J228" t="s">
        <v>32</v>
      </c>
      <c r="K228" t="s">
        <v>203</v>
      </c>
      <c r="L228" t="s">
        <v>34</v>
      </c>
      <c r="M228" t="s">
        <v>206</v>
      </c>
      <c r="N228">
        <v>85</v>
      </c>
      <c r="O228" t="s">
        <v>57</v>
      </c>
      <c r="S228" t="s">
        <v>58</v>
      </c>
    </row>
    <row r="229" spans="1:19" x14ac:dyDescent="0.25">
      <c r="A229">
        <v>102641</v>
      </c>
      <c r="B229">
        <v>2022</v>
      </c>
      <c r="C229" t="s">
        <v>200</v>
      </c>
      <c r="D229" t="s">
        <v>26</v>
      </c>
      <c r="E229" t="s">
        <v>265</v>
      </c>
      <c r="F229" t="s">
        <v>271</v>
      </c>
      <c r="G229" s="1" t="s">
        <v>266</v>
      </c>
      <c r="H229" s="1" t="s">
        <v>267</v>
      </c>
      <c r="I229" t="s">
        <v>31</v>
      </c>
      <c r="J229" t="s">
        <v>32</v>
      </c>
      <c r="K229" t="s">
        <v>203</v>
      </c>
      <c r="L229" t="s">
        <v>34</v>
      </c>
      <c r="M229" t="s">
        <v>206</v>
      </c>
      <c r="N229">
        <v>86</v>
      </c>
      <c r="O229" t="s">
        <v>57</v>
      </c>
      <c r="S229" t="s">
        <v>58</v>
      </c>
    </row>
    <row r="230" spans="1:19" x14ac:dyDescent="0.25">
      <c r="A230">
        <v>102641</v>
      </c>
      <c r="B230">
        <v>2022</v>
      </c>
      <c r="C230" t="s">
        <v>200</v>
      </c>
      <c r="D230" t="s">
        <v>26</v>
      </c>
      <c r="E230" t="s">
        <v>265</v>
      </c>
      <c r="F230" t="s">
        <v>271</v>
      </c>
      <c r="G230" s="1" t="s">
        <v>266</v>
      </c>
      <c r="H230" s="1" t="s">
        <v>267</v>
      </c>
      <c r="I230" t="s">
        <v>31</v>
      </c>
      <c r="J230" t="s">
        <v>32</v>
      </c>
      <c r="K230" t="s">
        <v>203</v>
      </c>
      <c r="L230" t="s">
        <v>34</v>
      </c>
      <c r="M230" t="s">
        <v>206</v>
      </c>
      <c r="N230">
        <v>87</v>
      </c>
      <c r="O230" t="s">
        <v>68</v>
      </c>
      <c r="S230" t="s">
        <v>69</v>
      </c>
    </row>
    <row r="231" spans="1:19" x14ac:dyDescent="0.25">
      <c r="A231">
        <v>102641</v>
      </c>
      <c r="B231">
        <v>2022</v>
      </c>
      <c r="C231" t="s">
        <v>200</v>
      </c>
      <c r="D231" t="s">
        <v>26</v>
      </c>
      <c r="E231" t="s">
        <v>265</v>
      </c>
      <c r="F231" t="s">
        <v>271</v>
      </c>
      <c r="G231" s="1" t="s">
        <v>266</v>
      </c>
      <c r="H231" s="1" t="s">
        <v>267</v>
      </c>
      <c r="I231" t="s">
        <v>31</v>
      </c>
      <c r="J231" t="s">
        <v>32</v>
      </c>
      <c r="K231" t="s">
        <v>203</v>
      </c>
      <c r="L231" t="s">
        <v>34</v>
      </c>
      <c r="M231" t="s">
        <v>206</v>
      </c>
      <c r="N231">
        <v>88</v>
      </c>
      <c r="O231" t="s">
        <v>57</v>
      </c>
      <c r="S231" t="s">
        <v>58</v>
      </c>
    </row>
    <row r="232" spans="1:19" x14ac:dyDescent="0.25">
      <c r="A232">
        <v>102641</v>
      </c>
      <c r="B232">
        <v>2022</v>
      </c>
      <c r="C232" t="s">
        <v>200</v>
      </c>
      <c r="D232" t="s">
        <v>26</v>
      </c>
      <c r="E232" t="s">
        <v>265</v>
      </c>
      <c r="F232" t="s">
        <v>271</v>
      </c>
      <c r="G232" s="1" t="s">
        <v>266</v>
      </c>
      <c r="H232" s="1" t="s">
        <v>267</v>
      </c>
      <c r="I232" t="s">
        <v>31</v>
      </c>
      <c r="J232" t="s">
        <v>32</v>
      </c>
      <c r="K232" t="s">
        <v>203</v>
      </c>
      <c r="L232" t="s">
        <v>34</v>
      </c>
      <c r="M232" t="s">
        <v>206</v>
      </c>
      <c r="N232">
        <v>89</v>
      </c>
      <c r="O232" t="s">
        <v>68</v>
      </c>
      <c r="S232" t="s">
        <v>69</v>
      </c>
    </row>
    <row r="233" spans="1:19" x14ac:dyDescent="0.25">
      <c r="A233">
        <v>102641</v>
      </c>
      <c r="B233">
        <v>2022</v>
      </c>
      <c r="C233" t="s">
        <v>200</v>
      </c>
      <c r="D233" t="s">
        <v>26</v>
      </c>
      <c r="E233" t="s">
        <v>265</v>
      </c>
      <c r="F233" t="s">
        <v>271</v>
      </c>
      <c r="G233" s="1" t="s">
        <v>266</v>
      </c>
      <c r="H233" s="1" t="s">
        <v>267</v>
      </c>
      <c r="I233" t="s">
        <v>31</v>
      </c>
      <c r="J233" t="s">
        <v>32</v>
      </c>
      <c r="K233" t="s">
        <v>203</v>
      </c>
      <c r="L233" t="s">
        <v>34</v>
      </c>
      <c r="M233" t="s">
        <v>206</v>
      </c>
      <c r="N233">
        <v>90</v>
      </c>
      <c r="O233" t="s">
        <v>57</v>
      </c>
      <c r="S233" t="s">
        <v>58</v>
      </c>
    </row>
    <row r="234" spans="1:19" x14ac:dyDescent="0.25">
      <c r="A234">
        <v>102641</v>
      </c>
      <c r="B234">
        <v>2022</v>
      </c>
      <c r="C234" t="s">
        <v>200</v>
      </c>
      <c r="D234" t="s">
        <v>26</v>
      </c>
      <c r="E234" t="s">
        <v>265</v>
      </c>
      <c r="F234" t="s">
        <v>271</v>
      </c>
      <c r="G234" s="1" t="s">
        <v>266</v>
      </c>
      <c r="H234" s="1" t="s">
        <v>267</v>
      </c>
      <c r="I234" t="s">
        <v>31</v>
      </c>
      <c r="J234" t="s">
        <v>32</v>
      </c>
      <c r="K234" t="s">
        <v>203</v>
      </c>
      <c r="L234" t="s">
        <v>34</v>
      </c>
      <c r="M234" t="s">
        <v>206</v>
      </c>
      <c r="N234">
        <v>91</v>
      </c>
      <c r="O234" t="s">
        <v>57</v>
      </c>
      <c r="S234" t="s">
        <v>58</v>
      </c>
    </row>
    <row r="235" spans="1:19" x14ac:dyDescent="0.25">
      <c r="A235">
        <v>102641</v>
      </c>
      <c r="B235">
        <v>2022</v>
      </c>
      <c r="C235" t="s">
        <v>200</v>
      </c>
      <c r="D235" t="s">
        <v>26</v>
      </c>
      <c r="E235" t="s">
        <v>265</v>
      </c>
      <c r="F235" t="s">
        <v>271</v>
      </c>
      <c r="G235" s="1" t="s">
        <v>266</v>
      </c>
      <c r="H235" s="1" t="s">
        <v>267</v>
      </c>
      <c r="I235" t="s">
        <v>31</v>
      </c>
      <c r="J235" t="s">
        <v>32</v>
      </c>
      <c r="K235" t="s">
        <v>203</v>
      </c>
      <c r="L235" t="s">
        <v>34</v>
      </c>
      <c r="M235" t="s">
        <v>206</v>
      </c>
      <c r="N235">
        <v>92</v>
      </c>
      <c r="O235" t="s">
        <v>57</v>
      </c>
      <c r="S235" t="s">
        <v>58</v>
      </c>
    </row>
    <row r="236" spans="1:19" x14ac:dyDescent="0.25">
      <c r="A236">
        <v>102641</v>
      </c>
      <c r="B236">
        <v>2022</v>
      </c>
      <c r="C236" t="s">
        <v>200</v>
      </c>
      <c r="D236" t="s">
        <v>26</v>
      </c>
      <c r="E236" t="s">
        <v>265</v>
      </c>
      <c r="F236" t="s">
        <v>271</v>
      </c>
      <c r="G236" s="1" t="s">
        <v>266</v>
      </c>
      <c r="H236" s="1" t="s">
        <v>267</v>
      </c>
      <c r="I236" t="s">
        <v>31</v>
      </c>
      <c r="J236" t="s">
        <v>32</v>
      </c>
      <c r="K236" t="s">
        <v>203</v>
      </c>
      <c r="L236" t="s">
        <v>34</v>
      </c>
      <c r="M236" t="s">
        <v>206</v>
      </c>
      <c r="N236">
        <v>93</v>
      </c>
      <c r="O236" t="s">
        <v>68</v>
      </c>
      <c r="S236" t="s">
        <v>69</v>
      </c>
    </row>
    <row r="237" spans="1:19" x14ac:dyDescent="0.25">
      <c r="A237">
        <v>102661</v>
      </c>
      <c r="B237">
        <v>2022</v>
      </c>
      <c r="C237" t="s">
        <v>200</v>
      </c>
      <c r="D237" t="s">
        <v>26</v>
      </c>
      <c r="E237" t="s">
        <v>279</v>
      </c>
      <c r="F237" t="s">
        <v>283</v>
      </c>
      <c r="G237" s="1" t="s">
        <v>243</v>
      </c>
      <c r="H237" s="1" t="s">
        <v>284</v>
      </c>
      <c r="I237" t="s">
        <v>31</v>
      </c>
      <c r="J237" t="s">
        <v>32</v>
      </c>
      <c r="K237" t="s">
        <v>203</v>
      </c>
      <c r="L237" t="s">
        <v>34</v>
      </c>
      <c r="M237" t="s">
        <v>206</v>
      </c>
      <c r="N237">
        <v>1</v>
      </c>
      <c r="O237" t="s">
        <v>197</v>
      </c>
      <c r="R237" t="s">
        <v>190</v>
      </c>
      <c r="S237" t="s">
        <v>198</v>
      </c>
    </row>
    <row r="238" spans="1:19" x14ac:dyDescent="0.25">
      <c r="A238">
        <v>102661</v>
      </c>
      <c r="B238">
        <v>2022</v>
      </c>
      <c r="C238" t="s">
        <v>200</v>
      </c>
      <c r="D238" t="s">
        <v>26</v>
      </c>
      <c r="E238" t="s">
        <v>279</v>
      </c>
      <c r="F238" t="s">
        <v>283</v>
      </c>
      <c r="G238" s="1" t="s">
        <v>243</v>
      </c>
      <c r="H238" s="1" t="s">
        <v>284</v>
      </c>
      <c r="I238" t="s">
        <v>31</v>
      </c>
      <c r="J238" t="s">
        <v>32</v>
      </c>
      <c r="K238" t="s">
        <v>203</v>
      </c>
      <c r="L238" t="s">
        <v>34</v>
      </c>
      <c r="M238" t="s">
        <v>206</v>
      </c>
      <c r="N238">
        <v>2</v>
      </c>
      <c r="O238" t="s">
        <v>57</v>
      </c>
      <c r="R238" t="s">
        <v>190</v>
      </c>
      <c r="S238" t="s">
        <v>58</v>
      </c>
    </row>
    <row r="239" spans="1:19" x14ac:dyDescent="0.25">
      <c r="A239">
        <v>102661</v>
      </c>
      <c r="B239">
        <v>2022</v>
      </c>
      <c r="C239" t="s">
        <v>200</v>
      </c>
      <c r="D239" t="s">
        <v>26</v>
      </c>
      <c r="E239" t="s">
        <v>279</v>
      </c>
      <c r="F239" t="s">
        <v>283</v>
      </c>
      <c r="G239" s="1" t="s">
        <v>243</v>
      </c>
      <c r="H239" s="1" t="s">
        <v>284</v>
      </c>
      <c r="I239" t="s">
        <v>31</v>
      </c>
      <c r="J239" t="s">
        <v>32</v>
      </c>
      <c r="K239" t="s">
        <v>203</v>
      </c>
      <c r="L239" t="s">
        <v>34</v>
      </c>
      <c r="M239" t="s">
        <v>206</v>
      </c>
      <c r="N239">
        <v>3</v>
      </c>
      <c r="O239" t="s">
        <v>57</v>
      </c>
      <c r="S239" t="s">
        <v>58</v>
      </c>
    </row>
    <row r="240" spans="1:19" x14ac:dyDescent="0.25">
      <c r="A240">
        <v>102661</v>
      </c>
      <c r="B240">
        <v>2022</v>
      </c>
      <c r="C240" t="s">
        <v>200</v>
      </c>
      <c r="D240" t="s">
        <v>26</v>
      </c>
      <c r="E240" t="s">
        <v>279</v>
      </c>
      <c r="F240" t="s">
        <v>283</v>
      </c>
      <c r="G240" s="1" t="s">
        <v>243</v>
      </c>
      <c r="H240" s="1" t="s">
        <v>284</v>
      </c>
      <c r="I240" t="s">
        <v>31</v>
      </c>
      <c r="J240" t="s">
        <v>32</v>
      </c>
      <c r="K240" t="s">
        <v>203</v>
      </c>
      <c r="L240" t="s">
        <v>34</v>
      </c>
      <c r="M240" t="s">
        <v>206</v>
      </c>
      <c r="N240">
        <v>4</v>
      </c>
      <c r="O240" t="s">
        <v>57</v>
      </c>
      <c r="S240" t="s">
        <v>58</v>
      </c>
    </row>
    <row r="241" spans="1:19" x14ac:dyDescent="0.25">
      <c r="A241">
        <v>102661</v>
      </c>
      <c r="B241">
        <v>2022</v>
      </c>
      <c r="C241" t="s">
        <v>200</v>
      </c>
      <c r="D241" t="s">
        <v>26</v>
      </c>
      <c r="E241" t="s">
        <v>279</v>
      </c>
      <c r="F241" t="s">
        <v>283</v>
      </c>
      <c r="G241" s="1" t="s">
        <v>243</v>
      </c>
      <c r="H241" s="1" t="s">
        <v>284</v>
      </c>
      <c r="I241" t="s">
        <v>31</v>
      </c>
      <c r="J241" t="s">
        <v>32</v>
      </c>
      <c r="K241" t="s">
        <v>203</v>
      </c>
      <c r="L241" t="s">
        <v>34</v>
      </c>
      <c r="M241" t="s">
        <v>206</v>
      </c>
      <c r="N241">
        <v>5</v>
      </c>
      <c r="O241" t="s">
        <v>57</v>
      </c>
      <c r="S241" t="s">
        <v>58</v>
      </c>
    </row>
    <row r="242" spans="1:19" x14ac:dyDescent="0.25">
      <c r="A242">
        <v>102661</v>
      </c>
      <c r="B242">
        <v>2022</v>
      </c>
      <c r="C242" t="s">
        <v>200</v>
      </c>
      <c r="D242" t="s">
        <v>26</v>
      </c>
      <c r="E242" t="s">
        <v>279</v>
      </c>
      <c r="F242" t="s">
        <v>283</v>
      </c>
      <c r="G242" s="1" t="s">
        <v>243</v>
      </c>
      <c r="H242" s="1" t="s">
        <v>284</v>
      </c>
      <c r="I242" t="s">
        <v>31</v>
      </c>
      <c r="J242" t="s">
        <v>32</v>
      </c>
      <c r="K242" t="s">
        <v>203</v>
      </c>
      <c r="L242" t="s">
        <v>34</v>
      </c>
      <c r="M242" t="s">
        <v>206</v>
      </c>
      <c r="N242">
        <v>6</v>
      </c>
      <c r="O242" t="s">
        <v>57</v>
      </c>
      <c r="S242" t="s">
        <v>58</v>
      </c>
    </row>
    <row r="243" spans="1:19" x14ac:dyDescent="0.25">
      <c r="A243">
        <v>102661</v>
      </c>
      <c r="B243">
        <v>2022</v>
      </c>
      <c r="C243" t="s">
        <v>200</v>
      </c>
      <c r="D243" t="s">
        <v>26</v>
      </c>
      <c r="E243" t="s">
        <v>279</v>
      </c>
      <c r="F243" t="s">
        <v>283</v>
      </c>
      <c r="G243" s="1" t="s">
        <v>243</v>
      </c>
      <c r="H243" s="1" t="s">
        <v>284</v>
      </c>
      <c r="I243" t="s">
        <v>31</v>
      </c>
      <c r="J243" t="s">
        <v>32</v>
      </c>
      <c r="K243" t="s">
        <v>203</v>
      </c>
      <c r="L243" t="s">
        <v>34</v>
      </c>
      <c r="M243" t="s">
        <v>206</v>
      </c>
      <c r="N243">
        <v>7</v>
      </c>
      <c r="O243" t="s">
        <v>57</v>
      </c>
      <c r="S243" t="s">
        <v>58</v>
      </c>
    </row>
    <row r="244" spans="1:19" x14ac:dyDescent="0.25">
      <c r="A244">
        <v>102661</v>
      </c>
      <c r="B244">
        <v>2022</v>
      </c>
      <c r="C244" t="s">
        <v>200</v>
      </c>
      <c r="D244" t="s">
        <v>26</v>
      </c>
      <c r="E244" t="s">
        <v>279</v>
      </c>
      <c r="F244" t="s">
        <v>283</v>
      </c>
      <c r="G244" s="1" t="s">
        <v>243</v>
      </c>
      <c r="H244" s="1" t="s">
        <v>284</v>
      </c>
      <c r="I244" t="s">
        <v>31</v>
      </c>
      <c r="J244" t="s">
        <v>32</v>
      </c>
      <c r="K244" t="s">
        <v>203</v>
      </c>
      <c r="L244" t="s">
        <v>34</v>
      </c>
      <c r="M244" t="s">
        <v>206</v>
      </c>
      <c r="N244">
        <v>8</v>
      </c>
      <c r="O244" t="s">
        <v>68</v>
      </c>
      <c r="S244" t="s">
        <v>69</v>
      </c>
    </row>
    <row r="245" spans="1:19" x14ac:dyDescent="0.25">
      <c r="A245">
        <v>102661</v>
      </c>
      <c r="B245">
        <v>2022</v>
      </c>
      <c r="C245" t="s">
        <v>200</v>
      </c>
      <c r="D245" t="s">
        <v>26</v>
      </c>
      <c r="E245" t="s">
        <v>279</v>
      </c>
      <c r="F245" t="s">
        <v>283</v>
      </c>
      <c r="G245" s="1" t="s">
        <v>243</v>
      </c>
      <c r="H245" s="1" t="s">
        <v>284</v>
      </c>
      <c r="I245" t="s">
        <v>31</v>
      </c>
      <c r="J245" t="s">
        <v>32</v>
      </c>
      <c r="K245" t="s">
        <v>203</v>
      </c>
      <c r="L245" t="s">
        <v>34</v>
      </c>
      <c r="M245" t="s">
        <v>206</v>
      </c>
      <c r="N245">
        <v>9</v>
      </c>
      <c r="O245" t="s">
        <v>57</v>
      </c>
      <c r="R245" t="s">
        <v>190</v>
      </c>
      <c r="S245" t="s">
        <v>58</v>
      </c>
    </row>
    <row r="246" spans="1:19" x14ac:dyDescent="0.25">
      <c r="A246">
        <v>102661</v>
      </c>
      <c r="B246">
        <v>2022</v>
      </c>
      <c r="C246" t="s">
        <v>200</v>
      </c>
      <c r="D246" t="s">
        <v>26</v>
      </c>
      <c r="E246" t="s">
        <v>279</v>
      </c>
      <c r="F246" t="s">
        <v>283</v>
      </c>
      <c r="G246" s="1" t="s">
        <v>243</v>
      </c>
      <c r="H246" s="1" t="s">
        <v>284</v>
      </c>
      <c r="I246" t="s">
        <v>31</v>
      </c>
      <c r="J246" t="s">
        <v>32</v>
      </c>
      <c r="K246" t="s">
        <v>203</v>
      </c>
      <c r="L246" t="s">
        <v>34</v>
      </c>
      <c r="M246" t="s">
        <v>206</v>
      </c>
      <c r="N246">
        <v>10</v>
      </c>
      <c r="O246" t="s">
        <v>57</v>
      </c>
      <c r="S246" t="s">
        <v>58</v>
      </c>
    </row>
    <row r="247" spans="1:19" x14ac:dyDescent="0.25">
      <c r="A247">
        <v>102661</v>
      </c>
      <c r="B247">
        <v>2022</v>
      </c>
      <c r="C247" t="s">
        <v>200</v>
      </c>
      <c r="D247" t="s">
        <v>26</v>
      </c>
      <c r="E247" t="s">
        <v>279</v>
      </c>
      <c r="F247" t="s">
        <v>283</v>
      </c>
      <c r="G247" s="1" t="s">
        <v>243</v>
      </c>
      <c r="H247" s="1" t="s">
        <v>284</v>
      </c>
      <c r="I247" t="s">
        <v>31</v>
      </c>
      <c r="J247" t="s">
        <v>32</v>
      </c>
      <c r="K247" t="s">
        <v>203</v>
      </c>
      <c r="L247" t="s">
        <v>34</v>
      </c>
      <c r="M247" t="s">
        <v>206</v>
      </c>
      <c r="N247">
        <v>11</v>
      </c>
      <c r="O247" t="s">
        <v>57</v>
      </c>
      <c r="S247" t="s">
        <v>58</v>
      </c>
    </row>
    <row r="248" spans="1:19" x14ac:dyDescent="0.25">
      <c r="A248">
        <v>102661</v>
      </c>
      <c r="B248">
        <v>2022</v>
      </c>
      <c r="C248" t="s">
        <v>200</v>
      </c>
      <c r="D248" t="s">
        <v>26</v>
      </c>
      <c r="E248" t="s">
        <v>279</v>
      </c>
      <c r="F248" t="s">
        <v>283</v>
      </c>
      <c r="G248" s="1" t="s">
        <v>243</v>
      </c>
      <c r="H248" s="1" t="s">
        <v>284</v>
      </c>
      <c r="I248" t="s">
        <v>31</v>
      </c>
      <c r="J248" t="s">
        <v>32</v>
      </c>
      <c r="K248" t="s">
        <v>203</v>
      </c>
      <c r="L248" t="s">
        <v>34</v>
      </c>
      <c r="M248" t="s">
        <v>206</v>
      </c>
      <c r="N248">
        <v>12</v>
      </c>
      <c r="O248" t="s">
        <v>57</v>
      </c>
      <c r="S248" t="s">
        <v>58</v>
      </c>
    </row>
    <row r="249" spans="1:19" x14ac:dyDescent="0.25">
      <c r="A249">
        <v>102661</v>
      </c>
      <c r="B249">
        <v>2022</v>
      </c>
      <c r="C249" t="s">
        <v>200</v>
      </c>
      <c r="D249" t="s">
        <v>26</v>
      </c>
      <c r="E249" t="s">
        <v>279</v>
      </c>
      <c r="F249" t="s">
        <v>283</v>
      </c>
      <c r="G249" s="1" t="s">
        <v>243</v>
      </c>
      <c r="H249" s="1" t="s">
        <v>284</v>
      </c>
      <c r="I249" t="s">
        <v>31</v>
      </c>
      <c r="J249" t="s">
        <v>32</v>
      </c>
      <c r="K249" t="s">
        <v>203</v>
      </c>
      <c r="L249" t="s">
        <v>34</v>
      </c>
      <c r="M249" t="s">
        <v>206</v>
      </c>
      <c r="N249">
        <v>13</v>
      </c>
      <c r="O249" t="s">
        <v>68</v>
      </c>
      <c r="R249" t="s">
        <v>190</v>
      </c>
      <c r="S249" t="s">
        <v>69</v>
      </c>
    </row>
    <row r="250" spans="1:19" x14ac:dyDescent="0.25">
      <c r="A250">
        <v>102661</v>
      </c>
      <c r="B250">
        <v>2022</v>
      </c>
      <c r="C250" t="s">
        <v>200</v>
      </c>
      <c r="D250" t="s">
        <v>26</v>
      </c>
      <c r="E250" t="s">
        <v>279</v>
      </c>
      <c r="F250" t="s">
        <v>283</v>
      </c>
      <c r="G250" s="1" t="s">
        <v>243</v>
      </c>
      <c r="H250" s="1" t="s">
        <v>284</v>
      </c>
      <c r="I250" t="s">
        <v>31</v>
      </c>
      <c r="J250" t="s">
        <v>32</v>
      </c>
      <c r="K250" t="s">
        <v>203</v>
      </c>
      <c r="L250" t="s">
        <v>34</v>
      </c>
      <c r="M250" t="s">
        <v>206</v>
      </c>
      <c r="N250">
        <v>14</v>
      </c>
      <c r="O250" t="s">
        <v>57</v>
      </c>
      <c r="S250" t="s">
        <v>58</v>
      </c>
    </row>
    <row r="251" spans="1:19" x14ac:dyDescent="0.25">
      <c r="A251">
        <v>102661</v>
      </c>
      <c r="B251">
        <v>2022</v>
      </c>
      <c r="C251" t="s">
        <v>200</v>
      </c>
      <c r="D251" t="s">
        <v>26</v>
      </c>
      <c r="E251" t="s">
        <v>279</v>
      </c>
      <c r="F251" t="s">
        <v>283</v>
      </c>
      <c r="G251" s="1" t="s">
        <v>243</v>
      </c>
      <c r="H251" s="1" t="s">
        <v>284</v>
      </c>
      <c r="I251" t="s">
        <v>31</v>
      </c>
      <c r="J251" t="s">
        <v>32</v>
      </c>
      <c r="K251" t="s">
        <v>203</v>
      </c>
      <c r="L251" t="s">
        <v>34</v>
      </c>
      <c r="M251" t="s">
        <v>206</v>
      </c>
      <c r="N251">
        <v>15</v>
      </c>
      <c r="O251" t="s">
        <v>68</v>
      </c>
      <c r="S251" t="s">
        <v>69</v>
      </c>
    </row>
    <row r="252" spans="1:19" x14ac:dyDescent="0.25">
      <c r="A252">
        <v>102661</v>
      </c>
      <c r="B252">
        <v>2022</v>
      </c>
      <c r="C252" t="s">
        <v>200</v>
      </c>
      <c r="D252" t="s">
        <v>26</v>
      </c>
      <c r="E252" t="s">
        <v>279</v>
      </c>
      <c r="F252" t="s">
        <v>283</v>
      </c>
      <c r="G252" s="1" t="s">
        <v>243</v>
      </c>
      <c r="H252" s="1" t="s">
        <v>284</v>
      </c>
      <c r="I252" t="s">
        <v>31</v>
      </c>
      <c r="J252" t="s">
        <v>32</v>
      </c>
      <c r="K252" t="s">
        <v>203</v>
      </c>
      <c r="L252" t="s">
        <v>34</v>
      </c>
      <c r="M252" t="s">
        <v>206</v>
      </c>
      <c r="N252">
        <v>16</v>
      </c>
      <c r="O252" t="s">
        <v>68</v>
      </c>
      <c r="S252" t="s">
        <v>69</v>
      </c>
    </row>
    <row r="253" spans="1:19" x14ac:dyDescent="0.25">
      <c r="A253">
        <v>102661</v>
      </c>
      <c r="B253">
        <v>2022</v>
      </c>
      <c r="C253" t="s">
        <v>200</v>
      </c>
      <c r="D253" t="s">
        <v>26</v>
      </c>
      <c r="E253" t="s">
        <v>279</v>
      </c>
      <c r="F253" t="s">
        <v>283</v>
      </c>
      <c r="G253" s="1" t="s">
        <v>243</v>
      </c>
      <c r="H253" s="1" t="s">
        <v>284</v>
      </c>
      <c r="I253" t="s">
        <v>31</v>
      </c>
      <c r="J253" t="s">
        <v>32</v>
      </c>
      <c r="K253" t="s">
        <v>203</v>
      </c>
      <c r="L253" t="s">
        <v>34</v>
      </c>
      <c r="M253" t="s">
        <v>206</v>
      </c>
      <c r="N253">
        <v>17</v>
      </c>
      <c r="O253" t="s">
        <v>68</v>
      </c>
      <c r="R253" t="s">
        <v>190</v>
      </c>
      <c r="S253" t="s">
        <v>69</v>
      </c>
    </row>
    <row r="254" spans="1:19" x14ac:dyDescent="0.25">
      <c r="A254">
        <v>102661</v>
      </c>
      <c r="B254">
        <v>2022</v>
      </c>
      <c r="C254" t="s">
        <v>200</v>
      </c>
      <c r="D254" t="s">
        <v>26</v>
      </c>
      <c r="E254" t="s">
        <v>279</v>
      </c>
      <c r="F254" t="s">
        <v>283</v>
      </c>
      <c r="G254" s="1" t="s">
        <v>243</v>
      </c>
      <c r="H254" s="1" t="s">
        <v>284</v>
      </c>
      <c r="I254" t="s">
        <v>31</v>
      </c>
      <c r="J254" t="s">
        <v>32</v>
      </c>
      <c r="K254" t="s">
        <v>203</v>
      </c>
      <c r="L254" t="s">
        <v>34</v>
      </c>
      <c r="M254" t="s">
        <v>206</v>
      </c>
      <c r="N254">
        <v>18</v>
      </c>
      <c r="O254" t="s">
        <v>57</v>
      </c>
      <c r="S254" t="s">
        <v>58</v>
      </c>
    </row>
    <row r="255" spans="1:19" x14ac:dyDescent="0.25">
      <c r="A255">
        <v>102661</v>
      </c>
      <c r="B255">
        <v>2022</v>
      </c>
      <c r="C255" t="s">
        <v>200</v>
      </c>
      <c r="D255" t="s">
        <v>26</v>
      </c>
      <c r="E255" t="s">
        <v>279</v>
      </c>
      <c r="F255" t="s">
        <v>283</v>
      </c>
      <c r="G255" s="1" t="s">
        <v>243</v>
      </c>
      <c r="H255" s="1" t="s">
        <v>284</v>
      </c>
      <c r="I255" t="s">
        <v>31</v>
      </c>
      <c r="J255" t="s">
        <v>32</v>
      </c>
      <c r="K255" t="s">
        <v>203</v>
      </c>
      <c r="L255" t="s">
        <v>34</v>
      </c>
      <c r="M255" t="s">
        <v>206</v>
      </c>
      <c r="N255">
        <v>19</v>
      </c>
      <c r="O255" t="s">
        <v>197</v>
      </c>
      <c r="S255" t="s">
        <v>198</v>
      </c>
    </row>
    <row r="256" spans="1:19" x14ac:dyDescent="0.25">
      <c r="A256">
        <v>102661</v>
      </c>
      <c r="B256">
        <v>2022</v>
      </c>
      <c r="C256" t="s">
        <v>200</v>
      </c>
      <c r="D256" t="s">
        <v>26</v>
      </c>
      <c r="E256" t="s">
        <v>279</v>
      </c>
      <c r="F256" t="s">
        <v>283</v>
      </c>
      <c r="G256" s="1" t="s">
        <v>243</v>
      </c>
      <c r="H256" s="1" t="s">
        <v>284</v>
      </c>
      <c r="I256" t="s">
        <v>31</v>
      </c>
      <c r="J256" t="s">
        <v>32</v>
      </c>
      <c r="K256" t="s">
        <v>203</v>
      </c>
      <c r="L256" t="s">
        <v>34</v>
      </c>
      <c r="M256" t="s">
        <v>206</v>
      </c>
      <c r="N256">
        <v>20</v>
      </c>
      <c r="O256" t="s">
        <v>57</v>
      </c>
      <c r="S256" t="s">
        <v>58</v>
      </c>
    </row>
    <row r="257" spans="1:19" x14ac:dyDescent="0.25">
      <c r="A257">
        <v>102661</v>
      </c>
      <c r="B257">
        <v>2022</v>
      </c>
      <c r="C257" t="s">
        <v>200</v>
      </c>
      <c r="D257" t="s">
        <v>26</v>
      </c>
      <c r="E257" t="s">
        <v>279</v>
      </c>
      <c r="F257" t="s">
        <v>283</v>
      </c>
      <c r="G257" s="1" t="s">
        <v>243</v>
      </c>
      <c r="H257" s="1" t="s">
        <v>284</v>
      </c>
      <c r="I257" t="s">
        <v>31</v>
      </c>
      <c r="J257" t="s">
        <v>32</v>
      </c>
      <c r="K257" t="s">
        <v>203</v>
      </c>
      <c r="L257" t="s">
        <v>34</v>
      </c>
      <c r="M257" t="s">
        <v>206</v>
      </c>
      <c r="N257">
        <v>21</v>
      </c>
      <c r="O257" t="s">
        <v>57</v>
      </c>
      <c r="S257" t="s">
        <v>58</v>
      </c>
    </row>
    <row r="258" spans="1:19" x14ac:dyDescent="0.25">
      <c r="A258">
        <v>102661</v>
      </c>
      <c r="B258">
        <v>2022</v>
      </c>
      <c r="C258" t="s">
        <v>200</v>
      </c>
      <c r="D258" t="s">
        <v>26</v>
      </c>
      <c r="E258" t="s">
        <v>279</v>
      </c>
      <c r="F258" t="s">
        <v>283</v>
      </c>
      <c r="G258" s="1" t="s">
        <v>243</v>
      </c>
      <c r="H258" s="1" t="s">
        <v>284</v>
      </c>
      <c r="I258" t="s">
        <v>31</v>
      </c>
      <c r="J258" t="s">
        <v>32</v>
      </c>
      <c r="K258" t="s">
        <v>203</v>
      </c>
      <c r="L258" t="s">
        <v>34</v>
      </c>
      <c r="M258" t="s">
        <v>206</v>
      </c>
      <c r="N258">
        <v>22</v>
      </c>
      <c r="O258" t="s">
        <v>57</v>
      </c>
      <c r="S258" t="s">
        <v>58</v>
      </c>
    </row>
    <row r="259" spans="1:19" x14ac:dyDescent="0.25">
      <c r="A259">
        <v>102661</v>
      </c>
      <c r="B259">
        <v>2022</v>
      </c>
      <c r="C259" t="s">
        <v>200</v>
      </c>
      <c r="D259" t="s">
        <v>26</v>
      </c>
      <c r="E259" t="s">
        <v>279</v>
      </c>
      <c r="F259" t="s">
        <v>283</v>
      </c>
      <c r="G259" s="1" t="s">
        <v>243</v>
      </c>
      <c r="H259" s="1" t="s">
        <v>284</v>
      </c>
      <c r="I259" t="s">
        <v>31</v>
      </c>
      <c r="J259" t="s">
        <v>32</v>
      </c>
      <c r="K259" t="s">
        <v>203</v>
      </c>
      <c r="L259" t="s">
        <v>34</v>
      </c>
      <c r="M259" t="s">
        <v>206</v>
      </c>
      <c r="N259">
        <v>23</v>
      </c>
      <c r="O259" t="s">
        <v>57</v>
      </c>
      <c r="S259" t="s">
        <v>58</v>
      </c>
    </row>
    <row r="260" spans="1:19" x14ac:dyDescent="0.25">
      <c r="A260">
        <v>102661</v>
      </c>
      <c r="B260">
        <v>2022</v>
      </c>
      <c r="C260" t="s">
        <v>200</v>
      </c>
      <c r="D260" t="s">
        <v>26</v>
      </c>
      <c r="E260" t="s">
        <v>279</v>
      </c>
      <c r="F260" t="s">
        <v>283</v>
      </c>
      <c r="G260" s="1" t="s">
        <v>243</v>
      </c>
      <c r="H260" s="1" t="s">
        <v>284</v>
      </c>
      <c r="I260" t="s">
        <v>31</v>
      </c>
      <c r="J260" t="s">
        <v>32</v>
      </c>
      <c r="K260" t="s">
        <v>203</v>
      </c>
      <c r="L260" t="s">
        <v>34</v>
      </c>
      <c r="M260" t="s">
        <v>206</v>
      </c>
      <c r="N260">
        <v>24</v>
      </c>
      <c r="O260" t="s">
        <v>57</v>
      </c>
      <c r="S260" t="s">
        <v>58</v>
      </c>
    </row>
    <row r="261" spans="1:19" x14ac:dyDescent="0.25">
      <c r="A261">
        <v>102661</v>
      </c>
      <c r="B261">
        <v>2022</v>
      </c>
      <c r="C261" t="s">
        <v>200</v>
      </c>
      <c r="D261" t="s">
        <v>26</v>
      </c>
      <c r="E261" t="s">
        <v>279</v>
      </c>
      <c r="F261" t="s">
        <v>283</v>
      </c>
      <c r="G261" s="1" t="s">
        <v>243</v>
      </c>
      <c r="H261" s="1" t="s">
        <v>284</v>
      </c>
      <c r="I261" t="s">
        <v>31</v>
      </c>
      <c r="J261" t="s">
        <v>32</v>
      </c>
      <c r="K261" t="s">
        <v>203</v>
      </c>
      <c r="L261" t="s">
        <v>34</v>
      </c>
      <c r="M261" t="s">
        <v>206</v>
      </c>
      <c r="N261">
        <v>25</v>
      </c>
      <c r="O261" t="s">
        <v>57</v>
      </c>
      <c r="R261" t="s">
        <v>190</v>
      </c>
      <c r="S261" t="s">
        <v>58</v>
      </c>
    </row>
    <row r="262" spans="1:19" x14ac:dyDescent="0.25">
      <c r="A262">
        <v>102661</v>
      </c>
      <c r="B262">
        <v>2022</v>
      </c>
      <c r="C262" t="s">
        <v>200</v>
      </c>
      <c r="D262" t="s">
        <v>26</v>
      </c>
      <c r="E262" t="s">
        <v>279</v>
      </c>
      <c r="F262" t="s">
        <v>283</v>
      </c>
      <c r="G262" s="1" t="s">
        <v>243</v>
      </c>
      <c r="H262" s="1" t="s">
        <v>284</v>
      </c>
      <c r="I262" t="s">
        <v>31</v>
      </c>
      <c r="J262" t="s">
        <v>32</v>
      </c>
      <c r="K262" t="s">
        <v>203</v>
      </c>
      <c r="L262" t="s">
        <v>34</v>
      </c>
      <c r="M262" t="s">
        <v>206</v>
      </c>
      <c r="N262">
        <v>26</v>
      </c>
      <c r="O262" t="s">
        <v>68</v>
      </c>
      <c r="S262" t="s">
        <v>69</v>
      </c>
    </row>
    <row r="263" spans="1:19" x14ac:dyDescent="0.25">
      <c r="A263">
        <v>102661</v>
      </c>
      <c r="B263">
        <v>2022</v>
      </c>
      <c r="C263" t="s">
        <v>200</v>
      </c>
      <c r="D263" t="s">
        <v>26</v>
      </c>
      <c r="E263" t="s">
        <v>279</v>
      </c>
      <c r="F263" t="s">
        <v>283</v>
      </c>
      <c r="G263" s="1" t="s">
        <v>243</v>
      </c>
      <c r="H263" s="1" t="s">
        <v>284</v>
      </c>
      <c r="I263" t="s">
        <v>31</v>
      </c>
      <c r="J263" t="s">
        <v>32</v>
      </c>
      <c r="K263" t="s">
        <v>203</v>
      </c>
      <c r="L263" t="s">
        <v>34</v>
      </c>
      <c r="M263" t="s">
        <v>206</v>
      </c>
      <c r="N263">
        <v>27</v>
      </c>
      <c r="O263" t="s">
        <v>57</v>
      </c>
      <c r="R263" t="s">
        <v>190</v>
      </c>
      <c r="S263" t="s">
        <v>58</v>
      </c>
    </row>
    <row r="264" spans="1:19" x14ac:dyDescent="0.25">
      <c r="A264">
        <v>102661</v>
      </c>
      <c r="B264">
        <v>2022</v>
      </c>
      <c r="C264" t="s">
        <v>200</v>
      </c>
      <c r="D264" t="s">
        <v>26</v>
      </c>
      <c r="E264" t="s">
        <v>279</v>
      </c>
      <c r="F264" t="s">
        <v>283</v>
      </c>
      <c r="G264" s="1" t="s">
        <v>243</v>
      </c>
      <c r="H264" s="1" t="s">
        <v>284</v>
      </c>
      <c r="I264" t="s">
        <v>31</v>
      </c>
      <c r="J264" t="s">
        <v>32</v>
      </c>
      <c r="K264" t="s">
        <v>203</v>
      </c>
      <c r="L264" t="s">
        <v>34</v>
      </c>
      <c r="M264" t="s">
        <v>206</v>
      </c>
      <c r="N264">
        <v>28</v>
      </c>
      <c r="O264" t="s">
        <v>68</v>
      </c>
      <c r="R264" t="s">
        <v>190</v>
      </c>
      <c r="S264" t="s">
        <v>69</v>
      </c>
    </row>
    <row r="265" spans="1:19" x14ac:dyDescent="0.25">
      <c r="A265">
        <v>102661</v>
      </c>
      <c r="B265">
        <v>2022</v>
      </c>
      <c r="C265" t="s">
        <v>200</v>
      </c>
      <c r="D265" t="s">
        <v>26</v>
      </c>
      <c r="E265" t="s">
        <v>279</v>
      </c>
      <c r="F265" t="s">
        <v>283</v>
      </c>
      <c r="G265" s="1" t="s">
        <v>243</v>
      </c>
      <c r="H265" s="1" t="s">
        <v>284</v>
      </c>
      <c r="I265" t="s">
        <v>31</v>
      </c>
      <c r="J265" t="s">
        <v>32</v>
      </c>
      <c r="K265" t="s">
        <v>203</v>
      </c>
      <c r="L265" t="s">
        <v>34</v>
      </c>
      <c r="M265" t="s">
        <v>206</v>
      </c>
      <c r="N265">
        <v>29</v>
      </c>
      <c r="O265" t="s">
        <v>57</v>
      </c>
      <c r="S265" t="s">
        <v>58</v>
      </c>
    </row>
    <row r="266" spans="1:19" x14ac:dyDescent="0.25">
      <c r="A266">
        <v>102661</v>
      </c>
      <c r="B266">
        <v>2022</v>
      </c>
      <c r="C266" t="s">
        <v>200</v>
      </c>
      <c r="D266" t="s">
        <v>26</v>
      </c>
      <c r="E266" t="s">
        <v>279</v>
      </c>
      <c r="F266" t="s">
        <v>283</v>
      </c>
      <c r="G266" s="1" t="s">
        <v>243</v>
      </c>
      <c r="H266" s="1" t="s">
        <v>284</v>
      </c>
      <c r="I266" t="s">
        <v>31</v>
      </c>
      <c r="J266" t="s">
        <v>32</v>
      </c>
      <c r="K266" t="s">
        <v>203</v>
      </c>
      <c r="L266" t="s">
        <v>34</v>
      </c>
      <c r="M266" t="s">
        <v>206</v>
      </c>
      <c r="N266">
        <v>30</v>
      </c>
      <c r="O266" t="s">
        <v>57</v>
      </c>
      <c r="R266" t="s">
        <v>190</v>
      </c>
      <c r="S266" t="s">
        <v>58</v>
      </c>
    </row>
    <row r="267" spans="1:19" x14ac:dyDescent="0.25">
      <c r="A267">
        <v>102661</v>
      </c>
      <c r="B267">
        <v>2022</v>
      </c>
      <c r="C267" t="s">
        <v>200</v>
      </c>
      <c r="D267" t="s">
        <v>26</v>
      </c>
      <c r="E267" t="s">
        <v>279</v>
      </c>
      <c r="F267" t="s">
        <v>283</v>
      </c>
      <c r="G267" s="1" t="s">
        <v>243</v>
      </c>
      <c r="H267" s="1" t="s">
        <v>284</v>
      </c>
      <c r="I267" t="s">
        <v>31</v>
      </c>
      <c r="J267" t="s">
        <v>32</v>
      </c>
      <c r="K267" t="s">
        <v>203</v>
      </c>
      <c r="L267" t="s">
        <v>34</v>
      </c>
      <c r="M267" t="s">
        <v>206</v>
      </c>
      <c r="N267">
        <v>31</v>
      </c>
      <c r="O267" t="s">
        <v>57</v>
      </c>
      <c r="R267" t="s">
        <v>190</v>
      </c>
      <c r="S267" t="s">
        <v>58</v>
      </c>
    </row>
    <row r="268" spans="1:19" x14ac:dyDescent="0.25">
      <c r="A268">
        <v>102661</v>
      </c>
      <c r="B268">
        <v>2022</v>
      </c>
      <c r="C268" t="s">
        <v>200</v>
      </c>
      <c r="D268" t="s">
        <v>26</v>
      </c>
      <c r="E268" t="s">
        <v>279</v>
      </c>
      <c r="F268" t="s">
        <v>283</v>
      </c>
      <c r="G268" s="1" t="s">
        <v>243</v>
      </c>
      <c r="H268" s="1" t="s">
        <v>284</v>
      </c>
      <c r="I268" t="s">
        <v>31</v>
      </c>
      <c r="J268" t="s">
        <v>32</v>
      </c>
      <c r="K268" t="s">
        <v>203</v>
      </c>
      <c r="L268" t="s">
        <v>34</v>
      </c>
      <c r="M268" t="s">
        <v>206</v>
      </c>
      <c r="N268">
        <v>32</v>
      </c>
      <c r="O268" t="s">
        <v>57</v>
      </c>
      <c r="S268" t="s">
        <v>58</v>
      </c>
    </row>
    <row r="269" spans="1:19" x14ac:dyDescent="0.25">
      <c r="A269">
        <v>102661</v>
      </c>
      <c r="B269">
        <v>2022</v>
      </c>
      <c r="C269" t="s">
        <v>200</v>
      </c>
      <c r="D269" t="s">
        <v>26</v>
      </c>
      <c r="E269" t="s">
        <v>279</v>
      </c>
      <c r="F269" t="s">
        <v>283</v>
      </c>
      <c r="G269" s="1" t="s">
        <v>243</v>
      </c>
      <c r="H269" s="1" t="s">
        <v>284</v>
      </c>
      <c r="I269" t="s">
        <v>31</v>
      </c>
      <c r="J269" t="s">
        <v>32</v>
      </c>
      <c r="K269" t="s">
        <v>203</v>
      </c>
      <c r="L269" t="s">
        <v>34</v>
      </c>
      <c r="M269" t="s">
        <v>206</v>
      </c>
      <c r="N269">
        <v>33</v>
      </c>
      <c r="O269" t="s">
        <v>57</v>
      </c>
      <c r="S269" t="s">
        <v>58</v>
      </c>
    </row>
    <row r="270" spans="1:19" x14ac:dyDescent="0.25">
      <c r="A270">
        <v>102661</v>
      </c>
      <c r="B270">
        <v>2022</v>
      </c>
      <c r="C270" t="s">
        <v>200</v>
      </c>
      <c r="D270" t="s">
        <v>26</v>
      </c>
      <c r="E270" t="s">
        <v>279</v>
      </c>
      <c r="F270" t="s">
        <v>283</v>
      </c>
      <c r="G270" s="1" t="s">
        <v>243</v>
      </c>
      <c r="H270" s="1" t="s">
        <v>284</v>
      </c>
      <c r="I270" t="s">
        <v>31</v>
      </c>
      <c r="J270" t="s">
        <v>32</v>
      </c>
      <c r="K270" t="s">
        <v>203</v>
      </c>
      <c r="L270" t="s">
        <v>34</v>
      </c>
      <c r="M270" t="s">
        <v>206</v>
      </c>
      <c r="N270">
        <v>34</v>
      </c>
      <c r="O270" t="s">
        <v>57</v>
      </c>
      <c r="S270" t="s">
        <v>58</v>
      </c>
    </row>
    <row r="271" spans="1:19" x14ac:dyDescent="0.25">
      <c r="A271">
        <v>102661</v>
      </c>
      <c r="B271">
        <v>2022</v>
      </c>
      <c r="C271" t="s">
        <v>200</v>
      </c>
      <c r="D271" t="s">
        <v>26</v>
      </c>
      <c r="E271" t="s">
        <v>279</v>
      </c>
      <c r="F271" t="s">
        <v>283</v>
      </c>
      <c r="G271" s="1" t="s">
        <v>243</v>
      </c>
      <c r="H271" s="1" t="s">
        <v>284</v>
      </c>
      <c r="I271" t="s">
        <v>31</v>
      </c>
      <c r="J271" t="s">
        <v>32</v>
      </c>
      <c r="K271" t="s">
        <v>203</v>
      </c>
      <c r="L271" t="s">
        <v>34</v>
      </c>
      <c r="M271" t="s">
        <v>206</v>
      </c>
      <c r="N271">
        <v>35</v>
      </c>
      <c r="O271" t="s">
        <v>57</v>
      </c>
      <c r="S271" t="s">
        <v>58</v>
      </c>
    </row>
    <row r="272" spans="1:19" x14ac:dyDescent="0.25">
      <c r="A272">
        <v>102661</v>
      </c>
      <c r="B272">
        <v>2022</v>
      </c>
      <c r="C272" t="s">
        <v>200</v>
      </c>
      <c r="D272" t="s">
        <v>26</v>
      </c>
      <c r="E272" t="s">
        <v>279</v>
      </c>
      <c r="F272" t="s">
        <v>283</v>
      </c>
      <c r="G272" s="1" t="s">
        <v>243</v>
      </c>
      <c r="H272" s="1" t="s">
        <v>284</v>
      </c>
      <c r="I272" t="s">
        <v>31</v>
      </c>
      <c r="J272" t="s">
        <v>32</v>
      </c>
      <c r="K272" t="s">
        <v>203</v>
      </c>
      <c r="L272" t="s">
        <v>34</v>
      </c>
      <c r="M272" t="s">
        <v>206</v>
      </c>
      <c r="N272">
        <v>36</v>
      </c>
      <c r="O272" t="s">
        <v>57</v>
      </c>
      <c r="S272" t="s">
        <v>58</v>
      </c>
    </row>
    <row r="273" spans="1:19" x14ac:dyDescent="0.25">
      <c r="A273">
        <v>102661</v>
      </c>
      <c r="B273">
        <v>2022</v>
      </c>
      <c r="C273" t="s">
        <v>200</v>
      </c>
      <c r="D273" t="s">
        <v>26</v>
      </c>
      <c r="E273" t="s">
        <v>279</v>
      </c>
      <c r="F273" t="s">
        <v>283</v>
      </c>
      <c r="G273" s="1" t="s">
        <v>243</v>
      </c>
      <c r="H273" s="1" t="s">
        <v>284</v>
      </c>
      <c r="I273" t="s">
        <v>31</v>
      </c>
      <c r="J273" t="s">
        <v>32</v>
      </c>
      <c r="K273" t="s">
        <v>203</v>
      </c>
      <c r="L273" t="s">
        <v>34</v>
      </c>
      <c r="M273" t="s">
        <v>206</v>
      </c>
      <c r="N273">
        <v>37</v>
      </c>
      <c r="O273" t="s">
        <v>68</v>
      </c>
      <c r="R273" t="s">
        <v>190</v>
      </c>
      <c r="S273" t="s">
        <v>69</v>
      </c>
    </row>
    <row r="274" spans="1:19" x14ac:dyDescent="0.25">
      <c r="A274">
        <v>102661</v>
      </c>
      <c r="B274">
        <v>2022</v>
      </c>
      <c r="C274" t="s">
        <v>200</v>
      </c>
      <c r="D274" t="s">
        <v>26</v>
      </c>
      <c r="E274" t="s">
        <v>279</v>
      </c>
      <c r="F274" t="s">
        <v>283</v>
      </c>
      <c r="G274" s="1" t="s">
        <v>243</v>
      </c>
      <c r="H274" s="1" t="s">
        <v>284</v>
      </c>
      <c r="I274" t="s">
        <v>31</v>
      </c>
      <c r="J274" t="s">
        <v>32</v>
      </c>
      <c r="K274" t="s">
        <v>203</v>
      </c>
      <c r="L274" t="s">
        <v>34</v>
      </c>
      <c r="M274" t="s">
        <v>206</v>
      </c>
      <c r="N274">
        <v>38</v>
      </c>
      <c r="O274" t="s">
        <v>57</v>
      </c>
      <c r="S274" t="s">
        <v>58</v>
      </c>
    </row>
    <row r="275" spans="1:19" x14ac:dyDescent="0.25">
      <c r="A275">
        <v>102661</v>
      </c>
      <c r="B275">
        <v>2022</v>
      </c>
      <c r="C275" t="s">
        <v>200</v>
      </c>
      <c r="D275" t="s">
        <v>26</v>
      </c>
      <c r="E275" t="s">
        <v>279</v>
      </c>
      <c r="F275" t="s">
        <v>283</v>
      </c>
      <c r="G275" s="1" t="s">
        <v>243</v>
      </c>
      <c r="H275" s="1" t="s">
        <v>284</v>
      </c>
      <c r="I275" t="s">
        <v>31</v>
      </c>
      <c r="J275" t="s">
        <v>32</v>
      </c>
      <c r="K275" t="s">
        <v>203</v>
      </c>
      <c r="L275" t="s">
        <v>34</v>
      </c>
      <c r="M275" t="s">
        <v>206</v>
      </c>
      <c r="N275">
        <v>39</v>
      </c>
      <c r="O275" t="s">
        <v>68</v>
      </c>
      <c r="S275" t="s">
        <v>69</v>
      </c>
    </row>
    <row r="276" spans="1:19" x14ac:dyDescent="0.25">
      <c r="A276">
        <v>102661</v>
      </c>
      <c r="B276">
        <v>2022</v>
      </c>
      <c r="C276" t="s">
        <v>200</v>
      </c>
      <c r="D276" t="s">
        <v>26</v>
      </c>
      <c r="E276" t="s">
        <v>279</v>
      </c>
      <c r="F276" t="s">
        <v>283</v>
      </c>
      <c r="G276" s="1" t="s">
        <v>243</v>
      </c>
      <c r="H276" s="1" t="s">
        <v>284</v>
      </c>
      <c r="I276" t="s">
        <v>31</v>
      </c>
      <c r="J276" t="s">
        <v>32</v>
      </c>
      <c r="K276" t="s">
        <v>203</v>
      </c>
      <c r="L276" t="s">
        <v>34</v>
      </c>
      <c r="M276" t="s">
        <v>206</v>
      </c>
      <c r="N276">
        <v>40</v>
      </c>
      <c r="O276" t="s">
        <v>197</v>
      </c>
      <c r="S276" t="s">
        <v>198</v>
      </c>
    </row>
    <row r="277" spans="1:19" x14ac:dyDescent="0.25">
      <c r="A277">
        <v>102661</v>
      </c>
      <c r="B277">
        <v>2022</v>
      </c>
      <c r="C277" t="s">
        <v>200</v>
      </c>
      <c r="D277" t="s">
        <v>26</v>
      </c>
      <c r="E277" t="s">
        <v>279</v>
      </c>
      <c r="F277" t="s">
        <v>283</v>
      </c>
      <c r="G277" s="1" t="s">
        <v>243</v>
      </c>
      <c r="H277" s="1" t="s">
        <v>284</v>
      </c>
      <c r="I277" t="s">
        <v>31</v>
      </c>
      <c r="J277" t="s">
        <v>32</v>
      </c>
      <c r="K277" t="s">
        <v>203</v>
      </c>
      <c r="L277" t="s">
        <v>34</v>
      </c>
      <c r="M277" t="s">
        <v>206</v>
      </c>
      <c r="N277">
        <v>41</v>
      </c>
      <c r="O277" t="s">
        <v>68</v>
      </c>
      <c r="S277" t="s">
        <v>69</v>
      </c>
    </row>
    <row r="278" spans="1:19" x14ac:dyDescent="0.25">
      <c r="A278">
        <v>102661</v>
      </c>
      <c r="B278">
        <v>2022</v>
      </c>
      <c r="C278" t="s">
        <v>200</v>
      </c>
      <c r="D278" t="s">
        <v>26</v>
      </c>
      <c r="E278" t="s">
        <v>279</v>
      </c>
      <c r="F278" t="s">
        <v>283</v>
      </c>
      <c r="G278" s="1" t="s">
        <v>243</v>
      </c>
      <c r="H278" s="1" t="s">
        <v>284</v>
      </c>
      <c r="I278" t="s">
        <v>31</v>
      </c>
      <c r="J278" t="s">
        <v>32</v>
      </c>
      <c r="K278" t="s">
        <v>203</v>
      </c>
      <c r="L278" t="s">
        <v>34</v>
      </c>
      <c r="M278" t="s">
        <v>206</v>
      </c>
      <c r="N278">
        <v>42</v>
      </c>
      <c r="O278" t="s">
        <v>57</v>
      </c>
      <c r="R278" t="s">
        <v>190</v>
      </c>
      <c r="S278" t="s">
        <v>58</v>
      </c>
    </row>
    <row r="279" spans="1:19" x14ac:dyDescent="0.25">
      <c r="A279">
        <v>102661</v>
      </c>
      <c r="B279">
        <v>2022</v>
      </c>
      <c r="C279" t="s">
        <v>200</v>
      </c>
      <c r="D279" t="s">
        <v>26</v>
      </c>
      <c r="E279" t="s">
        <v>279</v>
      </c>
      <c r="F279" t="s">
        <v>283</v>
      </c>
      <c r="G279" s="1" t="s">
        <v>243</v>
      </c>
      <c r="H279" s="1" t="s">
        <v>284</v>
      </c>
      <c r="I279" t="s">
        <v>31</v>
      </c>
      <c r="J279" t="s">
        <v>32</v>
      </c>
      <c r="K279" t="s">
        <v>203</v>
      </c>
      <c r="L279" t="s">
        <v>34</v>
      </c>
      <c r="M279" t="s">
        <v>206</v>
      </c>
      <c r="N279">
        <v>43</v>
      </c>
      <c r="Q279" t="s">
        <v>151</v>
      </c>
    </row>
    <row r="280" spans="1:19" x14ac:dyDescent="0.25">
      <c r="A280">
        <v>102661</v>
      </c>
      <c r="B280">
        <v>2022</v>
      </c>
      <c r="C280" t="s">
        <v>200</v>
      </c>
      <c r="D280" t="s">
        <v>26</v>
      </c>
      <c r="E280" t="s">
        <v>279</v>
      </c>
      <c r="F280" t="s">
        <v>283</v>
      </c>
      <c r="G280" s="1" t="s">
        <v>243</v>
      </c>
      <c r="H280" s="1" t="s">
        <v>284</v>
      </c>
      <c r="I280" t="s">
        <v>31</v>
      </c>
      <c r="J280" t="s">
        <v>32</v>
      </c>
      <c r="K280" t="s">
        <v>203</v>
      </c>
      <c r="L280" t="s">
        <v>34</v>
      </c>
      <c r="M280" t="s">
        <v>206</v>
      </c>
      <c r="N280">
        <v>44</v>
      </c>
      <c r="Q280" t="s">
        <v>151</v>
      </c>
    </row>
    <row r="281" spans="1:19" x14ac:dyDescent="0.25">
      <c r="A281">
        <v>102661</v>
      </c>
      <c r="B281">
        <v>2022</v>
      </c>
      <c r="C281" t="s">
        <v>200</v>
      </c>
      <c r="D281" t="s">
        <v>26</v>
      </c>
      <c r="E281" t="s">
        <v>279</v>
      </c>
      <c r="F281" t="s">
        <v>283</v>
      </c>
      <c r="G281" s="1" t="s">
        <v>243</v>
      </c>
      <c r="H281" s="1" t="s">
        <v>284</v>
      </c>
      <c r="I281" t="s">
        <v>31</v>
      </c>
      <c r="J281" t="s">
        <v>32</v>
      </c>
      <c r="K281" t="s">
        <v>203</v>
      </c>
      <c r="L281" t="s">
        <v>34</v>
      </c>
      <c r="M281" t="s">
        <v>206</v>
      </c>
      <c r="N281">
        <v>45</v>
      </c>
      <c r="Q281" t="s">
        <v>151</v>
      </c>
    </row>
    <row r="282" spans="1:19" x14ac:dyDescent="0.25">
      <c r="A282">
        <v>102661</v>
      </c>
      <c r="B282">
        <v>2022</v>
      </c>
      <c r="C282" t="s">
        <v>200</v>
      </c>
      <c r="D282" t="s">
        <v>26</v>
      </c>
      <c r="E282" t="s">
        <v>279</v>
      </c>
      <c r="F282" t="s">
        <v>283</v>
      </c>
      <c r="G282" s="1" t="s">
        <v>243</v>
      </c>
      <c r="H282" s="1" t="s">
        <v>284</v>
      </c>
      <c r="I282" t="s">
        <v>31</v>
      </c>
      <c r="J282" t="s">
        <v>32</v>
      </c>
      <c r="K282" t="s">
        <v>203</v>
      </c>
      <c r="L282" t="s">
        <v>34</v>
      </c>
      <c r="M282" t="s">
        <v>206</v>
      </c>
      <c r="N282">
        <v>46</v>
      </c>
      <c r="Q282" t="s">
        <v>151</v>
      </c>
    </row>
    <row r="283" spans="1:19" x14ac:dyDescent="0.25">
      <c r="A283">
        <v>102661</v>
      </c>
      <c r="B283">
        <v>2022</v>
      </c>
      <c r="C283" t="s">
        <v>200</v>
      </c>
      <c r="D283" t="s">
        <v>26</v>
      </c>
      <c r="E283" t="s">
        <v>279</v>
      </c>
      <c r="F283" t="s">
        <v>283</v>
      </c>
      <c r="G283" s="1" t="s">
        <v>243</v>
      </c>
      <c r="H283" s="1" t="s">
        <v>284</v>
      </c>
      <c r="I283" t="s">
        <v>31</v>
      </c>
      <c r="J283" t="s">
        <v>32</v>
      </c>
      <c r="K283" t="s">
        <v>203</v>
      </c>
      <c r="L283" t="s">
        <v>34</v>
      </c>
      <c r="M283" t="s">
        <v>206</v>
      </c>
      <c r="N283">
        <v>47</v>
      </c>
      <c r="Q283" t="s">
        <v>151</v>
      </c>
    </row>
    <row r="284" spans="1:19" x14ac:dyDescent="0.25">
      <c r="A284">
        <v>102661</v>
      </c>
      <c r="B284">
        <v>2022</v>
      </c>
      <c r="C284" t="s">
        <v>200</v>
      </c>
      <c r="D284" t="s">
        <v>26</v>
      </c>
      <c r="E284" t="s">
        <v>279</v>
      </c>
      <c r="F284" t="s">
        <v>283</v>
      </c>
      <c r="G284" s="1" t="s">
        <v>243</v>
      </c>
      <c r="H284" s="1" t="s">
        <v>284</v>
      </c>
      <c r="I284" t="s">
        <v>31</v>
      </c>
      <c r="J284" t="s">
        <v>32</v>
      </c>
      <c r="K284" t="s">
        <v>203</v>
      </c>
      <c r="L284" t="s">
        <v>34</v>
      </c>
      <c r="M284" t="s">
        <v>206</v>
      </c>
      <c r="N284">
        <v>48</v>
      </c>
      <c r="Q284" t="s">
        <v>151</v>
      </c>
    </row>
    <row r="285" spans="1:19" x14ac:dyDescent="0.25">
      <c r="A285">
        <v>102661</v>
      </c>
      <c r="B285">
        <v>2022</v>
      </c>
      <c r="C285" t="s">
        <v>200</v>
      </c>
      <c r="D285" t="s">
        <v>26</v>
      </c>
      <c r="E285" t="s">
        <v>279</v>
      </c>
      <c r="F285" t="s">
        <v>283</v>
      </c>
      <c r="G285" s="1" t="s">
        <v>243</v>
      </c>
      <c r="H285" s="1" t="s">
        <v>284</v>
      </c>
      <c r="I285" t="s">
        <v>31</v>
      </c>
      <c r="J285" t="s">
        <v>32</v>
      </c>
      <c r="K285" t="s">
        <v>203</v>
      </c>
      <c r="L285" t="s">
        <v>34</v>
      </c>
      <c r="M285" t="s">
        <v>206</v>
      </c>
      <c r="N285">
        <v>49</v>
      </c>
      <c r="Q285" t="s">
        <v>151</v>
      </c>
    </row>
    <row r="286" spans="1:19" x14ac:dyDescent="0.25">
      <c r="A286">
        <v>102661</v>
      </c>
      <c r="B286">
        <v>2022</v>
      </c>
      <c r="C286" t="s">
        <v>200</v>
      </c>
      <c r="D286" t="s">
        <v>26</v>
      </c>
      <c r="E286" t="s">
        <v>279</v>
      </c>
      <c r="F286" t="s">
        <v>283</v>
      </c>
      <c r="G286" s="1" t="s">
        <v>243</v>
      </c>
      <c r="H286" s="1" t="s">
        <v>284</v>
      </c>
      <c r="I286" t="s">
        <v>31</v>
      </c>
      <c r="J286" t="s">
        <v>32</v>
      </c>
      <c r="K286" t="s">
        <v>203</v>
      </c>
      <c r="L286" t="s">
        <v>34</v>
      </c>
      <c r="M286" t="s">
        <v>206</v>
      </c>
      <c r="N286">
        <v>50</v>
      </c>
      <c r="Q286" t="s">
        <v>151</v>
      </c>
    </row>
    <row r="287" spans="1:19" x14ac:dyDescent="0.25">
      <c r="A287">
        <v>102661</v>
      </c>
      <c r="B287">
        <v>2022</v>
      </c>
      <c r="C287" t="s">
        <v>200</v>
      </c>
      <c r="D287" t="s">
        <v>26</v>
      </c>
      <c r="E287" t="s">
        <v>279</v>
      </c>
      <c r="F287" t="s">
        <v>283</v>
      </c>
      <c r="G287" s="1" t="s">
        <v>243</v>
      </c>
      <c r="H287" s="1" t="s">
        <v>284</v>
      </c>
      <c r="I287" t="s">
        <v>31</v>
      </c>
      <c r="J287" t="s">
        <v>32</v>
      </c>
      <c r="K287" t="s">
        <v>203</v>
      </c>
      <c r="L287" t="s">
        <v>34</v>
      </c>
      <c r="M287" t="s">
        <v>206</v>
      </c>
      <c r="N287">
        <v>51</v>
      </c>
      <c r="O287" t="s">
        <v>57</v>
      </c>
      <c r="S287" t="s">
        <v>58</v>
      </c>
    </row>
    <row r="288" spans="1:19" x14ac:dyDescent="0.25">
      <c r="A288">
        <v>102661</v>
      </c>
      <c r="B288">
        <v>2022</v>
      </c>
      <c r="C288" t="s">
        <v>200</v>
      </c>
      <c r="D288" t="s">
        <v>26</v>
      </c>
      <c r="E288" t="s">
        <v>279</v>
      </c>
      <c r="F288" t="s">
        <v>283</v>
      </c>
      <c r="G288" s="1" t="s">
        <v>243</v>
      </c>
      <c r="H288" s="1" t="s">
        <v>284</v>
      </c>
      <c r="I288" t="s">
        <v>31</v>
      </c>
      <c r="J288" t="s">
        <v>32</v>
      </c>
      <c r="K288" t="s">
        <v>203</v>
      </c>
      <c r="L288" t="s">
        <v>34</v>
      </c>
      <c r="M288" t="s">
        <v>206</v>
      </c>
      <c r="N288">
        <v>52</v>
      </c>
      <c r="O288" t="s">
        <v>57</v>
      </c>
      <c r="R288" t="s">
        <v>190</v>
      </c>
      <c r="S288" t="s">
        <v>58</v>
      </c>
    </row>
    <row r="289" spans="1:19" x14ac:dyDescent="0.25">
      <c r="A289">
        <v>102661</v>
      </c>
      <c r="B289">
        <v>2022</v>
      </c>
      <c r="C289" t="s">
        <v>200</v>
      </c>
      <c r="D289" t="s">
        <v>26</v>
      </c>
      <c r="E289" t="s">
        <v>279</v>
      </c>
      <c r="F289" t="s">
        <v>283</v>
      </c>
      <c r="G289" s="1" t="s">
        <v>243</v>
      </c>
      <c r="H289" s="1" t="s">
        <v>284</v>
      </c>
      <c r="I289" t="s">
        <v>31</v>
      </c>
      <c r="J289" t="s">
        <v>32</v>
      </c>
      <c r="K289" t="s">
        <v>203</v>
      </c>
      <c r="L289" t="s">
        <v>34</v>
      </c>
      <c r="M289" t="s">
        <v>206</v>
      </c>
      <c r="N289">
        <v>53</v>
      </c>
      <c r="O289" t="s">
        <v>57</v>
      </c>
      <c r="S289" t="s">
        <v>58</v>
      </c>
    </row>
    <row r="290" spans="1:19" x14ac:dyDescent="0.25">
      <c r="A290">
        <v>102661</v>
      </c>
      <c r="B290">
        <v>2022</v>
      </c>
      <c r="C290" t="s">
        <v>200</v>
      </c>
      <c r="D290" t="s">
        <v>26</v>
      </c>
      <c r="E290" t="s">
        <v>279</v>
      </c>
      <c r="F290" t="s">
        <v>283</v>
      </c>
      <c r="G290" s="1" t="s">
        <v>243</v>
      </c>
      <c r="H290" s="1" t="s">
        <v>284</v>
      </c>
      <c r="I290" t="s">
        <v>31</v>
      </c>
      <c r="J290" t="s">
        <v>32</v>
      </c>
      <c r="K290" t="s">
        <v>203</v>
      </c>
      <c r="L290" t="s">
        <v>34</v>
      </c>
      <c r="M290" t="s">
        <v>206</v>
      </c>
      <c r="N290">
        <v>54</v>
      </c>
      <c r="O290" t="s">
        <v>57</v>
      </c>
      <c r="S290" t="s">
        <v>58</v>
      </c>
    </row>
    <row r="291" spans="1:19" x14ac:dyDescent="0.25">
      <c r="A291">
        <v>102661</v>
      </c>
      <c r="B291">
        <v>2022</v>
      </c>
      <c r="C291" t="s">
        <v>200</v>
      </c>
      <c r="D291" t="s">
        <v>26</v>
      </c>
      <c r="E291" t="s">
        <v>279</v>
      </c>
      <c r="F291" t="s">
        <v>283</v>
      </c>
      <c r="G291" s="1" t="s">
        <v>243</v>
      </c>
      <c r="H291" s="1" t="s">
        <v>284</v>
      </c>
      <c r="I291" t="s">
        <v>31</v>
      </c>
      <c r="J291" t="s">
        <v>32</v>
      </c>
      <c r="K291" t="s">
        <v>203</v>
      </c>
      <c r="L291" t="s">
        <v>34</v>
      </c>
      <c r="M291" t="s">
        <v>206</v>
      </c>
      <c r="N291">
        <v>55</v>
      </c>
      <c r="O291" t="s">
        <v>57</v>
      </c>
      <c r="R291" t="s">
        <v>190</v>
      </c>
      <c r="S291" t="s">
        <v>58</v>
      </c>
    </row>
    <row r="292" spans="1:19" x14ac:dyDescent="0.25">
      <c r="A292">
        <v>102661</v>
      </c>
      <c r="B292">
        <v>2022</v>
      </c>
      <c r="C292" t="s">
        <v>200</v>
      </c>
      <c r="D292" t="s">
        <v>26</v>
      </c>
      <c r="E292" t="s">
        <v>279</v>
      </c>
      <c r="F292" t="s">
        <v>283</v>
      </c>
      <c r="G292" s="1" t="s">
        <v>243</v>
      </c>
      <c r="H292" s="1" t="s">
        <v>284</v>
      </c>
      <c r="I292" t="s">
        <v>31</v>
      </c>
      <c r="J292" t="s">
        <v>32</v>
      </c>
      <c r="K292" t="s">
        <v>203</v>
      </c>
      <c r="L292" t="s">
        <v>34</v>
      </c>
      <c r="M292" t="s">
        <v>206</v>
      </c>
      <c r="N292">
        <v>56</v>
      </c>
      <c r="O292" t="s">
        <v>68</v>
      </c>
      <c r="S292" t="s">
        <v>69</v>
      </c>
    </row>
    <row r="293" spans="1:19" x14ac:dyDescent="0.25">
      <c r="A293">
        <v>102661</v>
      </c>
      <c r="B293">
        <v>2022</v>
      </c>
      <c r="C293" t="s">
        <v>200</v>
      </c>
      <c r="D293" t="s">
        <v>26</v>
      </c>
      <c r="E293" t="s">
        <v>279</v>
      </c>
      <c r="F293" t="s">
        <v>283</v>
      </c>
      <c r="G293" s="1" t="s">
        <v>243</v>
      </c>
      <c r="H293" s="1" t="s">
        <v>284</v>
      </c>
      <c r="I293" t="s">
        <v>31</v>
      </c>
      <c r="J293" t="s">
        <v>32</v>
      </c>
      <c r="K293" t="s">
        <v>203</v>
      </c>
      <c r="L293" t="s">
        <v>34</v>
      </c>
      <c r="M293" t="s">
        <v>206</v>
      </c>
      <c r="N293">
        <v>57</v>
      </c>
      <c r="O293" t="s">
        <v>57</v>
      </c>
      <c r="S293" t="s">
        <v>58</v>
      </c>
    </row>
    <row r="294" spans="1:19" x14ac:dyDescent="0.25">
      <c r="A294">
        <v>102661</v>
      </c>
      <c r="B294">
        <v>2022</v>
      </c>
      <c r="C294" t="s">
        <v>200</v>
      </c>
      <c r="D294" t="s">
        <v>26</v>
      </c>
      <c r="E294" t="s">
        <v>279</v>
      </c>
      <c r="F294" t="s">
        <v>283</v>
      </c>
      <c r="G294" s="1" t="s">
        <v>243</v>
      </c>
      <c r="H294" s="1" t="s">
        <v>284</v>
      </c>
      <c r="I294" t="s">
        <v>31</v>
      </c>
      <c r="J294" t="s">
        <v>32</v>
      </c>
      <c r="K294" t="s">
        <v>203</v>
      </c>
      <c r="L294" t="s">
        <v>34</v>
      </c>
      <c r="M294" t="s">
        <v>206</v>
      </c>
      <c r="N294">
        <v>58</v>
      </c>
      <c r="O294" t="s">
        <v>57</v>
      </c>
      <c r="R294" t="s">
        <v>190</v>
      </c>
      <c r="S294" t="s">
        <v>58</v>
      </c>
    </row>
    <row r="295" spans="1:19" x14ac:dyDescent="0.25">
      <c r="A295">
        <v>102661</v>
      </c>
      <c r="B295">
        <v>2022</v>
      </c>
      <c r="C295" t="s">
        <v>200</v>
      </c>
      <c r="D295" t="s">
        <v>26</v>
      </c>
      <c r="E295" t="s">
        <v>279</v>
      </c>
      <c r="F295" t="s">
        <v>283</v>
      </c>
      <c r="G295" s="1" t="s">
        <v>243</v>
      </c>
      <c r="H295" s="1" t="s">
        <v>284</v>
      </c>
      <c r="I295" t="s">
        <v>31</v>
      </c>
      <c r="J295" t="s">
        <v>32</v>
      </c>
      <c r="K295" t="s">
        <v>203</v>
      </c>
      <c r="L295" t="s">
        <v>34</v>
      </c>
      <c r="M295" t="s">
        <v>206</v>
      </c>
      <c r="N295">
        <v>59</v>
      </c>
      <c r="O295" t="s">
        <v>57</v>
      </c>
      <c r="S295" t="s">
        <v>58</v>
      </c>
    </row>
    <row r="296" spans="1:19" x14ac:dyDescent="0.25">
      <c r="A296">
        <v>102661</v>
      </c>
      <c r="B296">
        <v>2022</v>
      </c>
      <c r="C296" t="s">
        <v>200</v>
      </c>
      <c r="D296" t="s">
        <v>26</v>
      </c>
      <c r="E296" t="s">
        <v>279</v>
      </c>
      <c r="F296" t="s">
        <v>283</v>
      </c>
      <c r="G296" s="1" t="s">
        <v>243</v>
      </c>
      <c r="H296" s="1" t="s">
        <v>284</v>
      </c>
      <c r="I296" t="s">
        <v>31</v>
      </c>
      <c r="J296" t="s">
        <v>32</v>
      </c>
      <c r="K296" t="s">
        <v>203</v>
      </c>
      <c r="L296" t="s">
        <v>34</v>
      </c>
      <c r="M296" t="s">
        <v>206</v>
      </c>
      <c r="N296">
        <v>60</v>
      </c>
      <c r="O296" t="s">
        <v>57</v>
      </c>
      <c r="S296" t="s">
        <v>58</v>
      </c>
    </row>
    <row r="297" spans="1:19" x14ac:dyDescent="0.25">
      <c r="A297">
        <v>102661</v>
      </c>
      <c r="B297">
        <v>2022</v>
      </c>
      <c r="C297" t="s">
        <v>200</v>
      </c>
      <c r="D297" t="s">
        <v>26</v>
      </c>
      <c r="E297" t="s">
        <v>279</v>
      </c>
      <c r="F297" t="s">
        <v>283</v>
      </c>
      <c r="G297" s="1" t="s">
        <v>243</v>
      </c>
      <c r="H297" s="1" t="s">
        <v>284</v>
      </c>
      <c r="I297" t="s">
        <v>31</v>
      </c>
      <c r="J297" t="s">
        <v>32</v>
      </c>
      <c r="K297" t="s">
        <v>203</v>
      </c>
      <c r="L297" t="s">
        <v>34</v>
      </c>
      <c r="M297" t="s">
        <v>206</v>
      </c>
      <c r="N297">
        <v>61</v>
      </c>
      <c r="O297" t="s">
        <v>57</v>
      </c>
      <c r="R297" t="s">
        <v>190</v>
      </c>
      <c r="S297" t="s">
        <v>58</v>
      </c>
    </row>
    <row r="298" spans="1:19" x14ac:dyDescent="0.25">
      <c r="A298">
        <v>102661</v>
      </c>
      <c r="B298">
        <v>2022</v>
      </c>
      <c r="C298" t="s">
        <v>200</v>
      </c>
      <c r="D298" t="s">
        <v>26</v>
      </c>
      <c r="E298" t="s">
        <v>279</v>
      </c>
      <c r="F298" t="s">
        <v>283</v>
      </c>
      <c r="G298" s="1" t="s">
        <v>243</v>
      </c>
      <c r="H298" s="1" t="s">
        <v>284</v>
      </c>
      <c r="I298" t="s">
        <v>31</v>
      </c>
      <c r="J298" t="s">
        <v>32</v>
      </c>
      <c r="K298" t="s">
        <v>203</v>
      </c>
      <c r="L298" t="s">
        <v>34</v>
      </c>
      <c r="M298" t="s">
        <v>206</v>
      </c>
      <c r="N298">
        <v>62</v>
      </c>
      <c r="O298" t="s">
        <v>57</v>
      </c>
      <c r="S298" t="s">
        <v>58</v>
      </c>
    </row>
    <row r="299" spans="1:19" x14ac:dyDescent="0.25">
      <c r="A299">
        <v>102661</v>
      </c>
      <c r="B299">
        <v>2022</v>
      </c>
      <c r="C299" t="s">
        <v>200</v>
      </c>
      <c r="D299" t="s">
        <v>26</v>
      </c>
      <c r="E299" t="s">
        <v>279</v>
      </c>
      <c r="F299" t="s">
        <v>283</v>
      </c>
      <c r="G299" s="1" t="s">
        <v>243</v>
      </c>
      <c r="H299" s="1" t="s">
        <v>284</v>
      </c>
      <c r="I299" t="s">
        <v>31</v>
      </c>
      <c r="J299" t="s">
        <v>32</v>
      </c>
      <c r="K299" t="s">
        <v>203</v>
      </c>
      <c r="L299" t="s">
        <v>34</v>
      </c>
      <c r="M299" t="s">
        <v>206</v>
      </c>
      <c r="N299">
        <v>63</v>
      </c>
      <c r="O299" t="s">
        <v>57</v>
      </c>
      <c r="R299" t="s">
        <v>190</v>
      </c>
      <c r="S299" t="s">
        <v>58</v>
      </c>
    </row>
    <row r="300" spans="1:19" x14ac:dyDescent="0.25">
      <c r="A300">
        <v>102661</v>
      </c>
      <c r="B300">
        <v>2022</v>
      </c>
      <c r="C300" t="s">
        <v>200</v>
      </c>
      <c r="D300" t="s">
        <v>26</v>
      </c>
      <c r="E300" t="s">
        <v>279</v>
      </c>
      <c r="F300" t="s">
        <v>283</v>
      </c>
      <c r="G300" s="1" t="s">
        <v>243</v>
      </c>
      <c r="H300" s="1" t="s">
        <v>284</v>
      </c>
      <c r="I300" t="s">
        <v>31</v>
      </c>
      <c r="J300" t="s">
        <v>32</v>
      </c>
      <c r="K300" t="s">
        <v>203</v>
      </c>
      <c r="L300" t="s">
        <v>34</v>
      </c>
      <c r="M300" t="s">
        <v>206</v>
      </c>
      <c r="N300">
        <v>64</v>
      </c>
      <c r="O300" t="s">
        <v>68</v>
      </c>
      <c r="R300" t="s">
        <v>190</v>
      </c>
      <c r="S300" t="s">
        <v>69</v>
      </c>
    </row>
    <row r="301" spans="1:19" x14ac:dyDescent="0.25">
      <c r="A301">
        <v>102661</v>
      </c>
      <c r="B301">
        <v>2022</v>
      </c>
      <c r="C301" t="s">
        <v>200</v>
      </c>
      <c r="D301" t="s">
        <v>26</v>
      </c>
      <c r="E301" t="s">
        <v>279</v>
      </c>
      <c r="F301" t="s">
        <v>283</v>
      </c>
      <c r="G301" s="1" t="s">
        <v>243</v>
      </c>
      <c r="H301" s="1" t="s">
        <v>284</v>
      </c>
      <c r="I301" t="s">
        <v>31</v>
      </c>
      <c r="J301" t="s">
        <v>32</v>
      </c>
      <c r="K301" t="s">
        <v>203</v>
      </c>
      <c r="L301" t="s">
        <v>34</v>
      </c>
      <c r="M301" t="s">
        <v>206</v>
      </c>
      <c r="N301">
        <v>65</v>
      </c>
      <c r="O301" t="s">
        <v>57</v>
      </c>
      <c r="S301" t="s">
        <v>58</v>
      </c>
    </row>
    <row r="302" spans="1:19" x14ac:dyDescent="0.25">
      <c r="A302">
        <v>102661</v>
      </c>
      <c r="B302">
        <v>2022</v>
      </c>
      <c r="C302" t="s">
        <v>200</v>
      </c>
      <c r="D302" t="s">
        <v>26</v>
      </c>
      <c r="E302" t="s">
        <v>279</v>
      </c>
      <c r="F302" t="s">
        <v>283</v>
      </c>
      <c r="G302" s="1" t="s">
        <v>243</v>
      </c>
      <c r="H302" s="1" t="s">
        <v>284</v>
      </c>
      <c r="I302" t="s">
        <v>31</v>
      </c>
      <c r="J302" t="s">
        <v>32</v>
      </c>
      <c r="K302" t="s">
        <v>203</v>
      </c>
      <c r="L302" t="s">
        <v>34</v>
      </c>
      <c r="M302" t="s">
        <v>206</v>
      </c>
      <c r="N302">
        <v>66</v>
      </c>
      <c r="O302" t="s">
        <v>63</v>
      </c>
      <c r="S302" t="s">
        <v>64</v>
      </c>
    </row>
    <row r="303" spans="1:19" x14ac:dyDescent="0.25">
      <c r="A303">
        <v>102661</v>
      </c>
      <c r="B303">
        <v>2022</v>
      </c>
      <c r="C303" t="s">
        <v>200</v>
      </c>
      <c r="D303" t="s">
        <v>26</v>
      </c>
      <c r="E303" t="s">
        <v>279</v>
      </c>
      <c r="F303" t="s">
        <v>283</v>
      </c>
      <c r="G303" s="1" t="s">
        <v>243</v>
      </c>
      <c r="H303" s="1" t="s">
        <v>284</v>
      </c>
      <c r="I303" t="s">
        <v>31</v>
      </c>
      <c r="J303" t="s">
        <v>32</v>
      </c>
      <c r="K303" t="s">
        <v>203</v>
      </c>
      <c r="L303" t="s">
        <v>34</v>
      </c>
      <c r="M303" t="s">
        <v>206</v>
      </c>
      <c r="N303">
        <v>67</v>
      </c>
      <c r="O303" t="s">
        <v>197</v>
      </c>
      <c r="S303" t="s">
        <v>198</v>
      </c>
    </row>
    <row r="304" spans="1:19" x14ac:dyDescent="0.25">
      <c r="A304">
        <v>102661</v>
      </c>
      <c r="B304">
        <v>2022</v>
      </c>
      <c r="C304" t="s">
        <v>200</v>
      </c>
      <c r="D304" t="s">
        <v>26</v>
      </c>
      <c r="E304" t="s">
        <v>279</v>
      </c>
      <c r="F304" t="s">
        <v>283</v>
      </c>
      <c r="G304" s="1" t="s">
        <v>243</v>
      </c>
      <c r="H304" s="1" t="s">
        <v>284</v>
      </c>
      <c r="I304" t="s">
        <v>31</v>
      </c>
      <c r="J304" t="s">
        <v>32</v>
      </c>
      <c r="K304" t="s">
        <v>203</v>
      </c>
      <c r="L304" t="s">
        <v>34</v>
      </c>
      <c r="M304" t="s">
        <v>206</v>
      </c>
      <c r="N304">
        <v>68</v>
      </c>
      <c r="O304" t="s">
        <v>57</v>
      </c>
      <c r="S304" t="s">
        <v>58</v>
      </c>
    </row>
    <row r="305" spans="1:19" x14ac:dyDescent="0.25">
      <c r="A305">
        <v>102661</v>
      </c>
      <c r="B305">
        <v>2022</v>
      </c>
      <c r="C305" t="s">
        <v>200</v>
      </c>
      <c r="D305" t="s">
        <v>26</v>
      </c>
      <c r="E305" t="s">
        <v>279</v>
      </c>
      <c r="F305" t="s">
        <v>283</v>
      </c>
      <c r="G305" s="1" t="s">
        <v>243</v>
      </c>
      <c r="H305" s="1" t="s">
        <v>284</v>
      </c>
      <c r="I305" t="s">
        <v>31</v>
      </c>
      <c r="J305" t="s">
        <v>32</v>
      </c>
      <c r="K305" t="s">
        <v>203</v>
      </c>
      <c r="L305" t="s">
        <v>34</v>
      </c>
      <c r="M305" t="s">
        <v>206</v>
      </c>
      <c r="N305">
        <v>69</v>
      </c>
      <c r="O305" t="s">
        <v>68</v>
      </c>
      <c r="R305" t="s">
        <v>190</v>
      </c>
      <c r="S305" t="s">
        <v>69</v>
      </c>
    </row>
    <row r="306" spans="1:19" x14ac:dyDescent="0.25">
      <c r="A306">
        <v>102661</v>
      </c>
      <c r="B306">
        <v>2022</v>
      </c>
      <c r="C306" t="s">
        <v>200</v>
      </c>
      <c r="D306" t="s">
        <v>26</v>
      </c>
      <c r="E306" t="s">
        <v>279</v>
      </c>
      <c r="F306" t="s">
        <v>283</v>
      </c>
      <c r="G306" s="1" t="s">
        <v>243</v>
      </c>
      <c r="H306" s="1" t="s">
        <v>284</v>
      </c>
      <c r="I306" t="s">
        <v>31</v>
      </c>
      <c r="J306" t="s">
        <v>32</v>
      </c>
      <c r="K306" t="s">
        <v>203</v>
      </c>
      <c r="L306" t="s">
        <v>34</v>
      </c>
      <c r="M306" t="s">
        <v>206</v>
      </c>
      <c r="N306">
        <v>70</v>
      </c>
      <c r="O306" t="s">
        <v>68</v>
      </c>
      <c r="R306" t="s">
        <v>190</v>
      </c>
      <c r="S306" t="s">
        <v>69</v>
      </c>
    </row>
    <row r="307" spans="1:19" x14ac:dyDescent="0.25">
      <c r="A307">
        <v>102661</v>
      </c>
      <c r="B307">
        <v>2022</v>
      </c>
      <c r="C307" t="s">
        <v>200</v>
      </c>
      <c r="D307" t="s">
        <v>26</v>
      </c>
      <c r="E307" t="s">
        <v>279</v>
      </c>
      <c r="F307" t="s">
        <v>283</v>
      </c>
      <c r="G307" s="1" t="s">
        <v>243</v>
      </c>
      <c r="H307" s="1" t="s">
        <v>284</v>
      </c>
      <c r="I307" t="s">
        <v>31</v>
      </c>
      <c r="J307" t="s">
        <v>32</v>
      </c>
      <c r="K307" t="s">
        <v>203</v>
      </c>
      <c r="L307" t="s">
        <v>34</v>
      </c>
      <c r="M307" t="s">
        <v>206</v>
      </c>
      <c r="N307">
        <v>71</v>
      </c>
      <c r="O307" t="s">
        <v>57</v>
      </c>
      <c r="S307" t="s">
        <v>58</v>
      </c>
    </row>
    <row r="308" spans="1:19" x14ac:dyDescent="0.25">
      <c r="A308">
        <v>102661</v>
      </c>
      <c r="B308">
        <v>2022</v>
      </c>
      <c r="C308" t="s">
        <v>200</v>
      </c>
      <c r="D308" t="s">
        <v>26</v>
      </c>
      <c r="E308" t="s">
        <v>279</v>
      </c>
      <c r="F308" t="s">
        <v>283</v>
      </c>
      <c r="G308" s="1" t="s">
        <v>243</v>
      </c>
      <c r="H308" s="1" t="s">
        <v>284</v>
      </c>
      <c r="I308" t="s">
        <v>31</v>
      </c>
      <c r="J308" t="s">
        <v>32</v>
      </c>
      <c r="K308" t="s">
        <v>203</v>
      </c>
      <c r="L308" t="s">
        <v>34</v>
      </c>
      <c r="M308" t="s">
        <v>206</v>
      </c>
      <c r="N308">
        <v>72</v>
      </c>
      <c r="O308" t="s">
        <v>57</v>
      </c>
      <c r="S308" t="s">
        <v>58</v>
      </c>
    </row>
    <row r="309" spans="1:19" x14ac:dyDescent="0.25">
      <c r="A309">
        <v>102661</v>
      </c>
      <c r="B309">
        <v>2022</v>
      </c>
      <c r="C309" t="s">
        <v>200</v>
      </c>
      <c r="D309" t="s">
        <v>26</v>
      </c>
      <c r="E309" t="s">
        <v>279</v>
      </c>
      <c r="F309" t="s">
        <v>283</v>
      </c>
      <c r="G309" s="1" t="s">
        <v>243</v>
      </c>
      <c r="H309" s="1" t="s">
        <v>284</v>
      </c>
      <c r="I309" t="s">
        <v>31</v>
      </c>
      <c r="J309" t="s">
        <v>32</v>
      </c>
      <c r="K309" t="s">
        <v>203</v>
      </c>
      <c r="L309" t="s">
        <v>34</v>
      </c>
      <c r="M309" t="s">
        <v>206</v>
      </c>
      <c r="N309">
        <v>73</v>
      </c>
      <c r="O309" t="s">
        <v>57</v>
      </c>
      <c r="R309" t="s">
        <v>190</v>
      </c>
      <c r="S309" t="s">
        <v>58</v>
      </c>
    </row>
    <row r="310" spans="1:19" x14ac:dyDescent="0.25">
      <c r="A310">
        <v>102661</v>
      </c>
      <c r="B310">
        <v>2022</v>
      </c>
      <c r="C310" t="s">
        <v>200</v>
      </c>
      <c r="D310" t="s">
        <v>26</v>
      </c>
      <c r="E310" t="s">
        <v>279</v>
      </c>
      <c r="F310" t="s">
        <v>283</v>
      </c>
      <c r="G310" s="1" t="s">
        <v>243</v>
      </c>
      <c r="H310" s="1" t="s">
        <v>284</v>
      </c>
      <c r="I310" t="s">
        <v>31</v>
      </c>
      <c r="J310" t="s">
        <v>32</v>
      </c>
      <c r="K310" t="s">
        <v>203</v>
      </c>
      <c r="L310" t="s">
        <v>34</v>
      </c>
      <c r="M310" t="s">
        <v>206</v>
      </c>
      <c r="N310">
        <v>74</v>
      </c>
      <c r="O310" t="s">
        <v>57</v>
      </c>
      <c r="R310" t="s">
        <v>190</v>
      </c>
      <c r="S310" t="s">
        <v>58</v>
      </c>
    </row>
    <row r="311" spans="1:19" x14ac:dyDescent="0.25">
      <c r="A311">
        <v>102661</v>
      </c>
      <c r="B311">
        <v>2022</v>
      </c>
      <c r="C311" t="s">
        <v>200</v>
      </c>
      <c r="D311" t="s">
        <v>26</v>
      </c>
      <c r="E311" t="s">
        <v>279</v>
      </c>
      <c r="F311" t="s">
        <v>283</v>
      </c>
      <c r="G311" s="1" t="s">
        <v>243</v>
      </c>
      <c r="H311" s="1" t="s">
        <v>284</v>
      </c>
      <c r="I311" t="s">
        <v>31</v>
      </c>
      <c r="J311" t="s">
        <v>32</v>
      </c>
      <c r="K311" t="s">
        <v>203</v>
      </c>
      <c r="L311" t="s">
        <v>34</v>
      </c>
      <c r="M311" t="s">
        <v>206</v>
      </c>
      <c r="N311">
        <v>75</v>
      </c>
      <c r="O311" t="s">
        <v>57</v>
      </c>
      <c r="R311" t="s">
        <v>190</v>
      </c>
      <c r="S311" t="s">
        <v>58</v>
      </c>
    </row>
    <row r="312" spans="1:19" x14ac:dyDescent="0.25">
      <c r="A312">
        <v>102661</v>
      </c>
      <c r="B312">
        <v>2022</v>
      </c>
      <c r="C312" t="s">
        <v>200</v>
      </c>
      <c r="D312" t="s">
        <v>26</v>
      </c>
      <c r="E312" t="s">
        <v>279</v>
      </c>
      <c r="F312" t="s">
        <v>283</v>
      </c>
      <c r="G312" s="1" t="s">
        <v>243</v>
      </c>
      <c r="H312" s="1" t="s">
        <v>284</v>
      </c>
      <c r="I312" t="s">
        <v>31</v>
      </c>
      <c r="J312" t="s">
        <v>32</v>
      </c>
      <c r="K312" t="s">
        <v>203</v>
      </c>
      <c r="L312" t="s">
        <v>34</v>
      </c>
      <c r="M312" t="s">
        <v>206</v>
      </c>
      <c r="N312">
        <v>76</v>
      </c>
      <c r="O312" t="s">
        <v>57</v>
      </c>
      <c r="S312" t="s">
        <v>58</v>
      </c>
    </row>
    <row r="313" spans="1:19" x14ac:dyDescent="0.25">
      <c r="A313">
        <v>102661</v>
      </c>
      <c r="B313">
        <v>2022</v>
      </c>
      <c r="C313" t="s">
        <v>200</v>
      </c>
      <c r="D313" t="s">
        <v>26</v>
      </c>
      <c r="E313" t="s">
        <v>279</v>
      </c>
      <c r="F313" t="s">
        <v>283</v>
      </c>
      <c r="G313" s="1" t="s">
        <v>243</v>
      </c>
      <c r="H313" s="1" t="s">
        <v>284</v>
      </c>
      <c r="I313" t="s">
        <v>31</v>
      </c>
      <c r="J313" t="s">
        <v>32</v>
      </c>
      <c r="K313" t="s">
        <v>203</v>
      </c>
      <c r="L313" t="s">
        <v>34</v>
      </c>
      <c r="M313" t="s">
        <v>206</v>
      </c>
      <c r="N313">
        <v>77</v>
      </c>
      <c r="O313" t="s">
        <v>57</v>
      </c>
      <c r="S313" t="s">
        <v>58</v>
      </c>
    </row>
    <row r="314" spans="1:19" x14ac:dyDescent="0.25">
      <c r="A314">
        <v>102661</v>
      </c>
      <c r="B314">
        <v>2022</v>
      </c>
      <c r="C314" t="s">
        <v>200</v>
      </c>
      <c r="D314" t="s">
        <v>26</v>
      </c>
      <c r="E314" t="s">
        <v>279</v>
      </c>
      <c r="F314" t="s">
        <v>283</v>
      </c>
      <c r="G314" s="1" t="s">
        <v>243</v>
      </c>
      <c r="H314" s="1" t="s">
        <v>284</v>
      </c>
      <c r="I314" t="s">
        <v>31</v>
      </c>
      <c r="J314" t="s">
        <v>32</v>
      </c>
      <c r="K314" t="s">
        <v>203</v>
      </c>
      <c r="L314" t="s">
        <v>34</v>
      </c>
      <c r="M314" t="s">
        <v>206</v>
      </c>
      <c r="N314">
        <v>78</v>
      </c>
      <c r="O314" t="s">
        <v>57</v>
      </c>
      <c r="R314" t="s">
        <v>190</v>
      </c>
      <c r="S314" t="s">
        <v>58</v>
      </c>
    </row>
    <row r="315" spans="1:19" x14ac:dyDescent="0.25">
      <c r="A315">
        <v>102661</v>
      </c>
      <c r="B315">
        <v>2022</v>
      </c>
      <c r="C315" t="s">
        <v>200</v>
      </c>
      <c r="D315" t="s">
        <v>26</v>
      </c>
      <c r="E315" t="s">
        <v>279</v>
      </c>
      <c r="F315" t="s">
        <v>283</v>
      </c>
      <c r="G315" s="1" t="s">
        <v>243</v>
      </c>
      <c r="H315" s="1" t="s">
        <v>284</v>
      </c>
      <c r="I315" t="s">
        <v>31</v>
      </c>
      <c r="J315" t="s">
        <v>32</v>
      </c>
      <c r="K315" t="s">
        <v>203</v>
      </c>
      <c r="L315" t="s">
        <v>34</v>
      </c>
      <c r="M315" t="s">
        <v>206</v>
      </c>
      <c r="N315">
        <v>79</v>
      </c>
      <c r="O315" t="s">
        <v>57</v>
      </c>
      <c r="S315" t="s">
        <v>58</v>
      </c>
    </row>
    <row r="316" spans="1:19" x14ac:dyDescent="0.25">
      <c r="A316">
        <v>102661</v>
      </c>
      <c r="B316">
        <v>2022</v>
      </c>
      <c r="C316" t="s">
        <v>200</v>
      </c>
      <c r="D316" t="s">
        <v>26</v>
      </c>
      <c r="E316" t="s">
        <v>279</v>
      </c>
      <c r="F316" t="s">
        <v>283</v>
      </c>
      <c r="G316" s="1" t="s">
        <v>243</v>
      </c>
      <c r="H316" s="1" t="s">
        <v>284</v>
      </c>
      <c r="I316" t="s">
        <v>31</v>
      </c>
      <c r="J316" t="s">
        <v>32</v>
      </c>
      <c r="K316" t="s">
        <v>203</v>
      </c>
      <c r="L316" t="s">
        <v>34</v>
      </c>
      <c r="M316" t="s">
        <v>206</v>
      </c>
      <c r="N316">
        <v>80</v>
      </c>
      <c r="O316" t="s">
        <v>57</v>
      </c>
      <c r="S316" t="s">
        <v>58</v>
      </c>
    </row>
    <row r="317" spans="1:19" x14ac:dyDescent="0.25">
      <c r="A317">
        <v>102661</v>
      </c>
      <c r="B317">
        <v>2022</v>
      </c>
      <c r="C317" t="s">
        <v>200</v>
      </c>
      <c r="D317" t="s">
        <v>26</v>
      </c>
      <c r="E317" t="s">
        <v>279</v>
      </c>
      <c r="F317" t="s">
        <v>283</v>
      </c>
      <c r="G317" s="1" t="s">
        <v>243</v>
      </c>
      <c r="H317" s="1" t="s">
        <v>284</v>
      </c>
      <c r="I317" t="s">
        <v>31</v>
      </c>
      <c r="J317" t="s">
        <v>32</v>
      </c>
      <c r="K317" t="s">
        <v>203</v>
      </c>
      <c r="L317" t="s">
        <v>34</v>
      </c>
      <c r="M317" t="s">
        <v>206</v>
      </c>
      <c r="N317">
        <v>81</v>
      </c>
      <c r="O317" t="s">
        <v>57</v>
      </c>
      <c r="R317" t="s">
        <v>190</v>
      </c>
      <c r="S317" t="s">
        <v>58</v>
      </c>
    </row>
    <row r="318" spans="1:19" x14ac:dyDescent="0.25">
      <c r="A318">
        <v>102661</v>
      </c>
      <c r="B318">
        <v>2022</v>
      </c>
      <c r="C318" t="s">
        <v>200</v>
      </c>
      <c r="D318" t="s">
        <v>26</v>
      </c>
      <c r="E318" t="s">
        <v>279</v>
      </c>
      <c r="F318" t="s">
        <v>283</v>
      </c>
      <c r="G318" s="1" t="s">
        <v>243</v>
      </c>
      <c r="H318" s="1" t="s">
        <v>284</v>
      </c>
      <c r="I318" t="s">
        <v>31</v>
      </c>
      <c r="J318" t="s">
        <v>32</v>
      </c>
      <c r="K318" t="s">
        <v>203</v>
      </c>
      <c r="L318" t="s">
        <v>34</v>
      </c>
      <c r="M318" t="s">
        <v>206</v>
      </c>
      <c r="N318">
        <v>82</v>
      </c>
      <c r="O318" t="s">
        <v>68</v>
      </c>
      <c r="R318" t="s">
        <v>190</v>
      </c>
      <c r="S318" t="s">
        <v>69</v>
      </c>
    </row>
    <row r="319" spans="1:19" x14ac:dyDescent="0.25">
      <c r="A319">
        <v>102661</v>
      </c>
      <c r="B319">
        <v>2022</v>
      </c>
      <c r="C319" t="s">
        <v>200</v>
      </c>
      <c r="D319" t="s">
        <v>26</v>
      </c>
      <c r="E319" t="s">
        <v>279</v>
      </c>
      <c r="F319" t="s">
        <v>283</v>
      </c>
      <c r="G319" s="1" t="s">
        <v>243</v>
      </c>
      <c r="H319" s="1" t="s">
        <v>284</v>
      </c>
      <c r="I319" t="s">
        <v>31</v>
      </c>
      <c r="J319" t="s">
        <v>32</v>
      </c>
      <c r="K319" t="s">
        <v>203</v>
      </c>
      <c r="L319" t="s">
        <v>34</v>
      </c>
      <c r="M319" t="s">
        <v>206</v>
      </c>
      <c r="N319">
        <v>83</v>
      </c>
      <c r="O319" t="s">
        <v>57</v>
      </c>
      <c r="S319" t="s">
        <v>58</v>
      </c>
    </row>
    <row r="320" spans="1:19" x14ac:dyDescent="0.25">
      <c r="A320">
        <v>102661</v>
      </c>
      <c r="B320">
        <v>2022</v>
      </c>
      <c r="C320" t="s">
        <v>200</v>
      </c>
      <c r="D320" t="s">
        <v>26</v>
      </c>
      <c r="E320" t="s">
        <v>279</v>
      </c>
      <c r="F320" t="s">
        <v>283</v>
      </c>
      <c r="G320" s="1" t="s">
        <v>243</v>
      </c>
      <c r="H320" s="1" t="s">
        <v>284</v>
      </c>
      <c r="I320" t="s">
        <v>31</v>
      </c>
      <c r="J320" t="s">
        <v>32</v>
      </c>
      <c r="K320" t="s">
        <v>203</v>
      </c>
      <c r="L320" t="s">
        <v>34</v>
      </c>
      <c r="M320" t="s">
        <v>206</v>
      </c>
      <c r="N320">
        <v>84</v>
      </c>
      <c r="O320" t="s">
        <v>57</v>
      </c>
      <c r="R320" t="s">
        <v>190</v>
      </c>
      <c r="S320" t="s">
        <v>58</v>
      </c>
    </row>
    <row r="321" spans="1:19" x14ac:dyDescent="0.25">
      <c r="A321">
        <v>102661</v>
      </c>
      <c r="B321">
        <v>2022</v>
      </c>
      <c r="C321" t="s">
        <v>200</v>
      </c>
      <c r="D321" t="s">
        <v>26</v>
      </c>
      <c r="E321" t="s">
        <v>279</v>
      </c>
      <c r="F321" t="s">
        <v>283</v>
      </c>
      <c r="G321" s="1" t="s">
        <v>243</v>
      </c>
      <c r="H321" s="1" t="s">
        <v>284</v>
      </c>
      <c r="I321" t="s">
        <v>31</v>
      </c>
      <c r="J321" t="s">
        <v>32</v>
      </c>
      <c r="K321" t="s">
        <v>203</v>
      </c>
      <c r="L321" t="s">
        <v>34</v>
      </c>
      <c r="M321" t="s">
        <v>206</v>
      </c>
      <c r="N321">
        <v>85</v>
      </c>
      <c r="O321" t="s">
        <v>57</v>
      </c>
      <c r="R321" t="s">
        <v>190</v>
      </c>
      <c r="S321" t="s">
        <v>58</v>
      </c>
    </row>
    <row r="322" spans="1:19" x14ac:dyDescent="0.25">
      <c r="A322">
        <v>102661</v>
      </c>
      <c r="B322">
        <v>2022</v>
      </c>
      <c r="C322" t="s">
        <v>200</v>
      </c>
      <c r="D322" t="s">
        <v>26</v>
      </c>
      <c r="E322" t="s">
        <v>279</v>
      </c>
      <c r="F322" t="s">
        <v>283</v>
      </c>
      <c r="G322" s="1" t="s">
        <v>243</v>
      </c>
      <c r="H322" s="1" t="s">
        <v>284</v>
      </c>
      <c r="I322" t="s">
        <v>31</v>
      </c>
      <c r="J322" t="s">
        <v>32</v>
      </c>
      <c r="K322" t="s">
        <v>203</v>
      </c>
      <c r="L322" t="s">
        <v>34</v>
      </c>
      <c r="M322" t="s">
        <v>206</v>
      </c>
      <c r="N322">
        <v>86</v>
      </c>
      <c r="O322" t="s">
        <v>57</v>
      </c>
      <c r="S322" t="s">
        <v>58</v>
      </c>
    </row>
    <row r="323" spans="1:19" x14ac:dyDescent="0.25">
      <c r="A323">
        <v>102661</v>
      </c>
      <c r="B323">
        <v>2022</v>
      </c>
      <c r="C323" t="s">
        <v>200</v>
      </c>
      <c r="D323" t="s">
        <v>26</v>
      </c>
      <c r="E323" t="s">
        <v>279</v>
      </c>
      <c r="F323" t="s">
        <v>283</v>
      </c>
      <c r="G323" s="1" t="s">
        <v>243</v>
      </c>
      <c r="H323" s="1" t="s">
        <v>284</v>
      </c>
      <c r="I323" t="s">
        <v>31</v>
      </c>
      <c r="J323" t="s">
        <v>32</v>
      </c>
      <c r="K323" t="s">
        <v>203</v>
      </c>
      <c r="L323" t="s">
        <v>34</v>
      </c>
      <c r="M323" t="s">
        <v>206</v>
      </c>
      <c r="N323">
        <v>87</v>
      </c>
      <c r="O323" t="s">
        <v>57</v>
      </c>
      <c r="S323" t="s">
        <v>58</v>
      </c>
    </row>
    <row r="324" spans="1:19" x14ac:dyDescent="0.25">
      <c r="A324">
        <v>102661</v>
      </c>
      <c r="B324">
        <v>2022</v>
      </c>
      <c r="C324" t="s">
        <v>200</v>
      </c>
      <c r="D324" t="s">
        <v>26</v>
      </c>
      <c r="E324" t="s">
        <v>279</v>
      </c>
      <c r="F324" t="s">
        <v>283</v>
      </c>
      <c r="G324" s="1" t="s">
        <v>243</v>
      </c>
      <c r="H324" s="1" t="s">
        <v>284</v>
      </c>
      <c r="I324" t="s">
        <v>31</v>
      </c>
      <c r="J324" t="s">
        <v>32</v>
      </c>
      <c r="K324" t="s">
        <v>203</v>
      </c>
      <c r="L324" t="s">
        <v>34</v>
      </c>
      <c r="M324" t="s">
        <v>206</v>
      </c>
      <c r="N324">
        <v>88</v>
      </c>
      <c r="O324" t="s">
        <v>57</v>
      </c>
      <c r="R324" t="s">
        <v>190</v>
      </c>
      <c r="S324" t="s">
        <v>58</v>
      </c>
    </row>
    <row r="325" spans="1:19" x14ac:dyDescent="0.25">
      <c r="A325">
        <v>102661</v>
      </c>
      <c r="B325">
        <v>2022</v>
      </c>
      <c r="C325" t="s">
        <v>200</v>
      </c>
      <c r="D325" t="s">
        <v>26</v>
      </c>
      <c r="E325" t="s">
        <v>279</v>
      </c>
      <c r="F325" t="s">
        <v>283</v>
      </c>
      <c r="G325" s="1" t="s">
        <v>243</v>
      </c>
      <c r="H325" s="1" t="s">
        <v>284</v>
      </c>
      <c r="I325" t="s">
        <v>31</v>
      </c>
      <c r="J325" t="s">
        <v>32</v>
      </c>
      <c r="K325" t="s">
        <v>203</v>
      </c>
      <c r="L325" t="s">
        <v>34</v>
      </c>
      <c r="M325" t="s">
        <v>206</v>
      </c>
      <c r="N325">
        <v>89</v>
      </c>
      <c r="O325" t="s">
        <v>197</v>
      </c>
      <c r="R325" t="s">
        <v>190</v>
      </c>
      <c r="S325" t="s">
        <v>198</v>
      </c>
    </row>
    <row r="326" spans="1:19" x14ac:dyDescent="0.25">
      <c r="A326">
        <v>102661</v>
      </c>
      <c r="B326">
        <v>2022</v>
      </c>
      <c r="C326" t="s">
        <v>200</v>
      </c>
      <c r="D326" t="s">
        <v>26</v>
      </c>
      <c r="E326" t="s">
        <v>279</v>
      </c>
      <c r="F326" t="s">
        <v>283</v>
      </c>
      <c r="G326" s="1" t="s">
        <v>243</v>
      </c>
      <c r="H326" s="1" t="s">
        <v>284</v>
      </c>
      <c r="I326" t="s">
        <v>31</v>
      </c>
      <c r="J326" t="s">
        <v>32</v>
      </c>
      <c r="K326" t="s">
        <v>203</v>
      </c>
      <c r="L326" t="s">
        <v>34</v>
      </c>
      <c r="M326" t="s">
        <v>206</v>
      </c>
      <c r="N326">
        <v>90</v>
      </c>
      <c r="O326" t="s">
        <v>57</v>
      </c>
      <c r="S326" t="s">
        <v>58</v>
      </c>
    </row>
    <row r="327" spans="1:19" x14ac:dyDescent="0.25">
      <c r="A327">
        <v>102661</v>
      </c>
      <c r="B327">
        <v>2022</v>
      </c>
      <c r="C327" t="s">
        <v>200</v>
      </c>
      <c r="D327" t="s">
        <v>26</v>
      </c>
      <c r="E327" t="s">
        <v>279</v>
      </c>
      <c r="F327" t="s">
        <v>283</v>
      </c>
      <c r="G327" s="1" t="s">
        <v>243</v>
      </c>
      <c r="H327" s="1" t="s">
        <v>284</v>
      </c>
      <c r="I327" t="s">
        <v>31</v>
      </c>
      <c r="J327" t="s">
        <v>32</v>
      </c>
      <c r="K327" t="s">
        <v>203</v>
      </c>
      <c r="L327" t="s">
        <v>34</v>
      </c>
      <c r="M327" t="s">
        <v>206</v>
      </c>
      <c r="N327">
        <v>91</v>
      </c>
      <c r="O327" t="s">
        <v>57</v>
      </c>
      <c r="S327" t="s">
        <v>58</v>
      </c>
    </row>
    <row r="328" spans="1:19" x14ac:dyDescent="0.25">
      <c r="A328">
        <v>102661</v>
      </c>
      <c r="B328">
        <v>2022</v>
      </c>
      <c r="C328" t="s">
        <v>200</v>
      </c>
      <c r="D328" t="s">
        <v>26</v>
      </c>
      <c r="E328" t="s">
        <v>279</v>
      </c>
      <c r="F328" t="s">
        <v>283</v>
      </c>
      <c r="G328" s="1" t="s">
        <v>243</v>
      </c>
      <c r="H328" s="1" t="s">
        <v>284</v>
      </c>
      <c r="I328" t="s">
        <v>31</v>
      </c>
      <c r="J328" t="s">
        <v>32</v>
      </c>
      <c r="K328" t="s">
        <v>203</v>
      </c>
      <c r="L328" t="s">
        <v>34</v>
      </c>
      <c r="M328" t="s">
        <v>206</v>
      </c>
      <c r="N328">
        <v>92</v>
      </c>
      <c r="O328" t="s">
        <v>57</v>
      </c>
      <c r="R328" t="s">
        <v>190</v>
      </c>
      <c r="S328" t="s">
        <v>58</v>
      </c>
    </row>
    <row r="329" spans="1:19" x14ac:dyDescent="0.25">
      <c r="A329">
        <v>102661</v>
      </c>
      <c r="B329">
        <v>2022</v>
      </c>
      <c r="C329" t="s">
        <v>200</v>
      </c>
      <c r="D329" t="s">
        <v>26</v>
      </c>
      <c r="E329" t="s">
        <v>279</v>
      </c>
      <c r="F329" t="s">
        <v>283</v>
      </c>
      <c r="G329" s="1" t="s">
        <v>243</v>
      </c>
      <c r="H329" s="1" t="s">
        <v>284</v>
      </c>
      <c r="I329" t="s">
        <v>31</v>
      </c>
      <c r="J329" t="s">
        <v>32</v>
      </c>
      <c r="K329" t="s">
        <v>203</v>
      </c>
      <c r="L329" t="s">
        <v>34</v>
      </c>
      <c r="M329" t="s">
        <v>206</v>
      </c>
      <c r="N329">
        <v>93</v>
      </c>
      <c r="O329" t="s">
        <v>57</v>
      </c>
      <c r="S329" t="s">
        <v>58</v>
      </c>
    </row>
    <row r="330" spans="1:19" x14ac:dyDescent="0.25">
      <c r="A330">
        <v>102661</v>
      </c>
      <c r="B330">
        <v>2022</v>
      </c>
      <c r="C330" t="s">
        <v>200</v>
      </c>
      <c r="D330" t="s">
        <v>26</v>
      </c>
      <c r="E330" t="s">
        <v>279</v>
      </c>
      <c r="F330" t="s">
        <v>283</v>
      </c>
      <c r="G330" s="1" t="s">
        <v>243</v>
      </c>
      <c r="H330" s="1" t="s">
        <v>284</v>
      </c>
      <c r="I330" t="s">
        <v>31</v>
      </c>
      <c r="J330" t="s">
        <v>32</v>
      </c>
      <c r="K330" t="s">
        <v>203</v>
      </c>
      <c r="L330" t="s">
        <v>34</v>
      </c>
      <c r="M330" t="s">
        <v>206</v>
      </c>
      <c r="N330">
        <v>94</v>
      </c>
      <c r="O330" t="s">
        <v>197</v>
      </c>
      <c r="R330" t="s">
        <v>190</v>
      </c>
      <c r="S330" t="s">
        <v>198</v>
      </c>
    </row>
    <row r="331" spans="1:19" x14ac:dyDescent="0.25">
      <c r="A331">
        <v>113245</v>
      </c>
      <c r="B331">
        <v>2023</v>
      </c>
      <c r="C331" t="s">
        <v>200</v>
      </c>
      <c r="D331" t="s">
        <v>26</v>
      </c>
      <c r="E331" t="s">
        <v>290</v>
      </c>
      <c r="F331" t="s">
        <v>297</v>
      </c>
      <c r="G331" s="1" t="s">
        <v>299</v>
      </c>
      <c r="H331" s="1" t="s">
        <v>292</v>
      </c>
      <c r="I331" t="s">
        <v>31</v>
      </c>
      <c r="J331" t="s">
        <v>32</v>
      </c>
      <c r="K331" t="s">
        <v>203</v>
      </c>
      <c r="L331" t="s">
        <v>204</v>
      </c>
      <c r="M331" t="s">
        <v>206</v>
      </c>
      <c r="N331">
        <v>1</v>
      </c>
      <c r="O331" t="s">
        <v>68</v>
      </c>
      <c r="R331" t="s">
        <v>190</v>
      </c>
      <c r="S331" t="s">
        <v>69</v>
      </c>
    </row>
    <row r="332" spans="1:19" x14ac:dyDescent="0.25">
      <c r="A332">
        <v>113245</v>
      </c>
      <c r="B332">
        <v>2023</v>
      </c>
      <c r="C332" t="s">
        <v>200</v>
      </c>
      <c r="D332" t="s">
        <v>26</v>
      </c>
      <c r="E332" t="s">
        <v>290</v>
      </c>
      <c r="F332" t="s">
        <v>297</v>
      </c>
      <c r="G332" s="1" t="s">
        <v>299</v>
      </c>
      <c r="H332" s="1" t="s">
        <v>292</v>
      </c>
      <c r="I332" t="s">
        <v>31</v>
      </c>
      <c r="J332" t="s">
        <v>32</v>
      </c>
      <c r="K332" t="s">
        <v>203</v>
      </c>
      <c r="L332" t="s">
        <v>204</v>
      </c>
      <c r="M332" t="s">
        <v>206</v>
      </c>
      <c r="N332">
        <v>2</v>
      </c>
      <c r="O332" t="s">
        <v>68</v>
      </c>
      <c r="R332" t="s">
        <v>190</v>
      </c>
      <c r="S332" t="s">
        <v>69</v>
      </c>
    </row>
    <row r="333" spans="1:19" x14ac:dyDescent="0.25">
      <c r="A333">
        <v>113245</v>
      </c>
      <c r="B333">
        <v>2023</v>
      </c>
      <c r="C333" t="s">
        <v>200</v>
      </c>
      <c r="D333" t="s">
        <v>26</v>
      </c>
      <c r="E333" t="s">
        <v>290</v>
      </c>
      <c r="F333" t="s">
        <v>297</v>
      </c>
      <c r="G333" s="1" t="s">
        <v>299</v>
      </c>
      <c r="H333" s="1" t="s">
        <v>292</v>
      </c>
      <c r="I333" t="s">
        <v>31</v>
      </c>
      <c r="J333" t="s">
        <v>32</v>
      </c>
      <c r="K333" t="s">
        <v>203</v>
      </c>
      <c r="L333" t="s">
        <v>204</v>
      </c>
      <c r="M333" t="s">
        <v>206</v>
      </c>
      <c r="N333">
        <v>3</v>
      </c>
      <c r="O333" t="s">
        <v>68</v>
      </c>
      <c r="R333" t="s">
        <v>190</v>
      </c>
      <c r="S333" t="s">
        <v>69</v>
      </c>
    </row>
    <row r="334" spans="1:19" x14ac:dyDescent="0.25">
      <c r="A334">
        <v>113245</v>
      </c>
      <c r="B334">
        <v>2023</v>
      </c>
      <c r="C334" t="s">
        <v>200</v>
      </c>
      <c r="D334" t="s">
        <v>26</v>
      </c>
      <c r="E334" t="s">
        <v>290</v>
      </c>
      <c r="F334" t="s">
        <v>297</v>
      </c>
      <c r="G334" s="1" t="s">
        <v>299</v>
      </c>
      <c r="H334" s="1" t="s">
        <v>292</v>
      </c>
      <c r="I334" t="s">
        <v>31</v>
      </c>
      <c r="J334" t="s">
        <v>32</v>
      </c>
      <c r="K334" t="s">
        <v>203</v>
      </c>
      <c r="L334" t="s">
        <v>204</v>
      </c>
      <c r="M334" t="s">
        <v>206</v>
      </c>
      <c r="N334">
        <v>4</v>
      </c>
      <c r="O334" t="s">
        <v>68</v>
      </c>
      <c r="R334" t="s">
        <v>190</v>
      </c>
      <c r="S334" t="s">
        <v>69</v>
      </c>
    </row>
    <row r="335" spans="1:19" x14ac:dyDescent="0.25">
      <c r="A335">
        <v>113245</v>
      </c>
      <c r="B335">
        <v>2023</v>
      </c>
      <c r="C335" t="s">
        <v>200</v>
      </c>
      <c r="D335" t="s">
        <v>26</v>
      </c>
      <c r="E335" t="s">
        <v>290</v>
      </c>
      <c r="F335" t="s">
        <v>297</v>
      </c>
      <c r="G335" s="1" t="s">
        <v>299</v>
      </c>
      <c r="H335" s="1" t="s">
        <v>292</v>
      </c>
      <c r="I335" t="s">
        <v>31</v>
      </c>
      <c r="J335" t="s">
        <v>32</v>
      </c>
      <c r="K335" t="s">
        <v>203</v>
      </c>
      <c r="L335" t="s">
        <v>204</v>
      </c>
      <c r="M335" t="s">
        <v>206</v>
      </c>
      <c r="N335">
        <v>5</v>
      </c>
      <c r="O335" t="s">
        <v>68</v>
      </c>
      <c r="R335" t="s">
        <v>190</v>
      </c>
      <c r="S335" t="s">
        <v>69</v>
      </c>
    </row>
    <row r="336" spans="1:19" x14ac:dyDescent="0.25">
      <c r="A336">
        <v>113245</v>
      </c>
      <c r="B336">
        <v>2023</v>
      </c>
      <c r="C336" t="s">
        <v>200</v>
      </c>
      <c r="D336" t="s">
        <v>26</v>
      </c>
      <c r="E336" t="s">
        <v>290</v>
      </c>
      <c r="F336" t="s">
        <v>297</v>
      </c>
      <c r="G336" s="1" t="s">
        <v>299</v>
      </c>
      <c r="H336" s="1" t="s">
        <v>292</v>
      </c>
      <c r="I336" t="s">
        <v>31</v>
      </c>
      <c r="J336" t="s">
        <v>32</v>
      </c>
      <c r="K336" t="s">
        <v>203</v>
      </c>
      <c r="L336" t="s">
        <v>204</v>
      </c>
      <c r="M336" t="s">
        <v>206</v>
      </c>
      <c r="N336">
        <v>6</v>
      </c>
      <c r="O336" t="s">
        <v>57</v>
      </c>
      <c r="R336" t="s">
        <v>190</v>
      </c>
      <c r="S336" t="s">
        <v>58</v>
      </c>
    </row>
    <row r="337" spans="1:19" x14ac:dyDescent="0.25">
      <c r="A337">
        <v>113245</v>
      </c>
      <c r="B337">
        <v>2023</v>
      </c>
      <c r="C337" t="s">
        <v>200</v>
      </c>
      <c r="D337" t="s">
        <v>26</v>
      </c>
      <c r="E337" t="s">
        <v>290</v>
      </c>
      <c r="F337" t="s">
        <v>297</v>
      </c>
      <c r="G337" s="1" t="s">
        <v>299</v>
      </c>
      <c r="H337" s="1" t="s">
        <v>292</v>
      </c>
      <c r="I337" t="s">
        <v>31</v>
      </c>
      <c r="J337" t="s">
        <v>32</v>
      </c>
      <c r="K337" t="s">
        <v>203</v>
      </c>
      <c r="L337" t="s">
        <v>204</v>
      </c>
      <c r="M337" t="s">
        <v>206</v>
      </c>
      <c r="N337">
        <v>7</v>
      </c>
      <c r="O337" t="s">
        <v>68</v>
      </c>
      <c r="R337" t="s">
        <v>190</v>
      </c>
      <c r="S337" t="s">
        <v>69</v>
      </c>
    </row>
    <row r="338" spans="1:19" x14ac:dyDescent="0.25">
      <c r="A338">
        <v>113245</v>
      </c>
      <c r="B338">
        <v>2023</v>
      </c>
      <c r="C338" t="s">
        <v>200</v>
      </c>
      <c r="D338" t="s">
        <v>26</v>
      </c>
      <c r="E338" t="s">
        <v>290</v>
      </c>
      <c r="F338" t="s">
        <v>297</v>
      </c>
      <c r="G338" s="1" t="s">
        <v>299</v>
      </c>
      <c r="H338" s="1" t="s">
        <v>292</v>
      </c>
      <c r="I338" t="s">
        <v>31</v>
      </c>
      <c r="J338" t="s">
        <v>32</v>
      </c>
      <c r="K338" t="s">
        <v>203</v>
      </c>
      <c r="L338" t="s">
        <v>204</v>
      </c>
      <c r="M338" t="s">
        <v>206</v>
      </c>
      <c r="N338">
        <v>8</v>
      </c>
      <c r="O338" t="s">
        <v>57</v>
      </c>
      <c r="R338" t="s">
        <v>190</v>
      </c>
      <c r="S338" t="s">
        <v>58</v>
      </c>
    </row>
    <row r="339" spans="1:19" x14ac:dyDescent="0.25">
      <c r="A339">
        <v>113245</v>
      </c>
      <c r="B339">
        <v>2023</v>
      </c>
      <c r="C339" t="s">
        <v>200</v>
      </c>
      <c r="D339" t="s">
        <v>26</v>
      </c>
      <c r="E339" t="s">
        <v>290</v>
      </c>
      <c r="F339" t="s">
        <v>297</v>
      </c>
      <c r="G339" s="1" t="s">
        <v>299</v>
      </c>
      <c r="H339" s="1" t="s">
        <v>292</v>
      </c>
      <c r="I339" t="s">
        <v>31</v>
      </c>
      <c r="J339" t="s">
        <v>32</v>
      </c>
      <c r="K339" t="s">
        <v>203</v>
      </c>
      <c r="L339" t="s">
        <v>204</v>
      </c>
      <c r="M339" t="s">
        <v>206</v>
      </c>
      <c r="N339">
        <v>9</v>
      </c>
      <c r="O339" t="s">
        <v>68</v>
      </c>
      <c r="R339" t="s">
        <v>190</v>
      </c>
      <c r="S339" t="s">
        <v>69</v>
      </c>
    </row>
    <row r="340" spans="1:19" x14ac:dyDescent="0.25">
      <c r="A340">
        <v>113245</v>
      </c>
      <c r="B340">
        <v>2023</v>
      </c>
      <c r="C340" t="s">
        <v>200</v>
      </c>
      <c r="D340" t="s">
        <v>26</v>
      </c>
      <c r="E340" t="s">
        <v>290</v>
      </c>
      <c r="F340" t="s">
        <v>297</v>
      </c>
      <c r="G340" s="1" t="s">
        <v>299</v>
      </c>
      <c r="H340" s="1" t="s">
        <v>292</v>
      </c>
      <c r="I340" t="s">
        <v>31</v>
      </c>
      <c r="J340" t="s">
        <v>32</v>
      </c>
      <c r="K340" t="s">
        <v>203</v>
      </c>
      <c r="L340" t="s">
        <v>204</v>
      </c>
      <c r="M340" t="s">
        <v>206</v>
      </c>
      <c r="N340">
        <v>10</v>
      </c>
      <c r="O340" t="s">
        <v>63</v>
      </c>
      <c r="Q340" t="s">
        <v>167</v>
      </c>
      <c r="R340" t="s">
        <v>190</v>
      </c>
      <c r="S340" t="s">
        <v>64</v>
      </c>
    </row>
    <row r="341" spans="1:19" x14ac:dyDescent="0.25">
      <c r="A341">
        <v>113253</v>
      </c>
      <c r="B341">
        <v>2023</v>
      </c>
      <c r="C341" t="s">
        <v>200</v>
      </c>
      <c r="D341" t="s">
        <v>26</v>
      </c>
      <c r="E341" t="s">
        <v>265</v>
      </c>
      <c r="F341" t="s">
        <v>303</v>
      </c>
      <c r="G341" s="1" t="s">
        <v>299</v>
      </c>
      <c r="H341" s="1" t="s">
        <v>292</v>
      </c>
      <c r="I341" t="s">
        <v>31</v>
      </c>
      <c r="J341" t="s">
        <v>32</v>
      </c>
      <c r="K341" t="s">
        <v>203</v>
      </c>
      <c r="L341" t="s">
        <v>204</v>
      </c>
      <c r="M341" t="s">
        <v>206</v>
      </c>
      <c r="N341">
        <v>1</v>
      </c>
      <c r="O341" t="s">
        <v>57</v>
      </c>
      <c r="S341" t="s">
        <v>58</v>
      </c>
    </row>
    <row r="342" spans="1:19" x14ac:dyDescent="0.25">
      <c r="A342">
        <v>113281</v>
      </c>
      <c r="B342">
        <v>2023</v>
      </c>
      <c r="C342" t="s">
        <v>200</v>
      </c>
      <c r="D342" t="s">
        <v>26</v>
      </c>
      <c r="E342" t="s">
        <v>305</v>
      </c>
      <c r="F342" t="s">
        <v>306</v>
      </c>
      <c r="G342" s="1" t="s">
        <v>291</v>
      </c>
      <c r="H342" s="1" t="s">
        <v>299</v>
      </c>
      <c r="I342" t="s">
        <v>31</v>
      </c>
      <c r="J342" t="s">
        <v>32</v>
      </c>
      <c r="K342" t="s">
        <v>203</v>
      </c>
      <c r="L342" t="s">
        <v>34</v>
      </c>
      <c r="M342" t="s">
        <v>36</v>
      </c>
      <c r="N342">
        <v>1</v>
      </c>
      <c r="O342" t="s">
        <v>57</v>
      </c>
      <c r="R342" t="s">
        <v>190</v>
      </c>
      <c r="S342" t="s">
        <v>58</v>
      </c>
    </row>
    <row r="343" spans="1:19" x14ac:dyDescent="0.25">
      <c r="A343">
        <v>113281</v>
      </c>
      <c r="B343">
        <v>2023</v>
      </c>
      <c r="C343" t="s">
        <v>200</v>
      </c>
      <c r="D343" t="s">
        <v>26</v>
      </c>
      <c r="E343" t="s">
        <v>305</v>
      </c>
      <c r="F343" t="s">
        <v>306</v>
      </c>
      <c r="G343" s="1" t="s">
        <v>291</v>
      </c>
      <c r="H343" s="1" t="s">
        <v>299</v>
      </c>
      <c r="I343" t="s">
        <v>31</v>
      </c>
      <c r="J343" t="s">
        <v>32</v>
      </c>
      <c r="K343" t="s">
        <v>203</v>
      </c>
      <c r="L343" t="s">
        <v>34</v>
      </c>
      <c r="M343" t="s">
        <v>36</v>
      </c>
      <c r="N343">
        <v>2</v>
      </c>
      <c r="O343" t="s">
        <v>57</v>
      </c>
      <c r="R343" t="s">
        <v>249</v>
      </c>
      <c r="S343" t="s">
        <v>58</v>
      </c>
    </row>
    <row r="344" spans="1:19" x14ac:dyDescent="0.25">
      <c r="A344">
        <v>113281</v>
      </c>
      <c r="B344">
        <v>2023</v>
      </c>
      <c r="C344" t="s">
        <v>200</v>
      </c>
      <c r="D344" t="s">
        <v>26</v>
      </c>
      <c r="E344" t="s">
        <v>305</v>
      </c>
      <c r="F344" t="s">
        <v>306</v>
      </c>
      <c r="G344" s="1" t="s">
        <v>291</v>
      </c>
      <c r="H344" s="1" t="s">
        <v>299</v>
      </c>
      <c r="I344" t="s">
        <v>31</v>
      </c>
      <c r="J344" t="s">
        <v>32</v>
      </c>
      <c r="K344" t="s">
        <v>203</v>
      </c>
      <c r="L344" t="s">
        <v>34</v>
      </c>
      <c r="M344" t="s">
        <v>36</v>
      </c>
      <c r="N344">
        <v>3</v>
      </c>
      <c r="O344" t="s">
        <v>68</v>
      </c>
      <c r="R344" t="s">
        <v>249</v>
      </c>
      <c r="S344" t="s">
        <v>69</v>
      </c>
    </row>
    <row r="345" spans="1:19" x14ac:dyDescent="0.25">
      <c r="A345">
        <v>113281</v>
      </c>
      <c r="B345">
        <v>2023</v>
      </c>
      <c r="C345" t="s">
        <v>200</v>
      </c>
      <c r="D345" t="s">
        <v>26</v>
      </c>
      <c r="E345" t="s">
        <v>305</v>
      </c>
      <c r="F345" t="s">
        <v>306</v>
      </c>
      <c r="G345" s="1" t="s">
        <v>291</v>
      </c>
      <c r="H345" s="1" t="s">
        <v>299</v>
      </c>
      <c r="I345" t="s">
        <v>31</v>
      </c>
      <c r="J345" t="s">
        <v>32</v>
      </c>
      <c r="K345" t="s">
        <v>203</v>
      </c>
      <c r="L345" t="s">
        <v>34</v>
      </c>
      <c r="M345" t="s">
        <v>36</v>
      </c>
      <c r="N345">
        <v>4</v>
      </c>
      <c r="P345" t="s">
        <v>99</v>
      </c>
      <c r="Q345" t="s">
        <v>149</v>
      </c>
      <c r="R345" t="s">
        <v>248</v>
      </c>
      <c r="S345" t="s">
        <v>100</v>
      </c>
    </row>
    <row r="346" spans="1:19" x14ac:dyDescent="0.25">
      <c r="A346">
        <v>113281</v>
      </c>
      <c r="B346">
        <v>2023</v>
      </c>
      <c r="C346" t="s">
        <v>200</v>
      </c>
      <c r="D346" t="s">
        <v>26</v>
      </c>
      <c r="E346" t="s">
        <v>305</v>
      </c>
      <c r="F346" t="s">
        <v>306</v>
      </c>
      <c r="G346" s="1" t="s">
        <v>291</v>
      </c>
      <c r="H346" s="1" t="s">
        <v>299</v>
      </c>
      <c r="I346" t="s">
        <v>31</v>
      </c>
      <c r="J346" t="s">
        <v>32</v>
      </c>
      <c r="K346" t="s">
        <v>203</v>
      </c>
      <c r="L346" t="s">
        <v>34</v>
      </c>
      <c r="M346" t="s">
        <v>36</v>
      </c>
      <c r="N346">
        <v>5</v>
      </c>
      <c r="O346" t="s">
        <v>68</v>
      </c>
      <c r="R346" t="s">
        <v>249</v>
      </c>
      <c r="S346" t="s">
        <v>69</v>
      </c>
    </row>
    <row r="347" spans="1:19" x14ac:dyDescent="0.25">
      <c r="A347">
        <v>113281</v>
      </c>
      <c r="B347">
        <v>2023</v>
      </c>
      <c r="C347" t="s">
        <v>200</v>
      </c>
      <c r="D347" t="s">
        <v>26</v>
      </c>
      <c r="E347" t="s">
        <v>305</v>
      </c>
      <c r="F347" t="s">
        <v>306</v>
      </c>
      <c r="G347" s="1" t="s">
        <v>291</v>
      </c>
      <c r="H347" s="1" t="s">
        <v>299</v>
      </c>
      <c r="I347" t="s">
        <v>31</v>
      </c>
      <c r="J347" t="s">
        <v>32</v>
      </c>
      <c r="K347" t="s">
        <v>203</v>
      </c>
      <c r="L347" t="s">
        <v>34</v>
      </c>
      <c r="M347" t="s">
        <v>36</v>
      </c>
      <c r="N347">
        <v>6</v>
      </c>
      <c r="O347" t="s">
        <v>63</v>
      </c>
      <c r="R347" t="s">
        <v>190</v>
      </c>
      <c r="S347" t="s">
        <v>64</v>
      </c>
    </row>
    <row r="348" spans="1:19" x14ac:dyDescent="0.25">
      <c r="A348">
        <v>113281</v>
      </c>
      <c r="B348">
        <v>2023</v>
      </c>
      <c r="C348" t="s">
        <v>200</v>
      </c>
      <c r="D348" t="s">
        <v>26</v>
      </c>
      <c r="E348" t="s">
        <v>305</v>
      </c>
      <c r="F348" t="s">
        <v>306</v>
      </c>
      <c r="G348" s="1" t="s">
        <v>291</v>
      </c>
      <c r="H348" s="1" t="s">
        <v>299</v>
      </c>
      <c r="I348" t="s">
        <v>31</v>
      </c>
      <c r="J348" t="s">
        <v>32</v>
      </c>
      <c r="K348" t="s">
        <v>203</v>
      </c>
      <c r="L348" t="s">
        <v>34</v>
      </c>
      <c r="M348" t="s">
        <v>36</v>
      </c>
      <c r="N348">
        <v>7</v>
      </c>
      <c r="O348" t="s">
        <v>57</v>
      </c>
      <c r="R348" t="s">
        <v>190</v>
      </c>
      <c r="S348" t="s">
        <v>58</v>
      </c>
    </row>
    <row r="349" spans="1:19" x14ac:dyDescent="0.25">
      <c r="A349">
        <v>113281</v>
      </c>
      <c r="B349">
        <v>2023</v>
      </c>
      <c r="C349" t="s">
        <v>200</v>
      </c>
      <c r="D349" t="s">
        <v>26</v>
      </c>
      <c r="E349" t="s">
        <v>305</v>
      </c>
      <c r="F349" t="s">
        <v>306</v>
      </c>
      <c r="G349" s="1" t="s">
        <v>291</v>
      </c>
      <c r="H349" s="1" t="s">
        <v>299</v>
      </c>
      <c r="I349" t="s">
        <v>31</v>
      </c>
      <c r="J349" t="s">
        <v>32</v>
      </c>
      <c r="K349" t="s">
        <v>203</v>
      </c>
      <c r="L349" t="s">
        <v>34</v>
      </c>
      <c r="M349" t="s">
        <v>36</v>
      </c>
      <c r="N349">
        <v>8</v>
      </c>
      <c r="O349" t="s">
        <v>68</v>
      </c>
      <c r="R349" t="s">
        <v>249</v>
      </c>
      <c r="S349" t="s">
        <v>69</v>
      </c>
    </row>
    <row r="350" spans="1:19" x14ac:dyDescent="0.25">
      <c r="A350">
        <v>113281</v>
      </c>
      <c r="B350">
        <v>2023</v>
      </c>
      <c r="C350" t="s">
        <v>200</v>
      </c>
      <c r="D350" t="s">
        <v>26</v>
      </c>
      <c r="E350" t="s">
        <v>305</v>
      </c>
      <c r="F350" t="s">
        <v>306</v>
      </c>
      <c r="G350" s="1" t="s">
        <v>291</v>
      </c>
      <c r="H350" s="1" t="s">
        <v>299</v>
      </c>
      <c r="I350" t="s">
        <v>31</v>
      </c>
      <c r="J350" t="s">
        <v>32</v>
      </c>
      <c r="K350" t="s">
        <v>203</v>
      </c>
      <c r="L350" t="s">
        <v>34</v>
      </c>
      <c r="M350" t="s">
        <v>36</v>
      </c>
      <c r="N350">
        <v>9</v>
      </c>
      <c r="P350" t="s">
        <v>99</v>
      </c>
      <c r="Q350" t="s">
        <v>149</v>
      </c>
      <c r="R350" t="s">
        <v>248</v>
      </c>
      <c r="S350" t="s">
        <v>100</v>
      </c>
    </row>
    <row r="351" spans="1:19" x14ac:dyDescent="0.25">
      <c r="A351">
        <v>113281</v>
      </c>
      <c r="B351">
        <v>2023</v>
      </c>
      <c r="C351" t="s">
        <v>200</v>
      </c>
      <c r="D351" t="s">
        <v>26</v>
      </c>
      <c r="E351" t="s">
        <v>305</v>
      </c>
      <c r="F351" t="s">
        <v>306</v>
      </c>
      <c r="G351" s="1" t="s">
        <v>291</v>
      </c>
      <c r="H351" s="1" t="s">
        <v>299</v>
      </c>
      <c r="I351" t="s">
        <v>31</v>
      </c>
      <c r="J351" t="s">
        <v>32</v>
      </c>
      <c r="K351" t="s">
        <v>203</v>
      </c>
      <c r="L351" t="s">
        <v>34</v>
      </c>
      <c r="M351" t="s">
        <v>36</v>
      </c>
      <c r="N351">
        <v>10</v>
      </c>
      <c r="O351" t="s">
        <v>57</v>
      </c>
      <c r="R351" t="s">
        <v>249</v>
      </c>
      <c r="S351" t="s">
        <v>58</v>
      </c>
    </row>
    <row r="352" spans="1:19" x14ac:dyDescent="0.25">
      <c r="A352">
        <v>113281</v>
      </c>
      <c r="B352">
        <v>2023</v>
      </c>
      <c r="C352" t="s">
        <v>200</v>
      </c>
      <c r="D352" t="s">
        <v>26</v>
      </c>
      <c r="E352" t="s">
        <v>305</v>
      </c>
      <c r="F352" t="s">
        <v>306</v>
      </c>
      <c r="G352" s="1" t="s">
        <v>291</v>
      </c>
      <c r="H352" s="1" t="s">
        <v>299</v>
      </c>
      <c r="I352" t="s">
        <v>31</v>
      </c>
      <c r="J352" t="s">
        <v>32</v>
      </c>
      <c r="K352" t="s">
        <v>203</v>
      </c>
      <c r="L352" t="s">
        <v>34</v>
      </c>
      <c r="M352" t="s">
        <v>36</v>
      </c>
      <c r="N352">
        <v>11</v>
      </c>
      <c r="O352" t="s">
        <v>57</v>
      </c>
      <c r="R352" t="s">
        <v>249</v>
      </c>
      <c r="S352" t="s">
        <v>58</v>
      </c>
    </row>
    <row r="353" spans="1:19" x14ac:dyDescent="0.25">
      <c r="A353">
        <v>113281</v>
      </c>
      <c r="B353">
        <v>2023</v>
      </c>
      <c r="C353" t="s">
        <v>200</v>
      </c>
      <c r="D353" t="s">
        <v>26</v>
      </c>
      <c r="E353" t="s">
        <v>305</v>
      </c>
      <c r="F353" t="s">
        <v>306</v>
      </c>
      <c r="G353" s="1" t="s">
        <v>291</v>
      </c>
      <c r="H353" s="1" t="s">
        <v>299</v>
      </c>
      <c r="I353" t="s">
        <v>31</v>
      </c>
      <c r="J353" t="s">
        <v>32</v>
      </c>
      <c r="K353" t="s">
        <v>203</v>
      </c>
      <c r="L353" t="s">
        <v>34</v>
      </c>
      <c r="M353" t="s">
        <v>36</v>
      </c>
      <c r="N353">
        <v>12</v>
      </c>
      <c r="P353" t="s">
        <v>70</v>
      </c>
      <c r="Q353" t="s">
        <v>59</v>
      </c>
      <c r="R353" t="s">
        <v>190</v>
      </c>
      <c r="S353" t="s">
        <v>71</v>
      </c>
    </row>
    <row r="354" spans="1:19" x14ac:dyDescent="0.25">
      <c r="A354">
        <v>113281</v>
      </c>
      <c r="B354">
        <v>2023</v>
      </c>
      <c r="C354" t="s">
        <v>200</v>
      </c>
      <c r="D354" t="s">
        <v>26</v>
      </c>
      <c r="E354" t="s">
        <v>305</v>
      </c>
      <c r="F354" t="s">
        <v>306</v>
      </c>
      <c r="G354" s="1" t="s">
        <v>291</v>
      </c>
      <c r="H354" s="1" t="s">
        <v>299</v>
      </c>
      <c r="I354" t="s">
        <v>31</v>
      </c>
      <c r="J354" t="s">
        <v>32</v>
      </c>
      <c r="K354" t="s">
        <v>203</v>
      </c>
      <c r="L354" t="s">
        <v>34</v>
      </c>
      <c r="M354" t="s">
        <v>36</v>
      </c>
      <c r="N354">
        <v>13</v>
      </c>
      <c r="O354" t="s">
        <v>57</v>
      </c>
      <c r="R354" t="s">
        <v>190</v>
      </c>
      <c r="S354" t="s">
        <v>58</v>
      </c>
    </row>
    <row r="355" spans="1:19" x14ac:dyDescent="0.25">
      <c r="A355">
        <v>113281</v>
      </c>
      <c r="B355">
        <v>2023</v>
      </c>
      <c r="C355" t="s">
        <v>200</v>
      </c>
      <c r="D355" t="s">
        <v>26</v>
      </c>
      <c r="E355" t="s">
        <v>305</v>
      </c>
      <c r="F355" t="s">
        <v>306</v>
      </c>
      <c r="G355" s="1" t="s">
        <v>291</v>
      </c>
      <c r="H355" s="1" t="s">
        <v>299</v>
      </c>
      <c r="I355" t="s">
        <v>31</v>
      </c>
      <c r="J355" t="s">
        <v>32</v>
      </c>
      <c r="K355" t="s">
        <v>203</v>
      </c>
      <c r="L355" t="s">
        <v>34</v>
      </c>
      <c r="M355" t="s">
        <v>36</v>
      </c>
      <c r="N355">
        <v>14</v>
      </c>
      <c r="P355" t="s">
        <v>99</v>
      </c>
      <c r="Q355" t="s">
        <v>149</v>
      </c>
      <c r="R355" t="s">
        <v>248</v>
      </c>
      <c r="S355" t="s">
        <v>100</v>
      </c>
    </row>
    <row r="356" spans="1:19" x14ac:dyDescent="0.25">
      <c r="A356">
        <v>131261</v>
      </c>
      <c r="B356">
        <v>2024</v>
      </c>
      <c r="C356" t="s">
        <v>200</v>
      </c>
      <c r="D356" t="s">
        <v>26</v>
      </c>
      <c r="E356" t="s">
        <v>279</v>
      </c>
      <c r="F356" t="s">
        <v>314</v>
      </c>
      <c r="G356" s="1" t="s">
        <v>315</v>
      </c>
      <c r="H356" s="1" t="s">
        <v>308</v>
      </c>
      <c r="I356" t="s">
        <v>31</v>
      </c>
      <c r="J356" t="s">
        <v>32</v>
      </c>
      <c r="K356" t="s">
        <v>203</v>
      </c>
      <c r="L356" t="s">
        <v>204</v>
      </c>
      <c r="M356" t="s">
        <v>206</v>
      </c>
      <c r="N356">
        <v>1</v>
      </c>
      <c r="O356" t="s">
        <v>68</v>
      </c>
      <c r="R356" t="s">
        <v>190</v>
      </c>
      <c r="S356" t="s">
        <v>69</v>
      </c>
    </row>
    <row r="357" spans="1:19" x14ac:dyDescent="0.25">
      <c r="A357">
        <v>131261</v>
      </c>
      <c r="B357">
        <v>2024</v>
      </c>
      <c r="C357" t="s">
        <v>200</v>
      </c>
      <c r="D357" t="s">
        <v>26</v>
      </c>
      <c r="E357" t="s">
        <v>279</v>
      </c>
      <c r="F357" t="s">
        <v>314</v>
      </c>
      <c r="G357" s="1" t="s">
        <v>315</v>
      </c>
      <c r="H357" s="1" t="s">
        <v>308</v>
      </c>
      <c r="I357" t="s">
        <v>31</v>
      </c>
      <c r="J357" t="s">
        <v>32</v>
      </c>
      <c r="K357" t="s">
        <v>203</v>
      </c>
      <c r="L357" t="s">
        <v>204</v>
      </c>
      <c r="M357" t="s">
        <v>206</v>
      </c>
      <c r="N357">
        <v>2</v>
      </c>
      <c r="O357" t="s">
        <v>57</v>
      </c>
      <c r="R357" t="s">
        <v>190</v>
      </c>
      <c r="S357" t="s">
        <v>58</v>
      </c>
    </row>
    <row r="358" spans="1:19" x14ac:dyDescent="0.25">
      <c r="A358">
        <v>131261</v>
      </c>
      <c r="B358">
        <v>2024</v>
      </c>
      <c r="C358" t="s">
        <v>200</v>
      </c>
      <c r="D358" t="s">
        <v>26</v>
      </c>
      <c r="E358" t="s">
        <v>279</v>
      </c>
      <c r="F358" t="s">
        <v>314</v>
      </c>
      <c r="G358" s="1" t="s">
        <v>315</v>
      </c>
      <c r="H358" s="1" t="s">
        <v>308</v>
      </c>
      <c r="I358" t="s">
        <v>31</v>
      </c>
      <c r="J358" t="s">
        <v>32</v>
      </c>
      <c r="K358" t="s">
        <v>203</v>
      </c>
      <c r="L358" t="s">
        <v>204</v>
      </c>
      <c r="M358" t="s">
        <v>206</v>
      </c>
      <c r="N358">
        <v>3</v>
      </c>
      <c r="O358" t="s">
        <v>57</v>
      </c>
      <c r="R358" t="s">
        <v>190</v>
      </c>
      <c r="S358" t="s">
        <v>58</v>
      </c>
    </row>
    <row r="359" spans="1:19" x14ac:dyDescent="0.25">
      <c r="A359">
        <v>131261</v>
      </c>
      <c r="B359">
        <v>2024</v>
      </c>
      <c r="C359" t="s">
        <v>200</v>
      </c>
      <c r="D359" t="s">
        <v>26</v>
      </c>
      <c r="E359" t="s">
        <v>279</v>
      </c>
      <c r="F359" t="s">
        <v>314</v>
      </c>
      <c r="G359" s="1" t="s">
        <v>315</v>
      </c>
      <c r="H359" s="1" t="s">
        <v>308</v>
      </c>
      <c r="I359" t="s">
        <v>31</v>
      </c>
      <c r="J359" t="s">
        <v>32</v>
      </c>
      <c r="K359" t="s">
        <v>203</v>
      </c>
      <c r="L359" t="s">
        <v>204</v>
      </c>
      <c r="M359" t="s">
        <v>206</v>
      </c>
      <c r="N359">
        <v>4</v>
      </c>
      <c r="O359" t="s">
        <v>57</v>
      </c>
      <c r="S359" t="s">
        <v>58</v>
      </c>
    </row>
    <row r="360" spans="1:19" x14ac:dyDescent="0.25">
      <c r="A360">
        <v>131261</v>
      </c>
      <c r="B360">
        <v>2024</v>
      </c>
      <c r="C360" t="s">
        <v>200</v>
      </c>
      <c r="D360" t="s">
        <v>26</v>
      </c>
      <c r="E360" t="s">
        <v>279</v>
      </c>
      <c r="F360" t="s">
        <v>314</v>
      </c>
      <c r="G360" s="1" t="s">
        <v>315</v>
      </c>
      <c r="H360" s="1" t="s">
        <v>308</v>
      </c>
      <c r="I360" t="s">
        <v>31</v>
      </c>
      <c r="J360" t="s">
        <v>32</v>
      </c>
      <c r="K360" t="s">
        <v>203</v>
      </c>
      <c r="L360" t="s">
        <v>204</v>
      </c>
      <c r="M360" t="s">
        <v>206</v>
      </c>
      <c r="N360">
        <v>5</v>
      </c>
      <c r="O360" t="s">
        <v>66</v>
      </c>
      <c r="R360" t="s">
        <v>190</v>
      </c>
      <c r="S360" t="s">
        <v>67</v>
      </c>
    </row>
    <row r="361" spans="1:19" x14ac:dyDescent="0.25">
      <c r="A361">
        <v>131261</v>
      </c>
      <c r="B361">
        <v>2024</v>
      </c>
      <c r="C361" t="s">
        <v>200</v>
      </c>
      <c r="D361" t="s">
        <v>26</v>
      </c>
      <c r="E361" t="s">
        <v>279</v>
      </c>
      <c r="F361" t="s">
        <v>314</v>
      </c>
      <c r="G361" s="1" t="s">
        <v>315</v>
      </c>
      <c r="H361" s="1" t="s">
        <v>308</v>
      </c>
      <c r="I361" t="s">
        <v>31</v>
      </c>
      <c r="J361" t="s">
        <v>32</v>
      </c>
      <c r="K361" t="s">
        <v>203</v>
      </c>
      <c r="L361" t="s">
        <v>204</v>
      </c>
      <c r="M361" t="s">
        <v>206</v>
      </c>
      <c r="N361">
        <v>6</v>
      </c>
      <c r="O361" t="s">
        <v>66</v>
      </c>
      <c r="S361" t="s">
        <v>67</v>
      </c>
    </row>
    <row r="362" spans="1:19" x14ac:dyDescent="0.25">
      <c r="A362">
        <v>131261</v>
      </c>
      <c r="B362">
        <v>2024</v>
      </c>
      <c r="C362" t="s">
        <v>200</v>
      </c>
      <c r="D362" t="s">
        <v>26</v>
      </c>
      <c r="E362" t="s">
        <v>279</v>
      </c>
      <c r="F362" t="s">
        <v>314</v>
      </c>
      <c r="G362" s="1" t="s">
        <v>315</v>
      </c>
      <c r="H362" s="1" t="s">
        <v>308</v>
      </c>
      <c r="I362" t="s">
        <v>31</v>
      </c>
      <c r="J362" t="s">
        <v>32</v>
      </c>
      <c r="K362" t="s">
        <v>203</v>
      </c>
      <c r="L362" t="s">
        <v>204</v>
      </c>
      <c r="M362" t="s">
        <v>206</v>
      </c>
      <c r="N362">
        <v>7</v>
      </c>
      <c r="O362" t="s">
        <v>66</v>
      </c>
      <c r="R362" t="s">
        <v>190</v>
      </c>
      <c r="S362" t="s">
        <v>67</v>
      </c>
    </row>
    <row r="363" spans="1:19" x14ac:dyDescent="0.25">
      <c r="A363">
        <v>131261</v>
      </c>
      <c r="B363">
        <v>2024</v>
      </c>
      <c r="C363" t="s">
        <v>200</v>
      </c>
      <c r="D363" t="s">
        <v>26</v>
      </c>
      <c r="E363" t="s">
        <v>279</v>
      </c>
      <c r="F363" t="s">
        <v>314</v>
      </c>
      <c r="G363" s="1" t="s">
        <v>315</v>
      </c>
      <c r="H363" s="1" t="s">
        <v>308</v>
      </c>
      <c r="I363" t="s">
        <v>31</v>
      </c>
      <c r="J363" t="s">
        <v>32</v>
      </c>
      <c r="K363" t="s">
        <v>203</v>
      </c>
      <c r="L363" t="s">
        <v>204</v>
      </c>
      <c r="M363" t="s">
        <v>206</v>
      </c>
      <c r="N363">
        <v>8</v>
      </c>
      <c r="P363" t="s">
        <v>95</v>
      </c>
      <c r="Q363" t="s">
        <v>149</v>
      </c>
      <c r="R363" t="s">
        <v>248</v>
      </c>
      <c r="S363" t="s">
        <v>96</v>
      </c>
    </row>
    <row r="364" spans="1:19" x14ac:dyDescent="0.25">
      <c r="A364">
        <v>131261</v>
      </c>
      <c r="B364">
        <v>2024</v>
      </c>
      <c r="C364" t="s">
        <v>200</v>
      </c>
      <c r="D364" t="s">
        <v>26</v>
      </c>
      <c r="E364" t="s">
        <v>279</v>
      </c>
      <c r="F364" t="s">
        <v>314</v>
      </c>
      <c r="G364" s="1" t="s">
        <v>315</v>
      </c>
      <c r="H364" s="1" t="s">
        <v>308</v>
      </c>
      <c r="I364" t="s">
        <v>31</v>
      </c>
      <c r="J364" t="s">
        <v>32</v>
      </c>
      <c r="K364" t="s">
        <v>203</v>
      </c>
      <c r="L364" t="s">
        <v>204</v>
      </c>
      <c r="M364" t="s">
        <v>206</v>
      </c>
      <c r="N364">
        <v>9</v>
      </c>
      <c r="O364" t="s">
        <v>68</v>
      </c>
      <c r="R364" t="s">
        <v>190</v>
      </c>
      <c r="S364" t="s">
        <v>69</v>
      </c>
    </row>
    <row r="365" spans="1:19" x14ac:dyDescent="0.25">
      <c r="A365">
        <v>131261</v>
      </c>
      <c r="B365">
        <v>2024</v>
      </c>
      <c r="C365" t="s">
        <v>200</v>
      </c>
      <c r="D365" t="s">
        <v>26</v>
      </c>
      <c r="E365" t="s">
        <v>279</v>
      </c>
      <c r="F365" t="s">
        <v>314</v>
      </c>
      <c r="G365" s="1" t="s">
        <v>315</v>
      </c>
      <c r="H365" s="1" t="s">
        <v>308</v>
      </c>
      <c r="I365" t="s">
        <v>31</v>
      </c>
      <c r="J365" t="s">
        <v>32</v>
      </c>
      <c r="K365" t="s">
        <v>203</v>
      </c>
      <c r="L365" t="s">
        <v>204</v>
      </c>
      <c r="M365" t="s">
        <v>206</v>
      </c>
      <c r="N365">
        <v>10</v>
      </c>
      <c r="P365" t="s">
        <v>99</v>
      </c>
      <c r="Q365" t="s">
        <v>149</v>
      </c>
      <c r="R365" t="s">
        <v>248</v>
      </c>
      <c r="S365" t="s">
        <v>100</v>
      </c>
    </row>
    <row r="366" spans="1:19" x14ac:dyDescent="0.25">
      <c r="A366">
        <v>131261</v>
      </c>
      <c r="B366">
        <v>2024</v>
      </c>
      <c r="C366" t="s">
        <v>200</v>
      </c>
      <c r="D366" t="s">
        <v>26</v>
      </c>
      <c r="E366" t="s">
        <v>279</v>
      </c>
      <c r="F366" t="s">
        <v>314</v>
      </c>
      <c r="G366" s="1" t="s">
        <v>315</v>
      </c>
      <c r="H366" s="1" t="s">
        <v>308</v>
      </c>
      <c r="I366" t="s">
        <v>31</v>
      </c>
      <c r="J366" t="s">
        <v>32</v>
      </c>
      <c r="K366" t="s">
        <v>203</v>
      </c>
      <c r="L366" t="s">
        <v>204</v>
      </c>
      <c r="M366" t="s">
        <v>206</v>
      </c>
      <c r="N366">
        <v>11</v>
      </c>
      <c r="O366" t="s">
        <v>57</v>
      </c>
      <c r="S366" t="s">
        <v>58</v>
      </c>
    </row>
    <row r="367" spans="1:19" x14ac:dyDescent="0.25">
      <c r="A367">
        <v>131261</v>
      </c>
      <c r="B367">
        <v>2024</v>
      </c>
      <c r="C367" t="s">
        <v>200</v>
      </c>
      <c r="D367" t="s">
        <v>26</v>
      </c>
      <c r="E367" t="s">
        <v>279</v>
      </c>
      <c r="F367" t="s">
        <v>314</v>
      </c>
      <c r="G367" s="1" t="s">
        <v>315</v>
      </c>
      <c r="H367" s="1" t="s">
        <v>308</v>
      </c>
      <c r="I367" t="s">
        <v>31</v>
      </c>
      <c r="J367" t="s">
        <v>32</v>
      </c>
      <c r="K367" t="s">
        <v>203</v>
      </c>
      <c r="L367" t="s">
        <v>204</v>
      </c>
      <c r="M367" t="s">
        <v>206</v>
      </c>
      <c r="N367">
        <v>12</v>
      </c>
      <c r="P367" t="s">
        <v>99</v>
      </c>
      <c r="Q367" t="s">
        <v>149</v>
      </c>
      <c r="R367" t="s">
        <v>248</v>
      </c>
      <c r="S367" t="s">
        <v>100</v>
      </c>
    </row>
    <row r="368" spans="1:19" x14ac:dyDescent="0.25">
      <c r="A368">
        <v>131261</v>
      </c>
      <c r="B368">
        <v>2024</v>
      </c>
      <c r="C368" t="s">
        <v>200</v>
      </c>
      <c r="D368" t="s">
        <v>26</v>
      </c>
      <c r="E368" t="s">
        <v>279</v>
      </c>
      <c r="F368" t="s">
        <v>314</v>
      </c>
      <c r="G368" s="1" t="s">
        <v>315</v>
      </c>
      <c r="H368" s="1" t="s">
        <v>308</v>
      </c>
      <c r="I368" t="s">
        <v>31</v>
      </c>
      <c r="J368" t="s">
        <v>32</v>
      </c>
      <c r="K368" t="s">
        <v>203</v>
      </c>
      <c r="L368" t="s">
        <v>204</v>
      </c>
      <c r="M368" t="s">
        <v>206</v>
      </c>
      <c r="N368">
        <v>13</v>
      </c>
      <c r="O368" t="s">
        <v>57</v>
      </c>
      <c r="R368" t="s">
        <v>190</v>
      </c>
      <c r="S368" t="s">
        <v>58</v>
      </c>
    </row>
    <row r="369" spans="1:19" x14ac:dyDescent="0.25">
      <c r="A369">
        <v>131261</v>
      </c>
      <c r="B369">
        <v>2024</v>
      </c>
      <c r="C369" t="s">
        <v>200</v>
      </c>
      <c r="D369" t="s">
        <v>26</v>
      </c>
      <c r="E369" t="s">
        <v>279</v>
      </c>
      <c r="F369" t="s">
        <v>314</v>
      </c>
      <c r="G369" s="1" t="s">
        <v>315</v>
      </c>
      <c r="H369" s="1" t="s">
        <v>308</v>
      </c>
      <c r="I369" t="s">
        <v>31</v>
      </c>
      <c r="J369" t="s">
        <v>32</v>
      </c>
      <c r="K369" t="s">
        <v>203</v>
      </c>
      <c r="L369" t="s">
        <v>204</v>
      </c>
      <c r="M369" t="s">
        <v>206</v>
      </c>
      <c r="N369">
        <v>14</v>
      </c>
      <c r="P369" t="s">
        <v>99</v>
      </c>
      <c r="Q369" t="s">
        <v>149</v>
      </c>
      <c r="R369" t="s">
        <v>248</v>
      </c>
      <c r="S369" t="s">
        <v>100</v>
      </c>
    </row>
    <row r="370" spans="1:19" x14ac:dyDescent="0.25">
      <c r="A370">
        <v>131261</v>
      </c>
      <c r="B370">
        <v>2024</v>
      </c>
      <c r="C370" t="s">
        <v>200</v>
      </c>
      <c r="D370" t="s">
        <v>26</v>
      </c>
      <c r="E370" t="s">
        <v>279</v>
      </c>
      <c r="F370" t="s">
        <v>314</v>
      </c>
      <c r="G370" s="1" t="s">
        <v>315</v>
      </c>
      <c r="H370" s="1" t="s">
        <v>308</v>
      </c>
      <c r="I370" t="s">
        <v>31</v>
      </c>
      <c r="J370" t="s">
        <v>32</v>
      </c>
      <c r="K370" t="s">
        <v>203</v>
      </c>
      <c r="L370" t="s">
        <v>204</v>
      </c>
      <c r="M370" t="s">
        <v>206</v>
      </c>
      <c r="N370">
        <v>15</v>
      </c>
      <c r="O370" t="s">
        <v>57</v>
      </c>
      <c r="R370" t="s">
        <v>190</v>
      </c>
      <c r="S370" t="s">
        <v>58</v>
      </c>
    </row>
    <row r="371" spans="1:19" x14ac:dyDescent="0.25">
      <c r="A371">
        <v>131261</v>
      </c>
      <c r="B371">
        <v>2024</v>
      </c>
      <c r="C371" t="s">
        <v>200</v>
      </c>
      <c r="D371" t="s">
        <v>26</v>
      </c>
      <c r="E371" t="s">
        <v>279</v>
      </c>
      <c r="F371" t="s">
        <v>314</v>
      </c>
      <c r="G371" s="1" t="s">
        <v>315</v>
      </c>
      <c r="H371" s="1" t="s">
        <v>308</v>
      </c>
      <c r="I371" t="s">
        <v>31</v>
      </c>
      <c r="J371" t="s">
        <v>32</v>
      </c>
      <c r="K371" t="s">
        <v>203</v>
      </c>
      <c r="L371" t="s">
        <v>204</v>
      </c>
      <c r="M371" t="s">
        <v>206</v>
      </c>
      <c r="N371">
        <v>16</v>
      </c>
      <c r="O371" t="s">
        <v>57</v>
      </c>
      <c r="S371" t="s">
        <v>58</v>
      </c>
    </row>
    <row r="372" spans="1:19" x14ac:dyDescent="0.25">
      <c r="A372">
        <v>131261</v>
      </c>
      <c r="B372">
        <v>2024</v>
      </c>
      <c r="C372" t="s">
        <v>200</v>
      </c>
      <c r="D372" t="s">
        <v>26</v>
      </c>
      <c r="E372" t="s">
        <v>279</v>
      </c>
      <c r="F372" t="s">
        <v>314</v>
      </c>
      <c r="G372" s="1" t="s">
        <v>315</v>
      </c>
      <c r="H372" s="1" t="s">
        <v>308</v>
      </c>
      <c r="I372" t="s">
        <v>31</v>
      </c>
      <c r="J372" t="s">
        <v>32</v>
      </c>
      <c r="K372" t="s">
        <v>203</v>
      </c>
      <c r="L372" t="s">
        <v>204</v>
      </c>
      <c r="M372" t="s">
        <v>206</v>
      </c>
      <c r="N372">
        <v>17</v>
      </c>
      <c r="O372" t="s">
        <v>57</v>
      </c>
      <c r="S372" t="s">
        <v>58</v>
      </c>
    </row>
    <row r="373" spans="1:19" x14ac:dyDescent="0.25">
      <c r="A373">
        <v>131261</v>
      </c>
      <c r="B373">
        <v>2024</v>
      </c>
      <c r="C373" t="s">
        <v>200</v>
      </c>
      <c r="D373" t="s">
        <v>26</v>
      </c>
      <c r="E373" t="s">
        <v>279</v>
      </c>
      <c r="F373" t="s">
        <v>314</v>
      </c>
      <c r="G373" s="1" t="s">
        <v>315</v>
      </c>
      <c r="H373" s="1" t="s">
        <v>308</v>
      </c>
      <c r="I373" t="s">
        <v>31</v>
      </c>
      <c r="J373" t="s">
        <v>32</v>
      </c>
      <c r="K373" t="s">
        <v>203</v>
      </c>
      <c r="L373" t="s">
        <v>204</v>
      </c>
      <c r="M373" t="s">
        <v>206</v>
      </c>
      <c r="N373">
        <v>18</v>
      </c>
      <c r="O373" t="s">
        <v>57</v>
      </c>
      <c r="S373" t="s">
        <v>58</v>
      </c>
    </row>
    <row r="374" spans="1:19" x14ac:dyDescent="0.25">
      <c r="A374">
        <v>131261</v>
      </c>
      <c r="B374">
        <v>2024</v>
      </c>
      <c r="C374" t="s">
        <v>200</v>
      </c>
      <c r="D374" t="s">
        <v>26</v>
      </c>
      <c r="E374" t="s">
        <v>279</v>
      </c>
      <c r="F374" t="s">
        <v>314</v>
      </c>
      <c r="G374" s="1" t="s">
        <v>315</v>
      </c>
      <c r="H374" s="1" t="s">
        <v>308</v>
      </c>
      <c r="I374" t="s">
        <v>31</v>
      </c>
      <c r="J374" t="s">
        <v>32</v>
      </c>
      <c r="K374" t="s">
        <v>203</v>
      </c>
      <c r="L374" t="s">
        <v>204</v>
      </c>
      <c r="M374" t="s">
        <v>206</v>
      </c>
      <c r="N374">
        <v>19</v>
      </c>
      <c r="P374" t="s">
        <v>99</v>
      </c>
      <c r="Q374" t="s">
        <v>149</v>
      </c>
      <c r="R374" t="s">
        <v>248</v>
      </c>
      <c r="S374" t="s">
        <v>100</v>
      </c>
    </row>
    <row r="375" spans="1:19" x14ac:dyDescent="0.25">
      <c r="A375">
        <v>131261</v>
      </c>
      <c r="B375">
        <v>2024</v>
      </c>
      <c r="C375" t="s">
        <v>200</v>
      </c>
      <c r="D375" t="s">
        <v>26</v>
      </c>
      <c r="E375" t="s">
        <v>279</v>
      </c>
      <c r="F375" t="s">
        <v>314</v>
      </c>
      <c r="G375" s="1" t="s">
        <v>315</v>
      </c>
      <c r="H375" s="1" t="s">
        <v>308</v>
      </c>
      <c r="I375" t="s">
        <v>31</v>
      </c>
      <c r="J375" t="s">
        <v>32</v>
      </c>
      <c r="K375" t="s">
        <v>203</v>
      </c>
      <c r="L375" t="s">
        <v>204</v>
      </c>
      <c r="M375" t="s">
        <v>206</v>
      </c>
      <c r="N375">
        <v>20</v>
      </c>
      <c r="O375" t="s">
        <v>66</v>
      </c>
      <c r="R375" t="s">
        <v>190</v>
      </c>
      <c r="S375" t="s">
        <v>67</v>
      </c>
    </row>
    <row r="376" spans="1:19" x14ac:dyDescent="0.25">
      <c r="A376">
        <v>131261</v>
      </c>
      <c r="B376">
        <v>2024</v>
      </c>
      <c r="C376" t="s">
        <v>200</v>
      </c>
      <c r="D376" t="s">
        <v>26</v>
      </c>
      <c r="E376" t="s">
        <v>279</v>
      </c>
      <c r="F376" t="s">
        <v>314</v>
      </c>
      <c r="G376" s="1" t="s">
        <v>315</v>
      </c>
      <c r="H376" s="1" t="s">
        <v>308</v>
      </c>
      <c r="I376" t="s">
        <v>31</v>
      </c>
      <c r="J376" t="s">
        <v>32</v>
      </c>
      <c r="K376" t="s">
        <v>203</v>
      </c>
      <c r="L376" t="s">
        <v>204</v>
      </c>
      <c r="M376" t="s">
        <v>206</v>
      </c>
      <c r="N376">
        <v>21</v>
      </c>
      <c r="O376" t="s">
        <v>57</v>
      </c>
      <c r="R376" t="s">
        <v>190</v>
      </c>
      <c r="S376" t="s">
        <v>58</v>
      </c>
    </row>
    <row r="377" spans="1:19" x14ac:dyDescent="0.25">
      <c r="A377">
        <v>131261</v>
      </c>
      <c r="B377">
        <v>2024</v>
      </c>
      <c r="C377" t="s">
        <v>200</v>
      </c>
      <c r="D377" t="s">
        <v>26</v>
      </c>
      <c r="E377" t="s">
        <v>279</v>
      </c>
      <c r="F377" t="s">
        <v>314</v>
      </c>
      <c r="G377" s="1" t="s">
        <v>315</v>
      </c>
      <c r="H377" s="1" t="s">
        <v>308</v>
      </c>
      <c r="I377" t="s">
        <v>31</v>
      </c>
      <c r="J377" t="s">
        <v>32</v>
      </c>
      <c r="K377" t="s">
        <v>203</v>
      </c>
      <c r="L377" t="s">
        <v>204</v>
      </c>
      <c r="M377" t="s">
        <v>206</v>
      </c>
      <c r="N377">
        <v>22</v>
      </c>
      <c r="O377" t="s">
        <v>57</v>
      </c>
      <c r="R377" t="s">
        <v>190</v>
      </c>
      <c r="S377" t="s">
        <v>58</v>
      </c>
    </row>
    <row r="378" spans="1:19" x14ac:dyDescent="0.25">
      <c r="A378">
        <v>131261</v>
      </c>
      <c r="B378">
        <v>2024</v>
      </c>
      <c r="C378" t="s">
        <v>200</v>
      </c>
      <c r="D378" t="s">
        <v>26</v>
      </c>
      <c r="E378" t="s">
        <v>279</v>
      </c>
      <c r="F378" t="s">
        <v>314</v>
      </c>
      <c r="G378" s="1" t="s">
        <v>315</v>
      </c>
      <c r="H378" s="1" t="s">
        <v>308</v>
      </c>
      <c r="I378" t="s">
        <v>31</v>
      </c>
      <c r="J378" t="s">
        <v>32</v>
      </c>
      <c r="K378" t="s">
        <v>203</v>
      </c>
      <c r="L378" t="s">
        <v>204</v>
      </c>
      <c r="M378" t="s">
        <v>206</v>
      </c>
      <c r="N378">
        <v>23</v>
      </c>
      <c r="P378" t="s">
        <v>99</v>
      </c>
      <c r="Q378" t="s">
        <v>149</v>
      </c>
      <c r="R378" t="s">
        <v>248</v>
      </c>
      <c r="S378" t="s">
        <v>100</v>
      </c>
    </row>
    <row r="379" spans="1:19" x14ac:dyDescent="0.25">
      <c r="A379">
        <v>131261</v>
      </c>
      <c r="B379">
        <v>2024</v>
      </c>
      <c r="C379" t="s">
        <v>200</v>
      </c>
      <c r="D379" t="s">
        <v>26</v>
      </c>
      <c r="E379" t="s">
        <v>279</v>
      </c>
      <c r="F379" t="s">
        <v>314</v>
      </c>
      <c r="G379" s="1" t="s">
        <v>315</v>
      </c>
      <c r="H379" s="1" t="s">
        <v>308</v>
      </c>
      <c r="I379" t="s">
        <v>31</v>
      </c>
      <c r="J379" t="s">
        <v>32</v>
      </c>
      <c r="K379" t="s">
        <v>203</v>
      </c>
      <c r="L379" t="s">
        <v>204</v>
      </c>
      <c r="M379" t="s">
        <v>206</v>
      </c>
      <c r="N379">
        <v>24</v>
      </c>
      <c r="P379" t="s">
        <v>95</v>
      </c>
      <c r="Q379" t="s">
        <v>149</v>
      </c>
      <c r="S379" t="s">
        <v>96</v>
      </c>
    </row>
    <row r="380" spans="1:19" x14ac:dyDescent="0.25">
      <c r="A380">
        <v>131261</v>
      </c>
      <c r="B380">
        <v>2024</v>
      </c>
      <c r="C380" t="s">
        <v>200</v>
      </c>
      <c r="D380" t="s">
        <v>26</v>
      </c>
      <c r="E380" t="s">
        <v>279</v>
      </c>
      <c r="F380" t="s">
        <v>314</v>
      </c>
      <c r="G380" s="1" t="s">
        <v>315</v>
      </c>
      <c r="H380" s="1" t="s">
        <v>308</v>
      </c>
      <c r="I380" t="s">
        <v>31</v>
      </c>
      <c r="J380" t="s">
        <v>32</v>
      </c>
      <c r="K380" t="s">
        <v>203</v>
      </c>
      <c r="L380" t="s">
        <v>204</v>
      </c>
      <c r="M380" t="s">
        <v>206</v>
      </c>
      <c r="N380">
        <v>25</v>
      </c>
      <c r="P380" t="s">
        <v>99</v>
      </c>
      <c r="Q380" t="s">
        <v>149</v>
      </c>
      <c r="S380" t="s">
        <v>100</v>
      </c>
    </row>
    <row r="381" spans="1:19" x14ac:dyDescent="0.25">
      <c r="A381">
        <v>131261</v>
      </c>
      <c r="B381">
        <v>2024</v>
      </c>
      <c r="C381" t="s">
        <v>200</v>
      </c>
      <c r="D381" t="s">
        <v>26</v>
      </c>
      <c r="E381" t="s">
        <v>279</v>
      </c>
      <c r="F381" t="s">
        <v>317</v>
      </c>
      <c r="G381" s="1" t="s">
        <v>315</v>
      </c>
      <c r="H381" s="1" t="s">
        <v>308</v>
      </c>
      <c r="I381" t="s">
        <v>31</v>
      </c>
      <c r="J381" t="s">
        <v>32</v>
      </c>
      <c r="K381" t="s">
        <v>203</v>
      </c>
      <c r="L381" t="s">
        <v>204</v>
      </c>
      <c r="M381" t="s">
        <v>206</v>
      </c>
      <c r="N381">
        <v>1</v>
      </c>
      <c r="P381" t="s">
        <v>99</v>
      </c>
      <c r="Q381" t="s">
        <v>149</v>
      </c>
      <c r="R381" t="s">
        <v>248</v>
      </c>
      <c r="S381" t="s">
        <v>100</v>
      </c>
    </row>
    <row r="382" spans="1:19" x14ac:dyDescent="0.25">
      <c r="A382">
        <v>131261</v>
      </c>
      <c r="B382">
        <v>2024</v>
      </c>
      <c r="C382" t="s">
        <v>200</v>
      </c>
      <c r="D382" t="s">
        <v>26</v>
      </c>
      <c r="E382" t="s">
        <v>279</v>
      </c>
      <c r="F382" t="s">
        <v>317</v>
      </c>
      <c r="G382" s="1" t="s">
        <v>315</v>
      </c>
      <c r="H382" s="1" t="s">
        <v>308</v>
      </c>
      <c r="I382" t="s">
        <v>31</v>
      </c>
      <c r="J382" t="s">
        <v>32</v>
      </c>
      <c r="K382" t="s">
        <v>203</v>
      </c>
      <c r="L382" t="s">
        <v>204</v>
      </c>
      <c r="M382" t="s">
        <v>206</v>
      </c>
      <c r="N382">
        <v>2</v>
      </c>
      <c r="P382" t="s">
        <v>99</v>
      </c>
      <c r="Q382" t="s">
        <v>149</v>
      </c>
      <c r="R382" t="s">
        <v>248</v>
      </c>
      <c r="S382" t="s">
        <v>100</v>
      </c>
    </row>
    <row r="383" spans="1:19" x14ac:dyDescent="0.25">
      <c r="A383">
        <v>131261</v>
      </c>
      <c r="B383">
        <v>2024</v>
      </c>
      <c r="C383" t="s">
        <v>200</v>
      </c>
      <c r="D383" t="s">
        <v>26</v>
      </c>
      <c r="E383" t="s">
        <v>279</v>
      </c>
      <c r="F383" t="s">
        <v>317</v>
      </c>
      <c r="G383" s="1" t="s">
        <v>315</v>
      </c>
      <c r="H383" s="1" t="s">
        <v>308</v>
      </c>
      <c r="I383" t="s">
        <v>31</v>
      </c>
      <c r="J383" t="s">
        <v>32</v>
      </c>
      <c r="K383" t="s">
        <v>203</v>
      </c>
      <c r="L383" t="s">
        <v>204</v>
      </c>
      <c r="M383" t="s">
        <v>206</v>
      </c>
      <c r="N383">
        <v>3</v>
      </c>
      <c r="O383" t="s">
        <v>57</v>
      </c>
      <c r="R383" t="s">
        <v>190</v>
      </c>
      <c r="S383" t="s">
        <v>58</v>
      </c>
    </row>
    <row r="384" spans="1:19" x14ac:dyDescent="0.25">
      <c r="A384">
        <v>131261</v>
      </c>
      <c r="B384">
        <v>2024</v>
      </c>
      <c r="C384" t="s">
        <v>200</v>
      </c>
      <c r="D384" t="s">
        <v>26</v>
      </c>
      <c r="E384" t="s">
        <v>279</v>
      </c>
      <c r="F384" t="s">
        <v>317</v>
      </c>
      <c r="G384" s="1" t="s">
        <v>315</v>
      </c>
      <c r="H384" s="1" t="s">
        <v>308</v>
      </c>
      <c r="I384" t="s">
        <v>31</v>
      </c>
      <c r="J384" t="s">
        <v>32</v>
      </c>
      <c r="K384" t="s">
        <v>203</v>
      </c>
      <c r="L384" t="s">
        <v>204</v>
      </c>
      <c r="M384" t="s">
        <v>206</v>
      </c>
      <c r="N384">
        <v>4</v>
      </c>
      <c r="P384" t="s">
        <v>95</v>
      </c>
      <c r="Q384" t="s">
        <v>133</v>
      </c>
      <c r="R384" t="s">
        <v>248</v>
      </c>
      <c r="S384" t="s">
        <v>96</v>
      </c>
    </row>
    <row r="385" spans="1:19" x14ac:dyDescent="0.25">
      <c r="A385">
        <v>131261</v>
      </c>
      <c r="B385">
        <v>2024</v>
      </c>
      <c r="C385" t="s">
        <v>200</v>
      </c>
      <c r="D385" t="s">
        <v>26</v>
      </c>
      <c r="E385" t="s">
        <v>279</v>
      </c>
      <c r="F385" t="s">
        <v>317</v>
      </c>
      <c r="G385" s="1" t="s">
        <v>315</v>
      </c>
      <c r="H385" s="1" t="s">
        <v>308</v>
      </c>
      <c r="I385" t="s">
        <v>31</v>
      </c>
      <c r="J385" t="s">
        <v>32</v>
      </c>
      <c r="K385" t="s">
        <v>203</v>
      </c>
      <c r="L385" t="s">
        <v>204</v>
      </c>
      <c r="M385" t="s">
        <v>206</v>
      </c>
      <c r="N385">
        <v>5</v>
      </c>
      <c r="Q385" t="s">
        <v>72</v>
      </c>
    </row>
    <row r="386" spans="1:19" x14ac:dyDescent="0.25">
      <c r="A386">
        <v>131281</v>
      </c>
      <c r="B386">
        <v>2024</v>
      </c>
      <c r="C386" t="s">
        <v>200</v>
      </c>
      <c r="D386" t="s">
        <v>26</v>
      </c>
      <c r="E386" t="s">
        <v>320</v>
      </c>
      <c r="F386" t="s">
        <v>322</v>
      </c>
      <c r="G386" s="1" t="s">
        <v>312</v>
      </c>
      <c r="H386" s="1" t="s">
        <v>312</v>
      </c>
      <c r="I386" t="s">
        <v>31</v>
      </c>
      <c r="J386" t="s">
        <v>32</v>
      </c>
      <c r="K386" t="s">
        <v>203</v>
      </c>
      <c r="L386" t="s">
        <v>321</v>
      </c>
      <c r="M386" t="s">
        <v>36</v>
      </c>
      <c r="N386">
        <v>1</v>
      </c>
      <c r="O386" t="s">
        <v>57</v>
      </c>
      <c r="R386" t="s">
        <v>190</v>
      </c>
      <c r="S386" t="s">
        <v>58</v>
      </c>
    </row>
    <row r="387" spans="1:19" x14ac:dyDescent="0.25">
      <c r="A387">
        <v>131281</v>
      </c>
      <c r="B387">
        <v>2024</v>
      </c>
      <c r="C387" t="s">
        <v>200</v>
      </c>
      <c r="D387" t="s">
        <v>26</v>
      </c>
      <c r="E387" t="s">
        <v>320</v>
      </c>
      <c r="F387" t="s">
        <v>322</v>
      </c>
      <c r="G387" s="1" t="s">
        <v>312</v>
      </c>
      <c r="H387" s="1" t="s">
        <v>312</v>
      </c>
      <c r="I387" t="s">
        <v>31</v>
      </c>
      <c r="J387" t="s">
        <v>32</v>
      </c>
      <c r="K387" t="s">
        <v>203</v>
      </c>
      <c r="L387" t="s">
        <v>321</v>
      </c>
      <c r="M387" t="s">
        <v>36</v>
      </c>
      <c r="N387">
        <v>2</v>
      </c>
      <c r="O387" t="s">
        <v>63</v>
      </c>
      <c r="R387" t="s">
        <v>190</v>
      </c>
      <c r="S387" t="s">
        <v>64</v>
      </c>
    </row>
    <row r="388" spans="1:19" x14ac:dyDescent="0.25">
      <c r="A388">
        <v>131283</v>
      </c>
      <c r="B388">
        <v>2024</v>
      </c>
      <c r="C388" t="s">
        <v>200</v>
      </c>
      <c r="D388" t="s">
        <v>26</v>
      </c>
      <c r="E388" t="s">
        <v>265</v>
      </c>
      <c r="F388" t="s">
        <v>323</v>
      </c>
      <c r="G388" s="1" t="s">
        <v>312</v>
      </c>
      <c r="H388" s="1" t="s">
        <v>312</v>
      </c>
      <c r="I388" t="s">
        <v>31</v>
      </c>
      <c r="J388" t="s">
        <v>32</v>
      </c>
      <c r="K388" t="s">
        <v>203</v>
      </c>
      <c r="L388" t="s">
        <v>204</v>
      </c>
      <c r="M388" t="s">
        <v>36</v>
      </c>
      <c r="N388">
        <v>1</v>
      </c>
      <c r="O388" t="s">
        <v>63</v>
      </c>
      <c r="R388" t="s">
        <v>190</v>
      </c>
      <c r="S388" t="s">
        <v>64</v>
      </c>
    </row>
    <row r="389" spans="1:19" x14ac:dyDescent="0.25">
      <c r="A389">
        <v>131283</v>
      </c>
      <c r="B389">
        <v>2024</v>
      </c>
      <c r="C389" t="s">
        <v>200</v>
      </c>
      <c r="D389" t="s">
        <v>26</v>
      </c>
      <c r="E389" t="s">
        <v>265</v>
      </c>
      <c r="F389" t="s">
        <v>323</v>
      </c>
      <c r="G389" s="1" t="s">
        <v>312</v>
      </c>
      <c r="H389" s="1" t="s">
        <v>312</v>
      </c>
      <c r="I389" t="s">
        <v>31</v>
      </c>
      <c r="J389" t="s">
        <v>32</v>
      </c>
      <c r="K389" t="s">
        <v>203</v>
      </c>
      <c r="L389" t="s">
        <v>204</v>
      </c>
      <c r="M389" t="s">
        <v>36</v>
      </c>
      <c r="N389">
        <v>2</v>
      </c>
      <c r="O389" t="s">
        <v>57</v>
      </c>
      <c r="R389" t="s">
        <v>249</v>
      </c>
      <c r="S389" t="s">
        <v>58</v>
      </c>
    </row>
    <row r="390" spans="1:19" x14ac:dyDescent="0.25">
      <c r="A390">
        <v>131285</v>
      </c>
      <c r="B390">
        <v>2024</v>
      </c>
      <c r="C390" t="s">
        <v>200</v>
      </c>
      <c r="D390" t="s">
        <v>26</v>
      </c>
      <c r="E390" t="s">
        <v>305</v>
      </c>
      <c r="F390" t="s">
        <v>324</v>
      </c>
      <c r="G390" s="1" t="s">
        <v>307</v>
      </c>
      <c r="H390" s="1" t="s">
        <v>312</v>
      </c>
      <c r="I390" t="s">
        <v>31</v>
      </c>
      <c r="J390" t="s">
        <v>32</v>
      </c>
      <c r="K390" t="s">
        <v>203</v>
      </c>
      <c r="L390" t="s">
        <v>321</v>
      </c>
      <c r="M390" t="s">
        <v>206</v>
      </c>
      <c r="N390">
        <v>1</v>
      </c>
      <c r="O390" t="s">
        <v>57</v>
      </c>
      <c r="R390" t="s">
        <v>249</v>
      </c>
      <c r="S390" t="s">
        <v>58</v>
      </c>
    </row>
    <row r="391" spans="1:19" x14ac:dyDescent="0.25">
      <c r="A391">
        <v>131285</v>
      </c>
      <c r="B391">
        <v>2024</v>
      </c>
      <c r="C391" t="s">
        <v>200</v>
      </c>
      <c r="D391" t="s">
        <v>26</v>
      </c>
      <c r="E391" t="s">
        <v>305</v>
      </c>
      <c r="F391" t="s">
        <v>324</v>
      </c>
      <c r="G391" s="1" t="s">
        <v>307</v>
      </c>
      <c r="H391" s="1" t="s">
        <v>312</v>
      </c>
      <c r="I391" t="s">
        <v>31</v>
      </c>
      <c r="J391" t="s">
        <v>32</v>
      </c>
      <c r="K391" t="s">
        <v>203</v>
      </c>
      <c r="L391" t="s">
        <v>321</v>
      </c>
      <c r="M391" t="s">
        <v>206</v>
      </c>
      <c r="N391">
        <v>2</v>
      </c>
      <c r="O391" t="s">
        <v>57</v>
      </c>
      <c r="R391" t="s">
        <v>190</v>
      </c>
      <c r="S391" t="s">
        <v>58</v>
      </c>
    </row>
    <row r="392" spans="1:19" x14ac:dyDescent="0.25">
      <c r="A392">
        <v>131285</v>
      </c>
      <c r="B392">
        <v>2024</v>
      </c>
      <c r="C392" t="s">
        <v>200</v>
      </c>
      <c r="D392" t="s">
        <v>26</v>
      </c>
      <c r="E392" t="s">
        <v>305</v>
      </c>
      <c r="F392" t="s">
        <v>324</v>
      </c>
      <c r="G392" s="1" t="s">
        <v>307</v>
      </c>
      <c r="H392" s="1" t="s">
        <v>312</v>
      </c>
      <c r="I392" t="s">
        <v>31</v>
      </c>
      <c r="J392" t="s">
        <v>32</v>
      </c>
      <c r="K392" t="s">
        <v>203</v>
      </c>
      <c r="L392" t="s">
        <v>321</v>
      </c>
      <c r="M392" t="s">
        <v>206</v>
      </c>
      <c r="N392">
        <v>3</v>
      </c>
      <c r="O392" t="s">
        <v>57</v>
      </c>
      <c r="R392" t="s">
        <v>249</v>
      </c>
      <c r="S392" t="s">
        <v>58</v>
      </c>
    </row>
    <row r="393" spans="1:19" x14ac:dyDescent="0.25">
      <c r="A393">
        <v>131285</v>
      </c>
      <c r="B393">
        <v>2024</v>
      </c>
      <c r="C393" t="s">
        <v>200</v>
      </c>
      <c r="D393" t="s">
        <v>26</v>
      </c>
      <c r="E393" t="s">
        <v>305</v>
      </c>
      <c r="F393" t="s">
        <v>324</v>
      </c>
      <c r="G393" s="1" t="s">
        <v>307</v>
      </c>
      <c r="H393" s="1" t="s">
        <v>312</v>
      </c>
      <c r="I393" t="s">
        <v>31</v>
      </c>
      <c r="J393" t="s">
        <v>32</v>
      </c>
      <c r="K393" t="s">
        <v>203</v>
      </c>
      <c r="L393" t="s">
        <v>321</v>
      </c>
      <c r="M393" t="s">
        <v>206</v>
      </c>
      <c r="N393">
        <v>4</v>
      </c>
      <c r="O393" t="s">
        <v>57</v>
      </c>
      <c r="R393" t="s">
        <v>249</v>
      </c>
      <c r="S393" t="s">
        <v>58</v>
      </c>
    </row>
    <row r="394" spans="1:19" x14ac:dyDescent="0.25">
      <c r="A394">
        <v>131285</v>
      </c>
      <c r="B394">
        <v>2024</v>
      </c>
      <c r="C394" t="s">
        <v>200</v>
      </c>
      <c r="D394" t="s">
        <v>26</v>
      </c>
      <c r="E394" t="s">
        <v>305</v>
      </c>
      <c r="F394" t="s">
        <v>324</v>
      </c>
      <c r="G394" s="1" t="s">
        <v>307</v>
      </c>
      <c r="H394" s="1" t="s">
        <v>312</v>
      </c>
      <c r="I394" t="s">
        <v>31</v>
      </c>
      <c r="J394" t="s">
        <v>32</v>
      </c>
      <c r="K394" t="s">
        <v>203</v>
      </c>
      <c r="L394" t="s">
        <v>321</v>
      </c>
      <c r="M394" t="s">
        <v>206</v>
      </c>
      <c r="N394">
        <v>5</v>
      </c>
      <c r="O394" t="s">
        <v>57</v>
      </c>
      <c r="R394" t="s">
        <v>190</v>
      </c>
      <c r="S394" t="s">
        <v>58</v>
      </c>
    </row>
    <row r="395" spans="1:19" x14ac:dyDescent="0.25">
      <c r="A395">
        <v>131285</v>
      </c>
      <c r="B395">
        <v>2024</v>
      </c>
      <c r="C395" t="s">
        <v>200</v>
      </c>
      <c r="D395" t="s">
        <v>26</v>
      </c>
      <c r="E395" t="s">
        <v>305</v>
      </c>
      <c r="F395" t="s">
        <v>324</v>
      </c>
      <c r="G395" s="1" t="s">
        <v>307</v>
      </c>
      <c r="H395" s="1" t="s">
        <v>312</v>
      </c>
      <c r="I395" t="s">
        <v>31</v>
      </c>
      <c r="J395" t="s">
        <v>32</v>
      </c>
      <c r="K395" t="s">
        <v>203</v>
      </c>
      <c r="L395" t="s">
        <v>321</v>
      </c>
      <c r="M395" t="s">
        <v>206</v>
      </c>
      <c r="N395">
        <v>6</v>
      </c>
      <c r="O395" t="s">
        <v>57</v>
      </c>
      <c r="R395" t="s">
        <v>249</v>
      </c>
      <c r="S395" t="s">
        <v>58</v>
      </c>
    </row>
    <row r="396" spans="1:19" x14ac:dyDescent="0.25">
      <c r="A396">
        <v>131285</v>
      </c>
      <c r="B396">
        <v>2024</v>
      </c>
      <c r="C396" t="s">
        <v>200</v>
      </c>
      <c r="D396" t="s">
        <v>26</v>
      </c>
      <c r="E396" t="s">
        <v>305</v>
      </c>
      <c r="F396" t="s">
        <v>324</v>
      </c>
      <c r="G396" s="1" t="s">
        <v>307</v>
      </c>
      <c r="H396" s="1" t="s">
        <v>312</v>
      </c>
      <c r="I396" t="s">
        <v>31</v>
      </c>
      <c r="J396" t="s">
        <v>32</v>
      </c>
      <c r="K396" t="s">
        <v>203</v>
      </c>
      <c r="L396" t="s">
        <v>321</v>
      </c>
      <c r="M396" t="s">
        <v>206</v>
      </c>
      <c r="N396">
        <v>7</v>
      </c>
      <c r="O396" t="s">
        <v>57</v>
      </c>
      <c r="R396" t="s">
        <v>249</v>
      </c>
      <c r="S396" t="s">
        <v>58</v>
      </c>
    </row>
    <row r="397" spans="1:19" x14ac:dyDescent="0.25">
      <c r="A397">
        <v>131285</v>
      </c>
      <c r="B397">
        <v>2024</v>
      </c>
      <c r="C397" t="s">
        <v>200</v>
      </c>
      <c r="D397" t="s">
        <v>26</v>
      </c>
      <c r="E397" t="s">
        <v>305</v>
      </c>
      <c r="F397" t="s">
        <v>324</v>
      </c>
      <c r="G397" s="1" t="s">
        <v>307</v>
      </c>
      <c r="H397" s="1" t="s">
        <v>312</v>
      </c>
      <c r="I397" t="s">
        <v>31</v>
      </c>
      <c r="J397" t="s">
        <v>32</v>
      </c>
      <c r="K397" t="s">
        <v>203</v>
      </c>
      <c r="L397" t="s">
        <v>321</v>
      </c>
      <c r="M397" t="s">
        <v>206</v>
      </c>
      <c r="N397">
        <v>8</v>
      </c>
      <c r="O397" t="s">
        <v>57</v>
      </c>
      <c r="R397" t="s">
        <v>249</v>
      </c>
      <c r="S397" t="s">
        <v>58</v>
      </c>
    </row>
    <row r="398" spans="1:19" x14ac:dyDescent="0.25">
      <c r="A398">
        <v>131285</v>
      </c>
      <c r="B398">
        <v>2024</v>
      </c>
      <c r="C398" t="s">
        <v>200</v>
      </c>
      <c r="D398" t="s">
        <v>26</v>
      </c>
      <c r="E398" t="s">
        <v>305</v>
      </c>
      <c r="F398" t="s">
        <v>324</v>
      </c>
      <c r="G398" s="1" t="s">
        <v>307</v>
      </c>
      <c r="H398" s="1" t="s">
        <v>312</v>
      </c>
      <c r="I398" t="s">
        <v>31</v>
      </c>
      <c r="J398" t="s">
        <v>32</v>
      </c>
      <c r="K398" t="s">
        <v>203</v>
      </c>
      <c r="L398" t="s">
        <v>321</v>
      </c>
      <c r="M398" t="s">
        <v>206</v>
      </c>
      <c r="N398">
        <v>9</v>
      </c>
      <c r="O398" t="s">
        <v>66</v>
      </c>
      <c r="R398" t="s">
        <v>249</v>
      </c>
      <c r="S398" t="s">
        <v>67</v>
      </c>
    </row>
    <row r="399" spans="1:19" x14ac:dyDescent="0.25">
      <c r="A399">
        <v>131285</v>
      </c>
      <c r="B399">
        <v>2024</v>
      </c>
      <c r="C399" t="s">
        <v>200</v>
      </c>
      <c r="D399" t="s">
        <v>26</v>
      </c>
      <c r="E399" t="s">
        <v>305</v>
      </c>
      <c r="F399" t="s">
        <v>324</v>
      </c>
      <c r="G399" s="1" t="s">
        <v>307</v>
      </c>
      <c r="H399" s="1" t="s">
        <v>312</v>
      </c>
      <c r="I399" t="s">
        <v>31</v>
      </c>
      <c r="J399" t="s">
        <v>32</v>
      </c>
      <c r="K399" t="s">
        <v>203</v>
      </c>
      <c r="L399" t="s">
        <v>321</v>
      </c>
      <c r="M399" t="s">
        <v>206</v>
      </c>
      <c r="N399">
        <v>10</v>
      </c>
      <c r="O399" t="s">
        <v>197</v>
      </c>
      <c r="R399" t="s">
        <v>190</v>
      </c>
      <c r="S399" t="s">
        <v>198</v>
      </c>
    </row>
    <row r="400" spans="1:19" x14ac:dyDescent="0.25">
      <c r="A400">
        <v>131285</v>
      </c>
      <c r="B400">
        <v>2024</v>
      </c>
      <c r="C400" t="s">
        <v>200</v>
      </c>
      <c r="D400" t="s">
        <v>26</v>
      </c>
      <c r="E400" t="s">
        <v>305</v>
      </c>
      <c r="F400" t="s">
        <v>326</v>
      </c>
      <c r="G400" s="1" t="s">
        <v>307</v>
      </c>
      <c r="H400" s="1" t="s">
        <v>312</v>
      </c>
      <c r="I400" t="s">
        <v>31</v>
      </c>
      <c r="J400" t="s">
        <v>32</v>
      </c>
      <c r="K400" t="s">
        <v>203</v>
      </c>
      <c r="L400" t="s">
        <v>321</v>
      </c>
      <c r="M400" t="s">
        <v>206</v>
      </c>
      <c r="N400">
        <v>1</v>
      </c>
      <c r="O400" t="s">
        <v>57</v>
      </c>
      <c r="R400" t="s">
        <v>249</v>
      </c>
      <c r="S400" t="s">
        <v>58</v>
      </c>
    </row>
    <row r="401" spans="1:19" x14ac:dyDescent="0.25">
      <c r="A401">
        <v>131285</v>
      </c>
      <c r="B401">
        <v>2024</v>
      </c>
      <c r="C401" t="s">
        <v>200</v>
      </c>
      <c r="D401" t="s">
        <v>26</v>
      </c>
      <c r="E401" t="s">
        <v>305</v>
      </c>
      <c r="F401" t="s">
        <v>326</v>
      </c>
      <c r="G401" s="1" t="s">
        <v>307</v>
      </c>
      <c r="H401" s="1" t="s">
        <v>312</v>
      </c>
      <c r="I401" t="s">
        <v>31</v>
      </c>
      <c r="J401" t="s">
        <v>32</v>
      </c>
      <c r="K401" t="s">
        <v>203</v>
      </c>
      <c r="L401" t="s">
        <v>321</v>
      </c>
      <c r="M401" t="s">
        <v>206</v>
      </c>
      <c r="N401">
        <v>2</v>
      </c>
      <c r="O401" t="s">
        <v>57</v>
      </c>
      <c r="R401" t="s">
        <v>249</v>
      </c>
      <c r="S401" t="s">
        <v>58</v>
      </c>
    </row>
    <row r="402" spans="1:19" x14ac:dyDescent="0.25">
      <c r="A402">
        <v>131285</v>
      </c>
      <c r="B402">
        <v>2024</v>
      </c>
      <c r="C402" t="s">
        <v>200</v>
      </c>
      <c r="D402" t="s">
        <v>26</v>
      </c>
      <c r="E402" t="s">
        <v>305</v>
      </c>
      <c r="F402" t="s">
        <v>326</v>
      </c>
      <c r="G402" s="1" t="s">
        <v>307</v>
      </c>
      <c r="H402" s="1" t="s">
        <v>312</v>
      </c>
      <c r="I402" t="s">
        <v>31</v>
      </c>
      <c r="J402" t="s">
        <v>32</v>
      </c>
      <c r="K402" t="s">
        <v>203</v>
      </c>
      <c r="L402" t="s">
        <v>321</v>
      </c>
      <c r="M402" t="s">
        <v>206</v>
      </c>
      <c r="N402">
        <v>3</v>
      </c>
      <c r="O402" t="s">
        <v>57</v>
      </c>
      <c r="R402" t="s">
        <v>249</v>
      </c>
      <c r="S402" t="s">
        <v>58</v>
      </c>
    </row>
    <row r="403" spans="1:19" x14ac:dyDescent="0.25">
      <c r="A403">
        <v>131285</v>
      </c>
      <c r="B403">
        <v>2024</v>
      </c>
      <c r="C403" t="s">
        <v>200</v>
      </c>
      <c r="D403" t="s">
        <v>26</v>
      </c>
      <c r="E403" t="s">
        <v>305</v>
      </c>
      <c r="F403" t="s">
        <v>326</v>
      </c>
      <c r="G403" s="1" t="s">
        <v>307</v>
      </c>
      <c r="H403" s="1" t="s">
        <v>312</v>
      </c>
      <c r="I403" t="s">
        <v>31</v>
      </c>
      <c r="J403" t="s">
        <v>32</v>
      </c>
      <c r="K403" t="s">
        <v>203</v>
      </c>
      <c r="L403" t="s">
        <v>321</v>
      </c>
      <c r="M403" t="s">
        <v>206</v>
      </c>
      <c r="N403">
        <v>4</v>
      </c>
      <c r="O403" t="s">
        <v>57</v>
      </c>
      <c r="R403" t="s">
        <v>249</v>
      </c>
      <c r="S403" t="s">
        <v>58</v>
      </c>
    </row>
    <row r="404" spans="1:19" x14ac:dyDescent="0.25">
      <c r="A404">
        <v>131285</v>
      </c>
      <c r="B404">
        <v>2024</v>
      </c>
      <c r="C404" t="s">
        <v>200</v>
      </c>
      <c r="D404" t="s">
        <v>26</v>
      </c>
      <c r="E404" t="s">
        <v>305</v>
      </c>
      <c r="F404" t="s">
        <v>326</v>
      </c>
      <c r="G404" s="1" t="s">
        <v>307</v>
      </c>
      <c r="H404" s="1" t="s">
        <v>312</v>
      </c>
      <c r="I404" t="s">
        <v>31</v>
      </c>
      <c r="J404" t="s">
        <v>32</v>
      </c>
      <c r="K404" t="s">
        <v>203</v>
      </c>
      <c r="L404" t="s">
        <v>321</v>
      </c>
      <c r="M404" t="s">
        <v>206</v>
      </c>
      <c r="N404">
        <v>5</v>
      </c>
      <c r="Q404" t="s">
        <v>130</v>
      </c>
    </row>
    <row r="405" spans="1:19" x14ac:dyDescent="0.25">
      <c r="A405">
        <v>131285</v>
      </c>
      <c r="B405">
        <v>2024</v>
      </c>
      <c r="C405" t="s">
        <v>200</v>
      </c>
      <c r="D405" t="s">
        <v>26</v>
      </c>
      <c r="E405" t="s">
        <v>305</v>
      </c>
      <c r="F405" t="s">
        <v>326</v>
      </c>
      <c r="G405" s="1" t="s">
        <v>307</v>
      </c>
      <c r="H405" s="1" t="s">
        <v>312</v>
      </c>
      <c r="I405" t="s">
        <v>31</v>
      </c>
      <c r="J405" t="s">
        <v>32</v>
      </c>
      <c r="K405" t="s">
        <v>203</v>
      </c>
      <c r="L405" t="s">
        <v>321</v>
      </c>
      <c r="M405" t="s">
        <v>206</v>
      </c>
      <c r="N405">
        <v>6</v>
      </c>
      <c r="O405" t="s">
        <v>57</v>
      </c>
      <c r="R405" t="s">
        <v>249</v>
      </c>
      <c r="S405" t="s">
        <v>58</v>
      </c>
    </row>
    <row r="406" spans="1:19" x14ac:dyDescent="0.25">
      <c r="A406">
        <v>131285</v>
      </c>
      <c r="B406">
        <v>2024</v>
      </c>
      <c r="C406" t="s">
        <v>200</v>
      </c>
      <c r="D406" t="s">
        <v>26</v>
      </c>
      <c r="E406" t="s">
        <v>305</v>
      </c>
      <c r="F406" t="s">
        <v>326</v>
      </c>
      <c r="G406" s="1" t="s">
        <v>307</v>
      </c>
      <c r="H406" s="1" t="s">
        <v>312</v>
      </c>
      <c r="I406" t="s">
        <v>31</v>
      </c>
      <c r="J406" t="s">
        <v>32</v>
      </c>
      <c r="K406" t="s">
        <v>203</v>
      </c>
      <c r="L406" t="s">
        <v>321</v>
      </c>
      <c r="M406" t="s">
        <v>206</v>
      </c>
      <c r="N406">
        <v>7</v>
      </c>
      <c r="O406" t="s">
        <v>57</v>
      </c>
      <c r="R406" t="s">
        <v>249</v>
      </c>
      <c r="S406" t="s">
        <v>58</v>
      </c>
    </row>
    <row r="407" spans="1:19" x14ac:dyDescent="0.25">
      <c r="A407">
        <v>131285</v>
      </c>
      <c r="B407">
        <v>2024</v>
      </c>
      <c r="C407" t="s">
        <v>200</v>
      </c>
      <c r="D407" t="s">
        <v>26</v>
      </c>
      <c r="E407" t="s">
        <v>305</v>
      </c>
      <c r="F407" t="s">
        <v>328</v>
      </c>
      <c r="G407" s="1" t="s">
        <v>312</v>
      </c>
      <c r="H407" s="1" t="s">
        <v>312</v>
      </c>
      <c r="I407" t="s">
        <v>31</v>
      </c>
      <c r="J407" t="s">
        <v>32</v>
      </c>
      <c r="K407" t="s">
        <v>203</v>
      </c>
      <c r="L407" t="s">
        <v>321</v>
      </c>
      <c r="M407" t="s">
        <v>206</v>
      </c>
      <c r="N407">
        <v>1</v>
      </c>
      <c r="O407" t="s">
        <v>57</v>
      </c>
      <c r="R407" t="s">
        <v>190</v>
      </c>
      <c r="S407" t="s">
        <v>58</v>
      </c>
    </row>
    <row r="408" spans="1:19" x14ac:dyDescent="0.25">
      <c r="A408">
        <v>131285</v>
      </c>
      <c r="B408">
        <v>2024</v>
      </c>
      <c r="C408" t="s">
        <v>200</v>
      </c>
      <c r="D408" t="s">
        <v>26</v>
      </c>
      <c r="E408" t="s">
        <v>305</v>
      </c>
      <c r="F408" t="s">
        <v>328</v>
      </c>
      <c r="G408" s="1" t="s">
        <v>312</v>
      </c>
      <c r="H408" s="1" t="s">
        <v>312</v>
      </c>
      <c r="I408" t="s">
        <v>31</v>
      </c>
      <c r="J408" t="s">
        <v>32</v>
      </c>
      <c r="K408" t="s">
        <v>203</v>
      </c>
      <c r="L408" t="s">
        <v>321</v>
      </c>
      <c r="M408" t="s">
        <v>206</v>
      </c>
      <c r="N408">
        <v>2</v>
      </c>
      <c r="O408" t="s">
        <v>57</v>
      </c>
      <c r="R408" t="s">
        <v>190</v>
      </c>
      <c r="S408" t="s">
        <v>58</v>
      </c>
    </row>
    <row r="409" spans="1:19" x14ac:dyDescent="0.25">
      <c r="A409">
        <v>131287</v>
      </c>
      <c r="B409">
        <v>2024</v>
      </c>
      <c r="C409" t="s">
        <v>200</v>
      </c>
      <c r="D409" t="s">
        <v>26</v>
      </c>
      <c r="E409" t="s">
        <v>330</v>
      </c>
      <c r="F409" t="s">
        <v>331</v>
      </c>
      <c r="G409" s="1" t="s">
        <v>312</v>
      </c>
      <c r="H409" s="1" t="s">
        <v>312</v>
      </c>
      <c r="I409" t="s">
        <v>31</v>
      </c>
      <c r="J409" t="s">
        <v>32</v>
      </c>
      <c r="K409" t="s">
        <v>203</v>
      </c>
      <c r="L409" t="s">
        <v>204</v>
      </c>
      <c r="M409" t="s">
        <v>206</v>
      </c>
      <c r="N409">
        <v>1</v>
      </c>
      <c r="O409" t="s">
        <v>66</v>
      </c>
      <c r="R409" t="s">
        <v>190</v>
      </c>
      <c r="S409" t="s">
        <v>67</v>
      </c>
    </row>
    <row r="410" spans="1:19" x14ac:dyDescent="0.25">
      <c r="A410">
        <v>131287</v>
      </c>
      <c r="B410">
        <v>2024</v>
      </c>
      <c r="C410" t="s">
        <v>200</v>
      </c>
      <c r="D410" t="s">
        <v>26</v>
      </c>
      <c r="E410" t="s">
        <v>330</v>
      </c>
      <c r="F410" t="s">
        <v>331</v>
      </c>
      <c r="G410" s="1" t="s">
        <v>312</v>
      </c>
      <c r="H410" s="1" t="s">
        <v>312</v>
      </c>
      <c r="I410" t="s">
        <v>31</v>
      </c>
      <c r="J410" t="s">
        <v>32</v>
      </c>
      <c r="K410" t="s">
        <v>203</v>
      </c>
      <c r="L410" t="s">
        <v>204</v>
      </c>
      <c r="M410" t="s">
        <v>206</v>
      </c>
      <c r="N410">
        <v>2</v>
      </c>
      <c r="O410" t="s">
        <v>197</v>
      </c>
      <c r="R410" t="s">
        <v>190</v>
      </c>
      <c r="S410" t="s">
        <v>198</v>
      </c>
    </row>
    <row r="411" spans="1:19" x14ac:dyDescent="0.25">
      <c r="A411">
        <v>131287</v>
      </c>
      <c r="B411">
        <v>2024</v>
      </c>
      <c r="C411" t="s">
        <v>200</v>
      </c>
      <c r="D411" t="s">
        <v>26</v>
      </c>
      <c r="E411" t="s">
        <v>330</v>
      </c>
      <c r="F411" t="s">
        <v>331</v>
      </c>
      <c r="G411" s="1" t="s">
        <v>312</v>
      </c>
      <c r="H411" s="1" t="s">
        <v>312</v>
      </c>
      <c r="I411" t="s">
        <v>31</v>
      </c>
      <c r="J411" t="s">
        <v>32</v>
      </c>
      <c r="K411" t="s">
        <v>203</v>
      </c>
      <c r="L411" t="s">
        <v>204</v>
      </c>
      <c r="M411" t="s">
        <v>206</v>
      </c>
      <c r="N411">
        <v>3</v>
      </c>
      <c r="P411" t="s">
        <v>60</v>
      </c>
      <c r="Q411" t="s">
        <v>59</v>
      </c>
      <c r="R411" t="s">
        <v>249</v>
      </c>
      <c r="S411" t="s">
        <v>61</v>
      </c>
    </row>
    <row r="412" spans="1:19" x14ac:dyDescent="0.25">
      <c r="A412">
        <v>131287</v>
      </c>
      <c r="B412">
        <v>2024</v>
      </c>
      <c r="C412" t="s">
        <v>200</v>
      </c>
      <c r="D412" t="s">
        <v>26</v>
      </c>
      <c r="E412" t="s">
        <v>330</v>
      </c>
      <c r="F412" t="s">
        <v>331</v>
      </c>
      <c r="G412" s="1" t="s">
        <v>312</v>
      </c>
      <c r="H412" s="1" t="s">
        <v>312</v>
      </c>
      <c r="I412" t="s">
        <v>31</v>
      </c>
      <c r="J412" t="s">
        <v>32</v>
      </c>
      <c r="K412" t="s">
        <v>203</v>
      </c>
      <c r="L412" t="s">
        <v>204</v>
      </c>
      <c r="M412" t="s">
        <v>206</v>
      </c>
      <c r="N412">
        <v>1</v>
      </c>
      <c r="O412" t="s">
        <v>66</v>
      </c>
      <c r="R412" t="s">
        <v>190</v>
      </c>
      <c r="S412" t="s">
        <v>67</v>
      </c>
    </row>
    <row r="413" spans="1:19" x14ac:dyDescent="0.25">
      <c r="A413">
        <v>131287</v>
      </c>
      <c r="B413">
        <v>2024</v>
      </c>
      <c r="C413" t="s">
        <v>200</v>
      </c>
      <c r="D413" t="s">
        <v>26</v>
      </c>
      <c r="E413" t="s">
        <v>330</v>
      </c>
      <c r="F413" t="s">
        <v>331</v>
      </c>
      <c r="G413" s="1" t="s">
        <v>312</v>
      </c>
      <c r="H413" s="1" t="s">
        <v>312</v>
      </c>
      <c r="I413" t="s">
        <v>31</v>
      </c>
      <c r="J413" t="s">
        <v>32</v>
      </c>
      <c r="K413" t="s">
        <v>203</v>
      </c>
      <c r="L413" t="s">
        <v>204</v>
      </c>
      <c r="M413" t="s">
        <v>206</v>
      </c>
      <c r="N413">
        <v>2</v>
      </c>
      <c r="O413" t="s">
        <v>197</v>
      </c>
      <c r="R413" t="s">
        <v>190</v>
      </c>
      <c r="S413" t="s">
        <v>198</v>
      </c>
    </row>
    <row r="414" spans="1:19" x14ac:dyDescent="0.25">
      <c r="A414">
        <v>131287</v>
      </c>
      <c r="B414">
        <v>2024</v>
      </c>
      <c r="C414" t="s">
        <v>200</v>
      </c>
      <c r="D414" t="s">
        <v>26</v>
      </c>
      <c r="E414" t="s">
        <v>330</v>
      </c>
      <c r="F414" t="s">
        <v>331</v>
      </c>
      <c r="G414" s="1" t="s">
        <v>312</v>
      </c>
      <c r="H414" s="1" t="s">
        <v>312</v>
      </c>
      <c r="I414" t="s">
        <v>31</v>
      </c>
      <c r="J414" t="s">
        <v>32</v>
      </c>
      <c r="K414" t="s">
        <v>203</v>
      </c>
      <c r="L414" t="s">
        <v>204</v>
      </c>
      <c r="M414" t="s">
        <v>206</v>
      </c>
      <c r="N414">
        <v>3</v>
      </c>
      <c r="P414" t="s">
        <v>60</v>
      </c>
      <c r="Q414" t="s">
        <v>59</v>
      </c>
      <c r="R414" t="s">
        <v>249</v>
      </c>
      <c r="S414" t="s">
        <v>61</v>
      </c>
    </row>
    <row r="415" spans="1:19" x14ac:dyDescent="0.25">
      <c r="A415">
        <v>141539</v>
      </c>
      <c r="B415">
        <v>2025</v>
      </c>
      <c r="C415" t="s">
        <v>24</v>
      </c>
      <c r="D415" t="s">
        <v>26</v>
      </c>
      <c r="E415" t="s">
        <v>177</v>
      </c>
      <c r="F415" t="s">
        <v>344</v>
      </c>
      <c r="G415" s="1" t="s">
        <v>340</v>
      </c>
      <c r="H415" s="1" t="s">
        <v>341</v>
      </c>
      <c r="I415" t="s">
        <v>31</v>
      </c>
      <c r="J415" t="s">
        <v>32</v>
      </c>
      <c r="K415" t="s">
        <v>33</v>
      </c>
      <c r="L415" t="s">
        <v>34</v>
      </c>
      <c r="M415" t="s">
        <v>36</v>
      </c>
      <c r="N415">
        <v>1</v>
      </c>
      <c r="O415" t="s">
        <v>68</v>
      </c>
      <c r="S415" t="s">
        <v>69</v>
      </c>
    </row>
    <row r="416" spans="1:19" x14ac:dyDescent="0.25">
      <c r="A416">
        <v>141539</v>
      </c>
      <c r="B416">
        <v>2025</v>
      </c>
      <c r="C416" t="s">
        <v>24</v>
      </c>
      <c r="D416" t="s">
        <v>26</v>
      </c>
      <c r="E416" t="s">
        <v>177</v>
      </c>
      <c r="F416" t="s">
        <v>344</v>
      </c>
      <c r="G416" s="1" t="s">
        <v>340</v>
      </c>
      <c r="H416" s="1" t="s">
        <v>341</v>
      </c>
      <c r="I416" t="s">
        <v>31</v>
      </c>
      <c r="J416" t="s">
        <v>32</v>
      </c>
      <c r="K416" t="s">
        <v>33</v>
      </c>
      <c r="L416" t="s">
        <v>34</v>
      </c>
      <c r="M416" t="s">
        <v>36</v>
      </c>
      <c r="N416">
        <v>2</v>
      </c>
      <c r="O416" t="s">
        <v>57</v>
      </c>
      <c r="S416" t="s">
        <v>58</v>
      </c>
    </row>
    <row r="417" spans="1:19" x14ac:dyDescent="0.25">
      <c r="A417">
        <v>141539</v>
      </c>
      <c r="B417">
        <v>2025</v>
      </c>
      <c r="C417" t="s">
        <v>24</v>
      </c>
      <c r="D417" t="s">
        <v>26</v>
      </c>
      <c r="E417" t="s">
        <v>177</v>
      </c>
      <c r="F417" t="s">
        <v>344</v>
      </c>
      <c r="G417" s="1" t="s">
        <v>340</v>
      </c>
      <c r="H417" s="1" t="s">
        <v>341</v>
      </c>
      <c r="I417" t="s">
        <v>31</v>
      </c>
      <c r="J417" t="s">
        <v>32</v>
      </c>
      <c r="K417" t="s">
        <v>33</v>
      </c>
      <c r="L417" t="s">
        <v>34</v>
      </c>
      <c r="M417" t="s">
        <v>36</v>
      </c>
      <c r="N417">
        <v>3</v>
      </c>
      <c r="O417" t="s">
        <v>57</v>
      </c>
      <c r="S417" t="s">
        <v>58</v>
      </c>
    </row>
    <row r="418" spans="1:19" x14ac:dyDescent="0.25">
      <c r="A418">
        <v>141539</v>
      </c>
      <c r="B418">
        <v>2025</v>
      </c>
      <c r="C418" t="s">
        <v>24</v>
      </c>
      <c r="D418" t="s">
        <v>26</v>
      </c>
      <c r="E418" t="s">
        <v>177</v>
      </c>
      <c r="F418" t="s">
        <v>344</v>
      </c>
      <c r="G418" s="1" t="s">
        <v>340</v>
      </c>
      <c r="H418" s="1" t="s">
        <v>341</v>
      </c>
      <c r="I418" t="s">
        <v>31</v>
      </c>
      <c r="J418" t="s">
        <v>32</v>
      </c>
      <c r="K418" t="s">
        <v>33</v>
      </c>
      <c r="L418" t="s">
        <v>34</v>
      </c>
      <c r="M418" t="s">
        <v>36</v>
      </c>
      <c r="N418">
        <v>4</v>
      </c>
      <c r="O418" t="s">
        <v>57</v>
      </c>
      <c r="S418" t="s">
        <v>58</v>
      </c>
    </row>
    <row r="419" spans="1:19" x14ac:dyDescent="0.25">
      <c r="A419">
        <v>141539</v>
      </c>
      <c r="B419">
        <v>2025</v>
      </c>
      <c r="C419" t="s">
        <v>24</v>
      </c>
      <c r="D419" t="s">
        <v>26</v>
      </c>
      <c r="E419" t="s">
        <v>177</v>
      </c>
      <c r="F419" t="s">
        <v>344</v>
      </c>
      <c r="G419" s="1" t="s">
        <v>340</v>
      </c>
      <c r="H419" s="1" t="s">
        <v>341</v>
      </c>
      <c r="I419" t="s">
        <v>31</v>
      </c>
      <c r="J419" t="s">
        <v>32</v>
      </c>
      <c r="K419" t="s">
        <v>33</v>
      </c>
      <c r="L419" t="s">
        <v>34</v>
      </c>
      <c r="M419" t="s">
        <v>36</v>
      </c>
      <c r="N419">
        <v>5</v>
      </c>
      <c r="O419" t="s">
        <v>57</v>
      </c>
      <c r="S419" t="s">
        <v>58</v>
      </c>
    </row>
    <row r="420" spans="1:19" x14ac:dyDescent="0.25">
      <c r="A420">
        <v>141539</v>
      </c>
      <c r="B420">
        <v>2025</v>
      </c>
      <c r="C420" t="s">
        <v>24</v>
      </c>
      <c r="D420" t="s">
        <v>26</v>
      </c>
      <c r="E420" t="s">
        <v>177</v>
      </c>
      <c r="F420" t="s">
        <v>344</v>
      </c>
      <c r="G420" s="1" t="s">
        <v>340</v>
      </c>
      <c r="H420" s="1" t="s">
        <v>341</v>
      </c>
      <c r="I420" t="s">
        <v>31</v>
      </c>
      <c r="J420" t="s">
        <v>32</v>
      </c>
      <c r="K420" t="s">
        <v>33</v>
      </c>
      <c r="L420" t="s">
        <v>34</v>
      </c>
      <c r="M420" t="s">
        <v>36</v>
      </c>
      <c r="N420">
        <v>6</v>
      </c>
      <c r="O420" t="s">
        <v>68</v>
      </c>
      <c r="S420" t="s">
        <v>69</v>
      </c>
    </row>
    <row r="421" spans="1:19" x14ac:dyDescent="0.25">
      <c r="A421">
        <v>141539</v>
      </c>
      <c r="B421">
        <v>2025</v>
      </c>
      <c r="C421" t="s">
        <v>24</v>
      </c>
      <c r="D421" t="s">
        <v>26</v>
      </c>
      <c r="E421" t="s">
        <v>177</v>
      </c>
      <c r="F421" t="s">
        <v>344</v>
      </c>
      <c r="G421" s="1" t="s">
        <v>340</v>
      </c>
      <c r="H421" s="1" t="s">
        <v>341</v>
      </c>
      <c r="I421" t="s">
        <v>31</v>
      </c>
      <c r="J421" t="s">
        <v>32</v>
      </c>
      <c r="K421" t="s">
        <v>33</v>
      </c>
      <c r="L421" t="s">
        <v>34</v>
      </c>
      <c r="M421" t="s">
        <v>36</v>
      </c>
      <c r="N421">
        <v>7</v>
      </c>
      <c r="O421" t="s">
        <v>68</v>
      </c>
      <c r="S421" t="s">
        <v>69</v>
      </c>
    </row>
    <row r="422" spans="1:19" x14ac:dyDescent="0.25">
      <c r="A422">
        <v>141539</v>
      </c>
      <c r="B422">
        <v>2025</v>
      </c>
      <c r="C422" t="s">
        <v>24</v>
      </c>
      <c r="D422" t="s">
        <v>26</v>
      </c>
      <c r="E422" t="s">
        <v>177</v>
      </c>
      <c r="F422" t="s">
        <v>344</v>
      </c>
      <c r="G422" s="1" t="s">
        <v>340</v>
      </c>
      <c r="H422" s="1" t="s">
        <v>341</v>
      </c>
      <c r="I422" t="s">
        <v>31</v>
      </c>
      <c r="J422" t="s">
        <v>32</v>
      </c>
      <c r="K422" t="s">
        <v>33</v>
      </c>
      <c r="L422" t="s">
        <v>34</v>
      </c>
      <c r="M422" t="s">
        <v>36</v>
      </c>
      <c r="N422">
        <v>8</v>
      </c>
      <c r="O422" t="s">
        <v>57</v>
      </c>
      <c r="S422" t="s">
        <v>58</v>
      </c>
    </row>
    <row r="423" spans="1:19" x14ac:dyDescent="0.25">
      <c r="A423">
        <v>141539</v>
      </c>
      <c r="B423">
        <v>2025</v>
      </c>
      <c r="C423" t="s">
        <v>24</v>
      </c>
      <c r="D423" t="s">
        <v>26</v>
      </c>
      <c r="E423" t="s">
        <v>177</v>
      </c>
      <c r="F423" t="s">
        <v>344</v>
      </c>
      <c r="G423" s="1" t="s">
        <v>340</v>
      </c>
      <c r="H423" s="1" t="s">
        <v>341</v>
      </c>
      <c r="I423" t="s">
        <v>31</v>
      </c>
      <c r="J423" t="s">
        <v>32</v>
      </c>
      <c r="K423" t="s">
        <v>33</v>
      </c>
      <c r="L423" t="s">
        <v>34</v>
      </c>
      <c r="M423" t="s">
        <v>36</v>
      </c>
      <c r="N423">
        <v>9</v>
      </c>
      <c r="O423" t="s">
        <v>68</v>
      </c>
      <c r="S423" t="s">
        <v>69</v>
      </c>
    </row>
    <row r="424" spans="1:19" x14ac:dyDescent="0.25">
      <c r="A424">
        <v>141539</v>
      </c>
      <c r="B424">
        <v>2025</v>
      </c>
      <c r="C424" t="s">
        <v>24</v>
      </c>
      <c r="D424" t="s">
        <v>26</v>
      </c>
      <c r="E424" t="s">
        <v>177</v>
      </c>
      <c r="F424" t="s">
        <v>344</v>
      </c>
      <c r="G424" s="1" t="s">
        <v>340</v>
      </c>
      <c r="H424" s="1" t="s">
        <v>341</v>
      </c>
      <c r="I424" t="s">
        <v>31</v>
      </c>
      <c r="J424" t="s">
        <v>32</v>
      </c>
      <c r="K424" t="s">
        <v>33</v>
      </c>
      <c r="L424" t="s">
        <v>34</v>
      </c>
      <c r="M424" t="s">
        <v>36</v>
      </c>
      <c r="N424">
        <v>10</v>
      </c>
      <c r="O424" t="s">
        <v>57</v>
      </c>
      <c r="S424" t="s">
        <v>58</v>
      </c>
    </row>
    <row r="425" spans="1:19" x14ac:dyDescent="0.25">
      <c r="A425">
        <v>141539</v>
      </c>
      <c r="B425">
        <v>2025</v>
      </c>
      <c r="C425" t="s">
        <v>24</v>
      </c>
      <c r="D425" t="s">
        <v>26</v>
      </c>
      <c r="E425" t="s">
        <v>177</v>
      </c>
      <c r="F425" t="s">
        <v>344</v>
      </c>
      <c r="G425" s="1" t="s">
        <v>340</v>
      </c>
      <c r="H425" s="1" t="s">
        <v>341</v>
      </c>
      <c r="I425" t="s">
        <v>31</v>
      </c>
      <c r="J425" t="s">
        <v>32</v>
      </c>
      <c r="K425" t="s">
        <v>33</v>
      </c>
      <c r="L425" t="s">
        <v>34</v>
      </c>
      <c r="M425" t="s">
        <v>36</v>
      </c>
      <c r="N425">
        <v>11</v>
      </c>
      <c r="O425" t="s">
        <v>197</v>
      </c>
      <c r="S425" t="s">
        <v>198</v>
      </c>
    </row>
    <row r="426" spans="1:19" x14ac:dyDescent="0.25">
      <c r="A426">
        <v>141539</v>
      </c>
      <c r="B426">
        <v>2025</v>
      </c>
      <c r="C426" t="s">
        <v>24</v>
      </c>
      <c r="D426" t="s">
        <v>26</v>
      </c>
      <c r="E426" t="s">
        <v>177</v>
      </c>
      <c r="F426" t="s">
        <v>344</v>
      </c>
      <c r="G426" s="1" t="s">
        <v>340</v>
      </c>
      <c r="H426" s="1" t="s">
        <v>341</v>
      </c>
      <c r="I426" t="s">
        <v>31</v>
      </c>
      <c r="J426" t="s">
        <v>32</v>
      </c>
      <c r="K426" t="s">
        <v>33</v>
      </c>
      <c r="L426" t="s">
        <v>34</v>
      </c>
      <c r="M426" t="s">
        <v>36</v>
      </c>
      <c r="N426">
        <v>12</v>
      </c>
      <c r="O426" t="s">
        <v>66</v>
      </c>
      <c r="S426" t="s">
        <v>67</v>
      </c>
    </row>
    <row r="427" spans="1:19" x14ac:dyDescent="0.25">
      <c r="A427">
        <v>141539</v>
      </c>
      <c r="B427">
        <v>2025</v>
      </c>
      <c r="C427" t="s">
        <v>24</v>
      </c>
      <c r="D427" t="s">
        <v>26</v>
      </c>
      <c r="E427" t="s">
        <v>177</v>
      </c>
      <c r="F427" t="s">
        <v>344</v>
      </c>
      <c r="G427" s="1" t="s">
        <v>340</v>
      </c>
      <c r="H427" s="1" t="s">
        <v>341</v>
      </c>
      <c r="I427" t="s">
        <v>31</v>
      </c>
      <c r="J427" t="s">
        <v>32</v>
      </c>
      <c r="K427" t="s">
        <v>33</v>
      </c>
      <c r="L427" t="s">
        <v>34</v>
      </c>
      <c r="M427" t="s">
        <v>36</v>
      </c>
      <c r="N427">
        <v>13</v>
      </c>
      <c r="O427" t="s">
        <v>68</v>
      </c>
      <c r="S427" t="s">
        <v>69</v>
      </c>
    </row>
    <row r="428" spans="1:19" x14ac:dyDescent="0.25">
      <c r="A428">
        <v>141539</v>
      </c>
      <c r="B428">
        <v>2025</v>
      </c>
      <c r="C428" t="s">
        <v>24</v>
      </c>
      <c r="D428" t="s">
        <v>26</v>
      </c>
      <c r="E428" t="s">
        <v>177</v>
      </c>
      <c r="F428" t="s">
        <v>344</v>
      </c>
      <c r="G428" s="1" t="s">
        <v>340</v>
      </c>
      <c r="H428" s="1" t="s">
        <v>341</v>
      </c>
      <c r="I428" t="s">
        <v>31</v>
      </c>
      <c r="J428" t="s">
        <v>32</v>
      </c>
      <c r="K428" t="s">
        <v>33</v>
      </c>
      <c r="L428" t="s">
        <v>34</v>
      </c>
      <c r="M428" t="s">
        <v>36</v>
      </c>
      <c r="N428">
        <v>14</v>
      </c>
      <c r="O428" t="s">
        <v>57</v>
      </c>
      <c r="S428" t="s">
        <v>58</v>
      </c>
    </row>
    <row r="429" spans="1:19" x14ac:dyDescent="0.25">
      <c r="A429">
        <v>141539</v>
      </c>
      <c r="B429">
        <v>2025</v>
      </c>
      <c r="C429" t="s">
        <v>24</v>
      </c>
      <c r="D429" t="s">
        <v>26</v>
      </c>
      <c r="E429" t="s">
        <v>177</v>
      </c>
      <c r="F429" t="s">
        <v>344</v>
      </c>
      <c r="G429" s="1" t="s">
        <v>340</v>
      </c>
      <c r="H429" s="1" t="s">
        <v>341</v>
      </c>
      <c r="I429" t="s">
        <v>31</v>
      </c>
      <c r="J429" t="s">
        <v>32</v>
      </c>
      <c r="K429" t="s">
        <v>33</v>
      </c>
      <c r="L429" t="s">
        <v>34</v>
      </c>
      <c r="M429" t="s">
        <v>36</v>
      </c>
      <c r="N429">
        <v>15</v>
      </c>
      <c r="O429" t="s">
        <v>57</v>
      </c>
      <c r="S429" t="s">
        <v>58</v>
      </c>
    </row>
    <row r="430" spans="1:19" x14ac:dyDescent="0.25">
      <c r="A430">
        <v>141539</v>
      </c>
      <c r="B430">
        <v>2025</v>
      </c>
      <c r="C430" t="s">
        <v>24</v>
      </c>
      <c r="D430" t="s">
        <v>26</v>
      </c>
      <c r="E430" t="s">
        <v>177</v>
      </c>
      <c r="F430" t="s">
        <v>344</v>
      </c>
      <c r="G430" s="1" t="s">
        <v>340</v>
      </c>
      <c r="H430" s="1" t="s">
        <v>341</v>
      </c>
      <c r="I430" t="s">
        <v>31</v>
      </c>
      <c r="J430" t="s">
        <v>32</v>
      </c>
      <c r="K430" t="s">
        <v>33</v>
      </c>
      <c r="L430" t="s">
        <v>34</v>
      </c>
      <c r="M430" t="s">
        <v>36</v>
      </c>
      <c r="N430">
        <v>16</v>
      </c>
      <c r="O430" t="s">
        <v>57</v>
      </c>
      <c r="S430" t="s">
        <v>58</v>
      </c>
    </row>
    <row r="431" spans="1:19" x14ac:dyDescent="0.25">
      <c r="A431">
        <v>141539</v>
      </c>
      <c r="B431">
        <v>2025</v>
      </c>
      <c r="C431" t="s">
        <v>24</v>
      </c>
      <c r="D431" t="s">
        <v>26</v>
      </c>
      <c r="E431" t="s">
        <v>177</v>
      </c>
      <c r="F431" t="s">
        <v>344</v>
      </c>
      <c r="G431" s="1" t="s">
        <v>340</v>
      </c>
      <c r="H431" s="1" t="s">
        <v>341</v>
      </c>
      <c r="I431" t="s">
        <v>31</v>
      </c>
      <c r="J431" t="s">
        <v>32</v>
      </c>
      <c r="K431" t="s">
        <v>33</v>
      </c>
      <c r="L431" t="s">
        <v>34</v>
      </c>
      <c r="M431" t="s">
        <v>36</v>
      </c>
      <c r="N431">
        <v>17</v>
      </c>
      <c r="P431" t="s">
        <v>60</v>
      </c>
      <c r="Q431" t="s">
        <v>59</v>
      </c>
      <c r="S431" t="s">
        <v>61</v>
      </c>
    </row>
    <row r="432" spans="1:19" x14ac:dyDescent="0.25">
      <c r="A432">
        <v>141539</v>
      </c>
      <c r="B432">
        <v>2025</v>
      </c>
      <c r="C432" t="s">
        <v>24</v>
      </c>
      <c r="D432" t="s">
        <v>26</v>
      </c>
      <c r="E432" t="s">
        <v>177</v>
      </c>
      <c r="F432" t="s">
        <v>344</v>
      </c>
      <c r="G432" s="1" t="s">
        <v>340</v>
      </c>
      <c r="H432" s="1" t="s">
        <v>341</v>
      </c>
      <c r="I432" t="s">
        <v>31</v>
      </c>
      <c r="J432" t="s">
        <v>32</v>
      </c>
      <c r="K432" t="s">
        <v>33</v>
      </c>
      <c r="L432" t="s">
        <v>34</v>
      </c>
      <c r="M432" t="s">
        <v>36</v>
      </c>
      <c r="N432">
        <v>18</v>
      </c>
      <c r="O432" t="s">
        <v>197</v>
      </c>
      <c r="S432" t="s">
        <v>198</v>
      </c>
    </row>
    <row r="433" spans="1:19" x14ac:dyDescent="0.25">
      <c r="A433">
        <v>141539</v>
      </c>
      <c r="B433">
        <v>2025</v>
      </c>
      <c r="C433" t="s">
        <v>24</v>
      </c>
      <c r="D433" t="s">
        <v>26</v>
      </c>
      <c r="E433" t="s">
        <v>177</v>
      </c>
      <c r="F433" t="s">
        <v>344</v>
      </c>
      <c r="G433" s="1" t="s">
        <v>340</v>
      </c>
      <c r="H433" s="1" t="s">
        <v>341</v>
      </c>
      <c r="I433" t="s">
        <v>31</v>
      </c>
      <c r="J433" t="s">
        <v>32</v>
      </c>
      <c r="K433" t="s">
        <v>33</v>
      </c>
      <c r="L433" t="s">
        <v>34</v>
      </c>
      <c r="M433" t="s">
        <v>36</v>
      </c>
      <c r="N433">
        <v>19</v>
      </c>
      <c r="Q433" t="s">
        <v>59</v>
      </c>
    </row>
    <row r="434" spans="1:19" x14ac:dyDescent="0.25">
      <c r="A434">
        <v>141539</v>
      </c>
      <c r="B434">
        <v>2025</v>
      </c>
      <c r="C434" t="s">
        <v>24</v>
      </c>
      <c r="D434" t="s">
        <v>26</v>
      </c>
      <c r="E434" t="s">
        <v>177</v>
      </c>
      <c r="F434" t="s">
        <v>344</v>
      </c>
      <c r="G434" s="1" t="s">
        <v>340</v>
      </c>
      <c r="H434" s="1" t="s">
        <v>341</v>
      </c>
      <c r="I434" t="s">
        <v>31</v>
      </c>
      <c r="J434" t="s">
        <v>32</v>
      </c>
      <c r="K434" t="s">
        <v>33</v>
      </c>
      <c r="L434" t="s">
        <v>34</v>
      </c>
      <c r="M434" t="s">
        <v>36</v>
      </c>
      <c r="N434">
        <v>20</v>
      </c>
      <c r="O434" t="s">
        <v>57</v>
      </c>
      <c r="R434" t="s">
        <v>190</v>
      </c>
      <c r="S434" t="s">
        <v>58</v>
      </c>
    </row>
    <row r="435" spans="1:19" x14ac:dyDescent="0.25">
      <c r="A435">
        <v>141539</v>
      </c>
      <c r="B435">
        <v>2025</v>
      </c>
      <c r="C435" t="s">
        <v>24</v>
      </c>
      <c r="D435" t="s">
        <v>26</v>
      </c>
      <c r="E435" t="s">
        <v>177</v>
      </c>
      <c r="F435" t="s">
        <v>344</v>
      </c>
      <c r="G435" s="1" t="s">
        <v>340</v>
      </c>
      <c r="H435" s="1" t="s">
        <v>341</v>
      </c>
      <c r="I435" t="s">
        <v>31</v>
      </c>
      <c r="J435" t="s">
        <v>32</v>
      </c>
      <c r="K435" t="s">
        <v>33</v>
      </c>
      <c r="L435" t="s">
        <v>34</v>
      </c>
      <c r="M435" t="s">
        <v>36</v>
      </c>
      <c r="N435">
        <v>21</v>
      </c>
      <c r="O435" t="s">
        <v>57</v>
      </c>
      <c r="S435" t="s">
        <v>58</v>
      </c>
    </row>
    <row r="436" spans="1:19" x14ac:dyDescent="0.25">
      <c r="A436">
        <v>141539</v>
      </c>
      <c r="B436">
        <v>2025</v>
      </c>
      <c r="C436" t="s">
        <v>24</v>
      </c>
      <c r="D436" t="s">
        <v>26</v>
      </c>
      <c r="E436" t="s">
        <v>177</v>
      </c>
      <c r="F436" t="s">
        <v>344</v>
      </c>
      <c r="G436" s="1" t="s">
        <v>340</v>
      </c>
      <c r="H436" s="1" t="s">
        <v>341</v>
      </c>
      <c r="I436" t="s">
        <v>31</v>
      </c>
      <c r="J436" t="s">
        <v>32</v>
      </c>
      <c r="K436" t="s">
        <v>33</v>
      </c>
      <c r="L436" t="s">
        <v>34</v>
      </c>
      <c r="M436" t="s">
        <v>36</v>
      </c>
      <c r="N436">
        <v>22</v>
      </c>
      <c r="P436" t="s">
        <v>60</v>
      </c>
      <c r="Q436" t="s">
        <v>59</v>
      </c>
      <c r="S436" t="s">
        <v>61</v>
      </c>
    </row>
    <row r="437" spans="1:19" x14ac:dyDescent="0.25">
      <c r="A437">
        <v>141539</v>
      </c>
      <c r="B437">
        <v>2025</v>
      </c>
      <c r="C437" t="s">
        <v>24</v>
      </c>
      <c r="D437" t="s">
        <v>26</v>
      </c>
      <c r="E437" t="s">
        <v>177</v>
      </c>
      <c r="F437" t="s">
        <v>344</v>
      </c>
      <c r="G437" s="1" t="s">
        <v>340</v>
      </c>
      <c r="H437" s="1" t="s">
        <v>341</v>
      </c>
      <c r="I437" t="s">
        <v>31</v>
      </c>
      <c r="J437" t="s">
        <v>32</v>
      </c>
      <c r="K437" t="s">
        <v>33</v>
      </c>
      <c r="L437" t="s">
        <v>34</v>
      </c>
      <c r="M437" t="s">
        <v>36</v>
      </c>
      <c r="N437">
        <v>23</v>
      </c>
      <c r="O437" t="s">
        <v>197</v>
      </c>
      <c r="S437" t="s">
        <v>198</v>
      </c>
    </row>
    <row r="438" spans="1:19" x14ac:dyDescent="0.25">
      <c r="A438">
        <v>141539</v>
      </c>
      <c r="B438">
        <v>2025</v>
      </c>
      <c r="C438" t="s">
        <v>24</v>
      </c>
      <c r="D438" t="s">
        <v>26</v>
      </c>
      <c r="E438" t="s">
        <v>177</v>
      </c>
      <c r="F438" t="s">
        <v>344</v>
      </c>
      <c r="G438" s="1" t="s">
        <v>340</v>
      </c>
      <c r="H438" s="1" t="s">
        <v>341</v>
      </c>
      <c r="I438" t="s">
        <v>31</v>
      </c>
      <c r="J438" t="s">
        <v>32</v>
      </c>
      <c r="K438" t="s">
        <v>33</v>
      </c>
      <c r="L438" t="s">
        <v>34</v>
      </c>
      <c r="M438" t="s">
        <v>36</v>
      </c>
      <c r="N438">
        <v>24</v>
      </c>
      <c r="O438" t="s">
        <v>57</v>
      </c>
      <c r="S438" t="s">
        <v>58</v>
      </c>
    </row>
    <row r="439" spans="1:19" x14ac:dyDescent="0.25">
      <c r="A439">
        <v>141539</v>
      </c>
      <c r="B439">
        <v>2025</v>
      </c>
      <c r="C439" t="s">
        <v>24</v>
      </c>
      <c r="D439" t="s">
        <v>26</v>
      </c>
      <c r="E439" t="s">
        <v>177</v>
      </c>
      <c r="F439" t="s">
        <v>344</v>
      </c>
      <c r="G439" s="1" t="s">
        <v>340</v>
      </c>
      <c r="H439" s="1" t="s">
        <v>341</v>
      </c>
      <c r="I439" t="s">
        <v>31</v>
      </c>
      <c r="J439" t="s">
        <v>32</v>
      </c>
      <c r="K439" t="s">
        <v>33</v>
      </c>
      <c r="L439" t="s">
        <v>34</v>
      </c>
      <c r="M439" t="s">
        <v>36</v>
      </c>
      <c r="N439">
        <v>25</v>
      </c>
      <c r="P439" t="s">
        <v>60</v>
      </c>
      <c r="Q439" t="s">
        <v>59</v>
      </c>
      <c r="R439" t="s">
        <v>190</v>
      </c>
      <c r="S439" t="s">
        <v>61</v>
      </c>
    </row>
    <row r="440" spans="1:19" x14ac:dyDescent="0.25">
      <c r="A440">
        <v>141539</v>
      </c>
      <c r="B440">
        <v>2025</v>
      </c>
      <c r="C440" t="s">
        <v>24</v>
      </c>
      <c r="D440" t="s">
        <v>26</v>
      </c>
      <c r="E440" t="s">
        <v>177</v>
      </c>
      <c r="F440" t="s">
        <v>345</v>
      </c>
      <c r="G440" s="1" t="s">
        <v>346</v>
      </c>
      <c r="H440" s="1" t="s">
        <v>341</v>
      </c>
      <c r="I440" t="s">
        <v>31</v>
      </c>
      <c r="J440" t="s">
        <v>32</v>
      </c>
      <c r="K440" t="s">
        <v>33</v>
      </c>
      <c r="L440" t="s">
        <v>34</v>
      </c>
      <c r="M440" t="s">
        <v>36</v>
      </c>
      <c r="N440">
        <v>1</v>
      </c>
      <c r="O440" t="s">
        <v>57</v>
      </c>
      <c r="S440" t="s">
        <v>58</v>
      </c>
    </row>
    <row r="441" spans="1:19" x14ac:dyDescent="0.25">
      <c r="A441">
        <v>141539</v>
      </c>
      <c r="B441">
        <v>2025</v>
      </c>
      <c r="C441" t="s">
        <v>24</v>
      </c>
      <c r="D441" t="s">
        <v>26</v>
      </c>
      <c r="E441" t="s">
        <v>177</v>
      </c>
      <c r="F441" t="s">
        <v>345</v>
      </c>
      <c r="G441" s="1" t="s">
        <v>346</v>
      </c>
      <c r="H441" s="1" t="s">
        <v>341</v>
      </c>
      <c r="I441" t="s">
        <v>31</v>
      </c>
      <c r="J441" t="s">
        <v>32</v>
      </c>
      <c r="K441" t="s">
        <v>33</v>
      </c>
      <c r="L441" t="s">
        <v>34</v>
      </c>
      <c r="M441" t="s">
        <v>36</v>
      </c>
      <c r="N441">
        <v>2</v>
      </c>
      <c r="O441" t="s">
        <v>68</v>
      </c>
      <c r="R441" t="s">
        <v>190</v>
      </c>
      <c r="S441" t="s">
        <v>69</v>
      </c>
    </row>
    <row r="442" spans="1:19" x14ac:dyDescent="0.25">
      <c r="A442">
        <v>141539</v>
      </c>
      <c r="B442">
        <v>2025</v>
      </c>
      <c r="C442" t="s">
        <v>24</v>
      </c>
      <c r="D442" t="s">
        <v>26</v>
      </c>
      <c r="E442" t="s">
        <v>177</v>
      </c>
      <c r="F442" t="s">
        <v>345</v>
      </c>
      <c r="G442" s="1" t="s">
        <v>346</v>
      </c>
      <c r="H442" s="1" t="s">
        <v>341</v>
      </c>
      <c r="I442" t="s">
        <v>31</v>
      </c>
      <c r="J442" t="s">
        <v>32</v>
      </c>
      <c r="K442" t="s">
        <v>33</v>
      </c>
      <c r="L442" t="s">
        <v>34</v>
      </c>
      <c r="M442" t="s">
        <v>36</v>
      </c>
      <c r="N442">
        <v>3</v>
      </c>
      <c r="O442" t="s">
        <v>66</v>
      </c>
      <c r="R442" t="s">
        <v>190</v>
      </c>
      <c r="S442" t="s">
        <v>67</v>
      </c>
    </row>
    <row r="443" spans="1:19" x14ac:dyDescent="0.25">
      <c r="A443">
        <v>141539</v>
      </c>
      <c r="B443">
        <v>2025</v>
      </c>
      <c r="C443" t="s">
        <v>24</v>
      </c>
      <c r="D443" t="s">
        <v>26</v>
      </c>
      <c r="E443" t="s">
        <v>177</v>
      </c>
      <c r="F443" t="s">
        <v>345</v>
      </c>
      <c r="G443" s="1" t="s">
        <v>346</v>
      </c>
      <c r="H443" s="1" t="s">
        <v>341</v>
      </c>
      <c r="I443" t="s">
        <v>31</v>
      </c>
      <c r="J443" t="s">
        <v>32</v>
      </c>
      <c r="K443" t="s">
        <v>33</v>
      </c>
      <c r="L443" t="s">
        <v>34</v>
      </c>
      <c r="M443" t="s">
        <v>36</v>
      </c>
      <c r="N443">
        <v>4</v>
      </c>
      <c r="O443" t="s">
        <v>68</v>
      </c>
      <c r="R443" t="s">
        <v>190</v>
      </c>
      <c r="S443" t="s">
        <v>69</v>
      </c>
    </row>
    <row r="444" spans="1:19" x14ac:dyDescent="0.25">
      <c r="A444">
        <v>141539</v>
      </c>
      <c r="B444">
        <v>2025</v>
      </c>
      <c r="C444" t="s">
        <v>24</v>
      </c>
      <c r="D444" t="s">
        <v>26</v>
      </c>
      <c r="E444" t="s">
        <v>177</v>
      </c>
      <c r="F444" t="s">
        <v>345</v>
      </c>
      <c r="G444" s="1" t="s">
        <v>346</v>
      </c>
      <c r="H444" s="1" t="s">
        <v>341</v>
      </c>
      <c r="I444" t="s">
        <v>31</v>
      </c>
      <c r="J444" t="s">
        <v>32</v>
      </c>
      <c r="K444" t="s">
        <v>33</v>
      </c>
      <c r="L444" t="s">
        <v>34</v>
      </c>
      <c r="M444" t="s">
        <v>36</v>
      </c>
      <c r="N444">
        <v>5</v>
      </c>
      <c r="O444" t="s">
        <v>57</v>
      </c>
      <c r="R444" t="s">
        <v>190</v>
      </c>
      <c r="S444" t="s">
        <v>58</v>
      </c>
    </row>
    <row r="445" spans="1:19" x14ac:dyDescent="0.25">
      <c r="A445">
        <v>141539</v>
      </c>
      <c r="B445">
        <v>2025</v>
      </c>
      <c r="C445" t="s">
        <v>24</v>
      </c>
      <c r="D445" t="s">
        <v>26</v>
      </c>
      <c r="E445" t="s">
        <v>177</v>
      </c>
      <c r="F445" t="s">
        <v>345</v>
      </c>
      <c r="G445" s="1" t="s">
        <v>346</v>
      </c>
      <c r="H445" s="1" t="s">
        <v>341</v>
      </c>
      <c r="I445" t="s">
        <v>31</v>
      </c>
      <c r="J445" t="s">
        <v>32</v>
      </c>
      <c r="K445" t="s">
        <v>33</v>
      </c>
      <c r="L445" t="s">
        <v>34</v>
      </c>
      <c r="M445" t="s">
        <v>36</v>
      </c>
      <c r="N445">
        <v>6</v>
      </c>
      <c r="O445" t="s">
        <v>68</v>
      </c>
      <c r="R445" t="s">
        <v>190</v>
      </c>
      <c r="S445" t="s">
        <v>69</v>
      </c>
    </row>
    <row r="446" spans="1:19" x14ac:dyDescent="0.25">
      <c r="A446">
        <v>141539</v>
      </c>
      <c r="B446">
        <v>2025</v>
      </c>
      <c r="C446" t="s">
        <v>24</v>
      </c>
      <c r="D446" t="s">
        <v>26</v>
      </c>
      <c r="E446" t="s">
        <v>177</v>
      </c>
      <c r="F446" t="s">
        <v>345</v>
      </c>
      <c r="G446" s="1" t="s">
        <v>346</v>
      </c>
      <c r="H446" s="1" t="s">
        <v>341</v>
      </c>
      <c r="I446" t="s">
        <v>31</v>
      </c>
      <c r="J446" t="s">
        <v>32</v>
      </c>
      <c r="K446" t="s">
        <v>33</v>
      </c>
      <c r="L446" t="s">
        <v>34</v>
      </c>
      <c r="M446" t="s">
        <v>36</v>
      </c>
      <c r="N446">
        <v>7</v>
      </c>
      <c r="O446" t="s">
        <v>57</v>
      </c>
      <c r="S446" t="s">
        <v>58</v>
      </c>
    </row>
    <row r="447" spans="1:19" x14ac:dyDescent="0.25">
      <c r="A447">
        <v>141539</v>
      </c>
      <c r="B447">
        <v>2025</v>
      </c>
      <c r="C447" t="s">
        <v>24</v>
      </c>
      <c r="D447" t="s">
        <v>26</v>
      </c>
      <c r="E447" t="s">
        <v>177</v>
      </c>
      <c r="F447" t="s">
        <v>345</v>
      </c>
      <c r="G447" s="1" t="s">
        <v>346</v>
      </c>
      <c r="H447" s="1" t="s">
        <v>341</v>
      </c>
      <c r="I447" t="s">
        <v>31</v>
      </c>
      <c r="J447" t="s">
        <v>32</v>
      </c>
      <c r="K447" t="s">
        <v>33</v>
      </c>
      <c r="L447" t="s">
        <v>34</v>
      </c>
      <c r="M447" t="s">
        <v>36</v>
      </c>
      <c r="N447">
        <v>8</v>
      </c>
      <c r="O447" t="s">
        <v>57</v>
      </c>
      <c r="R447" t="s">
        <v>190</v>
      </c>
      <c r="S447" t="s">
        <v>58</v>
      </c>
    </row>
    <row r="448" spans="1:19" x14ac:dyDescent="0.25">
      <c r="A448">
        <v>141539</v>
      </c>
      <c r="B448">
        <v>2025</v>
      </c>
      <c r="C448" t="s">
        <v>24</v>
      </c>
      <c r="D448" t="s">
        <v>26</v>
      </c>
      <c r="E448" t="s">
        <v>177</v>
      </c>
      <c r="F448" t="s">
        <v>345</v>
      </c>
      <c r="G448" s="1" t="s">
        <v>346</v>
      </c>
      <c r="H448" s="1" t="s">
        <v>341</v>
      </c>
      <c r="I448" t="s">
        <v>31</v>
      </c>
      <c r="J448" t="s">
        <v>32</v>
      </c>
      <c r="K448" t="s">
        <v>33</v>
      </c>
      <c r="L448" t="s">
        <v>34</v>
      </c>
      <c r="M448" t="s">
        <v>36</v>
      </c>
      <c r="N448">
        <v>9</v>
      </c>
      <c r="O448" t="s">
        <v>275</v>
      </c>
      <c r="R448" t="s">
        <v>190</v>
      </c>
      <c r="S448" t="s">
        <v>276</v>
      </c>
    </row>
    <row r="449" spans="1:19" x14ac:dyDescent="0.25">
      <c r="A449">
        <v>141539</v>
      </c>
      <c r="B449">
        <v>2025</v>
      </c>
      <c r="C449" t="s">
        <v>24</v>
      </c>
      <c r="D449" t="s">
        <v>26</v>
      </c>
      <c r="E449" t="s">
        <v>177</v>
      </c>
      <c r="F449" t="s">
        <v>345</v>
      </c>
      <c r="G449" s="1" t="s">
        <v>346</v>
      </c>
      <c r="H449" s="1" t="s">
        <v>341</v>
      </c>
      <c r="I449" t="s">
        <v>31</v>
      </c>
      <c r="J449" t="s">
        <v>32</v>
      </c>
      <c r="K449" t="s">
        <v>33</v>
      </c>
      <c r="L449" t="s">
        <v>34</v>
      </c>
      <c r="M449" t="s">
        <v>36</v>
      </c>
      <c r="N449">
        <v>10</v>
      </c>
      <c r="O449" t="s">
        <v>275</v>
      </c>
      <c r="S449" t="s">
        <v>276</v>
      </c>
    </row>
    <row r="450" spans="1:19" x14ac:dyDescent="0.25">
      <c r="A450">
        <v>141539</v>
      </c>
      <c r="B450">
        <v>2025</v>
      </c>
      <c r="C450" t="s">
        <v>24</v>
      </c>
      <c r="D450" t="s">
        <v>26</v>
      </c>
      <c r="E450" t="s">
        <v>177</v>
      </c>
      <c r="F450" t="s">
        <v>345</v>
      </c>
      <c r="G450" s="1" t="s">
        <v>346</v>
      </c>
      <c r="H450" s="1" t="s">
        <v>341</v>
      </c>
      <c r="I450" t="s">
        <v>31</v>
      </c>
      <c r="J450" t="s">
        <v>32</v>
      </c>
      <c r="K450" t="s">
        <v>33</v>
      </c>
      <c r="L450" t="s">
        <v>34</v>
      </c>
      <c r="M450" t="s">
        <v>36</v>
      </c>
      <c r="N450">
        <v>11</v>
      </c>
      <c r="P450" t="s">
        <v>60</v>
      </c>
      <c r="Q450" t="s">
        <v>59</v>
      </c>
      <c r="R450" t="s">
        <v>190</v>
      </c>
      <c r="S450" t="s">
        <v>61</v>
      </c>
    </row>
    <row r="451" spans="1:19" x14ac:dyDescent="0.25">
      <c r="A451">
        <v>141539</v>
      </c>
      <c r="B451">
        <v>2025</v>
      </c>
      <c r="C451" t="s">
        <v>24</v>
      </c>
      <c r="D451" t="s">
        <v>26</v>
      </c>
      <c r="E451" t="s">
        <v>177</v>
      </c>
      <c r="F451" t="s">
        <v>345</v>
      </c>
      <c r="G451" s="1" t="s">
        <v>346</v>
      </c>
      <c r="H451" s="1" t="s">
        <v>341</v>
      </c>
      <c r="I451" t="s">
        <v>31</v>
      </c>
      <c r="J451" t="s">
        <v>32</v>
      </c>
      <c r="K451" t="s">
        <v>33</v>
      </c>
      <c r="L451" t="s">
        <v>34</v>
      </c>
      <c r="M451" t="s">
        <v>36</v>
      </c>
      <c r="N451">
        <v>12</v>
      </c>
      <c r="Q451" t="s">
        <v>151</v>
      </c>
    </row>
    <row r="452" spans="1:19" x14ac:dyDescent="0.25">
      <c r="A452">
        <v>141539</v>
      </c>
      <c r="B452">
        <v>2025</v>
      </c>
      <c r="C452" t="s">
        <v>24</v>
      </c>
      <c r="D452" t="s">
        <v>26</v>
      </c>
      <c r="E452" t="s">
        <v>177</v>
      </c>
      <c r="F452" t="s">
        <v>345</v>
      </c>
      <c r="G452" s="1" t="s">
        <v>346</v>
      </c>
      <c r="H452" s="1" t="s">
        <v>341</v>
      </c>
      <c r="I452" t="s">
        <v>31</v>
      </c>
      <c r="J452" t="s">
        <v>32</v>
      </c>
      <c r="K452" t="s">
        <v>33</v>
      </c>
      <c r="L452" t="s">
        <v>34</v>
      </c>
      <c r="M452" t="s">
        <v>36</v>
      </c>
      <c r="N452">
        <v>13</v>
      </c>
      <c r="Q452" t="s">
        <v>151</v>
      </c>
    </row>
    <row r="453" spans="1:19" x14ac:dyDescent="0.25">
      <c r="A453">
        <v>141539</v>
      </c>
      <c r="B453">
        <v>2025</v>
      </c>
      <c r="C453" t="s">
        <v>24</v>
      </c>
      <c r="D453" t="s">
        <v>26</v>
      </c>
      <c r="E453" t="s">
        <v>177</v>
      </c>
      <c r="F453" t="s">
        <v>345</v>
      </c>
      <c r="G453" s="1" t="s">
        <v>346</v>
      </c>
      <c r="H453" s="1" t="s">
        <v>341</v>
      </c>
      <c r="I453" t="s">
        <v>31</v>
      </c>
      <c r="J453" t="s">
        <v>32</v>
      </c>
      <c r="K453" t="s">
        <v>33</v>
      </c>
      <c r="L453" t="s">
        <v>34</v>
      </c>
      <c r="M453" t="s">
        <v>36</v>
      </c>
      <c r="N453">
        <v>14</v>
      </c>
      <c r="P453" t="s">
        <v>60</v>
      </c>
      <c r="Q453" t="s">
        <v>59</v>
      </c>
      <c r="R453" t="s">
        <v>190</v>
      </c>
      <c r="S453" t="s">
        <v>61</v>
      </c>
    </row>
    <row r="454" spans="1:19" x14ac:dyDescent="0.25">
      <c r="A454">
        <v>141539</v>
      </c>
      <c r="B454">
        <v>2025</v>
      </c>
      <c r="C454" t="s">
        <v>24</v>
      </c>
      <c r="D454" t="s">
        <v>26</v>
      </c>
      <c r="E454" t="s">
        <v>177</v>
      </c>
      <c r="F454" t="s">
        <v>345</v>
      </c>
      <c r="G454" s="1" t="s">
        <v>346</v>
      </c>
      <c r="H454" s="1" t="s">
        <v>341</v>
      </c>
      <c r="I454" t="s">
        <v>31</v>
      </c>
      <c r="J454" t="s">
        <v>32</v>
      </c>
      <c r="K454" t="s">
        <v>33</v>
      </c>
      <c r="L454" t="s">
        <v>34</v>
      </c>
      <c r="M454" t="s">
        <v>36</v>
      </c>
      <c r="N454">
        <v>15</v>
      </c>
      <c r="O454" t="s">
        <v>68</v>
      </c>
      <c r="S454" t="s">
        <v>69</v>
      </c>
    </row>
    <row r="455" spans="1:19" x14ac:dyDescent="0.25">
      <c r="A455">
        <v>141539</v>
      </c>
      <c r="B455">
        <v>2025</v>
      </c>
      <c r="C455" t="s">
        <v>24</v>
      </c>
      <c r="D455" t="s">
        <v>26</v>
      </c>
      <c r="E455" t="s">
        <v>177</v>
      </c>
      <c r="F455" t="s">
        <v>345</v>
      </c>
      <c r="G455" s="1" t="s">
        <v>346</v>
      </c>
      <c r="H455" s="1" t="s">
        <v>341</v>
      </c>
      <c r="I455" t="s">
        <v>31</v>
      </c>
      <c r="J455" t="s">
        <v>32</v>
      </c>
      <c r="K455" t="s">
        <v>33</v>
      </c>
      <c r="L455" t="s">
        <v>34</v>
      </c>
      <c r="M455" t="s">
        <v>36</v>
      </c>
      <c r="N455">
        <v>16</v>
      </c>
      <c r="O455" t="s">
        <v>68</v>
      </c>
      <c r="R455" t="s">
        <v>190</v>
      </c>
      <c r="S455" t="s">
        <v>69</v>
      </c>
    </row>
    <row r="456" spans="1:19" x14ac:dyDescent="0.25">
      <c r="A456">
        <v>141539</v>
      </c>
      <c r="B456">
        <v>2025</v>
      </c>
      <c r="C456" t="s">
        <v>24</v>
      </c>
      <c r="D456" t="s">
        <v>26</v>
      </c>
      <c r="E456" t="s">
        <v>177</v>
      </c>
      <c r="F456" t="s">
        <v>345</v>
      </c>
      <c r="G456" s="1" t="s">
        <v>346</v>
      </c>
      <c r="H456" s="1" t="s">
        <v>341</v>
      </c>
      <c r="I456" t="s">
        <v>31</v>
      </c>
      <c r="J456" t="s">
        <v>32</v>
      </c>
      <c r="K456" t="s">
        <v>33</v>
      </c>
      <c r="L456" t="s">
        <v>34</v>
      </c>
      <c r="M456" t="s">
        <v>36</v>
      </c>
      <c r="N456">
        <v>17</v>
      </c>
      <c r="O456" t="s">
        <v>57</v>
      </c>
      <c r="S456" t="s">
        <v>58</v>
      </c>
    </row>
    <row r="457" spans="1:19" x14ac:dyDescent="0.25">
      <c r="A457">
        <v>141539</v>
      </c>
      <c r="B457">
        <v>2025</v>
      </c>
      <c r="C457" t="s">
        <v>24</v>
      </c>
      <c r="D457" t="s">
        <v>26</v>
      </c>
      <c r="E457" t="s">
        <v>177</v>
      </c>
      <c r="F457" t="s">
        <v>345</v>
      </c>
      <c r="G457" s="1" t="s">
        <v>346</v>
      </c>
      <c r="H457" s="1" t="s">
        <v>341</v>
      </c>
      <c r="I457" t="s">
        <v>62</v>
      </c>
      <c r="J457" t="s">
        <v>32</v>
      </c>
      <c r="K457" t="s">
        <v>33</v>
      </c>
      <c r="L457" t="s">
        <v>34</v>
      </c>
      <c r="M457" t="s">
        <v>36</v>
      </c>
      <c r="N457">
        <v>18</v>
      </c>
      <c r="P457" t="s">
        <v>116</v>
      </c>
      <c r="Q457" t="s">
        <v>59</v>
      </c>
      <c r="S457" t="s">
        <v>117</v>
      </c>
    </row>
    <row r="458" spans="1:19" x14ac:dyDescent="0.25">
      <c r="A458">
        <v>145267</v>
      </c>
      <c r="B458">
        <v>2025</v>
      </c>
      <c r="C458" t="s">
        <v>200</v>
      </c>
      <c r="D458" t="s">
        <v>26</v>
      </c>
      <c r="E458" t="s">
        <v>201</v>
      </c>
      <c r="F458" t="s">
        <v>359</v>
      </c>
      <c r="G458" s="1" t="s">
        <v>351</v>
      </c>
      <c r="H458" s="1" t="s">
        <v>360</v>
      </c>
      <c r="I458" t="s">
        <v>31</v>
      </c>
      <c r="J458" t="s">
        <v>32</v>
      </c>
      <c r="K458" t="s">
        <v>203</v>
      </c>
      <c r="L458" t="s">
        <v>204</v>
      </c>
      <c r="M458" t="s">
        <v>206</v>
      </c>
      <c r="N458">
        <v>1</v>
      </c>
      <c r="O458" t="s">
        <v>275</v>
      </c>
      <c r="Q458" t="s">
        <v>161</v>
      </c>
      <c r="S458" t="s">
        <v>276</v>
      </c>
    </row>
    <row r="459" spans="1:19" x14ac:dyDescent="0.25">
      <c r="A459">
        <v>145267</v>
      </c>
      <c r="B459">
        <v>2025</v>
      </c>
      <c r="C459" t="s">
        <v>200</v>
      </c>
      <c r="D459" t="s">
        <v>26</v>
      </c>
      <c r="E459" t="s">
        <v>201</v>
      </c>
      <c r="F459" t="s">
        <v>359</v>
      </c>
      <c r="G459" s="1" t="s">
        <v>351</v>
      </c>
      <c r="H459" s="1" t="s">
        <v>360</v>
      </c>
      <c r="I459" t="s">
        <v>31</v>
      </c>
      <c r="J459" t="s">
        <v>32</v>
      </c>
      <c r="K459" t="s">
        <v>203</v>
      </c>
      <c r="L459" t="s">
        <v>204</v>
      </c>
      <c r="M459" t="s">
        <v>206</v>
      </c>
      <c r="N459">
        <v>2</v>
      </c>
      <c r="O459" t="s">
        <v>57</v>
      </c>
      <c r="S459" t="s">
        <v>58</v>
      </c>
    </row>
    <row r="460" spans="1:19" x14ac:dyDescent="0.25">
      <c r="A460">
        <v>145267</v>
      </c>
      <c r="B460">
        <v>2025</v>
      </c>
      <c r="C460" t="s">
        <v>200</v>
      </c>
      <c r="D460" t="s">
        <v>26</v>
      </c>
      <c r="E460" t="s">
        <v>201</v>
      </c>
      <c r="F460" t="s">
        <v>359</v>
      </c>
      <c r="G460" s="1" t="s">
        <v>351</v>
      </c>
      <c r="H460" s="1" t="s">
        <v>360</v>
      </c>
      <c r="I460" t="s">
        <v>31</v>
      </c>
      <c r="J460" t="s">
        <v>32</v>
      </c>
      <c r="K460" t="s">
        <v>203</v>
      </c>
      <c r="L460" t="s">
        <v>204</v>
      </c>
      <c r="M460" t="s">
        <v>206</v>
      </c>
      <c r="N460">
        <v>3</v>
      </c>
      <c r="O460" t="s">
        <v>66</v>
      </c>
      <c r="R460" t="s">
        <v>190</v>
      </c>
      <c r="S460" t="s">
        <v>67</v>
      </c>
    </row>
    <row r="461" spans="1:19" x14ac:dyDescent="0.25">
      <c r="A461">
        <v>145267</v>
      </c>
      <c r="B461">
        <v>2025</v>
      </c>
      <c r="C461" t="s">
        <v>200</v>
      </c>
      <c r="D461" t="s">
        <v>26</v>
      </c>
      <c r="E461" t="s">
        <v>201</v>
      </c>
      <c r="F461" t="s">
        <v>359</v>
      </c>
      <c r="G461" s="1" t="s">
        <v>351</v>
      </c>
      <c r="H461" s="1" t="s">
        <v>360</v>
      </c>
      <c r="I461" t="s">
        <v>31</v>
      </c>
      <c r="J461" t="s">
        <v>32</v>
      </c>
      <c r="K461" t="s">
        <v>203</v>
      </c>
      <c r="L461" t="s">
        <v>204</v>
      </c>
      <c r="M461" t="s">
        <v>206</v>
      </c>
      <c r="N461">
        <v>4</v>
      </c>
      <c r="O461" t="s">
        <v>275</v>
      </c>
      <c r="R461" t="s">
        <v>249</v>
      </c>
      <c r="S461" t="s">
        <v>276</v>
      </c>
    </row>
    <row r="462" spans="1:19" x14ac:dyDescent="0.25">
      <c r="A462">
        <v>145267</v>
      </c>
      <c r="B462">
        <v>2025</v>
      </c>
      <c r="C462" t="s">
        <v>200</v>
      </c>
      <c r="D462" t="s">
        <v>26</v>
      </c>
      <c r="E462" t="s">
        <v>201</v>
      </c>
      <c r="F462" t="s">
        <v>359</v>
      </c>
      <c r="G462" s="1" t="s">
        <v>351</v>
      </c>
      <c r="H462" s="1" t="s">
        <v>360</v>
      </c>
      <c r="I462" t="s">
        <v>31</v>
      </c>
      <c r="J462" t="s">
        <v>32</v>
      </c>
      <c r="K462" t="s">
        <v>203</v>
      </c>
      <c r="L462" t="s">
        <v>204</v>
      </c>
      <c r="M462" t="s">
        <v>206</v>
      </c>
      <c r="N462">
        <v>5</v>
      </c>
      <c r="O462" t="s">
        <v>373</v>
      </c>
      <c r="S462" t="s">
        <v>374</v>
      </c>
    </row>
    <row r="463" spans="1:19" x14ac:dyDescent="0.25">
      <c r="A463">
        <v>145267</v>
      </c>
      <c r="B463">
        <v>2025</v>
      </c>
      <c r="C463" t="s">
        <v>200</v>
      </c>
      <c r="D463" t="s">
        <v>26</v>
      </c>
      <c r="E463" t="s">
        <v>201</v>
      </c>
      <c r="F463" t="s">
        <v>359</v>
      </c>
      <c r="G463" s="1" t="s">
        <v>351</v>
      </c>
      <c r="H463" s="1" t="s">
        <v>360</v>
      </c>
      <c r="I463" t="s">
        <v>31</v>
      </c>
      <c r="J463" t="s">
        <v>32</v>
      </c>
      <c r="K463" t="s">
        <v>203</v>
      </c>
      <c r="L463" t="s">
        <v>204</v>
      </c>
      <c r="M463" t="s">
        <v>206</v>
      </c>
      <c r="N463">
        <v>6</v>
      </c>
      <c r="O463" t="s">
        <v>57</v>
      </c>
      <c r="S463" t="s">
        <v>58</v>
      </c>
    </row>
    <row r="464" spans="1:19" x14ac:dyDescent="0.25">
      <c r="A464">
        <v>145267</v>
      </c>
      <c r="B464">
        <v>2025</v>
      </c>
      <c r="C464" t="s">
        <v>200</v>
      </c>
      <c r="D464" t="s">
        <v>26</v>
      </c>
      <c r="E464" t="s">
        <v>201</v>
      </c>
      <c r="F464" t="s">
        <v>359</v>
      </c>
      <c r="G464" s="1" t="s">
        <v>351</v>
      </c>
      <c r="H464" s="1" t="s">
        <v>360</v>
      </c>
      <c r="I464" t="s">
        <v>31</v>
      </c>
      <c r="J464" t="s">
        <v>32</v>
      </c>
      <c r="K464" t="s">
        <v>203</v>
      </c>
      <c r="L464" t="s">
        <v>204</v>
      </c>
      <c r="M464" t="s">
        <v>206</v>
      </c>
      <c r="N464">
        <v>7</v>
      </c>
      <c r="O464" t="s">
        <v>57</v>
      </c>
      <c r="S464" t="s">
        <v>58</v>
      </c>
    </row>
    <row r="465" spans="1:19" x14ac:dyDescent="0.25">
      <c r="A465">
        <v>145267</v>
      </c>
      <c r="B465">
        <v>2025</v>
      </c>
      <c r="C465" t="s">
        <v>200</v>
      </c>
      <c r="D465" t="s">
        <v>26</v>
      </c>
      <c r="E465" t="s">
        <v>201</v>
      </c>
      <c r="F465" t="s">
        <v>359</v>
      </c>
      <c r="G465" s="1" t="s">
        <v>351</v>
      </c>
      <c r="H465" s="1" t="s">
        <v>360</v>
      </c>
      <c r="I465" t="s">
        <v>31</v>
      </c>
      <c r="J465" t="s">
        <v>32</v>
      </c>
      <c r="K465" t="s">
        <v>203</v>
      </c>
      <c r="L465" t="s">
        <v>204</v>
      </c>
      <c r="M465" t="s">
        <v>206</v>
      </c>
      <c r="N465">
        <v>8</v>
      </c>
      <c r="O465" t="s">
        <v>57</v>
      </c>
      <c r="S465" t="s">
        <v>58</v>
      </c>
    </row>
    <row r="466" spans="1:19" x14ac:dyDescent="0.25">
      <c r="A466">
        <v>145267</v>
      </c>
      <c r="B466">
        <v>2025</v>
      </c>
      <c r="C466" t="s">
        <v>200</v>
      </c>
      <c r="D466" t="s">
        <v>26</v>
      </c>
      <c r="E466" t="s">
        <v>201</v>
      </c>
      <c r="F466" t="s">
        <v>359</v>
      </c>
      <c r="G466" s="1" t="s">
        <v>351</v>
      </c>
      <c r="H466" s="1" t="s">
        <v>360</v>
      </c>
      <c r="I466" t="s">
        <v>31</v>
      </c>
      <c r="J466" t="s">
        <v>32</v>
      </c>
      <c r="K466" t="s">
        <v>203</v>
      </c>
      <c r="L466" t="s">
        <v>204</v>
      </c>
      <c r="M466" t="s">
        <v>206</v>
      </c>
      <c r="N466">
        <v>9</v>
      </c>
      <c r="O466" t="s">
        <v>57</v>
      </c>
      <c r="S466" t="s">
        <v>58</v>
      </c>
    </row>
    <row r="467" spans="1:19" x14ac:dyDescent="0.25">
      <c r="A467">
        <v>145267</v>
      </c>
      <c r="B467">
        <v>2025</v>
      </c>
      <c r="C467" t="s">
        <v>200</v>
      </c>
      <c r="D467" t="s">
        <v>26</v>
      </c>
      <c r="E467" t="s">
        <v>201</v>
      </c>
      <c r="F467" t="s">
        <v>359</v>
      </c>
      <c r="G467" s="1" t="s">
        <v>351</v>
      </c>
      <c r="H467" s="1" t="s">
        <v>360</v>
      </c>
      <c r="I467" t="s">
        <v>31</v>
      </c>
      <c r="J467" t="s">
        <v>32</v>
      </c>
      <c r="K467" t="s">
        <v>203</v>
      </c>
      <c r="L467" t="s">
        <v>204</v>
      </c>
      <c r="M467" t="s">
        <v>206</v>
      </c>
      <c r="N467">
        <v>10</v>
      </c>
      <c r="O467" t="s">
        <v>57</v>
      </c>
      <c r="S467" t="s">
        <v>58</v>
      </c>
    </row>
    <row r="468" spans="1:19" x14ac:dyDescent="0.25">
      <c r="A468">
        <v>145267</v>
      </c>
      <c r="B468">
        <v>2025</v>
      </c>
      <c r="C468" t="s">
        <v>200</v>
      </c>
      <c r="D468" t="s">
        <v>26</v>
      </c>
      <c r="E468" t="s">
        <v>201</v>
      </c>
      <c r="F468" t="s">
        <v>359</v>
      </c>
      <c r="G468" s="1" t="s">
        <v>351</v>
      </c>
      <c r="H468" s="1" t="s">
        <v>360</v>
      </c>
      <c r="I468" t="s">
        <v>31</v>
      </c>
      <c r="J468" t="s">
        <v>32</v>
      </c>
      <c r="K468" t="s">
        <v>203</v>
      </c>
      <c r="L468" t="s">
        <v>204</v>
      </c>
      <c r="M468" t="s">
        <v>206</v>
      </c>
      <c r="N468">
        <v>11</v>
      </c>
      <c r="O468" t="s">
        <v>57</v>
      </c>
      <c r="S468" t="s">
        <v>58</v>
      </c>
    </row>
    <row r="469" spans="1:19" x14ac:dyDescent="0.25">
      <c r="A469">
        <v>145267</v>
      </c>
      <c r="B469">
        <v>2025</v>
      </c>
      <c r="C469" t="s">
        <v>200</v>
      </c>
      <c r="D469" t="s">
        <v>26</v>
      </c>
      <c r="E469" t="s">
        <v>201</v>
      </c>
      <c r="F469" t="s">
        <v>359</v>
      </c>
      <c r="G469" s="1" t="s">
        <v>351</v>
      </c>
      <c r="H469" s="1" t="s">
        <v>360</v>
      </c>
      <c r="I469" t="s">
        <v>31</v>
      </c>
      <c r="J469" t="s">
        <v>32</v>
      </c>
      <c r="K469" t="s">
        <v>203</v>
      </c>
      <c r="L469" t="s">
        <v>204</v>
      </c>
      <c r="M469" t="s">
        <v>206</v>
      </c>
      <c r="N469">
        <v>12</v>
      </c>
      <c r="O469" t="s">
        <v>197</v>
      </c>
      <c r="S469" t="s">
        <v>198</v>
      </c>
    </row>
    <row r="470" spans="1:19" x14ac:dyDescent="0.25">
      <c r="A470">
        <v>145267</v>
      </c>
      <c r="B470">
        <v>2025</v>
      </c>
      <c r="C470" t="s">
        <v>200</v>
      </c>
      <c r="D470" t="s">
        <v>26</v>
      </c>
      <c r="E470" t="s">
        <v>201</v>
      </c>
      <c r="F470" t="s">
        <v>359</v>
      </c>
      <c r="G470" s="1" t="s">
        <v>351</v>
      </c>
      <c r="H470" s="1" t="s">
        <v>360</v>
      </c>
      <c r="I470" t="s">
        <v>31</v>
      </c>
      <c r="J470" t="s">
        <v>32</v>
      </c>
      <c r="K470" t="s">
        <v>203</v>
      </c>
      <c r="L470" t="s">
        <v>204</v>
      </c>
      <c r="M470" t="s">
        <v>206</v>
      </c>
      <c r="N470">
        <v>13</v>
      </c>
      <c r="O470" t="s">
        <v>57</v>
      </c>
      <c r="R470" t="s">
        <v>249</v>
      </c>
      <c r="S470" t="s">
        <v>58</v>
      </c>
    </row>
    <row r="471" spans="1:19" x14ac:dyDescent="0.25">
      <c r="A471">
        <v>145267</v>
      </c>
      <c r="B471">
        <v>2025</v>
      </c>
      <c r="C471" t="s">
        <v>200</v>
      </c>
      <c r="D471" t="s">
        <v>26</v>
      </c>
      <c r="E471" t="s">
        <v>201</v>
      </c>
      <c r="F471" t="s">
        <v>359</v>
      </c>
      <c r="G471" s="1" t="s">
        <v>351</v>
      </c>
      <c r="H471" s="1" t="s">
        <v>360</v>
      </c>
      <c r="I471" t="s">
        <v>31</v>
      </c>
      <c r="J471" t="s">
        <v>32</v>
      </c>
      <c r="K471" t="s">
        <v>203</v>
      </c>
      <c r="L471" t="s">
        <v>204</v>
      </c>
      <c r="M471" t="s">
        <v>206</v>
      </c>
      <c r="N471">
        <v>14</v>
      </c>
      <c r="O471" t="s">
        <v>57</v>
      </c>
      <c r="S471" t="s">
        <v>58</v>
      </c>
    </row>
    <row r="472" spans="1:19" x14ac:dyDescent="0.25">
      <c r="A472">
        <v>145267</v>
      </c>
      <c r="B472">
        <v>2025</v>
      </c>
      <c r="C472" t="s">
        <v>200</v>
      </c>
      <c r="D472" t="s">
        <v>26</v>
      </c>
      <c r="E472" t="s">
        <v>201</v>
      </c>
      <c r="F472" t="s">
        <v>359</v>
      </c>
      <c r="G472" s="1" t="s">
        <v>351</v>
      </c>
      <c r="H472" s="1" t="s">
        <v>360</v>
      </c>
      <c r="I472" t="s">
        <v>31</v>
      </c>
      <c r="J472" t="s">
        <v>32</v>
      </c>
      <c r="K472" t="s">
        <v>203</v>
      </c>
      <c r="L472" t="s">
        <v>204</v>
      </c>
      <c r="M472" t="s">
        <v>206</v>
      </c>
      <c r="N472">
        <v>15</v>
      </c>
      <c r="O472" t="s">
        <v>57</v>
      </c>
      <c r="S472" t="s">
        <v>58</v>
      </c>
    </row>
    <row r="473" spans="1:19" x14ac:dyDescent="0.25">
      <c r="A473">
        <v>145267</v>
      </c>
      <c r="B473">
        <v>2025</v>
      </c>
      <c r="C473" t="s">
        <v>200</v>
      </c>
      <c r="D473" t="s">
        <v>26</v>
      </c>
      <c r="E473" t="s">
        <v>201</v>
      </c>
      <c r="F473" t="s">
        <v>359</v>
      </c>
      <c r="G473" s="1" t="s">
        <v>351</v>
      </c>
      <c r="H473" s="1" t="s">
        <v>360</v>
      </c>
      <c r="I473" t="s">
        <v>31</v>
      </c>
      <c r="J473" t="s">
        <v>32</v>
      </c>
      <c r="K473" t="s">
        <v>203</v>
      </c>
      <c r="L473" t="s">
        <v>204</v>
      </c>
      <c r="M473" t="s">
        <v>206</v>
      </c>
      <c r="N473">
        <v>16</v>
      </c>
      <c r="O473" t="s">
        <v>57</v>
      </c>
      <c r="S473" t="s">
        <v>58</v>
      </c>
    </row>
    <row r="474" spans="1:19" x14ac:dyDescent="0.25">
      <c r="A474">
        <v>145267</v>
      </c>
      <c r="B474">
        <v>2025</v>
      </c>
      <c r="C474" t="s">
        <v>200</v>
      </c>
      <c r="D474" t="s">
        <v>26</v>
      </c>
      <c r="E474" t="s">
        <v>201</v>
      </c>
      <c r="F474" t="s">
        <v>359</v>
      </c>
      <c r="G474" s="1" t="s">
        <v>351</v>
      </c>
      <c r="H474" s="1" t="s">
        <v>360</v>
      </c>
      <c r="I474" t="s">
        <v>31</v>
      </c>
      <c r="J474" t="s">
        <v>32</v>
      </c>
      <c r="K474" t="s">
        <v>203</v>
      </c>
      <c r="L474" t="s">
        <v>204</v>
      </c>
      <c r="M474" t="s">
        <v>206</v>
      </c>
      <c r="N474">
        <v>17</v>
      </c>
      <c r="O474" t="s">
        <v>197</v>
      </c>
      <c r="S474" t="s">
        <v>198</v>
      </c>
    </row>
    <row r="475" spans="1:19" x14ac:dyDescent="0.25">
      <c r="A475">
        <v>145267</v>
      </c>
      <c r="B475">
        <v>2025</v>
      </c>
      <c r="C475" t="s">
        <v>200</v>
      </c>
      <c r="D475" t="s">
        <v>26</v>
      </c>
      <c r="E475" t="s">
        <v>201</v>
      </c>
      <c r="F475" t="s">
        <v>359</v>
      </c>
      <c r="G475" s="1" t="s">
        <v>351</v>
      </c>
      <c r="H475" s="1" t="s">
        <v>360</v>
      </c>
      <c r="I475" t="s">
        <v>31</v>
      </c>
      <c r="J475" t="s">
        <v>32</v>
      </c>
      <c r="K475" t="s">
        <v>203</v>
      </c>
      <c r="L475" t="s">
        <v>204</v>
      </c>
      <c r="M475" t="s">
        <v>206</v>
      </c>
      <c r="N475">
        <v>18</v>
      </c>
      <c r="O475" t="s">
        <v>197</v>
      </c>
      <c r="S475" t="s">
        <v>198</v>
      </c>
    </row>
    <row r="476" spans="1:19" x14ac:dyDescent="0.25">
      <c r="A476">
        <v>145267</v>
      </c>
      <c r="B476">
        <v>2025</v>
      </c>
      <c r="C476" t="s">
        <v>200</v>
      </c>
      <c r="D476" t="s">
        <v>26</v>
      </c>
      <c r="E476" t="s">
        <v>201</v>
      </c>
      <c r="F476" t="s">
        <v>359</v>
      </c>
      <c r="G476" s="1" t="s">
        <v>351</v>
      </c>
      <c r="H476" s="1" t="s">
        <v>360</v>
      </c>
      <c r="I476" t="s">
        <v>31</v>
      </c>
      <c r="J476" t="s">
        <v>32</v>
      </c>
      <c r="K476" t="s">
        <v>203</v>
      </c>
      <c r="L476" t="s">
        <v>204</v>
      </c>
      <c r="M476" t="s">
        <v>206</v>
      </c>
      <c r="N476">
        <v>19</v>
      </c>
      <c r="O476" t="s">
        <v>275</v>
      </c>
      <c r="R476" t="s">
        <v>249</v>
      </c>
      <c r="S476" t="s">
        <v>276</v>
      </c>
    </row>
    <row r="477" spans="1:19" x14ac:dyDescent="0.25">
      <c r="A477">
        <v>145267</v>
      </c>
      <c r="B477">
        <v>2025</v>
      </c>
      <c r="C477" t="s">
        <v>200</v>
      </c>
      <c r="D477" t="s">
        <v>26</v>
      </c>
      <c r="E477" t="s">
        <v>201</v>
      </c>
      <c r="F477" t="s">
        <v>359</v>
      </c>
      <c r="G477" s="1" t="s">
        <v>351</v>
      </c>
      <c r="H477" s="1" t="s">
        <v>360</v>
      </c>
      <c r="I477" t="s">
        <v>31</v>
      </c>
      <c r="J477" t="s">
        <v>32</v>
      </c>
      <c r="K477" t="s">
        <v>203</v>
      </c>
      <c r="L477" t="s">
        <v>204</v>
      </c>
      <c r="M477" t="s">
        <v>206</v>
      </c>
      <c r="N477">
        <v>20</v>
      </c>
      <c r="O477" t="s">
        <v>57</v>
      </c>
      <c r="S477" t="s">
        <v>58</v>
      </c>
    </row>
    <row r="478" spans="1:19" x14ac:dyDescent="0.25">
      <c r="A478">
        <v>145267</v>
      </c>
      <c r="B478">
        <v>2025</v>
      </c>
      <c r="C478" t="s">
        <v>200</v>
      </c>
      <c r="D478" t="s">
        <v>26</v>
      </c>
      <c r="E478" t="s">
        <v>201</v>
      </c>
      <c r="F478" t="s">
        <v>359</v>
      </c>
      <c r="G478" s="1" t="s">
        <v>351</v>
      </c>
      <c r="H478" s="1" t="s">
        <v>360</v>
      </c>
      <c r="I478" t="s">
        <v>31</v>
      </c>
      <c r="J478" t="s">
        <v>32</v>
      </c>
      <c r="K478" t="s">
        <v>203</v>
      </c>
      <c r="L478" t="s">
        <v>204</v>
      </c>
      <c r="M478" t="s">
        <v>206</v>
      </c>
      <c r="N478">
        <v>21</v>
      </c>
      <c r="O478" t="s">
        <v>57</v>
      </c>
      <c r="S478" t="s">
        <v>58</v>
      </c>
    </row>
    <row r="479" spans="1:19" x14ac:dyDescent="0.25">
      <c r="A479">
        <v>145267</v>
      </c>
      <c r="B479">
        <v>2025</v>
      </c>
      <c r="C479" t="s">
        <v>200</v>
      </c>
      <c r="D479" t="s">
        <v>26</v>
      </c>
      <c r="E479" t="s">
        <v>201</v>
      </c>
      <c r="F479" t="s">
        <v>359</v>
      </c>
      <c r="G479" s="1" t="s">
        <v>351</v>
      </c>
      <c r="H479" s="1" t="s">
        <v>360</v>
      </c>
      <c r="I479" t="s">
        <v>31</v>
      </c>
      <c r="J479" t="s">
        <v>32</v>
      </c>
      <c r="K479" t="s">
        <v>203</v>
      </c>
      <c r="L479" t="s">
        <v>204</v>
      </c>
      <c r="M479" t="s">
        <v>206</v>
      </c>
      <c r="N479">
        <v>22</v>
      </c>
      <c r="O479" t="s">
        <v>66</v>
      </c>
      <c r="R479" t="s">
        <v>190</v>
      </c>
      <c r="S479" t="s">
        <v>67</v>
      </c>
    </row>
    <row r="480" spans="1:19" x14ac:dyDescent="0.25">
      <c r="A480">
        <v>145267</v>
      </c>
      <c r="B480">
        <v>2025</v>
      </c>
      <c r="C480" t="s">
        <v>200</v>
      </c>
      <c r="D480" t="s">
        <v>26</v>
      </c>
      <c r="E480" t="s">
        <v>201</v>
      </c>
      <c r="F480" t="s">
        <v>359</v>
      </c>
      <c r="G480" s="1" t="s">
        <v>351</v>
      </c>
      <c r="H480" s="1" t="s">
        <v>360</v>
      </c>
      <c r="I480" t="s">
        <v>31</v>
      </c>
      <c r="J480" t="s">
        <v>32</v>
      </c>
      <c r="K480" t="s">
        <v>203</v>
      </c>
      <c r="L480" t="s">
        <v>204</v>
      </c>
      <c r="M480" t="s">
        <v>206</v>
      </c>
      <c r="N480">
        <v>23</v>
      </c>
      <c r="O480" t="s">
        <v>57</v>
      </c>
      <c r="S480" t="s">
        <v>58</v>
      </c>
    </row>
    <row r="481" spans="1:19" x14ac:dyDescent="0.25">
      <c r="A481">
        <v>145267</v>
      </c>
      <c r="B481">
        <v>2025</v>
      </c>
      <c r="C481" t="s">
        <v>200</v>
      </c>
      <c r="D481" t="s">
        <v>26</v>
      </c>
      <c r="E481" t="s">
        <v>201</v>
      </c>
      <c r="F481" t="s">
        <v>359</v>
      </c>
      <c r="G481" s="1" t="s">
        <v>351</v>
      </c>
      <c r="H481" s="1" t="s">
        <v>360</v>
      </c>
      <c r="I481" t="s">
        <v>31</v>
      </c>
      <c r="J481" t="s">
        <v>32</v>
      </c>
      <c r="K481" t="s">
        <v>203</v>
      </c>
      <c r="L481" t="s">
        <v>204</v>
      </c>
      <c r="M481" t="s">
        <v>206</v>
      </c>
      <c r="N481">
        <v>24</v>
      </c>
      <c r="O481" t="s">
        <v>197</v>
      </c>
      <c r="R481" t="s">
        <v>190</v>
      </c>
      <c r="S481" t="s">
        <v>198</v>
      </c>
    </row>
    <row r="482" spans="1:19" x14ac:dyDescent="0.25">
      <c r="A482">
        <v>145267</v>
      </c>
      <c r="B482">
        <v>2025</v>
      </c>
      <c r="C482" t="s">
        <v>200</v>
      </c>
      <c r="D482" t="s">
        <v>26</v>
      </c>
      <c r="E482" t="s">
        <v>201</v>
      </c>
      <c r="F482" t="s">
        <v>359</v>
      </c>
      <c r="G482" s="1" t="s">
        <v>351</v>
      </c>
      <c r="H482" s="1" t="s">
        <v>360</v>
      </c>
      <c r="I482" t="s">
        <v>31</v>
      </c>
      <c r="J482" t="s">
        <v>32</v>
      </c>
      <c r="K482" t="s">
        <v>203</v>
      </c>
      <c r="L482" t="s">
        <v>204</v>
      </c>
      <c r="M482" t="s">
        <v>206</v>
      </c>
      <c r="N482">
        <v>25</v>
      </c>
      <c r="O482" t="s">
        <v>57</v>
      </c>
      <c r="S482" t="s">
        <v>58</v>
      </c>
    </row>
    <row r="483" spans="1:19" x14ac:dyDescent="0.25">
      <c r="A483">
        <v>145267</v>
      </c>
      <c r="B483">
        <v>2025</v>
      </c>
      <c r="C483" t="s">
        <v>200</v>
      </c>
      <c r="D483" t="s">
        <v>26</v>
      </c>
      <c r="E483" t="s">
        <v>201</v>
      </c>
      <c r="F483" t="s">
        <v>367</v>
      </c>
      <c r="G483" s="1" t="s">
        <v>360</v>
      </c>
      <c r="H483" s="1" t="s">
        <v>368</v>
      </c>
      <c r="I483" t="s">
        <v>31</v>
      </c>
      <c r="J483" t="s">
        <v>32</v>
      </c>
      <c r="K483" t="s">
        <v>203</v>
      </c>
      <c r="L483" t="s">
        <v>204</v>
      </c>
      <c r="M483" t="s">
        <v>206</v>
      </c>
      <c r="N483">
        <v>1</v>
      </c>
      <c r="O483" t="s">
        <v>275</v>
      </c>
      <c r="S483" t="s">
        <v>276</v>
      </c>
    </row>
    <row r="484" spans="1:19" x14ac:dyDescent="0.25">
      <c r="A484">
        <v>145267</v>
      </c>
      <c r="B484">
        <v>2025</v>
      </c>
      <c r="C484" t="s">
        <v>200</v>
      </c>
      <c r="D484" t="s">
        <v>26</v>
      </c>
      <c r="E484" t="s">
        <v>201</v>
      </c>
      <c r="F484" t="s">
        <v>367</v>
      </c>
      <c r="G484" s="1" t="s">
        <v>360</v>
      </c>
      <c r="H484" s="1" t="s">
        <v>368</v>
      </c>
      <c r="I484" t="s">
        <v>31</v>
      </c>
      <c r="J484" t="s">
        <v>32</v>
      </c>
      <c r="K484" t="s">
        <v>203</v>
      </c>
      <c r="L484" t="s">
        <v>204</v>
      </c>
      <c r="M484" t="s">
        <v>206</v>
      </c>
      <c r="N484">
        <v>2</v>
      </c>
      <c r="O484" t="s">
        <v>57</v>
      </c>
      <c r="S484" t="s">
        <v>58</v>
      </c>
    </row>
    <row r="485" spans="1:19" x14ac:dyDescent="0.25">
      <c r="A485">
        <v>145267</v>
      </c>
      <c r="B485">
        <v>2025</v>
      </c>
      <c r="C485" t="s">
        <v>200</v>
      </c>
      <c r="D485" t="s">
        <v>26</v>
      </c>
      <c r="E485" t="s">
        <v>201</v>
      </c>
      <c r="F485" t="s">
        <v>367</v>
      </c>
      <c r="G485" s="1" t="s">
        <v>360</v>
      </c>
      <c r="H485" s="1" t="s">
        <v>368</v>
      </c>
      <c r="I485" t="s">
        <v>31</v>
      </c>
      <c r="J485" t="s">
        <v>32</v>
      </c>
      <c r="K485" t="s">
        <v>203</v>
      </c>
      <c r="L485" t="s">
        <v>204</v>
      </c>
      <c r="M485" t="s">
        <v>206</v>
      </c>
      <c r="N485">
        <v>3</v>
      </c>
      <c r="O485" t="s">
        <v>57</v>
      </c>
      <c r="S485" t="s">
        <v>58</v>
      </c>
    </row>
    <row r="486" spans="1:19" x14ac:dyDescent="0.25">
      <c r="A486">
        <v>145267</v>
      </c>
      <c r="B486">
        <v>2025</v>
      </c>
      <c r="C486" t="s">
        <v>200</v>
      </c>
      <c r="D486" t="s">
        <v>26</v>
      </c>
      <c r="E486" t="s">
        <v>201</v>
      </c>
      <c r="F486" t="s">
        <v>367</v>
      </c>
      <c r="G486" s="1" t="s">
        <v>360</v>
      </c>
      <c r="H486" s="1" t="s">
        <v>368</v>
      </c>
      <c r="I486" t="s">
        <v>31</v>
      </c>
      <c r="J486" t="s">
        <v>32</v>
      </c>
      <c r="K486" t="s">
        <v>203</v>
      </c>
      <c r="L486" t="s">
        <v>204</v>
      </c>
      <c r="M486" t="s">
        <v>206</v>
      </c>
      <c r="N486">
        <v>4</v>
      </c>
      <c r="O486" t="s">
        <v>275</v>
      </c>
      <c r="S486" t="s">
        <v>276</v>
      </c>
    </row>
    <row r="487" spans="1:19" x14ac:dyDescent="0.25">
      <c r="A487">
        <v>145267</v>
      </c>
      <c r="B487">
        <v>2025</v>
      </c>
      <c r="C487" t="s">
        <v>200</v>
      </c>
      <c r="D487" t="s">
        <v>26</v>
      </c>
      <c r="E487" t="s">
        <v>201</v>
      </c>
      <c r="F487" t="s">
        <v>367</v>
      </c>
      <c r="G487" s="1" t="s">
        <v>360</v>
      </c>
      <c r="H487" s="1" t="s">
        <v>368</v>
      </c>
      <c r="I487" t="s">
        <v>31</v>
      </c>
      <c r="J487" t="s">
        <v>32</v>
      </c>
      <c r="K487" t="s">
        <v>203</v>
      </c>
      <c r="L487" t="s">
        <v>204</v>
      </c>
      <c r="M487" t="s">
        <v>206</v>
      </c>
      <c r="N487">
        <v>5</v>
      </c>
      <c r="O487" t="s">
        <v>275</v>
      </c>
      <c r="R487" t="s">
        <v>190</v>
      </c>
      <c r="S487" t="s">
        <v>276</v>
      </c>
    </row>
    <row r="488" spans="1:19" x14ac:dyDescent="0.25">
      <c r="A488">
        <v>145267</v>
      </c>
      <c r="B488">
        <v>2025</v>
      </c>
      <c r="C488" t="s">
        <v>200</v>
      </c>
      <c r="D488" t="s">
        <v>26</v>
      </c>
      <c r="E488" t="s">
        <v>201</v>
      </c>
      <c r="F488" t="s">
        <v>367</v>
      </c>
      <c r="G488" s="1" t="s">
        <v>360</v>
      </c>
      <c r="H488" s="1" t="s">
        <v>368</v>
      </c>
      <c r="I488" t="s">
        <v>31</v>
      </c>
      <c r="J488" t="s">
        <v>32</v>
      </c>
      <c r="K488" t="s">
        <v>203</v>
      </c>
      <c r="L488" t="s">
        <v>204</v>
      </c>
      <c r="M488" t="s">
        <v>206</v>
      </c>
      <c r="N488">
        <v>6</v>
      </c>
      <c r="O488" t="s">
        <v>57</v>
      </c>
      <c r="S488" t="s">
        <v>58</v>
      </c>
    </row>
    <row r="489" spans="1:19" x14ac:dyDescent="0.25">
      <c r="A489">
        <v>145267</v>
      </c>
      <c r="B489">
        <v>2025</v>
      </c>
      <c r="C489" t="s">
        <v>200</v>
      </c>
      <c r="D489" t="s">
        <v>26</v>
      </c>
      <c r="E489" t="s">
        <v>201</v>
      </c>
      <c r="F489" t="s">
        <v>367</v>
      </c>
      <c r="G489" s="1" t="s">
        <v>360</v>
      </c>
      <c r="H489" s="1" t="s">
        <v>368</v>
      </c>
      <c r="I489" t="s">
        <v>31</v>
      </c>
      <c r="J489" t="s">
        <v>32</v>
      </c>
      <c r="K489" t="s">
        <v>203</v>
      </c>
      <c r="L489" t="s">
        <v>204</v>
      </c>
      <c r="M489" t="s">
        <v>206</v>
      </c>
      <c r="N489">
        <v>7</v>
      </c>
      <c r="O489" t="s">
        <v>197</v>
      </c>
      <c r="S489" t="s">
        <v>198</v>
      </c>
    </row>
    <row r="490" spans="1:19" x14ac:dyDescent="0.25">
      <c r="A490">
        <v>145267</v>
      </c>
      <c r="B490">
        <v>2025</v>
      </c>
      <c r="C490" t="s">
        <v>200</v>
      </c>
      <c r="D490" t="s">
        <v>26</v>
      </c>
      <c r="E490" t="s">
        <v>201</v>
      </c>
      <c r="F490" t="s">
        <v>367</v>
      </c>
      <c r="G490" s="1" t="s">
        <v>360</v>
      </c>
      <c r="H490" s="1" t="s">
        <v>368</v>
      </c>
      <c r="I490" t="s">
        <v>31</v>
      </c>
      <c r="J490" t="s">
        <v>32</v>
      </c>
      <c r="K490" t="s">
        <v>203</v>
      </c>
      <c r="L490" t="s">
        <v>204</v>
      </c>
      <c r="M490" t="s">
        <v>206</v>
      </c>
      <c r="N490">
        <v>8</v>
      </c>
      <c r="O490" t="s">
        <v>275</v>
      </c>
      <c r="R490" t="s">
        <v>190</v>
      </c>
      <c r="S490" t="s">
        <v>276</v>
      </c>
    </row>
    <row r="491" spans="1:19" x14ac:dyDescent="0.25">
      <c r="A491">
        <v>145267</v>
      </c>
      <c r="B491">
        <v>2025</v>
      </c>
      <c r="C491" t="s">
        <v>200</v>
      </c>
      <c r="D491" t="s">
        <v>26</v>
      </c>
      <c r="E491" t="s">
        <v>201</v>
      </c>
      <c r="F491" t="s">
        <v>367</v>
      </c>
      <c r="G491" s="1" t="s">
        <v>360</v>
      </c>
      <c r="H491" s="1" t="s">
        <v>368</v>
      </c>
      <c r="I491" t="s">
        <v>31</v>
      </c>
      <c r="J491" t="s">
        <v>32</v>
      </c>
      <c r="K491" t="s">
        <v>203</v>
      </c>
      <c r="L491" t="s">
        <v>204</v>
      </c>
      <c r="M491" t="s">
        <v>206</v>
      </c>
      <c r="N491">
        <v>9</v>
      </c>
      <c r="O491" t="s">
        <v>57</v>
      </c>
      <c r="S491" t="s">
        <v>58</v>
      </c>
    </row>
    <row r="492" spans="1:19" x14ac:dyDescent="0.25">
      <c r="A492">
        <v>145267</v>
      </c>
      <c r="B492">
        <v>2025</v>
      </c>
      <c r="C492" t="s">
        <v>200</v>
      </c>
      <c r="D492" t="s">
        <v>26</v>
      </c>
      <c r="E492" t="s">
        <v>201</v>
      </c>
      <c r="F492" t="s">
        <v>367</v>
      </c>
      <c r="G492" s="1" t="s">
        <v>360</v>
      </c>
      <c r="H492" s="1" t="s">
        <v>368</v>
      </c>
      <c r="I492" t="s">
        <v>31</v>
      </c>
      <c r="J492" t="s">
        <v>32</v>
      </c>
      <c r="K492" t="s">
        <v>203</v>
      </c>
      <c r="L492" t="s">
        <v>204</v>
      </c>
      <c r="M492" t="s">
        <v>206</v>
      </c>
      <c r="N492">
        <v>10</v>
      </c>
      <c r="O492" t="s">
        <v>57</v>
      </c>
      <c r="S492" t="s">
        <v>58</v>
      </c>
    </row>
    <row r="493" spans="1:19" x14ac:dyDescent="0.25">
      <c r="A493">
        <v>145267</v>
      </c>
      <c r="B493">
        <v>2025</v>
      </c>
      <c r="C493" t="s">
        <v>200</v>
      </c>
      <c r="D493" t="s">
        <v>26</v>
      </c>
      <c r="E493" t="s">
        <v>201</v>
      </c>
      <c r="F493" t="s">
        <v>367</v>
      </c>
      <c r="G493" s="1" t="s">
        <v>360</v>
      </c>
      <c r="H493" s="1" t="s">
        <v>368</v>
      </c>
      <c r="I493" t="s">
        <v>31</v>
      </c>
      <c r="J493" t="s">
        <v>32</v>
      </c>
      <c r="K493" t="s">
        <v>203</v>
      </c>
      <c r="L493" t="s">
        <v>204</v>
      </c>
      <c r="M493" t="s">
        <v>206</v>
      </c>
      <c r="N493">
        <v>11</v>
      </c>
      <c r="O493" t="s">
        <v>57</v>
      </c>
      <c r="S493" t="s">
        <v>58</v>
      </c>
    </row>
    <row r="494" spans="1:19" x14ac:dyDescent="0.25">
      <c r="A494">
        <v>145267</v>
      </c>
      <c r="B494">
        <v>2025</v>
      </c>
      <c r="C494" t="s">
        <v>200</v>
      </c>
      <c r="D494" t="s">
        <v>26</v>
      </c>
      <c r="E494" t="s">
        <v>201</v>
      </c>
      <c r="F494" t="s">
        <v>367</v>
      </c>
      <c r="G494" s="1" t="s">
        <v>360</v>
      </c>
      <c r="H494" s="1" t="s">
        <v>368</v>
      </c>
      <c r="I494" t="s">
        <v>31</v>
      </c>
      <c r="J494" t="s">
        <v>32</v>
      </c>
      <c r="K494" t="s">
        <v>203</v>
      </c>
      <c r="L494" t="s">
        <v>204</v>
      </c>
      <c r="M494" t="s">
        <v>206</v>
      </c>
      <c r="N494">
        <v>12</v>
      </c>
      <c r="O494" t="s">
        <v>57</v>
      </c>
      <c r="S494" t="s">
        <v>58</v>
      </c>
    </row>
    <row r="495" spans="1:19" x14ac:dyDescent="0.25">
      <c r="A495">
        <v>145267</v>
      </c>
      <c r="B495">
        <v>2025</v>
      </c>
      <c r="C495" t="s">
        <v>200</v>
      </c>
      <c r="D495" t="s">
        <v>26</v>
      </c>
      <c r="E495" t="s">
        <v>201</v>
      </c>
      <c r="F495" t="s">
        <v>367</v>
      </c>
      <c r="G495" s="1" t="s">
        <v>360</v>
      </c>
      <c r="H495" s="1" t="s">
        <v>368</v>
      </c>
      <c r="I495" t="s">
        <v>31</v>
      </c>
      <c r="J495" t="s">
        <v>32</v>
      </c>
      <c r="K495" t="s">
        <v>203</v>
      </c>
      <c r="L495" t="s">
        <v>204</v>
      </c>
      <c r="M495" t="s">
        <v>206</v>
      </c>
      <c r="N495">
        <v>13</v>
      </c>
      <c r="O495" t="s">
        <v>57</v>
      </c>
      <c r="S495" t="s">
        <v>58</v>
      </c>
    </row>
    <row r="496" spans="1:19" x14ac:dyDescent="0.25">
      <c r="A496">
        <v>145267</v>
      </c>
      <c r="B496">
        <v>2025</v>
      </c>
      <c r="C496" t="s">
        <v>200</v>
      </c>
      <c r="D496" t="s">
        <v>26</v>
      </c>
      <c r="E496" t="s">
        <v>201</v>
      </c>
      <c r="F496" t="s">
        <v>367</v>
      </c>
      <c r="G496" s="1" t="s">
        <v>360</v>
      </c>
      <c r="H496" s="1" t="s">
        <v>368</v>
      </c>
      <c r="I496" t="s">
        <v>31</v>
      </c>
      <c r="J496" t="s">
        <v>32</v>
      </c>
      <c r="K496" t="s">
        <v>203</v>
      </c>
      <c r="L496" t="s">
        <v>204</v>
      </c>
      <c r="M496" t="s">
        <v>206</v>
      </c>
      <c r="N496">
        <v>14</v>
      </c>
      <c r="O496" t="s">
        <v>57</v>
      </c>
      <c r="S496" t="s">
        <v>58</v>
      </c>
    </row>
    <row r="497" spans="1:19" x14ac:dyDescent="0.25">
      <c r="A497">
        <v>145267</v>
      </c>
      <c r="B497">
        <v>2025</v>
      </c>
      <c r="C497" t="s">
        <v>200</v>
      </c>
      <c r="D497" t="s">
        <v>26</v>
      </c>
      <c r="E497" t="s">
        <v>201</v>
      </c>
      <c r="F497" t="s">
        <v>367</v>
      </c>
      <c r="G497" s="1" t="s">
        <v>360</v>
      </c>
      <c r="H497" s="1" t="s">
        <v>368</v>
      </c>
      <c r="I497" t="s">
        <v>31</v>
      </c>
      <c r="J497" t="s">
        <v>32</v>
      </c>
      <c r="K497" t="s">
        <v>203</v>
      </c>
      <c r="L497" t="s">
        <v>204</v>
      </c>
      <c r="M497" t="s">
        <v>206</v>
      </c>
      <c r="N497">
        <v>15</v>
      </c>
      <c r="O497" t="s">
        <v>57</v>
      </c>
      <c r="R497" t="s">
        <v>249</v>
      </c>
      <c r="S497" t="s">
        <v>58</v>
      </c>
    </row>
    <row r="498" spans="1:19" x14ac:dyDescent="0.25">
      <c r="A498">
        <v>145267</v>
      </c>
      <c r="B498">
        <v>2025</v>
      </c>
      <c r="C498" t="s">
        <v>200</v>
      </c>
      <c r="D498" t="s">
        <v>26</v>
      </c>
      <c r="E498" t="s">
        <v>201</v>
      </c>
      <c r="F498" t="s">
        <v>367</v>
      </c>
      <c r="G498" s="1" t="s">
        <v>360</v>
      </c>
      <c r="H498" s="1" t="s">
        <v>368</v>
      </c>
      <c r="I498" t="s">
        <v>31</v>
      </c>
      <c r="J498" t="s">
        <v>32</v>
      </c>
      <c r="K498" t="s">
        <v>203</v>
      </c>
      <c r="L498" t="s">
        <v>204</v>
      </c>
      <c r="M498" t="s">
        <v>206</v>
      </c>
      <c r="N498">
        <v>16</v>
      </c>
      <c r="O498" t="s">
        <v>66</v>
      </c>
      <c r="R498" t="s">
        <v>249</v>
      </c>
      <c r="S498" t="s">
        <v>67</v>
      </c>
    </row>
    <row r="499" spans="1:19" x14ac:dyDescent="0.25">
      <c r="A499">
        <v>145267</v>
      </c>
      <c r="B499">
        <v>2025</v>
      </c>
      <c r="C499" t="s">
        <v>200</v>
      </c>
      <c r="D499" t="s">
        <v>26</v>
      </c>
      <c r="E499" t="s">
        <v>201</v>
      </c>
      <c r="F499" t="s">
        <v>367</v>
      </c>
      <c r="G499" s="1" t="s">
        <v>360</v>
      </c>
      <c r="H499" s="1" t="s">
        <v>368</v>
      </c>
      <c r="I499" t="s">
        <v>31</v>
      </c>
      <c r="J499" t="s">
        <v>32</v>
      </c>
      <c r="K499" t="s">
        <v>203</v>
      </c>
      <c r="L499" t="s">
        <v>204</v>
      </c>
      <c r="M499" t="s">
        <v>206</v>
      </c>
      <c r="N499">
        <v>17</v>
      </c>
      <c r="O499" t="s">
        <v>275</v>
      </c>
      <c r="S499" t="s">
        <v>276</v>
      </c>
    </row>
    <row r="500" spans="1:19" x14ac:dyDescent="0.25">
      <c r="A500">
        <v>145267</v>
      </c>
      <c r="B500">
        <v>2025</v>
      </c>
      <c r="C500" t="s">
        <v>200</v>
      </c>
      <c r="D500" t="s">
        <v>26</v>
      </c>
      <c r="E500" t="s">
        <v>201</v>
      </c>
      <c r="F500" t="s">
        <v>367</v>
      </c>
      <c r="G500" s="1" t="s">
        <v>360</v>
      </c>
      <c r="H500" s="1" t="s">
        <v>368</v>
      </c>
      <c r="I500" t="s">
        <v>31</v>
      </c>
      <c r="J500" t="s">
        <v>32</v>
      </c>
      <c r="K500" t="s">
        <v>203</v>
      </c>
      <c r="L500" t="s">
        <v>204</v>
      </c>
      <c r="M500" t="s">
        <v>206</v>
      </c>
      <c r="N500">
        <v>18</v>
      </c>
      <c r="O500" t="s">
        <v>68</v>
      </c>
      <c r="S500" t="s">
        <v>69</v>
      </c>
    </row>
    <row r="501" spans="1:19" x14ac:dyDescent="0.25">
      <c r="A501">
        <v>145267</v>
      </c>
      <c r="B501">
        <v>2025</v>
      </c>
      <c r="C501" t="s">
        <v>200</v>
      </c>
      <c r="D501" t="s">
        <v>26</v>
      </c>
      <c r="E501" t="s">
        <v>201</v>
      </c>
      <c r="F501" t="s">
        <v>367</v>
      </c>
      <c r="G501" s="1" t="s">
        <v>360</v>
      </c>
      <c r="H501" s="1" t="s">
        <v>368</v>
      </c>
      <c r="I501" t="s">
        <v>31</v>
      </c>
      <c r="J501" t="s">
        <v>32</v>
      </c>
      <c r="K501" t="s">
        <v>203</v>
      </c>
      <c r="L501" t="s">
        <v>204</v>
      </c>
      <c r="M501" t="s">
        <v>206</v>
      </c>
      <c r="N501">
        <v>19</v>
      </c>
      <c r="O501" t="s">
        <v>66</v>
      </c>
      <c r="R501" t="s">
        <v>249</v>
      </c>
      <c r="S501" t="s">
        <v>67</v>
      </c>
    </row>
    <row r="502" spans="1:19" x14ac:dyDescent="0.25">
      <c r="A502">
        <v>145267</v>
      </c>
      <c r="B502">
        <v>2025</v>
      </c>
      <c r="C502" t="s">
        <v>200</v>
      </c>
      <c r="D502" t="s">
        <v>26</v>
      </c>
      <c r="E502" t="s">
        <v>201</v>
      </c>
      <c r="F502" t="s">
        <v>367</v>
      </c>
      <c r="G502" s="1" t="s">
        <v>360</v>
      </c>
      <c r="H502" s="1" t="s">
        <v>368</v>
      </c>
      <c r="I502" t="s">
        <v>31</v>
      </c>
      <c r="J502" t="s">
        <v>32</v>
      </c>
      <c r="K502" t="s">
        <v>203</v>
      </c>
      <c r="L502" t="s">
        <v>204</v>
      </c>
      <c r="M502" t="s">
        <v>206</v>
      </c>
      <c r="N502">
        <v>20</v>
      </c>
      <c r="O502" t="s">
        <v>57</v>
      </c>
      <c r="S502" t="s">
        <v>58</v>
      </c>
    </row>
    <row r="503" spans="1:19" x14ac:dyDescent="0.25">
      <c r="A503">
        <v>145267</v>
      </c>
      <c r="B503">
        <v>2025</v>
      </c>
      <c r="C503" t="s">
        <v>200</v>
      </c>
      <c r="D503" t="s">
        <v>26</v>
      </c>
      <c r="E503" t="s">
        <v>201</v>
      </c>
      <c r="F503" t="s">
        <v>367</v>
      </c>
      <c r="G503" s="1" t="s">
        <v>360</v>
      </c>
      <c r="H503" s="1" t="s">
        <v>368</v>
      </c>
      <c r="I503" t="s">
        <v>31</v>
      </c>
      <c r="J503" t="s">
        <v>32</v>
      </c>
      <c r="K503" t="s">
        <v>203</v>
      </c>
      <c r="L503" t="s">
        <v>204</v>
      </c>
      <c r="M503" t="s">
        <v>206</v>
      </c>
      <c r="N503">
        <v>21</v>
      </c>
      <c r="O503" t="s">
        <v>197</v>
      </c>
      <c r="S503" t="s">
        <v>198</v>
      </c>
    </row>
    <row r="504" spans="1:19" x14ac:dyDescent="0.25">
      <c r="A504">
        <v>145267</v>
      </c>
      <c r="B504">
        <v>2025</v>
      </c>
      <c r="C504" t="s">
        <v>200</v>
      </c>
      <c r="D504" t="s">
        <v>26</v>
      </c>
      <c r="E504" t="s">
        <v>201</v>
      </c>
      <c r="F504" t="s">
        <v>367</v>
      </c>
      <c r="G504" s="1" t="s">
        <v>360</v>
      </c>
      <c r="H504" s="1" t="s">
        <v>368</v>
      </c>
      <c r="I504" t="s">
        <v>31</v>
      </c>
      <c r="J504" t="s">
        <v>32</v>
      </c>
      <c r="K504" t="s">
        <v>203</v>
      </c>
      <c r="L504" t="s">
        <v>204</v>
      </c>
      <c r="M504" t="s">
        <v>206</v>
      </c>
      <c r="N504">
        <v>22</v>
      </c>
      <c r="Q504" t="s">
        <v>375</v>
      </c>
    </row>
    <row r="505" spans="1:19" x14ac:dyDescent="0.25">
      <c r="A505">
        <v>145267</v>
      </c>
      <c r="B505">
        <v>2025</v>
      </c>
      <c r="C505" t="s">
        <v>200</v>
      </c>
      <c r="D505" t="s">
        <v>26</v>
      </c>
      <c r="E505" t="s">
        <v>201</v>
      </c>
      <c r="F505" t="s">
        <v>367</v>
      </c>
      <c r="G505" s="1" t="s">
        <v>360</v>
      </c>
      <c r="H505" s="1" t="s">
        <v>368</v>
      </c>
      <c r="I505" t="s">
        <v>31</v>
      </c>
      <c r="J505" t="s">
        <v>32</v>
      </c>
      <c r="K505" t="s">
        <v>203</v>
      </c>
      <c r="L505" t="s">
        <v>204</v>
      </c>
      <c r="M505" t="s">
        <v>206</v>
      </c>
      <c r="N505">
        <v>23</v>
      </c>
      <c r="O505" t="s">
        <v>57</v>
      </c>
      <c r="R505" t="s">
        <v>249</v>
      </c>
      <c r="S505" t="s">
        <v>58</v>
      </c>
    </row>
    <row r="506" spans="1:19" x14ac:dyDescent="0.25">
      <c r="A506">
        <v>145267</v>
      </c>
      <c r="B506">
        <v>2025</v>
      </c>
      <c r="C506" t="s">
        <v>200</v>
      </c>
      <c r="D506" t="s">
        <v>26</v>
      </c>
      <c r="E506" t="s">
        <v>201</v>
      </c>
      <c r="F506" t="s">
        <v>367</v>
      </c>
      <c r="G506" s="1" t="s">
        <v>360</v>
      </c>
      <c r="H506" s="1" t="s">
        <v>368</v>
      </c>
      <c r="I506" t="s">
        <v>31</v>
      </c>
      <c r="J506" t="s">
        <v>32</v>
      </c>
      <c r="K506" t="s">
        <v>203</v>
      </c>
      <c r="L506" t="s">
        <v>204</v>
      </c>
      <c r="M506" t="s">
        <v>206</v>
      </c>
      <c r="N506">
        <v>24</v>
      </c>
      <c r="O506" t="s">
        <v>197</v>
      </c>
      <c r="S506" t="s">
        <v>198</v>
      </c>
    </row>
    <row r="507" spans="1:19" x14ac:dyDescent="0.25">
      <c r="A507">
        <v>145267</v>
      </c>
      <c r="B507">
        <v>2025</v>
      </c>
      <c r="C507" t="s">
        <v>200</v>
      </c>
      <c r="D507" t="s">
        <v>26</v>
      </c>
      <c r="E507" t="s">
        <v>201</v>
      </c>
      <c r="F507" t="s">
        <v>367</v>
      </c>
      <c r="G507" s="1" t="s">
        <v>360</v>
      </c>
      <c r="H507" s="1" t="s">
        <v>368</v>
      </c>
      <c r="I507" t="s">
        <v>31</v>
      </c>
      <c r="J507" t="s">
        <v>32</v>
      </c>
      <c r="K507" t="s">
        <v>203</v>
      </c>
      <c r="L507" t="s">
        <v>204</v>
      </c>
      <c r="M507" t="s">
        <v>206</v>
      </c>
      <c r="N507">
        <v>25</v>
      </c>
      <c r="O507" t="s">
        <v>57</v>
      </c>
      <c r="S507" t="s">
        <v>58</v>
      </c>
    </row>
    <row r="508" spans="1:19" x14ac:dyDescent="0.25">
      <c r="A508">
        <v>145267</v>
      </c>
      <c r="B508">
        <v>2025</v>
      </c>
      <c r="C508" t="s">
        <v>200</v>
      </c>
      <c r="D508" t="s">
        <v>26</v>
      </c>
      <c r="E508" t="s">
        <v>201</v>
      </c>
      <c r="F508" t="s">
        <v>369</v>
      </c>
      <c r="G508" s="1" t="s">
        <v>368</v>
      </c>
      <c r="H508" s="1" t="s">
        <v>370</v>
      </c>
      <c r="I508" t="s">
        <v>31</v>
      </c>
      <c r="J508" t="s">
        <v>32</v>
      </c>
      <c r="K508" t="s">
        <v>203</v>
      </c>
      <c r="L508" t="s">
        <v>204</v>
      </c>
      <c r="M508" t="s">
        <v>206</v>
      </c>
      <c r="N508">
        <v>1</v>
      </c>
      <c r="O508" t="s">
        <v>57</v>
      </c>
      <c r="R508" t="s">
        <v>190</v>
      </c>
      <c r="S508" t="s">
        <v>58</v>
      </c>
    </row>
    <row r="509" spans="1:19" x14ac:dyDescent="0.25">
      <c r="A509">
        <v>145267</v>
      </c>
      <c r="B509">
        <v>2025</v>
      </c>
      <c r="C509" t="s">
        <v>200</v>
      </c>
      <c r="D509" t="s">
        <v>26</v>
      </c>
      <c r="E509" t="s">
        <v>201</v>
      </c>
      <c r="F509" t="s">
        <v>369</v>
      </c>
      <c r="G509" s="1" t="s">
        <v>368</v>
      </c>
      <c r="H509" s="1" t="s">
        <v>370</v>
      </c>
      <c r="I509" t="s">
        <v>31</v>
      </c>
      <c r="J509" t="s">
        <v>32</v>
      </c>
      <c r="K509" t="s">
        <v>203</v>
      </c>
      <c r="L509" t="s">
        <v>204</v>
      </c>
      <c r="M509" t="s">
        <v>206</v>
      </c>
      <c r="N509">
        <v>2</v>
      </c>
      <c r="O509" t="s">
        <v>275</v>
      </c>
      <c r="S509" t="s">
        <v>276</v>
      </c>
    </row>
    <row r="510" spans="1:19" x14ac:dyDescent="0.25">
      <c r="A510">
        <v>145267</v>
      </c>
      <c r="B510">
        <v>2025</v>
      </c>
      <c r="C510" t="s">
        <v>200</v>
      </c>
      <c r="D510" t="s">
        <v>26</v>
      </c>
      <c r="E510" t="s">
        <v>201</v>
      </c>
      <c r="F510" t="s">
        <v>369</v>
      </c>
      <c r="G510" s="1" t="s">
        <v>368</v>
      </c>
      <c r="H510" s="1" t="s">
        <v>370</v>
      </c>
      <c r="I510" t="s">
        <v>31</v>
      </c>
      <c r="J510" t="s">
        <v>32</v>
      </c>
      <c r="K510" t="s">
        <v>203</v>
      </c>
      <c r="L510" t="s">
        <v>204</v>
      </c>
      <c r="M510" t="s">
        <v>206</v>
      </c>
      <c r="N510">
        <v>3</v>
      </c>
      <c r="O510" t="s">
        <v>57</v>
      </c>
      <c r="S510" t="s">
        <v>58</v>
      </c>
    </row>
    <row r="511" spans="1:19" x14ac:dyDescent="0.25">
      <c r="A511">
        <v>145267</v>
      </c>
      <c r="B511">
        <v>2025</v>
      </c>
      <c r="C511" t="s">
        <v>200</v>
      </c>
      <c r="D511" t="s">
        <v>26</v>
      </c>
      <c r="E511" t="s">
        <v>201</v>
      </c>
      <c r="F511" t="s">
        <v>369</v>
      </c>
      <c r="G511" s="1" t="s">
        <v>368</v>
      </c>
      <c r="H511" s="1" t="s">
        <v>370</v>
      </c>
      <c r="I511" t="s">
        <v>31</v>
      </c>
      <c r="J511" t="s">
        <v>32</v>
      </c>
      <c r="K511" t="s">
        <v>203</v>
      </c>
      <c r="L511" t="s">
        <v>204</v>
      </c>
      <c r="M511" t="s">
        <v>206</v>
      </c>
      <c r="N511">
        <v>4</v>
      </c>
      <c r="O511" t="s">
        <v>57</v>
      </c>
      <c r="S511" t="s">
        <v>58</v>
      </c>
    </row>
    <row r="512" spans="1:19" x14ac:dyDescent="0.25">
      <c r="A512">
        <v>145267</v>
      </c>
      <c r="B512">
        <v>2025</v>
      </c>
      <c r="C512" t="s">
        <v>200</v>
      </c>
      <c r="D512" t="s">
        <v>26</v>
      </c>
      <c r="E512" t="s">
        <v>201</v>
      </c>
      <c r="F512" t="s">
        <v>369</v>
      </c>
      <c r="G512" s="1" t="s">
        <v>368</v>
      </c>
      <c r="H512" s="1" t="s">
        <v>370</v>
      </c>
      <c r="I512" t="s">
        <v>31</v>
      </c>
      <c r="J512" t="s">
        <v>32</v>
      </c>
      <c r="K512" t="s">
        <v>203</v>
      </c>
      <c r="L512" t="s">
        <v>204</v>
      </c>
      <c r="M512" t="s">
        <v>206</v>
      </c>
      <c r="N512">
        <v>5</v>
      </c>
      <c r="O512" t="s">
        <v>57</v>
      </c>
      <c r="S512" t="s">
        <v>58</v>
      </c>
    </row>
    <row r="513" spans="1:19" x14ac:dyDescent="0.25">
      <c r="A513">
        <v>145267</v>
      </c>
      <c r="B513">
        <v>2025</v>
      </c>
      <c r="C513" t="s">
        <v>200</v>
      </c>
      <c r="D513" t="s">
        <v>26</v>
      </c>
      <c r="E513" t="s">
        <v>201</v>
      </c>
      <c r="F513" t="s">
        <v>369</v>
      </c>
      <c r="G513" s="1" t="s">
        <v>368</v>
      </c>
      <c r="H513" s="1" t="s">
        <v>370</v>
      </c>
      <c r="I513" t="s">
        <v>31</v>
      </c>
      <c r="J513" t="s">
        <v>32</v>
      </c>
      <c r="K513" t="s">
        <v>203</v>
      </c>
      <c r="L513" t="s">
        <v>204</v>
      </c>
      <c r="M513" t="s">
        <v>206</v>
      </c>
      <c r="N513">
        <v>6</v>
      </c>
      <c r="O513" t="s">
        <v>197</v>
      </c>
      <c r="S513" t="s">
        <v>198</v>
      </c>
    </row>
    <row r="514" spans="1:19" x14ac:dyDescent="0.25">
      <c r="A514">
        <v>145267</v>
      </c>
      <c r="B514">
        <v>2025</v>
      </c>
      <c r="C514" t="s">
        <v>200</v>
      </c>
      <c r="D514" t="s">
        <v>26</v>
      </c>
      <c r="E514" t="s">
        <v>201</v>
      </c>
      <c r="F514" t="s">
        <v>369</v>
      </c>
      <c r="G514" s="1" t="s">
        <v>368</v>
      </c>
      <c r="H514" s="1" t="s">
        <v>370</v>
      </c>
      <c r="I514" t="s">
        <v>31</v>
      </c>
      <c r="J514" t="s">
        <v>32</v>
      </c>
      <c r="K514" t="s">
        <v>203</v>
      </c>
      <c r="L514" t="s">
        <v>204</v>
      </c>
      <c r="M514" t="s">
        <v>206</v>
      </c>
      <c r="N514">
        <v>7</v>
      </c>
      <c r="O514" t="s">
        <v>57</v>
      </c>
      <c r="R514" t="s">
        <v>190</v>
      </c>
      <c r="S514" t="s">
        <v>58</v>
      </c>
    </row>
    <row r="515" spans="1:19" x14ac:dyDescent="0.25">
      <c r="A515">
        <v>145267</v>
      </c>
      <c r="B515">
        <v>2025</v>
      </c>
      <c r="C515" t="s">
        <v>200</v>
      </c>
      <c r="D515" t="s">
        <v>26</v>
      </c>
      <c r="E515" t="s">
        <v>201</v>
      </c>
      <c r="F515" t="s">
        <v>369</v>
      </c>
      <c r="G515" s="1" t="s">
        <v>368</v>
      </c>
      <c r="H515" s="1" t="s">
        <v>370</v>
      </c>
      <c r="I515" t="s">
        <v>31</v>
      </c>
      <c r="J515" t="s">
        <v>32</v>
      </c>
      <c r="K515" t="s">
        <v>203</v>
      </c>
      <c r="L515" t="s">
        <v>204</v>
      </c>
      <c r="M515" t="s">
        <v>206</v>
      </c>
      <c r="N515">
        <v>8</v>
      </c>
      <c r="O515" t="s">
        <v>197</v>
      </c>
      <c r="S515" t="s">
        <v>198</v>
      </c>
    </row>
    <row r="516" spans="1:19" x14ac:dyDescent="0.25">
      <c r="A516">
        <v>145267</v>
      </c>
      <c r="B516">
        <v>2025</v>
      </c>
      <c r="C516" t="s">
        <v>200</v>
      </c>
      <c r="D516" t="s">
        <v>26</v>
      </c>
      <c r="E516" t="s">
        <v>201</v>
      </c>
      <c r="F516" t="s">
        <v>369</v>
      </c>
      <c r="G516" s="1" t="s">
        <v>368</v>
      </c>
      <c r="H516" s="1" t="s">
        <v>370</v>
      </c>
      <c r="I516" t="s">
        <v>31</v>
      </c>
      <c r="J516" t="s">
        <v>32</v>
      </c>
      <c r="K516" t="s">
        <v>203</v>
      </c>
      <c r="L516" t="s">
        <v>204</v>
      </c>
      <c r="M516" t="s">
        <v>206</v>
      </c>
      <c r="N516">
        <v>9</v>
      </c>
      <c r="O516" t="s">
        <v>57</v>
      </c>
      <c r="S516" t="s">
        <v>58</v>
      </c>
    </row>
    <row r="517" spans="1:19" x14ac:dyDescent="0.25">
      <c r="A517">
        <v>145267</v>
      </c>
      <c r="B517">
        <v>2025</v>
      </c>
      <c r="C517" t="s">
        <v>200</v>
      </c>
      <c r="D517" t="s">
        <v>26</v>
      </c>
      <c r="E517" t="s">
        <v>201</v>
      </c>
      <c r="F517" t="s">
        <v>369</v>
      </c>
      <c r="G517" s="1" t="s">
        <v>368</v>
      </c>
      <c r="H517" s="1" t="s">
        <v>370</v>
      </c>
      <c r="I517" t="s">
        <v>31</v>
      </c>
      <c r="J517" t="s">
        <v>32</v>
      </c>
      <c r="K517" t="s">
        <v>203</v>
      </c>
      <c r="L517" t="s">
        <v>204</v>
      </c>
      <c r="M517" t="s">
        <v>206</v>
      </c>
      <c r="N517">
        <v>10</v>
      </c>
      <c r="O517" t="s">
        <v>57</v>
      </c>
      <c r="S517" t="s">
        <v>58</v>
      </c>
    </row>
    <row r="518" spans="1:19" x14ac:dyDescent="0.25">
      <c r="A518">
        <v>145267</v>
      </c>
      <c r="B518">
        <v>2025</v>
      </c>
      <c r="C518" t="s">
        <v>200</v>
      </c>
      <c r="D518" t="s">
        <v>26</v>
      </c>
      <c r="E518" t="s">
        <v>201</v>
      </c>
      <c r="F518" t="s">
        <v>369</v>
      </c>
      <c r="G518" s="1" t="s">
        <v>368</v>
      </c>
      <c r="H518" s="1" t="s">
        <v>370</v>
      </c>
      <c r="I518" t="s">
        <v>31</v>
      </c>
      <c r="J518" t="s">
        <v>32</v>
      </c>
      <c r="K518" t="s">
        <v>203</v>
      </c>
      <c r="L518" t="s">
        <v>204</v>
      </c>
      <c r="M518" t="s">
        <v>206</v>
      </c>
      <c r="N518">
        <v>11</v>
      </c>
      <c r="O518" t="s">
        <v>57</v>
      </c>
      <c r="S518" t="s">
        <v>58</v>
      </c>
    </row>
    <row r="519" spans="1:19" x14ac:dyDescent="0.25">
      <c r="A519">
        <v>145267</v>
      </c>
      <c r="B519">
        <v>2025</v>
      </c>
      <c r="C519" t="s">
        <v>200</v>
      </c>
      <c r="D519" t="s">
        <v>26</v>
      </c>
      <c r="E519" t="s">
        <v>201</v>
      </c>
      <c r="F519" t="s">
        <v>369</v>
      </c>
      <c r="G519" s="1" t="s">
        <v>368</v>
      </c>
      <c r="H519" s="1" t="s">
        <v>370</v>
      </c>
      <c r="I519" t="s">
        <v>31</v>
      </c>
      <c r="J519" t="s">
        <v>32</v>
      </c>
      <c r="K519" t="s">
        <v>203</v>
      </c>
      <c r="L519" t="s">
        <v>204</v>
      </c>
      <c r="M519" t="s">
        <v>206</v>
      </c>
      <c r="N519">
        <v>12</v>
      </c>
      <c r="P519" t="s">
        <v>95</v>
      </c>
      <c r="R519" t="s">
        <v>248</v>
      </c>
      <c r="S519" t="s">
        <v>96</v>
      </c>
    </row>
    <row r="520" spans="1:19" x14ac:dyDescent="0.25">
      <c r="A520">
        <v>145267</v>
      </c>
      <c r="B520">
        <v>2025</v>
      </c>
      <c r="C520" t="s">
        <v>200</v>
      </c>
      <c r="D520" t="s">
        <v>26</v>
      </c>
      <c r="E520" t="s">
        <v>201</v>
      </c>
      <c r="F520" t="s">
        <v>369</v>
      </c>
      <c r="G520" s="1" t="s">
        <v>368</v>
      </c>
      <c r="H520" s="1" t="s">
        <v>370</v>
      </c>
      <c r="I520" t="s">
        <v>31</v>
      </c>
      <c r="J520" t="s">
        <v>32</v>
      </c>
      <c r="K520" t="s">
        <v>203</v>
      </c>
      <c r="L520" t="s">
        <v>204</v>
      </c>
      <c r="M520" t="s">
        <v>206</v>
      </c>
      <c r="N520">
        <v>13</v>
      </c>
      <c r="P520" t="s">
        <v>99</v>
      </c>
      <c r="R520" t="s">
        <v>248</v>
      </c>
      <c r="S520" t="s">
        <v>100</v>
      </c>
    </row>
    <row r="521" spans="1:19" x14ac:dyDescent="0.25">
      <c r="A521">
        <v>145267</v>
      </c>
      <c r="B521">
        <v>2025</v>
      </c>
      <c r="C521" t="s">
        <v>200</v>
      </c>
      <c r="D521" t="s">
        <v>26</v>
      </c>
      <c r="E521" t="s">
        <v>201</v>
      </c>
      <c r="F521" t="s">
        <v>369</v>
      </c>
      <c r="G521" s="1" t="s">
        <v>368</v>
      </c>
      <c r="H521" s="1" t="s">
        <v>370</v>
      </c>
      <c r="I521" t="s">
        <v>31</v>
      </c>
      <c r="J521" t="s">
        <v>32</v>
      </c>
      <c r="K521" t="s">
        <v>203</v>
      </c>
      <c r="L521" t="s">
        <v>204</v>
      </c>
      <c r="M521" t="s">
        <v>206</v>
      </c>
      <c r="N521">
        <v>14</v>
      </c>
      <c r="P521" t="s">
        <v>99</v>
      </c>
      <c r="R521" t="s">
        <v>248</v>
      </c>
      <c r="S521" t="s">
        <v>100</v>
      </c>
    </row>
    <row r="522" spans="1:19" x14ac:dyDescent="0.25">
      <c r="A522">
        <v>145267</v>
      </c>
      <c r="B522">
        <v>2025</v>
      </c>
      <c r="C522" t="s">
        <v>200</v>
      </c>
      <c r="D522" t="s">
        <v>26</v>
      </c>
      <c r="E522" t="s">
        <v>201</v>
      </c>
      <c r="F522" t="s">
        <v>369</v>
      </c>
      <c r="G522" s="1" t="s">
        <v>368</v>
      </c>
      <c r="H522" s="1" t="s">
        <v>370</v>
      </c>
      <c r="I522" t="s">
        <v>31</v>
      </c>
      <c r="J522" t="s">
        <v>32</v>
      </c>
      <c r="K522" t="s">
        <v>203</v>
      </c>
      <c r="L522" t="s">
        <v>204</v>
      </c>
      <c r="M522" t="s">
        <v>206</v>
      </c>
      <c r="N522">
        <v>15</v>
      </c>
      <c r="O522" t="s">
        <v>57</v>
      </c>
      <c r="S522" t="s">
        <v>58</v>
      </c>
    </row>
    <row r="523" spans="1:19" x14ac:dyDescent="0.25">
      <c r="A523">
        <v>145267</v>
      </c>
      <c r="B523">
        <v>2025</v>
      </c>
      <c r="C523" t="s">
        <v>200</v>
      </c>
      <c r="D523" t="s">
        <v>26</v>
      </c>
      <c r="E523" t="s">
        <v>201</v>
      </c>
      <c r="F523" t="s">
        <v>369</v>
      </c>
      <c r="G523" s="1" t="s">
        <v>368</v>
      </c>
      <c r="H523" s="1" t="s">
        <v>370</v>
      </c>
      <c r="I523" t="s">
        <v>31</v>
      </c>
      <c r="J523" t="s">
        <v>32</v>
      </c>
      <c r="K523" t="s">
        <v>203</v>
      </c>
      <c r="L523" t="s">
        <v>204</v>
      </c>
      <c r="M523" t="s">
        <v>206</v>
      </c>
      <c r="N523">
        <v>16</v>
      </c>
      <c r="O523" t="s">
        <v>66</v>
      </c>
      <c r="R523" t="s">
        <v>249</v>
      </c>
      <c r="S523" t="s">
        <v>67</v>
      </c>
    </row>
    <row r="524" spans="1:19" x14ac:dyDescent="0.25">
      <c r="A524">
        <v>145267</v>
      </c>
      <c r="B524">
        <v>2025</v>
      </c>
      <c r="C524" t="s">
        <v>200</v>
      </c>
      <c r="D524" t="s">
        <v>26</v>
      </c>
      <c r="E524" t="s">
        <v>201</v>
      </c>
      <c r="F524" t="s">
        <v>369</v>
      </c>
      <c r="G524" s="1" t="s">
        <v>368</v>
      </c>
      <c r="H524" s="1" t="s">
        <v>370</v>
      </c>
      <c r="I524" t="s">
        <v>31</v>
      </c>
      <c r="J524" t="s">
        <v>32</v>
      </c>
      <c r="K524" t="s">
        <v>203</v>
      </c>
      <c r="L524" t="s">
        <v>204</v>
      </c>
      <c r="M524" t="s">
        <v>206</v>
      </c>
      <c r="N524">
        <v>17</v>
      </c>
      <c r="O524" t="s">
        <v>197</v>
      </c>
      <c r="S524" t="s">
        <v>198</v>
      </c>
    </row>
    <row r="525" spans="1:19" x14ac:dyDescent="0.25">
      <c r="A525">
        <v>145267</v>
      </c>
      <c r="B525">
        <v>2025</v>
      </c>
      <c r="C525" t="s">
        <v>200</v>
      </c>
      <c r="D525" t="s">
        <v>26</v>
      </c>
      <c r="E525" t="s">
        <v>201</v>
      </c>
      <c r="F525" t="s">
        <v>369</v>
      </c>
      <c r="G525" s="1" t="s">
        <v>368</v>
      </c>
      <c r="H525" s="1" t="s">
        <v>370</v>
      </c>
      <c r="I525" t="s">
        <v>31</v>
      </c>
      <c r="J525" t="s">
        <v>32</v>
      </c>
      <c r="K525" t="s">
        <v>203</v>
      </c>
      <c r="L525" t="s">
        <v>204</v>
      </c>
      <c r="M525" t="s">
        <v>206</v>
      </c>
      <c r="N525">
        <v>18</v>
      </c>
      <c r="O525" t="s">
        <v>57</v>
      </c>
      <c r="S525" t="s">
        <v>58</v>
      </c>
    </row>
    <row r="526" spans="1:19" x14ac:dyDescent="0.25">
      <c r="A526">
        <v>145267</v>
      </c>
      <c r="B526">
        <v>2025</v>
      </c>
      <c r="C526" t="s">
        <v>200</v>
      </c>
      <c r="D526" t="s">
        <v>26</v>
      </c>
      <c r="E526" t="s">
        <v>201</v>
      </c>
      <c r="F526" t="s">
        <v>369</v>
      </c>
      <c r="G526" s="1" t="s">
        <v>368</v>
      </c>
      <c r="H526" s="1" t="s">
        <v>370</v>
      </c>
      <c r="I526" t="s">
        <v>31</v>
      </c>
      <c r="J526" t="s">
        <v>32</v>
      </c>
      <c r="K526" t="s">
        <v>203</v>
      </c>
      <c r="L526" t="s">
        <v>204</v>
      </c>
      <c r="M526" t="s">
        <v>206</v>
      </c>
      <c r="N526">
        <v>19</v>
      </c>
      <c r="O526" t="s">
        <v>57</v>
      </c>
      <c r="S526" t="s">
        <v>58</v>
      </c>
    </row>
    <row r="527" spans="1:19" x14ac:dyDescent="0.25">
      <c r="A527">
        <v>145267</v>
      </c>
      <c r="B527">
        <v>2025</v>
      </c>
      <c r="C527" t="s">
        <v>200</v>
      </c>
      <c r="D527" t="s">
        <v>26</v>
      </c>
      <c r="E527" t="s">
        <v>201</v>
      </c>
      <c r="F527" t="s">
        <v>369</v>
      </c>
      <c r="G527" s="1" t="s">
        <v>368</v>
      </c>
      <c r="H527" s="1" t="s">
        <v>370</v>
      </c>
      <c r="I527" t="s">
        <v>31</v>
      </c>
      <c r="J527" t="s">
        <v>32</v>
      </c>
      <c r="K527" t="s">
        <v>203</v>
      </c>
      <c r="L527" t="s">
        <v>204</v>
      </c>
      <c r="M527" t="s">
        <v>206</v>
      </c>
      <c r="N527">
        <v>20</v>
      </c>
      <c r="O527" t="s">
        <v>275</v>
      </c>
      <c r="R527" t="s">
        <v>249</v>
      </c>
      <c r="S527" t="s">
        <v>276</v>
      </c>
    </row>
    <row r="528" spans="1:19" x14ac:dyDescent="0.25">
      <c r="A528">
        <v>145267</v>
      </c>
      <c r="B528">
        <v>2025</v>
      </c>
      <c r="C528" t="s">
        <v>200</v>
      </c>
      <c r="D528" t="s">
        <v>26</v>
      </c>
      <c r="E528" t="s">
        <v>201</v>
      </c>
      <c r="F528" t="s">
        <v>369</v>
      </c>
      <c r="G528" s="1" t="s">
        <v>368</v>
      </c>
      <c r="H528" s="1" t="s">
        <v>370</v>
      </c>
      <c r="I528" t="s">
        <v>31</v>
      </c>
      <c r="J528" t="s">
        <v>32</v>
      </c>
      <c r="K528" t="s">
        <v>203</v>
      </c>
      <c r="L528" t="s">
        <v>204</v>
      </c>
      <c r="M528" t="s">
        <v>206</v>
      </c>
      <c r="N528">
        <v>21</v>
      </c>
      <c r="O528" t="s">
        <v>57</v>
      </c>
      <c r="S528" t="s">
        <v>58</v>
      </c>
    </row>
    <row r="529" spans="1:19" x14ac:dyDescent="0.25">
      <c r="A529">
        <v>145267</v>
      </c>
      <c r="B529">
        <v>2025</v>
      </c>
      <c r="C529" t="s">
        <v>200</v>
      </c>
      <c r="D529" t="s">
        <v>26</v>
      </c>
      <c r="E529" t="s">
        <v>201</v>
      </c>
      <c r="F529" t="s">
        <v>369</v>
      </c>
      <c r="G529" s="1" t="s">
        <v>368</v>
      </c>
      <c r="H529" s="1" t="s">
        <v>370</v>
      </c>
      <c r="I529" t="s">
        <v>31</v>
      </c>
      <c r="J529" t="s">
        <v>32</v>
      </c>
      <c r="K529" t="s">
        <v>203</v>
      </c>
      <c r="L529" t="s">
        <v>204</v>
      </c>
      <c r="M529" t="s">
        <v>206</v>
      </c>
      <c r="N529">
        <v>22</v>
      </c>
      <c r="O529" t="s">
        <v>197</v>
      </c>
      <c r="S529" t="s">
        <v>198</v>
      </c>
    </row>
    <row r="530" spans="1:19" x14ac:dyDescent="0.25">
      <c r="A530">
        <v>145267</v>
      </c>
      <c r="B530">
        <v>2025</v>
      </c>
      <c r="C530" t="s">
        <v>200</v>
      </c>
      <c r="D530" t="s">
        <v>26</v>
      </c>
      <c r="E530" t="s">
        <v>201</v>
      </c>
      <c r="F530" t="s">
        <v>369</v>
      </c>
      <c r="G530" s="1" t="s">
        <v>368</v>
      </c>
      <c r="H530" s="1" t="s">
        <v>370</v>
      </c>
      <c r="I530" t="s">
        <v>31</v>
      </c>
      <c r="J530" t="s">
        <v>32</v>
      </c>
      <c r="K530" t="s">
        <v>203</v>
      </c>
      <c r="L530" t="s">
        <v>204</v>
      </c>
      <c r="M530" t="s">
        <v>206</v>
      </c>
      <c r="N530">
        <v>23</v>
      </c>
      <c r="O530" t="s">
        <v>57</v>
      </c>
      <c r="S530" t="s">
        <v>58</v>
      </c>
    </row>
    <row r="531" spans="1:19" x14ac:dyDescent="0.25">
      <c r="A531">
        <v>145267</v>
      </c>
      <c r="B531">
        <v>2025</v>
      </c>
      <c r="C531" t="s">
        <v>200</v>
      </c>
      <c r="D531" t="s">
        <v>26</v>
      </c>
      <c r="E531" t="s">
        <v>201</v>
      </c>
      <c r="F531" t="s">
        <v>369</v>
      </c>
      <c r="G531" s="1" t="s">
        <v>368</v>
      </c>
      <c r="H531" s="1" t="s">
        <v>370</v>
      </c>
      <c r="I531" t="s">
        <v>31</v>
      </c>
      <c r="J531" t="s">
        <v>32</v>
      </c>
      <c r="K531" t="s">
        <v>203</v>
      </c>
      <c r="L531" t="s">
        <v>204</v>
      </c>
      <c r="M531" t="s">
        <v>206</v>
      </c>
      <c r="N531">
        <v>24</v>
      </c>
      <c r="O531" t="s">
        <v>57</v>
      </c>
      <c r="S531" t="s">
        <v>58</v>
      </c>
    </row>
    <row r="532" spans="1:19" x14ac:dyDescent="0.25">
      <c r="A532">
        <v>145267</v>
      </c>
      <c r="B532">
        <v>2025</v>
      </c>
      <c r="C532" t="s">
        <v>200</v>
      </c>
      <c r="D532" t="s">
        <v>26</v>
      </c>
      <c r="E532" t="s">
        <v>201</v>
      </c>
      <c r="F532" t="s">
        <v>369</v>
      </c>
      <c r="G532" s="1" t="s">
        <v>368</v>
      </c>
      <c r="H532" s="1" t="s">
        <v>370</v>
      </c>
      <c r="I532" t="s">
        <v>31</v>
      </c>
      <c r="J532" t="s">
        <v>32</v>
      </c>
      <c r="K532" t="s">
        <v>203</v>
      </c>
      <c r="L532" t="s">
        <v>204</v>
      </c>
      <c r="M532" t="s">
        <v>206</v>
      </c>
      <c r="N532">
        <v>25</v>
      </c>
      <c r="O532" t="s">
        <v>57</v>
      </c>
      <c r="S532" t="s">
        <v>58</v>
      </c>
    </row>
    <row r="533" spans="1:19" x14ac:dyDescent="0.25">
      <c r="A533">
        <v>145267</v>
      </c>
      <c r="B533">
        <v>2025</v>
      </c>
      <c r="C533" t="s">
        <v>200</v>
      </c>
      <c r="D533" t="s">
        <v>26</v>
      </c>
      <c r="E533" t="s">
        <v>201</v>
      </c>
      <c r="F533" t="s">
        <v>371</v>
      </c>
      <c r="G533" s="1" t="s">
        <v>370</v>
      </c>
      <c r="H533" s="1" t="s">
        <v>357</v>
      </c>
      <c r="I533" t="s">
        <v>31</v>
      </c>
      <c r="J533" t="s">
        <v>32</v>
      </c>
      <c r="K533" t="s">
        <v>203</v>
      </c>
      <c r="L533" t="s">
        <v>204</v>
      </c>
      <c r="M533" t="s">
        <v>206</v>
      </c>
      <c r="N533">
        <v>1</v>
      </c>
      <c r="O533" t="s">
        <v>68</v>
      </c>
      <c r="S533" t="s">
        <v>69</v>
      </c>
    </row>
    <row r="534" spans="1:19" x14ac:dyDescent="0.25">
      <c r="A534">
        <v>145267</v>
      </c>
      <c r="B534">
        <v>2025</v>
      </c>
      <c r="C534" t="s">
        <v>200</v>
      </c>
      <c r="D534" t="s">
        <v>26</v>
      </c>
      <c r="E534" t="s">
        <v>201</v>
      </c>
      <c r="F534" t="s">
        <v>371</v>
      </c>
      <c r="G534" s="1" t="s">
        <v>370</v>
      </c>
      <c r="H534" s="1" t="s">
        <v>357</v>
      </c>
      <c r="I534" t="s">
        <v>31</v>
      </c>
      <c r="J534" t="s">
        <v>32</v>
      </c>
      <c r="K534" t="s">
        <v>203</v>
      </c>
      <c r="L534" t="s">
        <v>204</v>
      </c>
      <c r="M534" t="s">
        <v>206</v>
      </c>
      <c r="N534">
        <v>2</v>
      </c>
      <c r="O534" t="s">
        <v>63</v>
      </c>
      <c r="S534" t="s">
        <v>64</v>
      </c>
    </row>
    <row r="535" spans="1:19" x14ac:dyDescent="0.25">
      <c r="A535">
        <v>145267</v>
      </c>
      <c r="B535">
        <v>2025</v>
      </c>
      <c r="C535" t="s">
        <v>200</v>
      </c>
      <c r="D535" t="s">
        <v>26</v>
      </c>
      <c r="E535" t="s">
        <v>201</v>
      </c>
      <c r="F535" t="s">
        <v>371</v>
      </c>
      <c r="G535" s="1" t="s">
        <v>370</v>
      </c>
      <c r="H535" s="1" t="s">
        <v>357</v>
      </c>
      <c r="I535" t="s">
        <v>31</v>
      </c>
      <c r="J535" t="s">
        <v>32</v>
      </c>
      <c r="K535" t="s">
        <v>203</v>
      </c>
      <c r="L535" t="s">
        <v>204</v>
      </c>
      <c r="M535" t="s">
        <v>206</v>
      </c>
      <c r="N535">
        <v>3</v>
      </c>
      <c r="O535" t="s">
        <v>275</v>
      </c>
      <c r="R535" t="s">
        <v>249</v>
      </c>
      <c r="S535" t="s">
        <v>276</v>
      </c>
    </row>
    <row r="536" spans="1:19" x14ac:dyDescent="0.25">
      <c r="A536">
        <v>145267</v>
      </c>
      <c r="B536">
        <v>2025</v>
      </c>
      <c r="C536" t="s">
        <v>200</v>
      </c>
      <c r="D536" t="s">
        <v>26</v>
      </c>
      <c r="E536" t="s">
        <v>201</v>
      </c>
      <c r="F536" t="s">
        <v>371</v>
      </c>
      <c r="G536" s="1" t="s">
        <v>370</v>
      </c>
      <c r="H536" s="1" t="s">
        <v>357</v>
      </c>
      <c r="I536" t="s">
        <v>31</v>
      </c>
      <c r="J536" t="s">
        <v>32</v>
      </c>
      <c r="K536" t="s">
        <v>203</v>
      </c>
      <c r="L536" t="s">
        <v>204</v>
      </c>
      <c r="M536" t="s">
        <v>206</v>
      </c>
      <c r="N536">
        <v>4</v>
      </c>
      <c r="O536" t="s">
        <v>63</v>
      </c>
      <c r="S536" t="s">
        <v>64</v>
      </c>
    </row>
    <row r="537" spans="1:19" x14ac:dyDescent="0.25">
      <c r="A537">
        <v>145267</v>
      </c>
      <c r="B537">
        <v>2025</v>
      </c>
      <c r="C537" t="s">
        <v>200</v>
      </c>
      <c r="D537" t="s">
        <v>26</v>
      </c>
      <c r="E537" t="s">
        <v>201</v>
      </c>
      <c r="F537" t="s">
        <v>371</v>
      </c>
      <c r="G537" s="1" t="s">
        <v>370</v>
      </c>
      <c r="H537" s="1" t="s">
        <v>357</v>
      </c>
      <c r="I537" t="s">
        <v>31</v>
      </c>
      <c r="J537" t="s">
        <v>32</v>
      </c>
      <c r="K537" t="s">
        <v>203</v>
      </c>
      <c r="L537" t="s">
        <v>204</v>
      </c>
      <c r="M537" t="s">
        <v>206</v>
      </c>
      <c r="N537">
        <v>5</v>
      </c>
      <c r="P537" t="s">
        <v>60</v>
      </c>
      <c r="Q537" t="s">
        <v>130</v>
      </c>
      <c r="S537" t="s">
        <v>61</v>
      </c>
    </row>
    <row r="538" spans="1:19" x14ac:dyDescent="0.25">
      <c r="A538">
        <v>145267</v>
      </c>
      <c r="B538">
        <v>2025</v>
      </c>
      <c r="C538" t="s">
        <v>200</v>
      </c>
      <c r="D538" t="s">
        <v>26</v>
      </c>
      <c r="E538" t="s">
        <v>201</v>
      </c>
      <c r="F538" t="s">
        <v>371</v>
      </c>
      <c r="G538" s="1" t="s">
        <v>370</v>
      </c>
      <c r="H538" s="1" t="s">
        <v>357</v>
      </c>
      <c r="I538" t="s">
        <v>31</v>
      </c>
      <c r="J538" t="s">
        <v>32</v>
      </c>
      <c r="K538" t="s">
        <v>203</v>
      </c>
      <c r="L538" t="s">
        <v>204</v>
      </c>
      <c r="M538" t="s">
        <v>206</v>
      </c>
      <c r="N538">
        <v>6</v>
      </c>
      <c r="O538" t="s">
        <v>197</v>
      </c>
      <c r="S538" t="s">
        <v>198</v>
      </c>
    </row>
    <row r="539" spans="1:19" x14ac:dyDescent="0.25">
      <c r="A539">
        <v>145267</v>
      </c>
      <c r="B539">
        <v>2025</v>
      </c>
      <c r="C539" t="s">
        <v>200</v>
      </c>
      <c r="D539" t="s">
        <v>26</v>
      </c>
      <c r="E539" t="s">
        <v>201</v>
      </c>
      <c r="F539" t="s">
        <v>371</v>
      </c>
      <c r="G539" s="1" t="s">
        <v>370</v>
      </c>
      <c r="H539" s="1" t="s">
        <v>357</v>
      </c>
      <c r="I539" t="s">
        <v>31</v>
      </c>
      <c r="J539" t="s">
        <v>32</v>
      </c>
      <c r="K539" t="s">
        <v>203</v>
      </c>
      <c r="L539" t="s">
        <v>204</v>
      </c>
      <c r="M539" t="s">
        <v>206</v>
      </c>
      <c r="N539">
        <v>7</v>
      </c>
      <c r="P539" t="s">
        <v>99</v>
      </c>
      <c r="R539" t="s">
        <v>248</v>
      </c>
      <c r="S539" t="s">
        <v>100</v>
      </c>
    </row>
    <row r="540" spans="1:19" x14ac:dyDescent="0.25">
      <c r="A540">
        <v>145267</v>
      </c>
      <c r="B540">
        <v>2025</v>
      </c>
      <c r="C540" t="s">
        <v>200</v>
      </c>
      <c r="D540" t="s">
        <v>26</v>
      </c>
      <c r="E540" t="s">
        <v>201</v>
      </c>
      <c r="F540" t="s">
        <v>371</v>
      </c>
      <c r="G540" s="1" t="s">
        <v>370</v>
      </c>
      <c r="H540" s="1" t="s">
        <v>357</v>
      </c>
      <c r="I540" t="s">
        <v>31</v>
      </c>
      <c r="J540" t="s">
        <v>32</v>
      </c>
      <c r="K540" t="s">
        <v>203</v>
      </c>
      <c r="L540" t="s">
        <v>204</v>
      </c>
      <c r="M540" t="s">
        <v>206</v>
      </c>
      <c r="N540">
        <v>8</v>
      </c>
      <c r="O540" t="s">
        <v>57</v>
      </c>
      <c r="S540" t="s">
        <v>58</v>
      </c>
    </row>
    <row r="541" spans="1:19" x14ac:dyDescent="0.25">
      <c r="A541">
        <v>145267</v>
      </c>
      <c r="B541">
        <v>2025</v>
      </c>
      <c r="C541" t="s">
        <v>200</v>
      </c>
      <c r="D541" t="s">
        <v>26</v>
      </c>
      <c r="E541" t="s">
        <v>201</v>
      </c>
      <c r="F541" t="s">
        <v>371</v>
      </c>
      <c r="G541" s="1" t="s">
        <v>370</v>
      </c>
      <c r="H541" s="1" t="s">
        <v>357</v>
      </c>
      <c r="I541" t="s">
        <v>31</v>
      </c>
      <c r="J541" t="s">
        <v>32</v>
      </c>
      <c r="K541" t="s">
        <v>203</v>
      </c>
      <c r="L541" t="s">
        <v>204</v>
      </c>
      <c r="M541" t="s">
        <v>206</v>
      </c>
      <c r="N541">
        <v>9</v>
      </c>
      <c r="O541" t="s">
        <v>57</v>
      </c>
      <c r="S541" t="s">
        <v>58</v>
      </c>
    </row>
    <row r="542" spans="1:19" x14ac:dyDescent="0.25">
      <c r="A542">
        <v>145267</v>
      </c>
      <c r="B542">
        <v>2025</v>
      </c>
      <c r="C542" t="s">
        <v>200</v>
      </c>
      <c r="D542" t="s">
        <v>26</v>
      </c>
      <c r="E542" t="s">
        <v>201</v>
      </c>
      <c r="F542" t="s">
        <v>371</v>
      </c>
      <c r="G542" s="1" t="s">
        <v>370</v>
      </c>
      <c r="H542" s="1" t="s">
        <v>357</v>
      </c>
      <c r="I542" t="s">
        <v>31</v>
      </c>
      <c r="J542" t="s">
        <v>32</v>
      </c>
      <c r="K542" t="s">
        <v>203</v>
      </c>
      <c r="L542" t="s">
        <v>204</v>
      </c>
      <c r="M542" t="s">
        <v>206</v>
      </c>
      <c r="N542">
        <v>10</v>
      </c>
      <c r="O542" t="s">
        <v>57</v>
      </c>
      <c r="S542" t="s">
        <v>58</v>
      </c>
    </row>
    <row r="543" spans="1:19" x14ac:dyDescent="0.25">
      <c r="A543">
        <v>145267</v>
      </c>
      <c r="B543">
        <v>2025</v>
      </c>
      <c r="C543" t="s">
        <v>200</v>
      </c>
      <c r="D543" t="s">
        <v>26</v>
      </c>
      <c r="E543" t="s">
        <v>201</v>
      </c>
      <c r="F543" t="s">
        <v>371</v>
      </c>
      <c r="G543" s="1" t="s">
        <v>370</v>
      </c>
      <c r="H543" s="1" t="s">
        <v>357</v>
      </c>
      <c r="I543" t="s">
        <v>31</v>
      </c>
      <c r="J543" t="s">
        <v>32</v>
      </c>
      <c r="K543" t="s">
        <v>203</v>
      </c>
      <c r="L543" t="s">
        <v>204</v>
      </c>
      <c r="M543" t="s">
        <v>206</v>
      </c>
      <c r="N543">
        <v>11</v>
      </c>
      <c r="O543" t="s">
        <v>57</v>
      </c>
      <c r="S543" t="s">
        <v>58</v>
      </c>
    </row>
    <row r="544" spans="1:19" x14ac:dyDescent="0.25">
      <c r="A544">
        <v>145267</v>
      </c>
      <c r="B544">
        <v>2025</v>
      </c>
      <c r="C544" t="s">
        <v>200</v>
      </c>
      <c r="D544" t="s">
        <v>26</v>
      </c>
      <c r="E544" t="s">
        <v>201</v>
      </c>
      <c r="F544" t="s">
        <v>371</v>
      </c>
      <c r="G544" s="1" t="s">
        <v>370</v>
      </c>
      <c r="H544" s="1" t="s">
        <v>357</v>
      </c>
      <c r="I544" t="s">
        <v>31</v>
      </c>
      <c r="J544" t="s">
        <v>32</v>
      </c>
      <c r="K544" t="s">
        <v>203</v>
      </c>
      <c r="L544" t="s">
        <v>204</v>
      </c>
      <c r="M544" t="s">
        <v>206</v>
      </c>
      <c r="N544">
        <v>12</v>
      </c>
      <c r="P544" t="s">
        <v>60</v>
      </c>
      <c r="Q544" t="s">
        <v>135</v>
      </c>
      <c r="S544" t="s">
        <v>61</v>
      </c>
    </row>
    <row r="545" spans="1:19" x14ac:dyDescent="0.25">
      <c r="A545">
        <v>145267</v>
      </c>
      <c r="B545">
        <v>2025</v>
      </c>
      <c r="C545" t="s">
        <v>200</v>
      </c>
      <c r="D545" t="s">
        <v>26</v>
      </c>
      <c r="E545" t="s">
        <v>201</v>
      </c>
      <c r="F545" t="s">
        <v>371</v>
      </c>
      <c r="G545" s="1" t="s">
        <v>370</v>
      </c>
      <c r="H545" s="1" t="s">
        <v>357</v>
      </c>
      <c r="I545" t="s">
        <v>31</v>
      </c>
      <c r="J545" t="s">
        <v>32</v>
      </c>
      <c r="K545" t="s">
        <v>203</v>
      </c>
      <c r="L545" t="s">
        <v>204</v>
      </c>
      <c r="M545" t="s">
        <v>206</v>
      </c>
      <c r="N545">
        <v>13</v>
      </c>
      <c r="O545" t="s">
        <v>66</v>
      </c>
      <c r="S545" t="s">
        <v>67</v>
      </c>
    </row>
    <row r="546" spans="1:19" x14ac:dyDescent="0.25">
      <c r="A546">
        <v>145267</v>
      </c>
      <c r="B546">
        <v>2025</v>
      </c>
      <c r="C546" t="s">
        <v>200</v>
      </c>
      <c r="D546" t="s">
        <v>26</v>
      </c>
      <c r="E546" t="s">
        <v>201</v>
      </c>
      <c r="F546" t="s">
        <v>371</v>
      </c>
      <c r="G546" s="1" t="s">
        <v>370</v>
      </c>
      <c r="H546" s="1" t="s">
        <v>357</v>
      </c>
      <c r="I546" t="s">
        <v>31</v>
      </c>
      <c r="J546" t="s">
        <v>32</v>
      </c>
      <c r="K546" t="s">
        <v>203</v>
      </c>
      <c r="L546" t="s">
        <v>204</v>
      </c>
      <c r="M546" t="s">
        <v>206</v>
      </c>
      <c r="N546">
        <v>14</v>
      </c>
      <c r="O546" t="s">
        <v>66</v>
      </c>
      <c r="S546" t="s">
        <v>67</v>
      </c>
    </row>
    <row r="547" spans="1:19" x14ac:dyDescent="0.25">
      <c r="A547">
        <v>145267</v>
      </c>
      <c r="B547">
        <v>2025</v>
      </c>
      <c r="C547" t="s">
        <v>200</v>
      </c>
      <c r="D547" t="s">
        <v>26</v>
      </c>
      <c r="E547" t="s">
        <v>201</v>
      </c>
      <c r="F547" t="s">
        <v>371</v>
      </c>
      <c r="G547" s="1" t="s">
        <v>370</v>
      </c>
      <c r="H547" s="1" t="s">
        <v>357</v>
      </c>
      <c r="I547" t="s">
        <v>31</v>
      </c>
      <c r="J547" t="s">
        <v>32</v>
      </c>
      <c r="K547" t="s">
        <v>203</v>
      </c>
      <c r="L547" t="s">
        <v>204</v>
      </c>
      <c r="M547" t="s">
        <v>206</v>
      </c>
      <c r="N547">
        <v>15</v>
      </c>
      <c r="O547" t="s">
        <v>57</v>
      </c>
      <c r="S547" t="s">
        <v>58</v>
      </c>
    </row>
    <row r="548" spans="1:19" x14ac:dyDescent="0.25">
      <c r="A548">
        <v>145267</v>
      </c>
      <c r="B548">
        <v>2025</v>
      </c>
      <c r="C548" t="s">
        <v>200</v>
      </c>
      <c r="D548" t="s">
        <v>26</v>
      </c>
      <c r="E548" t="s">
        <v>201</v>
      </c>
      <c r="F548" t="s">
        <v>371</v>
      </c>
      <c r="G548" s="1" t="s">
        <v>370</v>
      </c>
      <c r="H548" s="1" t="s">
        <v>357</v>
      </c>
      <c r="I548" t="s">
        <v>31</v>
      </c>
      <c r="J548" t="s">
        <v>32</v>
      </c>
      <c r="K548" t="s">
        <v>203</v>
      </c>
      <c r="L548" t="s">
        <v>204</v>
      </c>
      <c r="M548" t="s">
        <v>206</v>
      </c>
      <c r="N548">
        <v>16</v>
      </c>
      <c r="O548" t="s">
        <v>66</v>
      </c>
      <c r="R548" t="s">
        <v>249</v>
      </c>
      <c r="S548" t="s">
        <v>67</v>
      </c>
    </row>
    <row r="549" spans="1:19" x14ac:dyDescent="0.25">
      <c r="A549">
        <v>145267</v>
      </c>
      <c r="B549">
        <v>2025</v>
      </c>
      <c r="C549" t="s">
        <v>200</v>
      </c>
      <c r="D549" t="s">
        <v>26</v>
      </c>
      <c r="E549" t="s">
        <v>201</v>
      </c>
      <c r="F549" t="s">
        <v>371</v>
      </c>
      <c r="G549" s="1" t="s">
        <v>370</v>
      </c>
      <c r="H549" s="1" t="s">
        <v>357</v>
      </c>
      <c r="I549" t="s">
        <v>31</v>
      </c>
      <c r="J549" t="s">
        <v>32</v>
      </c>
      <c r="K549" t="s">
        <v>203</v>
      </c>
      <c r="L549" t="s">
        <v>204</v>
      </c>
      <c r="M549" t="s">
        <v>206</v>
      </c>
      <c r="N549">
        <v>17</v>
      </c>
      <c r="O549" t="s">
        <v>57</v>
      </c>
      <c r="S549" t="s">
        <v>58</v>
      </c>
    </row>
    <row r="550" spans="1:19" x14ac:dyDescent="0.25">
      <c r="A550">
        <v>145267</v>
      </c>
      <c r="B550">
        <v>2025</v>
      </c>
      <c r="C550" t="s">
        <v>200</v>
      </c>
      <c r="D550" t="s">
        <v>26</v>
      </c>
      <c r="E550" t="s">
        <v>201</v>
      </c>
      <c r="F550" t="s">
        <v>371</v>
      </c>
      <c r="G550" s="1" t="s">
        <v>370</v>
      </c>
      <c r="H550" s="1" t="s">
        <v>357</v>
      </c>
      <c r="I550" t="s">
        <v>31</v>
      </c>
      <c r="J550" t="s">
        <v>32</v>
      </c>
      <c r="K550" t="s">
        <v>203</v>
      </c>
      <c r="L550" t="s">
        <v>204</v>
      </c>
      <c r="M550" t="s">
        <v>206</v>
      </c>
      <c r="N550">
        <v>18</v>
      </c>
      <c r="O550" t="s">
        <v>66</v>
      </c>
      <c r="S550" t="s">
        <v>67</v>
      </c>
    </row>
    <row r="551" spans="1:19" x14ac:dyDescent="0.25">
      <c r="A551">
        <v>145267</v>
      </c>
      <c r="B551">
        <v>2025</v>
      </c>
      <c r="C551" t="s">
        <v>200</v>
      </c>
      <c r="D551" t="s">
        <v>26</v>
      </c>
      <c r="E551" t="s">
        <v>201</v>
      </c>
      <c r="F551" t="s">
        <v>371</v>
      </c>
      <c r="G551" s="1" t="s">
        <v>370</v>
      </c>
      <c r="H551" s="1" t="s">
        <v>357</v>
      </c>
      <c r="I551" t="s">
        <v>31</v>
      </c>
      <c r="J551" t="s">
        <v>32</v>
      </c>
      <c r="K551" t="s">
        <v>203</v>
      </c>
      <c r="L551" t="s">
        <v>204</v>
      </c>
      <c r="M551" t="s">
        <v>206</v>
      </c>
      <c r="N551">
        <v>19</v>
      </c>
      <c r="O551" t="s">
        <v>275</v>
      </c>
      <c r="S551" t="s">
        <v>276</v>
      </c>
    </row>
    <row r="552" spans="1:19" x14ac:dyDescent="0.25">
      <c r="A552">
        <v>145267</v>
      </c>
      <c r="B552">
        <v>2025</v>
      </c>
      <c r="C552" t="s">
        <v>200</v>
      </c>
      <c r="D552" t="s">
        <v>26</v>
      </c>
      <c r="E552" t="s">
        <v>201</v>
      </c>
      <c r="F552" t="s">
        <v>371</v>
      </c>
      <c r="G552" s="1" t="s">
        <v>370</v>
      </c>
      <c r="H552" s="1" t="s">
        <v>357</v>
      </c>
      <c r="I552" t="s">
        <v>31</v>
      </c>
      <c r="J552" t="s">
        <v>32</v>
      </c>
      <c r="K552" t="s">
        <v>203</v>
      </c>
      <c r="L552" t="s">
        <v>204</v>
      </c>
      <c r="M552" t="s">
        <v>206</v>
      </c>
      <c r="N552">
        <v>20</v>
      </c>
      <c r="O552" t="s">
        <v>57</v>
      </c>
      <c r="S552" t="s">
        <v>58</v>
      </c>
    </row>
    <row r="553" spans="1:19" x14ac:dyDescent="0.25">
      <c r="A553">
        <v>145267</v>
      </c>
      <c r="B553">
        <v>2025</v>
      </c>
      <c r="C553" t="s">
        <v>200</v>
      </c>
      <c r="D553" t="s">
        <v>26</v>
      </c>
      <c r="E553" t="s">
        <v>201</v>
      </c>
      <c r="F553" t="s">
        <v>371</v>
      </c>
      <c r="G553" s="1" t="s">
        <v>370</v>
      </c>
      <c r="H553" s="1" t="s">
        <v>357</v>
      </c>
      <c r="I553" t="s">
        <v>31</v>
      </c>
      <c r="J553" t="s">
        <v>32</v>
      </c>
      <c r="K553" t="s">
        <v>203</v>
      </c>
      <c r="L553" t="s">
        <v>204</v>
      </c>
      <c r="M553" t="s">
        <v>206</v>
      </c>
      <c r="N553">
        <v>21</v>
      </c>
      <c r="O553" t="s">
        <v>57</v>
      </c>
      <c r="S553" t="s">
        <v>58</v>
      </c>
    </row>
    <row r="554" spans="1:19" x14ac:dyDescent="0.25">
      <c r="A554">
        <v>145267</v>
      </c>
      <c r="B554">
        <v>2025</v>
      </c>
      <c r="C554" t="s">
        <v>200</v>
      </c>
      <c r="D554" t="s">
        <v>26</v>
      </c>
      <c r="E554" t="s">
        <v>201</v>
      </c>
      <c r="F554" t="s">
        <v>371</v>
      </c>
      <c r="G554" s="1" t="s">
        <v>370</v>
      </c>
      <c r="H554" s="1" t="s">
        <v>357</v>
      </c>
      <c r="I554" t="s">
        <v>31</v>
      </c>
      <c r="J554" t="s">
        <v>32</v>
      </c>
      <c r="K554" t="s">
        <v>203</v>
      </c>
      <c r="L554" t="s">
        <v>204</v>
      </c>
      <c r="M554" t="s">
        <v>206</v>
      </c>
      <c r="N554">
        <v>22</v>
      </c>
      <c r="O554" t="s">
        <v>66</v>
      </c>
      <c r="R554" t="s">
        <v>190</v>
      </c>
      <c r="S554" t="s">
        <v>67</v>
      </c>
    </row>
    <row r="555" spans="1:19" x14ac:dyDescent="0.25">
      <c r="A555">
        <v>145267</v>
      </c>
      <c r="B555">
        <v>2025</v>
      </c>
      <c r="C555" t="s">
        <v>200</v>
      </c>
      <c r="D555" t="s">
        <v>26</v>
      </c>
      <c r="E555" t="s">
        <v>201</v>
      </c>
      <c r="F555" t="s">
        <v>371</v>
      </c>
      <c r="G555" s="1" t="s">
        <v>370</v>
      </c>
      <c r="H555" s="1" t="s">
        <v>357</v>
      </c>
      <c r="I555" t="s">
        <v>31</v>
      </c>
      <c r="J555" t="s">
        <v>32</v>
      </c>
      <c r="K555" t="s">
        <v>203</v>
      </c>
      <c r="L555" t="s">
        <v>204</v>
      </c>
      <c r="M555" t="s">
        <v>206</v>
      </c>
      <c r="N555">
        <v>23</v>
      </c>
      <c r="O555" t="s">
        <v>57</v>
      </c>
      <c r="S555" t="s">
        <v>58</v>
      </c>
    </row>
    <row r="556" spans="1:19" x14ac:dyDescent="0.25">
      <c r="A556">
        <v>145267</v>
      </c>
      <c r="B556">
        <v>2025</v>
      </c>
      <c r="C556" t="s">
        <v>200</v>
      </c>
      <c r="D556" t="s">
        <v>26</v>
      </c>
      <c r="E556" t="s">
        <v>201</v>
      </c>
      <c r="F556" t="s">
        <v>371</v>
      </c>
      <c r="G556" s="1" t="s">
        <v>370</v>
      </c>
      <c r="H556" s="1" t="s">
        <v>357</v>
      </c>
      <c r="I556" t="s">
        <v>31</v>
      </c>
      <c r="J556" t="s">
        <v>32</v>
      </c>
      <c r="K556" t="s">
        <v>203</v>
      </c>
      <c r="L556" t="s">
        <v>204</v>
      </c>
      <c r="M556" t="s">
        <v>206</v>
      </c>
      <c r="N556">
        <v>24</v>
      </c>
      <c r="O556" t="s">
        <v>57</v>
      </c>
      <c r="S556" t="s">
        <v>58</v>
      </c>
    </row>
    <row r="557" spans="1:19" x14ac:dyDescent="0.25">
      <c r="A557">
        <v>145267</v>
      </c>
      <c r="B557">
        <v>2025</v>
      </c>
      <c r="C557" t="s">
        <v>200</v>
      </c>
      <c r="D557" t="s">
        <v>26</v>
      </c>
      <c r="E557" t="s">
        <v>201</v>
      </c>
      <c r="F557" t="s">
        <v>371</v>
      </c>
      <c r="G557" s="1" t="s">
        <v>370</v>
      </c>
      <c r="H557" s="1" t="s">
        <v>357</v>
      </c>
      <c r="I557" t="s">
        <v>31</v>
      </c>
      <c r="J557" t="s">
        <v>32</v>
      </c>
      <c r="K557" t="s">
        <v>203</v>
      </c>
      <c r="L557" t="s">
        <v>204</v>
      </c>
      <c r="M557" t="s">
        <v>206</v>
      </c>
      <c r="N557">
        <v>25</v>
      </c>
      <c r="O557" t="s">
        <v>57</v>
      </c>
      <c r="S557" t="s">
        <v>58</v>
      </c>
    </row>
    <row r="558" spans="1:19" x14ac:dyDescent="0.25">
      <c r="A558">
        <v>145267</v>
      </c>
      <c r="B558">
        <v>2025</v>
      </c>
      <c r="C558" t="s">
        <v>200</v>
      </c>
      <c r="D558" t="s">
        <v>26</v>
      </c>
      <c r="E558" t="s">
        <v>201</v>
      </c>
      <c r="F558" t="s">
        <v>372</v>
      </c>
      <c r="G558" s="1" t="s">
        <v>357</v>
      </c>
      <c r="H558" s="1" t="s">
        <v>352</v>
      </c>
      <c r="I558" t="s">
        <v>31</v>
      </c>
      <c r="J558" t="s">
        <v>32</v>
      </c>
      <c r="K558" t="s">
        <v>203</v>
      </c>
      <c r="L558" t="s">
        <v>204</v>
      </c>
      <c r="M558" t="s">
        <v>206</v>
      </c>
      <c r="N558">
        <v>1</v>
      </c>
      <c r="O558" t="s">
        <v>57</v>
      </c>
      <c r="S558" t="s">
        <v>58</v>
      </c>
    </row>
    <row r="559" spans="1:19" x14ac:dyDescent="0.25">
      <c r="A559">
        <v>145267</v>
      </c>
      <c r="B559">
        <v>2025</v>
      </c>
      <c r="C559" t="s">
        <v>200</v>
      </c>
      <c r="D559" t="s">
        <v>26</v>
      </c>
      <c r="E559" t="s">
        <v>201</v>
      </c>
      <c r="F559" t="s">
        <v>372</v>
      </c>
      <c r="G559" s="1" t="s">
        <v>357</v>
      </c>
      <c r="H559" s="1" t="s">
        <v>352</v>
      </c>
      <c r="I559" t="s">
        <v>31</v>
      </c>
      <c r="J559" t="s">
        <v>32</v>
      </c>
      <c r="K559" t="s">
        <v>203</v>
      </c>
      <c r="L559" t="s">
        <v>204</v>
      </c>
      <c r="M559" t="s">
        <v>206</v>
      </c>
      <c r="N559">
        <v>2</v>
      </c>
      <c r="O559" t="s">
        <v>57</v>
      </c>
      <c r="S559" t="s">
        <v>58</v>
      </c>
    </row>
    <row r="560" spans="1:19" x14ac:dyDescent="0.25">
      <c r="A560">
        <v>145267</v>
      </c>
      <c r="B560">
        <v>2025</v>
      </c>
      <c r="C560" t="s">
        <v>200</v>
      </c>
      <c r="D560" t="s">
        <v>26</v>
      </c>
      <c r="E560" t="s">
        <v>201</v>
      </c>
      <c r="F560" t="s">
        <v>372</v>
      </c>
      <c r="G560" s="1" t="s">
        <v>357</v>
      </c>
      <c r="H560" s="1" t="s">
        <v>352</v>
      </c>
      <c r="I560" t="s">
        <v>31</v>
      </c>
      <c r="J560" t="s">
        <v>32</v>
      </c>
      <c r="K560" t="s">
        <v>203</v>
      </c>
      <c r="L560" t="s">
        <v>204</v>
      </c>
      <c r="M560" t="s">
        <v>206</v>
      </c>
      <c r="N560">
        <v>3</v>
      </c>
      <c r="O560" t="s">
        <v>57</v>
      </c>
      <c r="S560" t="s">
        <v>58</v>
      </c>
    </row>
    <row r="561" spans="1:19" x14ac:dyDescent="0.25">
      <c r="A561">
        <v>145267</v>
      </c>
      <c r="B561">
        <v>2025</v>
      </c>
      <c r="C561" t="s">
        <v>200</v>
      </c>
      <c r="D561" t="s">
        <v>26</v>
      </c>
      <c r="E561" t="s">
        <v>201</v>
      </c>
      <c r="F561" t="s">
        <v>372</v>
      </c>
      <c r="G561" s="1" t="s">
        <v>357</v>
      </c>
      <c r="H561" s="1" t="s">
        <v>352</v>
      </c>
      <c r="I561" t="s">
        <v>31</v>
      </c>
      <c r="J561" t="s">
        <v>32</v>
      </c>
      <c r="K561" t="s">
        <v>203</v>
      </c>
      <c r="L561" t="s">
        <v>204</v>
      </c>
      <c r="M561" t="s">
        <v>206</v>
      </c>
      <c r="N561">
        <v>4</v>
      </c>
      <c r="O561" t="s">
        <v>66</v>
      </c>
      <c r="S561" t="s">
        <v>67</v>
      </c>
    </row>
    <row r="562" spans="1:19" x14ac:dyDescent="0.25">
      <c r="A562">
        <v>145267</v>
      </c>
      <c r="B562">
        <v>2025</v>
      </c>
      <c r="C562" t="s">
        <v>200</v>
      </c>
      <c r="D562" t="s">
        <v>26</v>
      </c>
      <c r="E562" t="s">
        <v>201</v>
      </c>
      <c r="F562" t="s">
        <v>372</v>
      </c>
      <c r="G562" s="1" t="s">
        <v>357</v>
      </c>
      <c r="H562" s="1" t="s">
        <v>352</v>
      </c>
      <c r="I562" t="s">
        <v>31</v>
      </c>
      <c r="J562" t="s">
        <v>32</v>
      </c>
      <c r="K562" t="s">
        <v>203</v>
      </c>
      <c r="L562" t="s">
        <v>204</v>
      </c>
      <c r="M562" t="s">
        <v>206</v>
      </c>
      <c r="N562">
        <v>5</v>
      </c>
      <c r="P562" t="s">
        <v>99</v>
      </c>
      <c r="R562" t="s">
        <v>248</v>
      </c>
      <c r="S562" t="s">
        <v>100</v>
      </c>
    </row>
    <row r="563" spans="1:19" x14ac:dyDescent="0.25">
      <c r="A563">
        <v>145267</v>
      </c>
      <c r="B563">
        <v>2025</v>
      </c>
      <c r="C563" t="s">
        <v>200</v>
      </c>
      <c r="D563" t="s">
        <v>26</v>
      </c>
      <c r="E563" t="s">
        <v>201</v>
      </c>
      <c r="F563" t="s">
        <v>372</v>
      </c>
      <c r="G563" s="1" t="s">
        <v>357</v>
      </c>
      <c r="H563" s="1" t="s">
        <v>352</v>
      </c>
      <c r="I563" t="s">
        <v>31</v>
      </c>
      <c r="J563" t="s">
        <v>32</v>
      </c>
      <c r="K563" t="s">
        <v>203</v>
      </c>
      <c r="L563" t="s">
        <v>204</v>
      </c>
      <c r="M563" t="s">
        <v>206</v>
      </c>
      <c r="N563">
        <v>6</v>
      </c>
      <c r="P563" t="s">
        <v>70</v>
      </c>
      <c r="Q563" t="s">
        <v>135</v>
      </c>
      <c r="R563" t="s">
        <v>190</v>
      </c>
      <c r="S563" t="s">
        <v>71</v>
      </c>
    </row>
    <row r="564" spans="1:19" x14ac:dyDescent="0.25">
      <c r="A564">
        <v>145267</v>
      </c>
      <c r="B564">
        <v>2025</v>
      </c>
      <c r="C564" t="s">
        <v>200</v>
      </c>
      <c r="D564" t="s">
        <v>26</v>
      </c>
      <c r="E564" t="s">
        <v>201</v>
      </c>
      <c r="F564" t="s">
        <v>372</v>
      </c>
      <c r="G564" s="1" t="s">
        <v>357</v>
      </c>
      <c r="H564" s="1" t="s">
        <v>352</v>
      </c>
      <c r="I564" t="s">
        <v>31</v>
      </c>
      <c r="J564" t="s">
        <v>32</v>
      </c>
      <c r="K564" t="s">
        <v>203</v>
      </c>
      <c r="L564" t="s">
        <v>204</v>
      </c>
      <c r="M564" t="s">
        <v>206</v>
      </c>
      <c r="N564">
        <v>7</v>
      </c>
      <c r="O564" t="s">
        <v>57</v>
      </c>
      <c r="S564" t="s">
        <v>58</v>
      </c>
    </row>
    <row r="565" spans="1:19" x14ac:dyDescent="0.25">
      <c r="A565">
        <v>145267</v>
      </c>
      <c r="B565">
        <v>2025</v>
      </c>
      <c r="C565" t="s">
        <v>200</v>
      </c>
      <c r="D565" t="s">
        <v>26</v>
      </c>
      <c r="E565" t="s">
        <v>201</v>
      </c>
      <c r="F565" t="s">
        <v>372</v>
      </c>
      <c r="G565" s="1" t="s">
        <v>357</v>
      </c>
      <c r="H565" s="1" t="s">
        <v>352</v>
      </c>
      <c r="I565" t="s">
        <v>31</v>
      </c>
      <c r="J565" t="s">
        <v>32</v>
      </c>
      <c r="K565" t="s">
        <v>203</v>
      </c>
      <c r="L565" t="s">
        <v>204</v>
      </c>
      <c r="M565" t="s">
        <v>206</v>
      </c>
      <c r="N565">
        <v>8</v>
      </c>
      <c r="P565" t="s">
        <v>102</v>
      </c>
      <c r="R565" t="s">
        <v>248</v>
      </c>
      <c r="S565" t="s">
        <v>103</v>
      </c>
    </row>
    <row r="566" spans="1:19" x14ac:dyDescent="0.25">
      <c r="A566">
        <v>145267</v>
      </c>
      <c r="B566">
        <v>2025</v>
      </c>
      <c r="C566" t="s">
        <v>200</v>
      </c>
      <c r="D566" t="s">
        <v>26</v>
      </c>
      <c r="E566" t="s">
        <v>201</v>
      </c>
      <c r="F566" t="s">
        <v>372</v>
      </c>
      <c r="G566" s="1" t="s">
        <v>357</v>
      </c>
      <c r="H566" s="1" t="s">
        <v>352</v>
      </c>
      <c r="I566" t="s">
        <v>31</v>
      </c>
      <c r="J566" t="s">
        <v>32</v>
      </c>
      <c r="K566" t="s">
        <v>203</v>
      </c>
      <c r="L566" t="s">
        <v>204</v>
      </c>
      <c r="M566" t="s">
        <v>206</v>
      </c>
      <c r="N566">
        <v>9</v>
      </c>
      <c r="O566" t="s">
        <v>57</v>
      </c>
      <c r="S566" t="s">
        <v>58</v>
      </c>
    </row>
    <row r="567" spans="1:19" x14ac:dyDescent="0.25">
      <c r="A567">
        <v>145267</v>
      </c>
      <c r="B567">
        <v>2025</v>
      </c>
      <c r="C567" t="s">
        <v>200</v>
      </c>
      <c r="D567" t="s">
        <v>26</v>
      </c>
      <c r="E567" t="s">
        <v>201</v>
      </c>
      <c r="F567" t="s">
        <v>372</v>
      </c>
      <c r="G567" s="1" t="s">
        <v>357</v>
      </c>
      <c r="H567" s="1" t="s">
        <v>352</v>
      </c>
      <c r="I567" t="s">
        <v>31</v>
      </c>
      <c r="J567" t="s">
        <v>32</v>
      </c>
      <c r="K567" t="s">
        <v>203</v>
      </c>
      <c r="L567" t="s">
        <v>204</v>
      </c>
      <c r="M567" t="s">
        <v>206</v>
      </c>
      <c r="N567">
        <v>10</v>
      </c>
      <c r="O567" t="s">
        <v>57</v>
      </c>
      <c r="S567" t="s">
        <v>58</v>
      </c>
    </row>
    <row r="568" spans="1:19" x14ac:dyDescent="0.25">
      <c r="A568">
        <v>145267</v>
      </c>
      <c r="B568">
        <v>2025</v>
      </c>
      <c r="C568" t="s">
        <v>200</v>
      </c>
      <c r="D568" t="s">
        <v>26</v>
      </c>
      <c r="E568" t="s">
        <v>201</v>
      </c>
      <c r="F568" t="s">
        <v>372</v>
      </c>
      <c r="G568" s="1" t="s">
        <v>357</v>
      </c>
      <c r="H568" s="1" t="s">
        <v>352</v>
      </c>
      <c r="I568" t="s">
        <v>31</v>
      </c>
      <c r="J568" t="s">
        <v>32</v>
      </c>
      <c r="K568" t="s">
        <v>203</v>
      </c>
      <c r="L568" t="s">
        <v>204</v>
      </c>
      <c r="M568" t="s">
        <v>206</v>
      </c>
      <c r="N568">
        <v>11</v>
      </c>
      <c r="O568" t="s">
        <v>57</v>
      </c>
      <c r="S568" t="s">
        <v>58</v>
      </c>
    </row>
    <row r="569" spans="1:19" x14ac:dyDescent="0.25">
      <c r="A569">
        <v>145267</v>
      </c>
      <c r="B569">
        <v>2025</v>
      </c>
      <c r="C569" t="s">
        <v>200</v>
      </c>
      <c r="D569" t="s">
        <v>26</v>
      </c>
      <c r="E569" t="s">
        <v>201</v>
      </c>
      <c r="F569" t="s">
        <v>372</v>
      </c>
      <c r="G569" s="1" t="s">
        <v>357</v>
      </c>
      <c r="H569" s="1" t="s">
        <v>352</v>
      </c>
      <c r="I569" t="s">
        <v>31</v>
      </c>
      <c r="J569" t="s">
        <v>32</v>
      </c>
      <c r="K569" t="s">
        <v>203</v>
      </c>
      <c r="L569" t="s">
        <v>204</v>
      </c>
      <c r="M569" t="s">
        <v>206</v>
      </c>
      <c r="N569">
        <v>12</v>
      </c>
      <c r="O569" t="s">
        <v>57</v>
      </c>
      <c r="S569" t="s">
        <v>58</v>
      </c>
    </row>
    <row r="570" spans="1:19" x14ac:dyDescent="0.25">
      <c r="A570">
        <v>145267</v>
      </c>
      <c r="B570">
        <v>2025</v>
      </c>
      <c r="C570" t="s">
        <v>200</v>
      </c>
      <c r="D570" t="s">
        <v>26</v>
      </c>
      <c r="E570" t="s">
        <v>201</v>
      </c>
      <c r="F570" t="s">
        <v>372</v>
      </c>
      <c r="G570" s="1" t="s">
        <v>357</v>
      </c>
      <c r="H570" s="1" t="s">
        <v>352</v>
      </c>
      <c r="I570" t="s">
        <v>31</v>
      </c>
      <c r="J570" t="s">
        <v>32</v>
      </c>
      <c r="K570" t="s">
        <v>203</v>
      </c>
      <c r="L570" t="s">
        <v>204</v>
      </c>
      <c r="M570" t="s">
        <v>206</v>
      </c>
      <c r="N570">
        <v>13</v>
      </c>
      <c r="O570" t="s">
        <v>68</v>
      </c>
      <c r="S570" t="s">
        <v>69</v>
      </c>
    </row>
    <row r="571" spans="1:19" x14ac:dyDescent="0.25">
      <c r="A571">
        <v>145267</v>
      </c>
      <c r="B571">
        <v>2025</v>
      </c>
      <c r="C571" t="s">
        <v>200</v>
      </c>
      <c r="D571" t="s">
        <v>26</v>
      </c>
      <c r="E571" t="s">
        <v>201</v>
      </c>
      <c r="F571" t="s">
        <v>372</v>
      </c>
      <c r="G571" s="1" t="s">
        <v>357</v>
      </c>
      <c r="H571" s="1" t="s">
        <v>352</v>
      </c>
      <c r="I571" t="s">
        <v>31</v>
      </c>
      <c r="J571" t="s">
        <v>32</v>
      </c>
      <c r="K571" t="s">
        <v>203</v>
      </c>
      <c r="L571" t="s">
        <v>204</v>
      </c>
      <c r="M571" t="s">
        <v>206</v>
      </c>
      <c r="N571">
        <v>14</v>
      </c>
      <c r="O571" t="s">
        <v>57</v>
      </c>
      <c r="S571" t="s">
        <v>58</v>
      </c>
    </row>
    <row r="572" spans="1:19" x14ac:dyDescent="0.25">
      <c r="A572">
        <v>145267</v>
      </c>
      <c r="B572">
        <v>2025</v>
      </c>
      <c r="C572" t="s">
        <v>200</v>
      </c>
      <c r="D572" t="s">
        <v>26</v>
      </c>
      <c r="E572" t="s">
        <v>201</v>
      </c>
      <c r="F572" t="s">
        <v>372</v>
      </c>
      <c r="G572" s="1" t="s">
        <v>357</v>
      </c>
      <c r="H572" s="1" t="s">
        <v>352</v>
      </c>
      <c r="I572" t="s">
        <v>31</v>
      </c>
      <c r="J572" t="s">
        <v>32</v>
      </c>
      <c r="K572" t="s">
        <v>203</v>
      </c>
      <c r="L572" t="s">
        <v>204</v>
      </c>
      <c r="M572" t="s">
        <v>206</v>
      </c>
      <c r="N572">
        <v>15</v>
      </c>
      <c r="O572" t="s">
        <v>57</v>
      </c>
      <c r="S572" t="s">
        <v>58</v>
      </c>
    </row>
    <row r="573" spans="1:19" x14ac:dyDescent="0.25">
      <c r="A573">
        <v>145267</v>
      </c>
      <c r="B573">
        <v>2025</v>
      </c>
      <c r="C573" t="s">
        <v>200</v>
      </c>
      <c r="D573" t="s">
        <v>26</v>
      </c>
      <c r="E573" t="s">
        <v>201</v>
      </c>
      <c r="F573" t="s">
        <v>372</v>
      </c>
      <c r="G573" s="1" t="s">
        <v>357</v>
      </c>
      <c r="H573" s="1" t="s">
        <v>352</v>
      </c>
      <c r="I573" t="s">
        <v>31</v>
      </c>
      <c r="J573" t="s">
        <v>32</v>
      </c>
      <c r="K573" t="s">
        <v>203</v>
      </c>
      <c r="L573" t="s">
        <v>204</v>
      </c>
      <c r="M573" t="s">
        <v>206</v>
      </c>
      <c r="N573">
        <v>16</v>
      </c>
      <c r="P573" t="s">
        <v>60</v>
      </c>
      <c r="Q573" t="s">
        <v>59</v>
      </c>
      <c r="R573" t="s">
        <v>249</v>
      </c>
      <c r="S573" t="s">
        <v>61</v>
      </c>
    </row>
    <row r="574" spans="1:19" x14ac:dyDescent="0.25">
      <c r="A574">
        <v>145267</v>
      </c>
      <c r="B574">
        <v>2025</v>
      </c>
      <c r="C574" t="s">
        <v>200</v>
      </c>
      <c r="D574" t="s">
        <v>26</v>
      </c>
      <c r="E574" t="s">
        <v>201</v>
      </c>
      <c r="F574" t="s">
        <v>372</v>
      </c>
      <c r="G574" s="1" t="s">
        <v>357</v>
      </c>
      <c r="H574" s="1" t="s">
        <v>352</v>
      </c>
      <c r="I574" t="s">
        <v>31</v>
      </c>
      <c r="J574" t="s">
        <v>32</v>
      </c>
      <c r="K574" t="s">
        <v>203</v>
      </c>
      <c r="L574" t="s">
        <v>204</v>
      </c>
      <c r="M574" t="s">
        <v>206</v>
      </c>
      <c r="N574">
        <v>17</v>
      </c>
      <c r="O574" t="s">
        <v>57</v>
      </c>
      <c r="S574" t="s">
        <v>58</v>
      </c>
    </row>
    <row r="575" spans="1:19" x14ac:dyDescent="0.25">
      <c r="A575">
        <v>145267</v>
      </c>
      <c r="B575">
        <v>2025</v>
      </c>
      <c r="C575" t="s">
        <v>200</v>
      </c>
      <c r="D575" t="s">
        <v>26</v>
      </c>
      <c r="E575" t="s">
        <v>201</v>
      </c>
      <c r="F575" t="s">
        <v>372</v>
      </c>
      <c r="G575" s="1" t="s">
        <v>357</v>
      </c>
      <c r="H575" s="1" t="s">
        <v>352</v>
      </c>
      <c r="I575" t="s">
        <v>31</v>
      </c>
      <c r="J575" t="s">
        <v>32</v>
      </c>
      <c r="K575" t="s">
        <v>203</v>
      </c>
      <c r="L575" t="s">
        <v>204</v>
      </c>
      <c r="M575" t="s">
        <v>206</v>
      </c>
      <c r="N575">
        <v>18</v>
      </c>
      <c r="O575" t="s">
        <v>57</v>
      </c>
      <c r="S575" t="s">
        <v>58</v>
      </c>
    </row>
    <row r="576" spans="1:19" x14ac:dyDescent="0.25">
      <c r="A576">
        <v>145267</v>
      </c>
      <c r="B576">
        <v>2025</v>
      </c>
      <c r="C576" t="s">
        <v>200</v>
      </c>
      <c r="D576" t="s">
        <v>26</v>
      </c>
      <c r="E576" t="s">
        <v>201</v>
      </c>
      <c r="F576" t="s">
        <v>372</v>
      </c>
      <c r="G576" s="1" t="s">
        <v>357</v>
      </c>
      <c r="H576" s="1" t="s">
        <v>352</v>
      </c>
      <c r="I576" t="s">
        <v>31</v>
      </c>
      <c r="J576" t="s">
        <v>32</v>
      </c>
      <c r="K576" t="s">
        <v>203</v>
      </c>
      <c r="L576" t="s">
        <v>204</v>
      </c>
      <c r="M576" t="s">
        <v>206</v>
      </c>
      <c r="N576">
        <v>19</v>
      </c>
      <c r="O576" t="s">
        <v>68</v>
      </c>
      <c r="S576" t="s">
        <v>69</v>
      </c>
    </row>
    <row r="577" spans="1:19" x14ac:dyDescent="0.25">
      <c r="A577">
        <v>145267</v>
      </c>
      <c r="B577">
        <v>2025</v>
      </c>
      <c r="C577" t="s">
        <v>200</v>
      </c>
      <c r="D577" t="s">
        <v>26</v>
      </c>
      <c r="E577" t="s">
        <v>201</v>
      </c>
      <c r="F577" t="s">
        <v>372</v>
      </c>
      <c r="G577" s="1" t="s">
        <v>357</v>
      </c>
      <c r="H577" s="1" t="s">
        <v>352</v>
      </c>
      <c r="I577" t="s">
        <v>31</v>
      </c>
      <c r="J577" t="s">
        <v>32</v>
      </c>
      <c r="K577" t="s">
        <v>203</v>
      </c>
      <c r="L577" t="s">
        <v>204</v>
      </c>
      <c r="M577" t="s">
        <v>206</v>
      </c>
      <c r="N577">
        <v>20</v>
      </c>
      <c r="P577" t="s">
        <v>60</v>
      </c>
      <c r="Q577" t="s">
        <v>130</v>
      </c>
      <c r="R577" t="s">
        <v>190</v>
      </c>
      <c r="S577" t="s">
        <v>61</v>
      </c>
    </row>
    <row r="578" spans="1:19" x14ac:dyDescent="0.25">
      <c r="A578">
        <v>145267</v>
      </c>
      <c r="B578">
        <v>2025</v>
      </c>
      <c r="C578" t="s">
        <v>200</v>
      </c>
      <c r="D578" t="s">
        <v>26</v>
      </c>
      <c r="E578" t="s">
        <v>201</v>
      </c>
      <c r="F578" t="s">
        <v>372</v>
      </c>
      <c r="G578" s="1" t="s">
        <v>357</v>
      </c>
      <c r="H578" s="1" t="s">
        <v>352</v>
      </c>
      <c r="I578" t="s">
        <v>31</v>
      </c>
      <c r="J578" t="s">
        <v>32</v>
      </c>
      <c r="K578" t="s">
        <v>203</v>
      </c>
      <c r="L578" t="s">
        <v>204</v>
      </c>
      <c r="M578" t="s">
        <v>206</v>
      </c>
      <c r="N578">
        <v>21</v>
      </c>
      <c r="O578" t="s">
        <v>57</v>
      </c>
      <c r="S578" t="s">
        <v>58</v>
      </c>
    </row>
    <row r="579" spans="1:19" x14ac:dyDescent="0.25">
      <c r="A579">
        <v>145267</v>
      </c>
      <c r="B579">
        <v>2025</v>
      </c>
      <c r="C579" t="s">
        <v>200</v>
      </c>
      <c r="D579" t="s">
        <v>26</v>
      </c>
      <c r="E579" t="s">
        <v>201</v>
      </c>
      <c r="F579" t="s">
        <v>372</v>
      </c>
      <c r="G579" s="1" t="s">
        <v>357</v>
      </c>
      <c r="H579" s="1" t="s">
        <v>352</v>
      </c>
      <c r="I579" t="s">
        <v>31</v>
      </c>
      <c r="J579" t="s">
        <v>32</v>
      </c>
      <c r="K579" t="s">
        <v>203</v>
      </c>
      <c r="L579" t="s">
        <v>204</v>
      </c>
      <c r="M579" t="s">
        <v>206</v>
      </c>
      <c r="N579">
        <v>22</v>
      </c>
      <c r="O579" t="s">
        <v>66</v>
      </c>
      <c r="R579" t="s">
        <v>190</v>
      </c>
      <c r="S579" t="s">
        <v>67</v>
      </c>
    </row>
    <row r="580" spans="1:19" x14ac:dyDescent="0.25">
      <c r="A580">
        <v>145267</v>
      </c>
      <c r="B580">
        <v>2025</v>
      </c>
      <c r="C580" t="s">
        <v>200</v>
      </c>
      <c r="D580" t="s">
        <v>26</v>
      </c>
      <c r="E580" t="s">
        <v>201</v>
      </c>
      <c r="F580" t="s">
        <v>372</v>
      </c>
      <c r="G580" s="1" t="s">
        <v>357</v>
      </c>
      <c r="H580" s="1" t="s">
        <v>352</v>
      </c>
      <c r="I580" t="s">
        <v>31</v>
      </c>
      <c r="J580" t="s">
        <v>32</v>
      </c>
      <c r="K580" t="s">
        <v>203</v>
      </c>
      <c r="L580" t="s">
        <v>204</v>
      </c>
      <c r="M580" t="s">
        <v>206</v>
      </c>
      <c r="N580">
        <v>23</v>
      </c>
      <c r="O580" t="s">
        <v>68</v>
      </c>
      <c r="R580" t="s">
        <v>190</v>
      </c>
      <c r="S580" t="s">
        <v>69</v>
      </c>
    </row>
    <row r="581" spans="1:19" x14ac:dyDescent="0.25">
      <c r="A581">
        <v>145267</v>
      </c>
      <c r="B581">
        <v>2025</v>
      </c>
      <c r="C581" t="s">
        <v>200</v>
      </c>
      <c r="D581" t="s">
        <v>26</v>
      </c>
      <c r="E581" t="s">
        <v>201</v>
      </c>
      <c r="F581" t="s">
        <v>372</v>
      </c>
      <c r="G581" s="1" t="s">
        <v>357</v>
      </c>
      <c r="H581" s="1" t="s">
        <v>352</v>
      </c>
      <c r="I581" t="s">
        <v>31</v>
      </c>
      <c r="J581" t="s">
        <v>32</v>
      </c>
      <c r="K581" t="s">
        <v>203</v>
      </c>
      <c r="L581" t="s">
        <v>204</v>
      </c>
      <c r="M581" t="s">
        <v>206</v>
      </c>
      <c r="N581">
        <v>24</v>
      </c>
      <c r="O581" t="s">
        <v>66</v>
      </c>
      <c r="S581" t="s">
        <v>67</v>
      </c>
    </row>
    <row r="582" spans="1:19" x14ac:dyDescent="0.25">
      <c r="A582">
        <v>145267</v>
      </c>
      <c r="B582">
        <v>2025</v>
      </c>
      <c r="C582" t="s">
        <v>200</v>
      </c>
      <c r="D582" t="s">
        <v>26</v>
      </c>
      <c r="E582" t="s">
        <v>201</v>
      </c>
      <c r="F582" t="s">
        <v>372</v>
      </c>
      <c r="G582" s="1" t="s">
        <v>357</v>
      </c>
      <c r="H582" s="1" t="s">
        <v>352</v>
      </c>
      <c r="I582" t="s">
        <v>31</v>
      </c>
      <c r="J582" t="s">
        <v>32</v>
      </c>
      <c r="K582" t="s">
        <v>203</v>
      </c>
      <c r="L582" t="s">
        <v>204</v>
      </c>
      <c r="M582" t="s">
        <v>206</v>
      </c>
      <c r="N582">
        <v>25</v>
      </c>
      <c r="O582" t="s">
        <v>57</v>
      </c>
      <c r="S582" t="s">
        <v>58</v>
      </c>
    </row>
    <row r="583" spans="1:19" x14ac:dyDescent="0.25">
      <c r="A583">
        <v>145267</v>
      </c>
      <c r="B583">
        <v>2025</v>
      </c>
      <c r="C583" t="s">
        <v>200</v>
      </c>
      <c r="D583" t="s">
        <v>26</v>
      </c>
      <c r="E583" t="s">
        <v>201</v>
      </c>
      <c r="F583" t="s">
        <v>365</v>
      </c>
      <c r="G583" s="1" t="s">
        <v>364</v>
      </c>
      <c r="H583" s="1" t="s">
        <v>366</v>
      </c>
      <c r="I583" t="s">
        <v>31</v>
      </c>
      <c r="J583" t="s">
        <v>32</v>
      </c>
      <c r="K583" t="s">
        <v>203</v>
      </c>
      <c r="L583" t="s">
        <v>204</v>
      </c>
      <c r="M583" t="s">
        <v>206</v>
      </c>
      <c r="N583">
        <v>1</v>
      </c>
      <c r="O583" t="s">
        <v>66</v>
      </c>
      <c r="R583" t="s">
        <v>249</v>
      </c>
      <c r="S583" t="s">
        <v>67</v>
      </c>
    </row>
    <row r="584" spans="1:19" x14ac:dyDescent="0.25">
      <c r="A584">
        <v>145267</v>
      </c>
      <c r="B584">
        <v>2025</v>
      </c>
      <c r="C584" t="s">
        <v>200</v>
      </c>
      <c r="D584" t="s">
        <v>26</v>
      </c>
      <c r="E584" t="s">
        <v>201</v>
      </c>
      <c r="F584" t="s">
        <v>365</v>
      </c>
      <c r="G584" s="1" t="s">
        <v>364</v>
      </c>
      <c r="H584" s="1" t="s">
        <v>366</v>
      </c>
      <c r="I584" t="s">
        <v>31</v>
      </c>
      <c r="J584" t="s">
        <v>32</v>
      </c>
      <c r="K584" t="s">
        <v>203</v>
      </c>
      <c r="L584" t="s">
        <v>204</v>
      </c>
      <c r="M584" t="s">
        <v>206</v>
      </c>
      <c r="N584">
        <v>2</v>
      </c>
      <c r="O584" t="s">
        <v>57</v>
      </c>
      <c r="R584" t="s">
        <v>190</v>
      </c>
      <c r="S584" t="s">
        <v>58</v>
      </c>
    </row>
    <row r="585" spans="1:19" x14ac:dyDescent="0.25">
      <c r="A585">
        <v>145267</v>
      </c>
      <c r="B585">
        <v>2025</v>
      </c>
      <c r="C585" t="s">
        <v>200</v>
      </c>
      <c r="D585" t="s">
        <v>26</v>
      </c>
      <c r="E585" t="s">
        <v>201</v>
      </c>
      <c r="F585" t="s">
        <v>365</v>
      </c>
      <c r="G585" s="1" t="s">
        <v>364</v>
      </c>
      <c r="H585" s="1" t="s">
        <v>366</v>
      </c>
      <c r="I585" t="s">
        <v>31</v>
      </c>
      <c r="J585" t="s">
        <v>32</v>
      </c>
      <c r="K585" t="s">
        <v>203</v>
      </c>
      <c r="L585" t="s">
        <v>204</v>
      </c>
      <c r="M585" t="s">
        <v>206</v>
      </c>
      <c r="N585">
        <v>3</v>
      </c>
      <c r="O585" t="s">
        <v>68</v>
      </c>
      <c r="S585" t="s">
        <v>69</v>
      </c>
    </row>
    <row r="586" spans="1:19" x14ac:dyDescent="0.25">
      <c r="A586">
        <v>145267</v>
      </c>
      <c r="B586">
        <v>2025</v>
      </c>
      <c r="C586" t="s">
        <v>200</v>
      </c>
      <c r="D586" t="s">
        <v>26</v>
      </c>
      <c r="E586" t="s">
        <v>201</v>
      </c>
      <c r="F586" t="s">
        <v>365</v>
      </c>
      <c r="G586" s="1" t="s">
        <v>364</v>
      </c>
      <c r="H586" s="1" t="s">
        <v>366</v>
      </c>
      <c r="I586" t="s">
        <v>31</v>
      </c>
      <c r="J586" t="s">
        <v>32</v>
      </c>
      <c r="K586" t="s">
        <v>203</v>
      </c>
      <c r="L586" t="s">
        <v>204</v>
      </c>
      <c r="M586" t="s">
        <v>206</v>
      </c>
      <c r="N586">
        <v>4</v>
      </c>
      <c r="O586" t="s">
        <v>66</v>
      </c>
      <c r="S586" t="s">
        <v>67</v>
      </c>
    </row>
    <row r="587" spans="1:19" x14ac:dyDescent="0.25">
      <c r="A587">
        <v>145267</v>
      </c>
      <c r="B587">
        <v>2025</v>
      </c>
      <c r="C587" t="s">
        <v>200</v>
      </c>
      <c r="D587" t="s">
        <v>26</v>
      </c>
      <c r="E587" t="s">
        <v>201</v>
      </c>
      <c r="F587" t="s">
        <v>365</v>
      </c>
      <c r="G587" s="1" t="s">
        <v>364</v>
      </c>
      <c r="H587" s="1" t="s">
        <v>366</v>
      </c>
      <c r="I587" t="s">
        <v>31</v>
      </c>
      <c r="J587" t="s">
        <v>32</v>
      </c>
      <c r="K587" t="s">
        <v>203</v>
      </c>
      <c r="L587" t="s">
        <v>204</v>
      </c>
      <c r="M587" t="s">
        <v>206</v>
      </c>
      <c r="N587">
        <v>5</v>
      </c>
      <c r="P587" t="s">
        <v>70</v>
      </c>
      <c r="Q587" t="s">
        <v>135</v>
      </c>
      <c r="S587" t="s">
        <v>71</v>
      </c>
    </row>
    <row r="588" spans="1:19" x14ac:dyDescent="0.25">
      <c r="A588">
        <v>145267</v>
      </c>
      <c r="B588">
        <v>2025</v>
      </c>
      <c r="C588" t="s">
        <v>200</v>
      </c>
      <c r="D588" t="s">
        <v>26</v>
      </c>
      <c r="E588" t="s">
        <v>201</v>
      </c>
      <c r="F588" t="s">
        <v>365</v>
      </c>
      <c r="G588" s="1" t="s">
        <v>364</v>
      </c>
      <c r="H588" s="1" t="s">
        <v>366</v>
      </c>
      <c r="I588" t="s">
        <v>31</v>
      </c>
      <c r="J588" t="s">
        <v>32</v>
      </c>
      <c r="K588" t="s">
        <v>203</v>
      </c>
      <c r="L588" t="s">
        <v>204</v>
      </c>
      <c r="M588" t="s">
        <v>206</v>
      </c>
      <c r="N588">
        <v>6</v>
      </c>
      <c r="O588" t="s">
        <v>66</v>
      </c>
      <c r="S588" t="s">
        <v>67</v>
      </c>
    </row>
    <row r="589" spans="1:19" x14ac:dyDescent="0.25">
      <c r="A589">
        <v>145267</v>
      </c>
      <c r="B589">
        <v>2025</v>
      </c>
      <c r="C589" t="s">
        <v>200</v>
      </c>
      <c r="D589" t="s">
        <v>26</v>
      </c>
      <c r="E589" t="s">
        <v>201</v>
      </c>
      <c r="F589" t="s">
        <v>365</v>
      </c>
      <c r="G589" s="1" t="s">
        <v>364</v>
      </c>
      <c r="H589" s="1" t="s">
        <v>366</v>
      </c>
      <c r="I589" t="s">
        <v>31</v>
      </c>
      <c r="J589" t="s">
        <v>32</v>
      </c>
      <c r="K589" t="s">
        <v>203</v>
      </c>
      <c r="L589" t="s">
        <v>204</v>
      </c>
      <c r="M589" t="s">
        <v>206</v>
      </c>
      <c r="N589">
        <v>7</v>
      </c>
      <c r="P589" t="s">
        <v>99</v>
      </c>
      <c r="Q589" t="s">
        <v>149</v>
      </c>
      <c r="R589" t="s">
        <v>248</v>
      </c>
      <c r="S589" t="s">
        <v>100</v>
      </c>
    </row>
    <row r="590" spans="1:19" x14ac:dyDescent="0.25">
      <c r="A590">
        <v>145267</v>
      </c>
      <c r="B590">
        <v>2025</v>
      </c>
      <c r="C590" t="s">
        <v>200</v>
      </c>
      <c r="D590" t="s">
        <v>26</v>
      </c>
      <c r="E590" t="s">
        <v>201</v>
      </c>
      <c r="F590" t="s">
        <v>365</v>
      </c>
      <c r="G590" s="1" t="s">
        <v>364</v>
      </c>
      <c r="H590" s="1" t="s">
        <v>366</v>
      </c>
      <c r="I590" t="s">
        <v>31</v>
      </c>
      <c r="J590" t="s">
        <v>32</v>
      </c>
      <c r="K590" t="s">
        <v>203</v>
      </c>
      <c r="L590" t="s">
        <v>204</v>
      </c>
      <c r="M590" t="s">
        <v>206</v>
      </c>
      <c r="N590">
        <v>8</v>
      </c>
      <c r="O590" t="s">
        <v>57</v>
      </c>
      <c r="S590" t="s">
        <v>58</v>
      </c>
    </row>
    <row r="591" spans="1:19" x14ac:dyDescent="0.25">
      <c r="A591">
        <v>145267</v>
      </c>
      <c r="B591">
        <v>2025</v>
      </c>
      <c r="C591" t="s">
        <v>200</v>
      </c>
      <c r="D591" t="s">
        <v>26</v>
      </c>
      <c r="E591" t="s">
        <v>201</v>
      </c>
      <c r="F591" t="s">
        <v>365</v>
      </c>
      <c r="G591" s="1" t="s">
        <v>364</v>
      </c>
      <c r="H591" s="1" t="s">
        <v>366</v>
      </c>
      <c r="I591" t="s">
        <v>31</v>
      </c>
      <c r="J591" t="s">
        <v>32</v>
      </c>
      <c r="K591" t="s">
        <v>203</v>
      </c>
      <c r="L591" t="s">
        <v>204</v>
      </c>
      <c r="M591" t="s">
        <v>206</v>
      </c>
      <c r="N591">
        <v>9</v>
      </c>
      <c r="O591" t="s">
        <v>57</v>
      </c>
      <c r="S591" t="s">
        <v>58</v>
      </c>
    </row>
    <row r="592" spans="1:19" x14ac:dyDescent="0.25">
      <c r="A592">
        <v>145267</v>
      </c>
      <c r="B592">
        <v>2025</v>
      </c>
      <c r="C592" t="s">
        <v>200</v>
      </c>
      <c r="D592" t="s">
        <v>26</v>
      </c>
      <c r="E592" t="s">
        <v>201</v>
      </c>
      <c r="F592" t="s">
        <v>365</v>
      </c>
      <c r="G592" s="1" t="s">
        <v>364</v>
      </c>
      <c r="H592" s="1" t="s">
        <v>366</v>
      </c>
      <c r="I592" t="s">
        <v>31</v>
      </c>
      <c r="J592" t="s">
        <v>32</v>
      </c>
      <c r="K592" t="s">
        <v>203</v>
      </c>
      <c r="L592" t="s">
        <v>204</v>
      </c>
      <c r="M592" t="s">
        <v>206</v>
      </c>
      <c r="N592">
        <v>10</v>
      </c>
      <c r="O592" t="s">
        <v>57</v>
      </c>
      <c r="S592" t="s">
        <v>58</v>
      </c>
    </row>
    <row r="593" spans="1:19" x14ac:dyDescent="0.25">
      <c r="A593">
        <v>145267</v>
      </c>
      <c r="B593">
        <v>2025</v>
      </c>
      <c r="C593" t="s">
        <v>200</v>
      </c>
      <c r="D593" t="s">
        <v>26</v>
      </c>
      <c r="E593" t="s">
        <v>201</v>
      </c>
      <c r="F593" t="s">
        <v>365</v>
      </c>
      <c r="G593" s="1" t="s">
        <v>364</v>
      </c>
      <c r="H593" s="1" t="s">
        <v>366</v>
      </c>
      <c r="I593" t="s">
        <v>31</v>
      </c>
      <c r="J593" t="s">
        <v>32</v>
      </c>
      <c r="K593" t="s">
        <v>203</v>
      </c>
      <c r="L593" t="s">
        <v>204</v>
      </c>
      <c r="M593" t="s">
        <v>206</v>
      </c>
      <c r="N593">
        <v>11</v>
      </c>
      <c r="P593" t="s">
        <v>99</v>
      </c>
      <c r="Q593" t="s">
        <v>149</v>
      </c>
      <c r="R593" t="s">
        <v>248</v>
      </c>
      <c r="S593" t="s">
        <v>100</v>
      </c>
    </row>
    <row r="594" spans="1:19" x14ac:dyDescent="0.25">
      <c r="A594">
        <v>145267</v>
      </c>
      <c r="B594">
        <v>2025</v>
      </c>
      <c r="C594" t="s">
        <v>200</v>
      </c>
      <c r="D594" t="s">
        <v>26</v>
      </c>
      <c r="E594" t="s">
        <v>201</v>
      </c>
      <c r="F594" t="s">
        <v>365</v>
      </c>
      <c r="G594" s="1" t="s">
        <v>364</v>
      </c>
      <c r="H594" s="1" t="s">
        <v>366</v>
      </c>
      <c r="I594" t="s">
        <v>31</v>
      </c>
      <c r="J594" t="s">
        <v>32</v>
      </c>
      <c r="K594" t="s">
        <v>203</v>
      </c>
      <c r="L594" t="s">
        <v>204</v>
      </c>
      <c r="M594" t="s">
        <v>206</v>
      </c>
      <c r="N594">
        <v>12</v>
      </c>
      <c r="P594" t="s">
        <v>60</v>
      </c>
      <c r="Q594" t="s">
        <v>59</v>
      </c>
      <c r="R594" t="s">
        <v>249</v>
      </c>
      <c r="S594" t="s">
        <v>61</v>
      </c>
    </row>
    <row r="595" spans="1:19" x14ac:dyDescent="0.25">
      <c r="A595">
        <v>145267</v>
      </c>
      <c r="B595">
        <v>2025</v>
      </c>
      <c r="C595" t="s">
        <v>200</v>
      </c>
      <c r="D595" t="s">
        <v>26</v>
      </c>
      <c r="E595" t="s">
        <v>201</v>
      </c>
      <c r="F595" t="s">
        <v>365</v>
      </c>
      <c r="G595" s="1" t="s">
        <v>364</v>
      </c>
      <c r="H595" s="1" t="s">
        <v>366</v>
      </c>
      <c r="I595" t="s">
        <v>31</v>
      </c>
      <c r="J595" t="s">
        <v>32</v>
      </c>
      <c r="K595" t="s">
        <v>203</v>
      </c>
      <c r="L595" t="s">
        <v>204</v>
      </c>
      <c r="M595" t="s">
        <v>206</v>
      </c>
      <c r="N595">
        <v>13</v>
      </c>
      <c r="O595" t="s">
        <v>57</v>
      </c>
      <c r="S595" t="s">
        <v>58</v>
      </c>
    </row>
    <row r="596" spans="1:19" x14ac:dyDescent="0.25">
      <c r="A596">
        <v>145267</v>
      </c>
      <c r="B596">
        <v>2025</v>
      </c>
      <c r="C596" t="s">
        <v>200</v>
      </c>
      <c r="D596" t="s">
        <v>26</v>
      </c>
      <c r="E596" t="s">
        <v>201</v>
      </c>
      <c r="F596" t="s">
        <v>365</v>
      </c>
      <c r="G596" s="1" t="s">
        <v>364</v>
      </c>
      <c r="H596" s="1" t="s">
        <v>366</v>
      </c>
      <c r="I596" t="s">
        <v>31</v>
      </c>
      <c r="J596" t="s">
        <v>32</v>
      </c>
      <c r="K596" t="s">
        <v>203</v>
      </c>
      <c r="L596" t="s">
        <v>204</v>
      </c>
      <c r="M596" t="s">
        <v>206</v>
      </c>
      <c r="N596">
        <v>14</v>
      </c>
      <c r="O596" t="s">
        <v>57</v>
      </c>
      <c r="S596" t="s">
        <v>58</v>
      </c>
    </row>
    <row r="597" spans="1:19" x14ac:dyDescent="0.25">
      <c r="A597">
        <v>144793</v>
      </c>
      <c r="B597">
        <v>2025</v>
      </c>
      <c r="C597" t="s">
        <v>377</v>
      </c>
      <c r="D597" t="s">
        <v>26</v>
      </c>
      <c r="E597" t="s">
        <v>379</v>
      </c>
      <c r="F597" t="s">
        <v>387</v>
      </c>
      <c r="G597" s="1" t="s">
        <v>380</v>
      </c>
      <c r="H597" s="1" t="s">
        <v>381</v>
      </c>
      <c r="I597" t="s">
        <v>31</v>
      </c>
      <c r="J597" t="s">
        <v>32</v>
      </c>
      <c r="K597" t="s">
        <v>203</v>
      </c>
      <c r="L597" t="s">
        <v>34</v>
      </c>
      <c r="M597" t="s">
        <v>206</v>
      </c>
      <c r="N597">
        <v>1</v>
      </c>
      <c r="O597" t="s">
        <v>57</v>
      </c>
      <c r="R597" t="s">
        <v>190</v>
      </c>
      <c r="S597" t="s">
        <v>58</v>
      </c>
    </row>
    <row r="598" spans="1:19" x14ac:dyDescent="0.25">
      <c r="A598">
        <v>144793</v>
      </c>
      <c r="B598">
        <v>2025</v>
      </c>
      <c r="C598" t="s">
        <v>377</v>
      </c>
      <c r="D598" t="s">
        <v>26</v>
      </c>
      <c r="E598" t="s">
        <v>379</v>
      </c>
      <c r="F598" t="s">
        <v>387</v>
      </c>
      <c r="G598" s="1" t="s">
        <v>380</v>
      </c>
      <c r="H598" s="1" t="s">
        <v>381</v>
      </c>
      <c r="I598" t="s">
        <v>31</v>
      </c>
      <c r="J598" t="s">
        <v>32</v>
      </c>
      <c r="K598" t="s">
        <v>203</v>
      </c>
      <c r="L598" t="s">
        <v>34</v>
      </c>
      <c r="M598" t="s">
        <v>206</v>
      </c>
      <c r="N598">
        <v>2</v>
      </c>
      <c r="O598" t="s">
        <v>57</v>
      </c>
      <c r="R598" t="s">
        <v>190</v>
      </c>
      <c r="S598" t="s">
        <v>58</v>
      </c>
    </row>
    <row r="599" spans="1:19" x14ac:dyDescent="0.25">
      <c r="A599">
        <v>144793</v>
      </c>
      <c r="B599">
        <v>2025</v>
      </c>
      <c r="C599" t="s">
        <v>377</v>
      </c>
      <c r="D599" t="s">
        <v>26</v>
      </c>
      <c r="E599" t="s">
        <v>379</v>
      </c>
      <c r="F599" t="s">
        <v>387</v>
      </c>
      <c r="G599" s="1" t="s">
        <v>380</v>
      </c>
      <c r="H599" s="1" t="s">
        <v>381</v>
      </c>
      <c r="I599" t="s">
        <v>31</v>
      </c>
      <c r="J599" t="s">
        <v>32</v>
      </c>
      <c r="K599" t="s">
        <v>203</v>
      </c>
      <c r="L599" t="s">
        <v>34</v>
      </c>
      <c r="M599" t="s">
        <v>206</v>
      </c>
      <c r="N599">
        <v>3</v>
      </c>
      <c r="O599" t="s">
        <v>57</v>
      </c>
      <c r="R599" t="s">
        <v>190</v>
      </c>
      <c r="S599" t="s">
        <v>58</v>
      </c>
    </row>
    <row r="600" spans="1:19" x14ac:dyDescent="0.25">
      <c r="A600">
        <v>144793</v>
      </c>
      <c r="B600">
        <v>2025</v>
      </c>
      <c r="C600" t="s">
        <v>377</v>
      </c>
      <c r="D600" t="s">
        <v>26</v>
      </c>
      <c r="E600" t="s">
        <v>379</v>
      </c>
      <c r="F600" t="s">
        <v>387</v>
      </c>
      <c r="G600" s="1" t="s">
        <v>380</v>
      </c>
      <c r="H600" s="1" t="s">
        <v>381</v>
      </c>
      <c r="I600" t="s">
        <v>31</v>
      </c>
      <c r="J600" t="s">
        <v>32</v>
      </c>
      <c r="K600" t="s">
        <v>203</v>
      </c>
      <c r="L600" t="s">
        <v>34</v>
      </c>
      <c r="M600" t="s">
        <v>206</v>
      </c>
      <c r="N600">
        <v>4</v>
      </c>
      <c r="O600" t="s">
        <v>57</v>
      </c>
      <c r="R600" t="s">
        <v>190</v>
      </c>
      <c r="S600" t="s">
        <v>58</v>
      </c>
    </row>
    <row r="601" spans="1:19" x14ac:dyDescent="0.25">
      <c r="A601">
        <v>144793</v>
      </c>
      <c r="B601">
        <v>2025</v>
      </c>
      <c r="C601" t="s">
        <v>377</v>
      </c>
      <c r="D601" t="s">
        <v>26</v>
      </c>
      <c r="E601" t="s">
        <v>379</v>
      </c>
      <c r="F601" t="s">
        <v>387</v>
      </c>
      <c r="G601" s="1" t="s">
        <v>380</v>
      </c>
      <c r="H601" s="1" t="s">
        <v>381</v>
      </c>
      <c r="I601" t="s">
        <v>31</v>
      </c>
      <c r="J601" t="s">
        <v>32</v>
      </c>
      <c r="K601" t="s">
        <v>203</v>
      </c>
      <c r="L601" t="s">
        <v>34</v>
      </c>
      <c r="M601" t="s">
        <v>206</v>
      </c>
      <c r="N601">
        <v>5</v>
      </c>
      <c r="O601" t="s">
        <v>57</v>
      </c>
      <c r="S601" t="s">
        <v>58</v>
      </c>
    </row>
    <row r="602" spans="1:19" x14ac:dyDescent="0.25">
      <c r="A602">
        <v>144793</v>
      </c>
      <c r="B602">
        <v>2025</v>
      </c>
      <c r="C602" t="s">
        <v>377</v>
      </c>
      <c r="D602" t="s">
        <v>26</v>
      </c>
      <c r="E602" t="s">
        <v>379</v>
      </c>
      <c r="F602" t="s">
        <v>387</v>
      </c>
      <c r="G602" s="1" t="s">
        <v>380</v>
      </c>
      <c r="H602" s="1" t="s">
        <v>381</v>
      </c>
      <c r="I602" t="s">
        <v>31</v>
      </c>
      <c r="J602" t="s">
        <v>32</v>
      </c>
      <c r="K602" t="s">
        <v>203</v>
      </c>
      <c r="L602" t="s">
        <v>34</v>
      </c>
      <c r="M602" t="s">
        <v>206</v>
      </c>
      <c r="N602">
        <v>6</v>
      </c>
      <c r="O602" t="s">
        <v>57</v>
      </c>
      <c r="R602" t="s">
        <v>190</v>
      </c>
      <c r="S602" t="s">
        <v>58</v>
      </c>
    </row>
    <row r="603" spans="1:19" x14ac:dyDescent="0.25">
      <c r="A603">
        <v>144793</v>
      </c>
      <c r="B603">
        <v>2025</v>
      </c>
      <c r="C603" t="s">
        <v>377</v>
      </c>
      <c r="D603" t="s">
        <v>26</v>
      </c>
      <c r="E603" t="s">
        <v>379</v>
      </c>
      <c r="F603" t="s">
        <v>387</v>
      </c>
      <c r="G603" s="1" t="s">
        <v>380</v>
      </c>
      <c r="H603" s="1" t="s">
        <v>381</v>
      </c>
      <c r="I603" t="s">
        <v>31</v>
      </c>
      <c r="J603" t="s">
        <v>32</v>
      </c>
      <c r="K603" t="s">
        <v>203</v>
      </c>
      <c r="L603" t="s">
        <v>34</v>
      </c>
      <c r="M603" t="s">
        <v>206</v>
      </c>
      <c r="N603">
        <v>7</v>
      </c>
      <c r="O603" t="s">
        <v>57</v>
      </c>
      <c r="R603" t="s">
        <v>190</v>
      </c>
      <c r="S603" t="s">
        <v>58</v>
      </c>
    </row>
    <row r="604" spans="1:19" x14ac:dyDescent="0.25">
      <c r="A604">
        <v>144793</v>
      </c>
      <c r="B604">
        <v>2025</v>
      </c>
      <c r="C604" t="s">
        <v>377</v>
      </c>
      <c r="D604" t="s">
        <v>26</v>
      </c>
      <c r="E604" t="s">
        <v>379</v>
      </c>
      <c r="F604" t="s">
        <v>387</v>
      </c>
      <c r="G604" s="1" t="s">
        <v>380</v>
      </c>
      <c r="H604" s="1" t="s">
        <v>381</v>
      </c>
      <c r="I604" t="s">
        <v>31</v>
      </c>
      <c r="J604" t="s">
        <v>32</v>
      </c>
      <c r="K604" t="s">
        <v>203</v>
      </c>
      <c r="L604" t="s">
        <v>34</v>
      </c>
      <c r="M604" t="s">
        <v>206</v>
      </c>
      <c r="N604">
        <v>8</v>
      </c>
      <c r="O604" t="s">
        <v>57</v>
      </c>
      <c r="R604" t="s">
        <v>190</v>
      </c>
      <c r="S604" t="s">
        <v>58</v>
      </c>
    </row>
    <row r="605" spans="1:19" x14ac:dyDescent="0.25">
      <c r="A605">
        <v>144793</v>
      </c>
      <c r="B605">
        <v>2025</v>
      </c>
      <c r="C605" t="s">
        <v>377</v>
      </c>
      <c r="D605" t="s">
        <v>26</v>
      </c>
      <c r="E605" t="s">
        <v>379</v>
      </c>
      <c r="F605" t="s">
        <v>387</v>
      </c>
      <c r="G605" s="1" t="s">
        <v>380</v>
      </c>
      <c r="H605" s="1" t="s">
        <v>381</v>
      </c>
      <c r="I605" t="s">
        <v>31</v>
      </c>
      <c r="J605" t="s">
        <v>32</v>
      </c>
      <c r="K605" t="s">
        <v>203</v>
      </c>
      <c r="L605" t="s">
        <v>34</v>
      </c>
      <c r="M605" t="s">
        <v>206</v>
      </c>
      <c r="N605">
        <v>9</v>
      </c>
      <c r="O605" t="s">
        <v>57</v>
      </c>
      <c r="R605" t="s">
        <v>190</v>
      </c>
      <c r="S605" t="s">
        <v>58</v>
      </c>
    </row>
    <row r="606" spans="1:19" x14ac:dyDescent="0.25">
      <c r="A606">
        <v>144793</v>
      </c>
      <c r="B606">
        <v>2025</v>
      </c>
      <c r="C606" t="s">
        <v>377</v>
      </c>
      <c r="D606" t="s">
        <v>26</v>
      </c>
      <c r="E606" t="s">
        <v>379</v>
      </c>
      <c r="F606" t="s">
        <v>387</v>
      </c>
      <c r="G606" s="1" t="s">
        <v>380</v>
      </c>
      <c r="H606" s="1" t="s">
        <v>381</v>
      </c>
      <c r="I606" t="s">
        <v>31</v>
      </c>
      <c r="J606" t="s">
        <v>32</v>
      </c>
      <c r="K606" t="s">
        <v>203</v>
      </c>
      <c r="L606" t="s">
        <v>34</v>
      </c>
      <c r="M606" t="s">
        <v>206</v>
      </c>
      <c r="N606">
        <v>10</v>
      </c>
      <c r="O606" t="s">
        <v>57</v>
      </c>
      <c r="R606" t="s">
        <v>190</v>
      </c>
      <c r="S606" t="s">
        <v>58</v>
      </c>
    </row>
    <row r="607" spans="1:19" x14ac:dyDescent="0.25">
      <c r="A607">
        <v>144793</v>
      </c>
      <c r="B607">
        <v>2025</v>
      </c>
      <c r="C607" t="s">
        <v>377</v>
      </c>
      <c r="D607" t="s">
        <v>26</v>
      </c>
      <c r="E607" t="s">
        <v>379</v>
      </c>
      <c r="F607" t="s">
        <v>387</v>
      </c>
      <c r="G607" s="1" t="s">
        <v>380</v>
      </c>
      <c r="H607" s="1" t="s">
        <v>381</v>
      </c>
      <c r="I607" t="s">
        <v>31</v>
      </c>
      <c r="J607" t="s">
        <v>32</v>
      </c>
      <c r="K607" t="s">
        <v>203</v>
      </c>
      <c r="L607" t="s">
        <v>34</v>
      </c>
      <c r="M607" t="s">
        <v>206</v>
      </c>
      <c r="N607">
        <v>11</v>
      </c>
      <c r="O607" t="s">
        <v>57</v>
      </c>
      <c r="S607" t="s">
        <v>58</v>
      </c>
    </row>
    <row r="608" spans="1:19" x14ac:dyDescent="0.25">
      <c r="A608">
        <v>144793</v>
      </c>
      <c r="B608">
        <v>2025</v>
      </c>
      <c r="C608" t="s">
        <v>377</v>
      </c>
      <c r="D608" t="s">
        <v>26</v>
      </c>
      <c r="E608" t="s">
        <v>379</v>
      </c>
      <c r="F608" t="s">
        <v>387</v>
      </c>
      <c r="G608" s="1" t="s">
        <v>380</v>
      </c>
      <c r="H608" s="1" t="s">
        <v>381</v>
      </c>
      <c r="I608" t="s">
        <v>31</v>
      </c>
      <c r="J608" t="s">
        <v>32</v>
      </c>
      <c r="K608" t="s">
        <v>203</v>
      </c>
      <c r="L608" t="s">
        <v>34</v>
      </c>
      <c r="M608" t="s">
        <v>206</v>
      </c>
      <c r="N608">
        <v>12</v>
      </c>
      <c r="O608" t="s">
        <v>57</v>
      </c>
      <c r="S608" t="s">
        <v>58</v>
      </c>
    </row>
    <row r="609" spans="1:19" x14ac:dyDescent="0.25">
      <c r="A609">
        <v>144793</v>
      </c>
      <c r="B609">
        <v>2025</v>
      </c>
      <c r="C609" t="s">
        <v>377</v>
      </c>
      <c r="D609" t="s">
        <v>26</v>
      </c>
      <c r="E609" t="s">
        <v>379</v>
      </c>
      <c r="F609" t="s">
        <v>387</v>
      </c>
      <c r="G609" s="1" t="s">
        <v>380</v>
      </c>
      <c r="H609" s="1" t="s">
        <v>381</v>
      </c>
      <c r="I609" t="s">
        <v>31</v>
      </c>
      <c r="J609" t="s">
        <v>32</v>
      </c>
      <c r="K609" t="s">
        <v>203</v>
      </c>
      <c r="L609" t="s">
        <v>34</v>
      </c>
      <c r="M609" t="s">
        <v>206</v>
      </c>
      <c r="N609">
        <v>13</v>
      </c>
      <c r="O609" t="s">
        <v>57</v>
      </c>
      <c r="S609" t="s">
        <v>58</v>
      </c>
    </row>
    <row r="610" spans="1:19" x14ac:dyDescent="0.25">
      <c r="A610">
        <v>144793</v>
      </c>
      <c r="B610">
        <v>2025</v>
      </c>
      <c r="C610" t="s">
        <v>377</v>
      </c>
      <c r="D610" t="s">
        <v>26</v>
      </c>
      <c r="E610" t="s">
        <v>379</v>
      </c>
      <c r="F610" t="s">
        <v>387</v>
      </c>
      <c r="G610" s="1" t="s">
        <v>380</v>
      </c>
      <c r="H610" s="1" t="s">
        <v>381</v>
      </c>
      <c r="I610" t="s">
        <v>31</v>
      </c>
      <c r="J610" t="s">
        <v>32</v>
      </c>
      <c r="K610" t="s">
        <v>203</v>
      </c>
      <c r="L610" t="s">
        <v>34</v>
      </c>
      <c r="M610" t="s">
        <v>206</v>
      </c>
      <c r="N610">
        <v>14</v>
      </c>
      <c r="O610" t="s">
        <v>68</v>
      </c>
      <c r="R610" t="s">
        <v>190</v>
      </c>
      <c r="S610" t="s">
        <v>69</v>
      </c>
    </row>
    <row r="611" spans="1:19" x14ac:dyDescent="0.25">
      <c r="A611">
        <v>144793</v>
      </c>
      <c r="B611">
        <v>2025</v>
      </c>
      <c r="C611" t="s">
        <v>377</v>
      </c>
      <c r="D611" t="s">
        <v>26</v>
      </c>
      <c r="E611" t="s">
        <v>379</v>
      </c>
      <c r="F611" t="s">
        <v>387</v>
      </c>
      <c r="G611" s="1" t="s">
        <v>380</v>
      </c>
      <c r="H611" s="1" t="s">
        <v>381</v>
      </c>
      <c r="I611" t="s">
        <v>31</v>
      </c>
      <c r="J611" t="s">
        <v>32</v>
      </c>
      <c r="K611" t="s">
        <v>203</v>
      </c>
      <c r="L611" t="s">
        <v>34</v>
      </c>
      <c r="M611" t="s">
        <v>206</v>
      </c>
      <c r="N611">
        <v>15</v>
      </c>
      <c r="O611" t="s">
        <v>57</v>
      </c>
      <c r="S611" t="s">
        <v>58</v>
      </c>
    </row>
    <row r="612" spans="1:19" x14ac:dyDescent="0.25">
      <c r="A612">
        <v>144793</v>
      </c>
      <c r="B612">
        <v>2025</v>
      </c>
      <c r="C612" t="s">
        <v>377</v>
      </c>
      <c r="D612" t="s">
        <v>26</v>
      </c>
      <c r="E612" t="s">
        <v>379</v>
      </c>
      <c r="F612" t="s">
        <v>387</v>
      </c>
      <c r="G612" s="1" t="s">
        <v>380</v>
      </c>
      <c r="H612" s="1" t="s">
        <v>381</v>
      </c>
      <c r="I612" t="s">
        <v>31</v>
      </c>
      <c r="J612" t="s">
        <v>32</v>
      </c>
      <c r="K612" t="s">
        <v>203</v>
      </c>
      <c r="L612" t="s">
        <v>34</v>
      </c>
      <c r="M612" t="s">
        <v>206</v>
      </c>
      <c r="N612">
        <v>16</v>
      </c>
      <c r="O612" t="s">
        <v>57</v>
      </c>
      <c r="S612" t="s">
        <v>58</v>
      </c>
    </row>
    <row r="613" spans="1:19" x14ac:dyDescent="0.25">
      <c r="A613">
        <v>144793</v>
      </c>
      <c r="B613">
        <v>2025</v>
      </c>
      <c r="C613" t="s">
        <v>377</v>
      </c>
      <c r="D613" t="s">
        <v>26</v>
      </c>
      <c r="E613" t="s">
        <v>379</v>
      </c>
      <c r="F613" t="s">
        <v>387</v>
      </c>
      <c r="G613" s="1" t="s">
        <v>380</v>
      </c>
      <c r="H613" s="1" t="s">
        <v>381</v>
      </c>
      <c r="I613" t="s">
        <v>31</v>
      </c>
      <c r="J613" t="s">
        <v>32</v>
      </c>
      <c r="K613" t="s">
        <v>203</v>
      </c>
      <c r="L613" t="s">
        <v>34</v>
      </c>
      <c r="M613" t="s">
        <v>206</v>
      </c>
      <c r="N613">
        <v>17</v>
      </c>
      <c r="O613" t="s">
        <v>57</v>
      </c>
      <c r="R613" t="s">
        <v>190</v>
      </c>
      <c r="S613" t="s">
        <v>58</v>
      </c>
    </row>
    <row r="614" spans="1:19" x14ac:dyDescent="0.25">
      <c r="A614">
        <v>144793</v>
      </c>
      <c r="B614">
        <v>2025</v>
      </c>
      <c r="C614" t="s">
        <v>377</v>
      </c>
      <c r="D614" t="s">
        <v>26</v>
      </c>
      <c r="E614" t="s">
        <v>379</v>
      </c>
      <c r="F614" t="s">
        <v>387</v>
      </c>
      <c r="G614" s="1" t="s">
        <v>380</v>
      </c>
      <c r="H614" s="1" t="s">
        <v>381</v>
      </c>
      <c r="I614" t="s">
        <v>31</v>
      </c>
      <c r="J614" t="s">
        <v>32</v>
      </c>
      <c r="K614" t="s">
        <v>203</v>
      </c>
      <c r="L614" t="s">
        <v>34</v>
      </c>
      <c r="M614" t="s">
        <v>206</v>
      </c>
      <c r="N614">
        <v>18</v>
      </c>
      <c r="O614" t="s">
        <v>57</v>
      </c>
      <c r="R614" t="s">
        <v>190</v>
      </c>
      <c r="S614" t="s">
        <v>58</v>
      </c>
    </row>
    <row r="615" spans="1:19" x14ac:dyDescent="0.25">
      <c r="A615">
        <v>144793</v>
      </c>
      <c r="B615">
        <v>2025</v>
      </c>
      <c r="C615" t="s">
        <v>377</v>
      </c>
      <c r="D615" t="s">
        <v>26</v>
      </c>
      <c r="E615" t="s">
        <v>379</v>
      </c>
      <c r="F615" t="s">
        <v>387</v>
      </c>
      <c r="G615" s="1" t="s">
        <v>380</v>
      </c>
      <c r="H615" s="1" t="s">
        <v>381</v>
      </c>
      <c r="I615" t="s">
        <v>31</v>
      </c>
      <c r="J615" t="s">
        <v>32</v>
      </c>
      <c r="K615" t="s">
        <v>203</v>
      </c>
      <c r="L615" t="s">
        <v>34</v>
      </c>
      <c r="M615" t="s">
        <v>206</v>
      </c>
      <c r="N615">
        <v>19</v>
      </c>
      <c r="O615" t="s">
        <v>57</v>
      </c>
      <c r="R615" t="s">
        <v>190</v>
      </c>
      <c r="S615" t="s">
        <v>58</v>
      </c>
    </row>
    <row r="616" spans="1:19" x14ac:dyDescent="0.25">
      <c r="A616">
        <v>144793</v>
      </c>
      <c r="B616">
        <v>2025</v>
      </c>
      <c r="C616" t="s">
        <v>377</v>
      </c>
      <c r="D616" t="s">
        <v>26</v>
      </c>
      <c r="E616" t="s">
        <v>379</v>
      </c>
      <c r="F616" t="s">
        <v>387</v>
      </c>
      <c r="G616" s="1" t="s">
        <v>380</v>
      </c>
      <c r="H616" s="1" t="s">
        <v>381</v>
      </c>
      <c r="I616" t="s">
        <v>31</v>
      </c>
      <c r="J616" t="s">
        <v>32</v>
      </c>
      <c r="K616" t="s">
        <v>203</v>
      </c>
      <c r="L616" t="s">
        <v>34</v>
      </c>
      <c r="M616" t="s">
        <v>206</v>
      </c>
      <c r="N616">
        <v>20</v>
      </c>
      <c r="O616" t="s">
        <v>57</v>
      </c>
      <c r="R616" t="s">
        <v>190</v>
      </c>
      <c r="S616" t="s">
        <v>58</v>
      </c>
    </row>
    <row r="617" spans="1:19" x14ac:dyDescent="0.25">
      <c r="A617">
        <v>144793</v>
      </c>
      <c r="B617">
        <v>2025</v>
      </c>
      <c r="C617" t="s">
        <v>377</v>
      </c>
      <c r="D617" t="s">
        <v>26</v>
      </c>
      <c r="E617" t="s">
        <v>379</v>
      </c>
      <c r="F617" t="s">
        <v>387</v>
      </c>
      <c r="G617" s="1" t="s">
        <v>380</v>
      </c>
      <c r="H617" s="1" t="s">
        <v>381</v>
      </c>
      <c r="I617" t="s">
        <v>31</v>
      </c>
      <c r="J617" t="s">
        <v>32</v>
      </c>
      <c r="K617" t="s">
        <v>203</v>
      </c>
      <c r="L617" t="s">
        <v>34</v>
      </c>
      <c r="M617" t="s">
        <v>206</v>
      </c>
      <c r="N617">
        <v>21</v>
      </c>
      <c r="O617" t="s">
        <v>57</v>
      </c>
      <c r="R617" t="s">
        <v>190</v>
      </c>
      <c r="S617" t="s">
        <v>58</v>
      </c>
    </row>
    <row r="618" spans="1:19" x14ac:dyDescent="0.25">
      <c r="A618">
        <v>144793</v>
      </c>
      <c r="B618">
        <v>2025</v>
      </c>
      <c r="C618" t="s">
        <v>377</v>
      </c>
      <c r="D618" t="s">
        <v>26</v>
      </c>
      <c r="E618" t="s">
        <v>379</v>
      </c>
      <c r="F618" t="s">
        <v>387</v>
      </c>
      <c r="G618" s="1" t="s">
        <v>380</v>
      </c>
      <c r="H618" s="1" t="s">
        <v>381</v>
      </c>
      <c r="I618" t="s">
        <v>31</v>
      </c>
      <c r="J618" t="s">
        <v>32</v>
      </c>
      <c r="K618" t="s">
        <v>203</v>
      </c>
      <c r="L618" t="s">
        <v>34</v>
      </c>
      <c r="M618" t="s">
        <v>206</v>
      </c>
      <c r="N618">
        <v>22</v>
      </c>
      <c r="O618" t="s">
        <v>57</v>
      </c>
      <c r="S618" t="s">
        <v>58</v>
      </c>
    </row>
    <row r="619" spans="1:19" x14ac:dyDescent="0.25">
      <c r="A619">
        <v>144793</v>
      </c>
      <c r="B619">
        <v>2025</v>
      </c>
      <c r="C619" t="s">
        <v>377</v>
      </c>
      <c r="D619" t="s">
        <v>26</v>
      </c>
      <c r="E619" t="s">
        <v>379</v>
      </c>
      <c r="F619" t="s">
        <v>387</v>
      </c>
      <c r="G619" s="1" t="s">
        <v>380</v>
      </c>
      <c r="H619" s="1" t="s">
        <v>381</v>
      </c>
      <c r="I619" t="s">
        <v>31</v>
      </c>
      <c r="J619" t="s">
        <v>32</v>
      </c>
      <c r="K619" t="s">
        <v>203</v>
      </c>
      <c r="L619" t="s">
        <v>34</v>
      </c>
      <c r="M619" t="s">
        <v>206</v>
      </c>
      <c r="N619">
        <v>23</v>
      </c>
      <c r="O619" t="s">
        <v>57</v>
      </c>
      <c r="R619" t="s">
        <v>190</v>
      </c>
      <c r="S619" t="s">
        <v>58</v>
      </c>
    </row>
    <row r="620" spans="1:19" x14ac:dyDescent="0.25">
      <c r="A620">
        <v>144793</v>
      </c>
      <c r="B620">
        <v>2025</v>
      </c>
      <c r="C620" t="s">
        <v>377</v>
      </c>
      <c r="D620" t="s">
        <v>26</v>
      </c>
      <c r="E620" t="s">
        <v>379</v>
      </c>
      <c r="F620" t="s">
        <v>387</v>
      </c>
      <c r="G620" s="1" t="s">
        <v>380</v>
      </c>
      <c r="H620" s="1" t="s">
        <v>381</v>
      </c>
      <c r="I620" t="s">
        <v>31</v>
      </c>
      <c r="J620" t="s">
        <v>32</v>
      </c>
      <c r="K620" t="s">
        <v>203</v>
      </c>
      <c r="L620" t="s">
        <v>34</v>
      </c>
      <c r="M620" t="s">
        <v>206</v>
      </c>
      <c r="N620">
        <v>24</v>
      </c>
      <c r="O620" t="s">
        <v>57</v>
      </c>
      <c r="S620" t="s">
        <v>58</v>
      </c>
    </row>
    <row r="621" spans="1:19" x14ac:dyDescent="0.25">
      <c r="A621">
        <v>144793</v>
      </c>
      <c r="B621">
        <v>2025</v>
      </c>
      <c r="C621" t="s">
        <v>377</v>
      </c>
      <c r="D621" t="s">
        <v>26</v>
      </c>
      <c r="E621" t="s">
        <v>379</v>
      </c>
      <c r="F621" t="s">
        <v>387</v>
      </c>
      <c r="G621" s="1" t="s">
        <v>380</v>
      </c>
      <c r="H621" s="1" t="s">
        <v>381</v>
      </c>
      <c r="I621" t="s">
        <v>31</v>
      </c>
      <c r="J621" t="s">
        <v>32</v>
      </c>
      <c r="K621" t="s">
        <v>203</v>
      </c>
      <c r="L621" t="s">
        <v>34</v>
      </c>
      <c r="M621" t="s">
        <v>206</v>
      </c>
      <c r="N621">
        <v>25</v>
      </c>
      <c r="O621" t="s">
        <v>57</v>
      </c>
      <c r="R621" t="s">
        <v>190</v>
      </c>
      <c r="S621" t="s">
        <v>58</v>
      </c>
    </row>
    <row r="622" spans="1:19" x14ac:dyDescent="0.25">
      <c r="A622">
        <v>144793</v>
      </c>
      <c r="B622">
        <v>2025</v>
      </c>
      <c r="C622" t="s">
        <v>377</v>
      </c>
      <c r="D622" t="s">
        <v>26</v>
      </c>
      <c r="E622" t="s">
        <v>379</v>
      </c>
      <c r="F622" t="s">
        <v>388</v>
      </c>
      <c r="G622" s="1" t="s">
        <v>380</v>
      </c>
      <c r="H622" s="1" t="s">
        <v>381</v>
      </c>
      <c r="I622" t="s">
        <v>31</v>
      </c>
      <c r="J622" t="s">
        <v>32</v>
      </c>
      <c r="K622" t="s">
        <v>203</v>
      </c>
      <c r="L622" t="s">
        <v>34</v>
      </c>
      <c r="M622" t="s">
        <v>206</v>
      </c>
      <c r="N622">
        <v>1</v>
      </c>
      <c r="O622" t="s">
        <v>57</v>
      </c>
      <c r="R622" t="s">
        <v>190</v>
      </c>
      <c r="S622" t="s">
        <v>58</v>
      </c>
    </row>
    <row r="623" spans="1:19" x14ac:dyDescent="0.25">
      <c r="A623">
        <v>144793</v>
      </c>
      <c r="B623">
        <v>2025</v>
      </c>
      <c r="C623" t="s">
        <v>377</v>
      </c>
      <c r="D623" t="s">
        <v>26</v>
      </c>
      <c r="E623" t="s">
        <v>379</v>
      </c>
      <c r="F623" t="s">
        <v>388</v>
      </c>
      <c r="G623" s="1" t="s">
        <v>380</v>
      </c>
      <c r="H623" s="1" t="s">
        <v>381</v>
      </c>
      <c r="I623" t="s">
        <v>31</v>
      </c>
      <c r="J623" t="s">
        <v>32</v>
      </c>
      <c r="K623" t="s">
        <v>203</v>
      </c>
      <c r="L623" t="s">
        <v>34</v>
      </c>
      <c r="M623" t="s">
        <v>206</v>
      </c>
      <c r="N623">
        <v>2</v>
      </c>
      <c r="O623" t="s">
        <v>57</v>
      </c>
      <c r="R623" t="s">
        <v>190</v>
      </c>
      <c r="S623" t="s">
        <v>58</v>
      </c>
    </row>
    <row r="624" spans="1:19" x14ac:dyDescent="0.25">
      <c r="A624">
        <v>144793</v>
      </c>
      <c r="B624">
        <v>2025</v>
      </c>
      <c r="C624" t="s">
        <v>377</v>
      </c>
      <c r="D624" t="s">
        <v>26</v>
      </c>
      <c r="E624" t="s">
        <v>379</v>
      </c>
      <c r="F624" t="s">
        <v>388</v>
      </c>
      <c r="G624" s="1" t="s">
        <v>380</v>
      </c>
      <c r="H624" s="1" t="s">
        <v>381</v>
      </c>
      <c r="I624" t="s">
        <v>31</v>
      </c>
      <c r="J624" t="s">
        <v>32</v>
      </c>
      <c r="K624" t="s">
        <v>203</v>
      </c>
      <c r="L624" t="s">
        <v>34</v>
      </c>
      <c r="M624" t="s">
        <v>206</v>
      </c>
      <c r="N624">
        <v>3</v>
      </c>
      <c r="O624" t="s">
        <v>57</v>
      </c>
      <c r="R624" t="s">
        <v>190</v>
      </c>
      <c r="S624" t="s">
        <v>58</v>
      </c>
    </row>
    <row r="625" spans="1:19" x14ac:dyDescent="0.25">
      <c r="A625">
        <v>144793</v>
      </c>
      <c r="B625">
        <v>2025</v>
      </c>
      <c r="C625" t="s">
        <v>377</v>
      </c>
      <c r="D625" t="s">
        <v>26</v>
      </c>
      <c r="E625" t="s">
        <v>379</v>
      </c>
      <c r="F625" t="s">
        <v>388</v>
      </c>
      <c r="G625" s="1" t="s">
        <v>380</v>
      </c>
      <c r="H625" s="1" t="s">
        <v>381</v>
      </c>
      <c r="I625" t="s">
        <v>31</v>
      </c>
      <c r="J625" t="s">
        <v>32</v>
      </c>
      <c r="K625" t="s">
        <v>203</v>
      </c>
      <c r="L625" t="s">
        <v>34</v>
      </c>
      <c r="M625" t="s">
        <v>206</v>
      </c>
      <c r="N625">
        <v>4</v>
      </c>
      <c r="O625" t="s">
        <v>57</v>
      </c>
      <c r="R625" t="s">
        <v>190</v>
      </c>
      <c r="S625" t="s">
        <v>58</v>
      </c>
    </row>
    <row r="626" spans="1:19" x14ac:dyDescent="0.25">
      <c r="A626">
        <v>144793</v>
      </c>
      <c r="B626">
        <v>2025</v>
      </c>
      <c r="C626" t="s">
        <v>377</v>
      </c>
      <c r="D626" t="s">
        <v>26</v>
      </c>
      <c r="E626" t="s">
        <v>379</v>
      </c>
      <c r="F626" t="s">
        <v>388</v>
      </c>
      <c r="G626" s="1" t="s">
        <v>380</v>
      </c>
      <c r="H626" s="1" t="s">
        <v>381</v>
      </c>
      <c r="I626" t="s">
        <v>31</v>
      </c>
      <c r="J626" t="s">
        <v>32</v>
      </c>
      <c r="K626" t="s">
        <v>203</v>
      </c>
      <c r="L626" t="s">
        <v>34</v>
      </c>
      <c r="M626" t="s">
        <v>206</v>
      </c>
      <c r="N626">
        <v>5</v>
      </c>
      <c r="O626" t="s">
        <v>57</v>
      </c>
      <c r="R626" t="s">
        <v>190</v>
      </c>
      <c r="S626" t="s">
        <v>58</v>
      </c>
    </row>
    <row r="627" spans="1:19" x14ac:dyDescent="0.25">
      <c r="A627">
        <v>144793</v>
      </c>
      <c r="B627">
        <v>2025</v>
      </c>
      <c r="C627" t="s">
        <v>377</v>
      </c>
      <c r="D627" t="s">
        <v>26</v>
      </c>
      <c r="E627" t="s">
        <v>379</v>
      </c>
      <c r="F627" t="s">
        <v>388</v>
      </c>
      <c r="G627" s="1" t="s">
        <v>380</v>
      </c>
      <c r="H627" s="1" t="s">
        <v>381</v>
      </c>
      <c r="I627" t="s">
        <v>31</v>
      </c>
      <c r="J627" t="s">
        <v>32</v>
      </c>
      <c r="K627" t="s">
        <v>203</v>
      </c>
      <c r="L627" t="s">
        <v>34</v>
      </c>
      <c r="M627" t="s">
        <v>206</v>
      </c>
      <c r="N627">
        <v>6</v>
      </c>
      <c r="O627" t="s">
        <v>57</v>
      </c>
      <c r="S627" t="s">
        <v>58</v>
      </c>
    </row>
    <row r="628" spans="1:19" x14ac:dyDescent="0.25">
      <c r="A628">
        <v>144793</v>
      </c>
      <c r="B628">
        <v>2025</v>
      </c>
      <c r="C628" t="s">
        <v>377</v>
      </c>
      <c r="D628" t="s">
        <v>26</v>
      </c>
      <c r="E628" t="s">
        <v>379</v>
      </c>
      <c r="F628" t="s">
        <v>388</v>
      </c>
      <c r="G628" s="1" t="s">
        <v>380</v>
      </c>
      <c r="H628" s="1" t="s">
        <v>381</v>
      </c>
      <c r="I628" t="s">
        <v>31</v>
      </c>
      <c r="J628" t="s">
        <v>32</v>
      </c>
      <c r="K628" t="s">
        <v>203</v>
      </c>
      <c r="L628" t="s">
        <v>34</v>
      </c>
      <c r="M628" t="s">
        <v>206</v>
      </c>
      <c r="N628">
        <v>7</v>
      </c>
      <c r="O628" t="s">
        <v>57</v>
      </c>
      <c r="S628" t="s">
        <v>58</v>
      </c>
    </row>
    <row r="629" spans="1:19" x14ac:dyDescent="0.25">
      <c r="A629">
        <v>144793</v>
      </c>
      <c r="B629">
        <v>2025</v>
      </c>
      <c r="C629" t="s">
        <v>377</v>
      </c>
      <c r="D629" t="s">
        <v>26</v>
      </c>
      <c r="E629" t="s">
        <v>379</v>
      </c>
      <c r="F629" t="s">
        <v>388</v>
      </c>
      <c r="G629" s="1" t="s">
        <v>380</v>
      </c>
      <c r="H629" s="1" t="s">
        <v>381</v>
      </c>
      <c r="I629" t="s">
        <v>31</v>
      </c>
      <c r="J629" t="s">
        <v>32</v>
      </c>
      <c r="K629" t="s">
        <v>203</v>
      </c>
      <c r="L629" t="s">
        <v>34</v>
      </c>
      <c r="M629" t="s">
        <v>206</v>
      </c>
      <c r="N629">
        <v>8</v>
      </c>
      <c r="O629" t="s">
        <v>57</v>
      </c>
      <c r="R629" t="s">
        <v>190</v>
      </c>
      <c r="S629" t="s">
        <v>58</v>
      </c>
    </row>
    <row r="630" spans="1:19" x14ac:dyDescent="0.25">
      <c r="A630">
        <v>144793</v>
      </c>
      <c r="B630">
        <v>2025</v>
      </c>
      <c r="C630" t="s">
        <v>377</v>
      </c>
      <c r="D630" t="s">
        <v>26</v>
      </c>
      <c r="E630" t="s">
        <v>379</v>
      </c>
      <c r="F630" t="s">
        <v>388</v>
      </c>
      <c r="G630" s="1" t="s">
        <v>380</v>
      </c>
      <c r="H630" s="1" t="s">
        <v>381</v>
      </c>
      <c r="I630" t="s">
        <v>31</v>
      </c>
      <c r="J630" t="s">
        <v>32</v>
      </c>
      <c r="K630" t="s">
        <v>203</v>
      </c>
      <c r="L630" t="s">
        <v>34</v>
      </c>
      <c r="M630" t="s">
        <v>206</v>
      </c>
      <c r="N630">
        <v>9</v>
      </c>
      <c r="O630" t="s">
        <v>57</v>
      </c>
      <c r="R630" t="s">
        <v>190</v>
      </c>
      <c r="S630" t="s">
        <v>58</v>
      </c>
    </row>
    <row r="631" spans="1:19" x14ac:dyDescent="0.25">
      <c r="A631">
        <v>144793</v>
      </c>
      <c r="B631">
        <v>2025</v>
      </c>
      <c r="C631" t="s">
        <v>377</v>
      </c>
      <c r="D631" t="s">
        <v>26</v>
      </c>
      <c r="E631" t="s">
        <v>379</v>
      </c>
      <c r="F631" t="s">
        <v>388</v>
      </c>
      <c r="G631" s="1" t="s">
        <v>380</v>
      </c>
      <c r="H631" s="1" t="s">
        <v>381</v>
      </c>
      <c r="I631" t="s">
        <v>31</v>
      </c>
      <c r="J631" t="s">
        <v>32</v>
      </c>
      <c r="K631" t="s">
        <v>203</v>
      </c>
      <c r="L631" t="s">
        <v>34</v>
      </c>
      <c r="M631" t="s">
        <v>206</v>
      </c>
      <c r="N631">
        <v>10</v>
      </c>
      <c r="O631" t="s">
        <v>80</v>
      </c>
      <c r="R631" t="s">
        <v>190</v>
      </c>
      <c r="S631" t="s">
        <v>275</v>
      </c>
    </row>
    <row r="632" spans="1:19" x14ac:dyDescent="0.25">
      <c r="A632">
        <v>144793</v>
      </c>
      <c r="B632">
        <v>2025</v>
      </c>
      <c r="C632" t="s">
        <v>377</v>
      </c>
      <c r="D632" t="s">
        <v>26</v>
      </c>
      <c r="E632" t="s">
        <v>379</v>
      </c>
      <c r="F632" t="s">
        <v>388</v>
      </c>
      <c r="G632" s="1" t="s">
        <v>380</v>
      </c>
      <c r="H632" s="1" t="s">
        <v>381</v>
      </c>
      <c r="I632" t="s">
        <v>31</v>
      </c>
      <c r="J632" t="s">
        <v>32</v>
      </c>
      <c r="K632" t="s">
        <v>203</v>
      </c>
      <c r="L632" t="s">
        <v>34</v>
      </c>
      <c r="M632" t="s">
        <v>206</v>
      </c>
      <c r="N632">
        <v>11</v>
      </c>
      <c r="O632" t="s">
        <v>394</v>
      </c>
      <c r="R632" t="s">
        <v>190</v>
      </c>
      <c r="S632" t="s">
        <v>395</v>
      </c>
    </row>
    <row r="633" spans="1:19" x14ac:dyDescent="0.25">
      <c r="A633">
        <v>144793</v>
      </c>
      <c r="B633">
        <v>2025</v>
      </c>
      <c r="C633" t="s">
        <v>377</v>
      </c>
      <c r="D633" t="s">
        <v>26</v>
      </c>
      <c r="E633" t="s">
        <v>379</v>
      </c>
      <c r="F633" t="s">
        <v>388</v>
      </c>
      <c r="G633" s="1" t="s">
        <v>380</v>
      </c>
      <c r="H633" s="1" t="s">
        <v>381</v>
      </c>
      <c r="I633" t="s">
        <v>31</v>
      </c>
      <c r="J633" t="s">
        <v>32</v>
      </c>
      <c r="K633" t="s">
        <v>203</v>
      </c>
      <c r="L633" t="s">
        <v>34</v>
      </c>
      <c r="M633" t="s">
        <v>206</v>
      </c>
      <c r="N633">
        <v>12</v>
      </c>
      <c r="O633" t="s">
        <v>57</v>
      </c>
      <c r="R633" t="s">
        <v>190</v>
      </c>
      <c r="S633" t="s">
        <v>58</v>
      </c>
    </row>
    <row r="634" spans="1:19" x14ac:dyDescent="0.25">
      <c r="A634">
        <v>144793</v>
      </c>
      <c r="B634">
        <v>2025</v>
      </c>
      <c r="C634" t="s">
        <v>377</v>
      </c>
      <c r="D634" t="s">
        <v>26</v>
      </c>
      <c r="E634" t="s">
        <v>379</v>
      </c>
      <c r="F634" t="s">
        <v>388</v>
      </c>
      <c r="G634" s="1" t="s">
        <v>380</v>
      </c>
      <c r="H634" s="1" t="s">
        <v>381</v>
      </c>
      <c r="I634" t="s">
        <v>31</v>
      </c>
      <c r="J634" t="s">
        <v>32</v>
      </c>
      <c r="K634" t="s">
        <v>203</v>
      </c>
      <c r="L634" t="s">
        <v>34</v>
      </c>
      <c r="M634" t="s">
        <v>206</v>
      </c>
      <c r="N634">
        <v>13</v>
      </c>
      <c r="O634" t="s">
        <v>57</v>
      </c>
      <c r="S634" t="s">
        <v>58</v>
      </c>
    </row>
    <row r="635" spans="1:19" x14ac:dyDescent="0.25">
      <c r="A635">
        <v>144793</v>
      </c>
      <c r="B635">
        <v>2025</v>
      </c>
      <c r="C635" t="s">
        <v>377</v>
      </c>
      <c r="D635" t="s">
        <v>26</v>
      </c>
      <c r="E635" t="s">
        <v>379</v>
      </c>
      <c r="F635" t="s">
        <v>388</v>
      </c>
      <c r="G635" s="1" t="s">
        <v>380</v>
      </c>
      <c r="H635" s="1" t="s">
        <v>381</v>
      </c>
      <c r="I635" t="s">
        <v>31</v>
      </c>
      <c r="J635" t="s">
        <v>32</v>
      </c>
      <c r="K635" t="s">
        <v>203</v>
      </c>
      <c r="L635" t="s">
        <v>34</v>
      </c>
      <c r="M635" t="s">
        <v>206</v>
      </c>
      <c r="N635">
        <v>14</v>
      </c>
      <c r="O635" t="s">
        <v>68</v>
      </c>
      <c r="R635" t="s">
        <v>190</v>
      </c>
      <c r="S635" t="s">
        <v>69</v>
      </c>
    </row>
    <row r="636" spans="1:19" x14ac:dyDescent="0.25">
      <c r="A636">
        <v>144793</v>
      </c>
      <c r="B636">
        <v>2025</v>
      </c>
      <c r="C636" t="s">
        <v>377</v>
      </c>
      <c r="D636" t="s">
        <v>26</v>
      </c>
      <c r="E636" t="s">
        <v>379</v>
      </c>
      <c r="F636" t="s">
        <v>388</v>
      </c>
      <c r="G636" s="1" t="s">
        <v>380</v>
      </c>
      <c r="H636" s="1" t="s">
        <v>381</v>
      </c>
      <c r="I636" t="s">
        <v>31</v>
      </c>
      <c r="J636" t="s">
        <v>32</v>
      </c>
      <c r="K636" t="s">
        <v>203</v>
      </c>
      <c r="L636" t="s">
        <v>34</v>
      </c>
      <c r="M636" t="s">
        <v>206</v>
      </c>
      <c r="N636">
        <v>15</v>
      </c>
      <c r="O636" t="s">
        <v>57</v>
      </c>
      <c r="R636" t="s">
        <v>190</v>
      </c>
      <c r="S636" t="s">
        <v>58</v>
      </c>
    </row>
    <row r="637" spans="1:19" x14ac:dyDescent="0.25">
      <c r="A637">
        <v>144793</v>
      </c>
      <c r="B637">
        <v>2025</v>
      </c>
      <c r="C637" t="s">
        <v>377</v>
      </c>
      <c r="D637" t="s">
        <v>26</v>
      </c>
      <c r="E637" t="s">
        <v>379</v>
      </c>
      <c r="F637" t="s">
        <v>388</v>
      </c>
      <c r="G637" s="1" t="s">
        <v>380</v>
      </c>
      <c r="H637" s="1" t="s">
        <v>381</v>
      </c>
      <c r="I637" t="s">
        <v>31</v>
      </c>
      <c r="J637" t="s">
        <v>32</v>
      </c>
      <c r="K637" t="s">
        <v>203</v>
      </c>
      <c r="L637" t="s">
        <v>34</v>
      </c>
      <c r="M637" t="s">
        <v>206</v>
      </c>
      <c r="N637">
        <v>16</v>
      </c>
      <c r="O637" t="s">
        <v>57</v>
      </c>
      <c r="R637" t="s">
        <v>190</v>
      </c>
      <c r="S637" t="s">
        <v>58</v>
      </c>
    </row>
    <row r="638" spans="1:19" x14ac:dyDescent="0.25">
      <c r="A638">
        <v>144793</v>
      </c>
      <c r="B638">
        <v>2025</v>
      </c>
      <c r="C638" t="s">
        <v>377</v>
      </c>
      <c r="D638" t="s">
        <v>26</v>
      </c>
      <c r="E638" t="s">
        <v>379</v>
      </c>
      <c r="F638" t="s">
        <v>388</v>
      </c>
      <c r="G638" s="1" t="s">
        <v>380</v>
      </c>
      <c r="H638" s="1" t="s">
        <v>381</v>
      </c>
      <c r="I638" t="s">
        <v>31</v>
      </c>
      <c r="J638" t="s">
        <v>32</v>
      </c>
      <c r="K638" t="s">
        <v>203</v>
      </c>
      <c r="L638" t="s">
        <v>34</v>
      </c>
      <c r="M638" t="s">
        <v>206</v>
      </c>
      <c r="N638">
        <v>17</v>
      </c>
      <c r="O638" t="s">
        <v>57</v>
      </c>
      <c r="R638" t="s">
        <v>190</v>
      </c>
      <c r="S638" t="s">
        <v>58</v>
      </c>
    </row>
    <row r="639" spans="1:19" x14ac:dyDescent="0.25">
      <c r="A639">
        <v>144793</v>
      </c>
      <c r="B639">
        <v>2025</v>
      </c>
      <c r="C639" t="s">
        <v>377</v>
      </c>
      <c r="D639" t="s">
        <v>26</v>
      </c>
      <c r="E639" t="s">
        <v>379</v>
      </c>
      <c r="F639" t="s">
        <v>388</v>
      </c>
      <c r="G639" s="1" t="s">
        <v>380</v>
      </c>
      <c r="H639" s="1" t="s">
        <v>381</v>
      </c>
      <c r="I639" t="s">
        <v>31</v>
      </c>
      <c r="J639" t="s">
        <v>32</v>
      </c>
      <c r="K639" t="s">
        <v>203</v>
      </c>
      <c r="L639" t="s">
        <v>34</v>
      </c>
      <c r="M639" t="s">
        <v>206</v>
      </c>
      <c r="N639">
        <v>18</v>
      </c>
      <c r="O639" t="s">
        <v>57</v>
      </c>
      <c r="R639" t="s">
        <v>190</v>
      </c>
      <c r="S639" t="s">
        <v>58</v>
      </c>
    </row>
    <row r="640" spans="1:19" x14ac:dyDescent="0.25">
      <c r="A640">
        <v>144793</v>
      </c>
      <c r="B640">
        <v>2025</v>
      </c>
      <c r="C640" t="s">
        <v>377</v>
      </c>
      <c r="D640" t="s">
        <v>26</v>
      </c>
      <c r="E640" t="s">
        <v>379</v>
      </c>
      <c r="F640" t="s">
        <v>388</v>
      </c>
      <c r="G640" s="1" t="s">
        <v>380</v>
      </c>
      <c r="H640" s="1" t="s">
        <v>381</v>
      </c>
      <c r="I640" t="s">
        <v>31</v>
      </c>
      <c r="J640" t="s">
        <v>32</v>
      </c>
      <c r="K640" t="s">
        <v>203</v>
      </c>
      <c r="L640" t="s">
        <v>34</v>
      </c>
      <c r="M640" t="s">
        <v>206</v>
      </c>
      <c r="N640">
        <v>19</v>
      </c>
      <c r="O640" t="s">
        <v>57</v>
      </c>
      <c r="R640" t="s">
        <v>190</v>
      </c>
      <c r="S640" t="s">
        <v>58</v>
      </c>
    </row>
    <row r="641" spans="1:19" x14ac:dyDescent="0.25">
      <c r="A641">
        <v>144793</v>
      </c>
      <c r="B641">
        <v>2025</v>
      </c>
      <c r="C641" t="s">
        <v>377</v>
      </c>
      <c r="D641" t="s">
        <v>26</v>
      </c>
      <c r="E641" t="s">
        <v>379</v>
      </c>
      <c r="F641" t="s">
        <v>388</v>
      </c>
      <c r="G641" s="1" t="s">
        <v>380</v>
      </c>
      <c r="H641" s="1" t="s">
        <v>381</v>
      </c>
      <c r="I641" t="s">
        <v>31</v>
      </c>
      <c r="J641" t="s">
        <v>32</v>
      </c>
      <c r="K641" t="s">
        <v>203</v>
      </c>
      <c r="L641" t="s">
        <v>34</v>
      </c>
      <c r="M641" t="s">
        <v>206</v>
      </c>
      <c r="N641">
        <v>20</v>
      </c>
      <c r="O641" t="s">
        <v>68</v>
      </c>
      <c r="R641" t="s">
        <v>190</v>
      </c>
      <c r="S641" t="s">
        <v>69</v>
      </c>
    </row>
    <row r="642" spans="1:19" x14ac:dyDescent="0.25">
      <c r="A642">
        <v>144793</v>
      </c>
      <c r="B642">
        <v>2025</v>
      </c>
      <c r="C642" t="s">
        <v>377</v>
      </c>
      <c r="D642" t="s">
        <v>26</v>
      </c>
      <c r="E642" t="s">
        <v>379</v>
      </c>
      <c r="F642" t="s">
        <v>388</v>
      </c>
      <c r="G642" s="1" t="s">
        <v>380</v>
      </c>
      <c r="H642" s="1" t="s">
        <v>381</v>
      </c>
      <c r="I642" t="s">
        <v>31</v>
      </c>
      <c r="J642" t="s">
        <v>32</v>
      </c>
      <c r="K642" t="s">
        <v>203</v>
      </c>
      <c r="L642" t="s">
        <v>34</v>
      </c>
      <c r="M642" t="s">
        <v>206</v>
      </c>
      <c r="N642">
        <v>21</v>
      </c>
      <c r="O642" t="s">
        <v>57</v>
      </c>
      <c r="R642" t="s">
        <v>190</v>
      </c>
      <c r="S642" t="s">
        <v>58</v>
      </c>
    </row>
    <row r="643" spans="1:19" x14ac:dyDescent="0.25">
      <c r="A643">
        <v>144793</v>
      </c>
      <c r="B643">
        <v>2025</v>
      </c>
      <c r="C643" t="s">
        <v>377</v>
      </c>
      <c r="D643" t="s">
        <v>26</v>
      </c>
      <c r="E643" t="s">
        <v>379</v>
      </c>
      <c r="F643" t="s">
        <v>388</v>
      </c>
      <c r="G643" s="1" t="s">
        <v>380</v>
      </c>
      <c r="H643" s="1" t="s">
        <v>381</v>
      </c>
      <c r="I643" t="s">
        <v>31</v>
      </c>
      <c r="J643" t="s">
        <v>32</v>
      </c>
      <c r="K643" t="s">
        <v>203</v>
      </c>
      <c r="L643" t="s">
        <v>34</v>
      </c>
      <c r="M643" t="s">
        <v>206</v>
      </c>
      <c r="N643">
        <v>22</v>
      </c>
      <c r="O643" t="s">
        <v>57</v>
      </c>
      <c r="R643" t="s">
        <v>190</v>
      </c>
      <c r="S643" t="s">
        <v>58</v>
      </c>
    </row>
    <row r="644" spans="1:19" x14ac:dyDescent="0.25">
      <c r="A644">
        <v>144793</v>
      </c>
      <c r="B644">
        <v>2025</v>
      </c>
      <c r="C644" t="s">
        <v>377</v>
      </c>
      <c r="D644" t="s">
        <v>26</v>
      </c>
      <c r="E644" t="s">
        <v>379</v>
      </c>
      <c r="F644" t="s">
        <v>388</v>
      </c>
      <c r="G644" s="1" t="s">
        <v>380</v>
      </c>
      <c r="H644" s="1" t="s">
        <v>381</v>
      </c>
      <c r="I644" t="s">
        <v>31</v>
      </c>
      <c r="J644" t="s">
        <v>32</v>
      </c>
      <c r="K644" t="s">
        <v>203</v>
      </c>
      <c r="L644" t="s">
        <v>34</v>
      </c>
      <c r="M644" t="s">
        <v>206</v>
      </c>
      <c r="N644">
        <v>23</v>
      </c>
      <c r="O644" t="s">
        <v>57</v>
      </c>
      <c r="R644" t="s">
        <v>190</v>
      </c>
      <c r="S644" t="s">
        <v>58</v>
      </c>
    </row>
    <row r="645" spans="1:19" x14ac:dyDescent="0.25">
      <c r="A645">
        <v>144793</v>
      </c>
      <c r="B645">
        <v>2025</v>
      </c>
      <c r="C645" t="s">
        <v>377</v>
      </c>
      <c r="D645" t="s">
        <v>26</v>
      </c>
      <c r="E645" t="s">
        <v>379</v>
      </c>
      <c r="F645" t="s">
        <v>388</v>
      </c>
      <c r="G645" s="1" t="s">
        <v>380</v>
      </c>
      <c r="H645" s="1" t="s">
        <v>381</v>
      </c>
      <c r="I645" t="s">
        <v>31</v>
      </c>
      <c r="J645" t="s">
        <v>32</v>
      </c>
      <c r="K645" t="s">
        <v>203</v>
      </c>
      <c r="L645" t="s">
        <v>34</v>
      </c>
      <c r="M645" t="s">
        <v>206</v>
      </c>
      <c r="N645">
        <v>24</v>
      </c>
      <c r="O645" t="s">
        <v>57</v>
      </c>
      <c r="R645" t="s">
        <v>190</v>
      </c>
      <c r="S645" t="s">
        <v>58</v>
      </c>
    </row>
    <row r="646" spans="1:19" x14ac:dyDescent="0.25">
      <c r="A646">
        <v>144793</v>
      </c>
      <c r="B646">
        <v>2025</v>
      </c>
      <c r="C646" t="s">
        <v>377</v>
      </c>
      <c r="D646" t="s">
        <v>26</v>
      </c>
      <c r="E646" t="s">
        <v>379</v>
      </c>
      <c r="F646" t="s">
        <v>388</v>
      </c>
      <c r="G646" s="1" t="s">
        <v>380</v>
      </c>
      <c r="H646" s="1" t="s">
        <v>381</v>
      </c>
      <c r="I646" t="s">
        <v>31</v>
      </c>
      <c r="J646" t="s">
        <v>32</v>
      </c>
      <c r="K646" t="s">
        <v>203</v>
      </c>
      <c r="L646" t="s">
        <v>34</v>
      </c>
      <c r="M646" t="s">
        <v>206</v>
      </c>
      <c r="N646">
        <v>25</v>
      </c>
      <c r="O646" t="s">
        <v>57</v>
      </c>
      <c r="R646" t="s">
        <v>190</v>
      </c>
      <c r="S646" t="s">
        <v>58</v>
      </c>
    </row>
    <row r="647" spans="1:19" x14ac:dyDescent="0.25">
      <c r="A647">
        <v>144793</v>
      </c>
      <c r="B647">
        <v>2025</v>
      </c>
      <c r="C647" t="s">
        <v>377</v>
      </c>
      <c r="D647" t="s">
        <v>26</v>
      </c>
      <c r="E647" t="s">
        <v>379</v>
      </c>
      <c r="F647" t="s">
        <v>389</v>
      </c>
      <c r="G647" s="1" t="s">
        <v>380</v>
      </c>
      <c r="H647" s="1" t="s">
        <v>381</v>
      </c>
      <c r="I647" t="s">
        <v>31</v>
      </c>
      <c r="J647" t="s">
        <v>32</v>
      </c>
      <c r="K647" t="s">
        <v>203</v>
      </c>
      <c r="L647" t="s">
        <v>34</v>
      </c>
      <c r="M647" t="s">
        <v>206</v>
      </c>
      <c r="N647">
        <v>1</v>
      </c>
      <c r="O647" t="s">
        <v>57</v>
      </c>
      <c r="R647" t="s">
        <v>190</v>
      </c>
      <c r="S647" t="s">
        <v>58</v>
      </c>
    </row>
    <row r="648" spans="1:19" x14ac:dyDescent="0.25">
      <c r="A648">
        <v>144793</v>
      </c>
      <c r="B648">
        <v>2025</v>
      </c>
      <c r="C648" t="s">
        <v>377</v>
      </c>
      <c r="D648" t="s">
        <v>26</v>
      </c>
      <c r="E648" t="s">
        <v>379</v>
      </c>
      <c r="F648" t="s">
        <v>389</v>
      </c>
      <c r="G648" s="1" t="s">
        <v>380</v>
      </c>
      <c r="H648" s="1" t="s">
        <v>381</v>
      </c>
      <c r="I648" t="s">
        <v>31</v>
      </c>
      <c r="J648" t="s">
        <v>32</v>
      </c>
      <c r="K648" t="s">
        <v>203</v>
      </c>
      <c r="L648" t="s">
        <v>34</v>
      </c>
      <c r="M648" t="s">
        <v>206</v>
      </c>
      <c r="N648">
        <v>2</v>
      </c>
      <c r="O648" t="s">
        <v>57</v>
      </c>
      <c r="R648" t="s">
        <v>190</v>
      </c>
      <c r="S648" t="s">
        <v>58</v>
      </c>
    </row>
    <row r="649" spans="1:19" x14ac:dyDescent="0.25">
      <c r="A649">
        <v>144793</v>
      </c>
      <c r="B649">
        <v>2025</v>
      </c>
      <c r="C649" t="s">
        <v>377</v>
      </c>
      <c r="D649" t="s">
        <v>26</v>
      </c>
      <c r="E649" t="s">
        <v>379</v>
      </c>
      <c r="F649" t="s">
        <v>389</v>
      </c>
      <c r="G649" s="1" t="s">
        <v>380</v>
      </c>
      <c r="H649" s="1" t="s">
        <v>381</v>
      </c>
      <c r="I649" t="s">
        <v>31</v>
      </c>
      <c r="J649" t="s">
        <v>32</v>
      </c>
      <c r="K649" t="s">
        <v>203</v>
      </c>
      <c r="L649" t="s">
        <v>34</v>
      </c>
      <c r="M649" t="s">
        <v>206</v>
      </c>
      <c r="N649">
        <v>3</v>
      </c>
      <c r="O649" t="s">
        <v>57</v>
      </c>
      <c r="R649" t="s">
        <v>190</v>
      </c>
      <c r="S649" t="s">
        <v>58</v>
      </c>
    </row>
    <row r="650" spans="1:19" x14ac:dyDescent="0.25">
      <c r="A650">
        <v>144793</v>
      </c>
      <c r="B650">
        <v>2025</v>
      </c>
      <c r="C650" t="s">
        <v>377</v>
      </c>
      <c r="D650" t="s">
        <v>26</v>
      </c>
      <c r="E650" t="s">
        <v>379</v>
      </c>
      <c r="F650" t="s">
        <v>389</v>
      </c>
      <c r="G650" s="1" t="s">
        <v>380</v>
      </c>
      <c r="H650" s="1" t="s">
        <v>381</v>
      </c>
      <c r="I650" t="s">
        <v>31</v>
      </c>
      <c r="J650" t="s">
        <v>32</v>
      </c>
      <c r="K650" t="s">
        <v>203</v>
      </c>
      <c r="L650" t="s">
        <v>34</v>
      </c>
      <c r="M650" t="s">
        <v>206</v>
      </c>
      <c r="N650">
        <v>4</v>
      </c>
      <c r="P650" t="s">
        <v>99</v>
      </c>
      <c r="S650" t="s">
        <v>100</v>
      </c>
    </row>
    <row r="651" spans="1:19" x14ac:dyDescent="0.25">
      <c r="A651">
        <v>144793</v>
      </c>
      <c r="B651">
        <v>2025</v>
      </c>
      <c r="C651" t="s">
        <v>377</v>
      </c>
      <c r="D651" t="s">
        <v>26</v>
      </c>
      <c r="E651" t="s">
        <v>379</v>
      </c>
      <c r="F651" t="s">
        <v>389</v>
      </c>
      <c r="G651" s="1" t="s">
        <v>380</v>
      </c>
      <c r="H651" s="1" t="s">
        <v>381</v>
      </c>
      <c r="I651" t="s">
        <v>31</v>
      </c>
      <c r="J651" t="s">
        <v>32</v>
      </c>
      <c r="K651" t="s">
        <v>203</v>
      </c>
      <c r="L651" t="s">
        <v>34</v>
      </c>
      <c r="M651" t="s">
        <v>206</v>
      </c>
      <c r="N651">
        <v>5</v>
      </c>
      <c r="O651" t="s">
        <v>57</v>
      </c>
      <c r="R651" t="s">
        <v>190</v>
      </c>
      <c r="S651" t="s">
        <v>58</v>
      </c>
    </row>
    <row r="652" spans="1:19" x14ac:dyDescent="0.25">
      <c r="A652">
        <v>144793</v>
      </c>
      <c r="B652">
        <v>2025</v>
      </c>
      <c r="C652" t="s">
        <v>377</v>
      </c>
      <c r="D652" t="s">
        <v>26</v>
      </c>
      <c r="E652" t="s">
        <v>379</v>
      </c>
      <c r="F652" t="s">
        <v>389</v>
      </c>
      <c r="G652" s="1" t="s">
        <v>380</v>
      </c>
      <c r="H652" s="1" t="s">
        <v>381</v>
      </c>
      <c r="I652" t="s">
        <v>31</v>
      </c>
      <c r="J652" t="s">
        <v>32</v>
      </c>
      <c r="K652" t="s">
        <v>203</v>
      </c>
      <c r="L652" t="s">
        <v>34</v>
      </c>
      <c r="M652" t="s">
        <v>206</v>
      </c>
      <c r="N652">
        <v>6</v>
      </c>
      <c r="O652" t="s">
        <v>57</v>
      </c>
      <c r="R652" t="s">
        <v>190</v>
      </c>
      <c r="S652" t="s">
        <v>58</v>
      </c>
    </row>
    <row r="653" spans="1:19" x14ac:dyDescent="0.25">
      <c r="A653">
        <v>144793</v>
      </c>
      <c r="B653">
        <v>2025</v>
      </c>
      <c r="C653" t="s">
        <v>377</v>
      </c>
      <c r="D653" t="s">
        <v>26</v>
      </c>
      <c r="E653" t="s">
        <v>379</v>
      </c>
      <c r="F653" t="s">
        <v>389</v>
      </c>
      <c r="G653" s="1" t="s">
        <v>380</v>
      </c>
      <c r="H653" s="1" t="s">
        <v>381</v>
      </c>
      <c r="I653" t="s">
        <v>31</v>
      </c>
      <c r="J653" t="s">
        <v>32</v>
      </c>
      <c r="K653" t="s">
        <v>203</v>
      </c>
      <c r="L653" t="s">
        <v>34</v>
      </c>
      <c r="M653" t="s">
        <v>206</v>
      </c>
      <c r="N653">
        <v>7</v>
      </c>
      <c r="O653" t="s">
        <v>57</v>
      </c>
      <c r="R653" t="s">
        <v>190</v>
      </c>
      <c r="S653" t="s">
        <v>58</v>
      </c>
    </row>
    <row r="654" spans="1:19" x14ac:dyDescent="0.25">
      <c r="A654">
        <v>144793</v>
      </c>
      <c r="B654">
        <v>2025</v>
      </c>
      <c r="C654" t="s">
        <v>377</v>
      </c>
      <c r="D654" t="s">
        <v>26</v>
      </c>
      <c r="E654" t="s">
        <v>379</v>
      </c>
      <c r="F654" t="s">
        <v>389</v>
      </c>
      <c r="G654" s="1" t="s">
        <v>380</v>
      </c>
      <c r="H654" s="1" t="s">
        <v>381</v>
      </c>
      <c r="I654" t="s">
        <v>31</v>
      </c>
      <c r="J654" t="s">
        <v>32</v>
      </c>
      <c r="K654" t="s">
        <v>203</v>
      </c>
      <c r="L654" t="s">
        <v>34</v>
      </c>
      <c r="M654" t="s">
        <v>206</v>
      </c>
      <c r="N654">
        <v>8</v>
      </c>
      <c r="O654" t="s">
        <v>57</v>
      </c>
      <c r="R654" t="s">
        <v>190</v>
      </c>
      <c r="S654" t="s">
        <v>58</v>
      </c>
    </row>
    <row r="655" spans="1:19" x14ac:dyDescent="0.25">
      <c r="A655">
        <v>144793</v>
      </c>
      <c r="B655">
        <v>2025</v>
      </c>
      <c r="C655" t="s">
        <v>377</v>
      </c>
      <c r="D655" t="s">
        <v>26</v>
      </c>
      <c r="E655" t="s">
        <v>379</v>
      </c>
      <c r="F655" t="s">
        <v>389</v>
      </c>
      <c r="G655" s="1" t="s">
        <v>380</v>
      </c>
      <c r="H655" s="1" t="s">
        <v>381</v>
      </c>
      <c r="I655" t="s">
        <v>31</v>
      </c>
      <c r="J655" t="s">
        <v>32</v>
      </c>
      <c r="K655" t="s">
        <v>203</v>
      </c>
      <c r="L655" t="s">
        <v>34</v>
      </c>
      <c r="M655" t="s">
        <v>206</v>
      </c>
      <c r="N655">
        <v>9</v>
      </c>
      <c r="O655" t="s">
        <v>57</v>
      </c>
      <c r="S655" t="s">
        <v>58</v>
      </c>
    </row>
    <row r="656" spans="1:19" x14ac:dyDescent="0.25">
      <c r="A656">
        <v>144793</v>
      </c>
      <c r="B656">
        <v>2025</v>
      </c>
      <c r="C656" t="s">
        <v>377</v>
      </c>
      <c r="D656" t="s">
        <v>26</v>
      </c>
      <c r="E656" t="s">
        <v>379</v>
      </c>
      <c r="F656" t="s">
        <v>389</v>
      </c>
      <c r="G656" s="1" t="s">
        <v>380</v>
      </c>
      <c r="H656" s="1" t="s">
        <v>381</v>
      </c>
      <c r="I656" t="s">
        <v>31</v>
      </c>
      <c r="J656" t="s">
        <v>32</v>
      </c>
      <c r="K656" t="s">
        <v>203</v>
      </c>
      <c r="L656" t="s">
        <v>34</v>
      </c>
      <c r="M656" t="s">
        <v>206</v>
      </c>
      <c r="N656">
        <v>10</v>
      </c>
      <c r="O656" t="s">
        <v>57</v>
      </c>
      <c r="R656" t="s">
        <v>190</v>
      </c>
      <c r="S656" t="s">
        <v>58</v>
      </c>
    </row>
    <row r="657" spans="1:19" x14ac:dyDescent="0.25">
      <c r="A657">
        <v>144793</v>
      </c>
      <c r="B657">
        <v>2025</v>
      </c>
      <c r="C657" t="s">
        <v>377</v>
      </c>
      <c r="D657" t="s">
        <v>26</v>
      </c>
      <c r="E657" t="s">
        <v>379</v>
      </c>
      <c r="F657" t="s">
        <v>389</v>
      </c>
      <c r="G657" s="1" t="s">
        <v>380</v>
      </c>
      <c r="H657" s="1" t="s">
        <v>381</v>
      </c>
      <c r="I657" t="s">
        <v>31</v>
      </c>
      <c r="J657" t="s">
        <v>32</v>
      </c>
      <c r="K657" t="s">
        <v>203</v>
      </c>
      <c r="L657" t="s">
        <v>34</v>
      </c>
      <c r="M657" t="s">
        <v>206</v>
      </c>
      <c r="N657">
        <v>11</v>
      </c>
      <c r="O657" t="s">
        <v>57</v>
      </c>
      <c r="S657" t="s">
        <v>58</v>
      </c>
    </row>
    <row r="658" spans="1:19" x14ac:dyDescent="0.25">
      <c r="A658">
        <v>144793</v>
      </c>
      <c r="B658">
        <v>2025</v>
      </c>
      <c r="C658" t="s">
        <v>377</v>
      </c>
      <c r="D658" t="s">
        <v>26</v>
      </c>
      <c r="E658" t="s">
        <v>379</v>
      </c>
      <c r="F658" t="s">
        <v>391</v>
      </c>
      <c r="G658" s="1" t="s">
        <v>380</v>
      </c>
      <c r="H658" s="1" t="s">
        <v>381</v>
      </c>
      <c r="I658" t="s">
        <v>31</v>
      </c>
      <c r="J658" t="s">
        <v>32</v>
      </c>
      <c r="K658" t="s">
        <v>203</v>
      </c>
      <c r="L658" t="s">
        <v>34</v>
      </c>
      <c r="M658" t="s">
        <v>206</v>
      </c>
      <c r="N658">
        <v>1</v>
      </c>
      <c r="O658" t="s">
        <v>57</v>
      </c>
      <c r="S658" t="s">
        <v>58</v>
      </c>
    </row>
    <row r="659" spans="1:19" x14ac:dyDescent="0.25">
      <c r="A659">
        <v>144793</v>
      </c>
      <c r="B659">
        <v>2025</v>
      </c>
      <c r="C659" t="s">
        <v>377</v>
      </c>
      <c r="D659" t="s">
        <v>26</v>
      </c>
      <c r="E659" t="s">
        <v>379</v>
      </c>
      <c r="F659" t="s">
        <v>391</v>
      </c>
      <c r="G659" s="1" t="s">
        <v>380</v>
      </c>
      <c r="H659" s="1" t="s">
        <v>381</v>
      </c>
      <c r="I659" t="s">
        <v>31</v>
      </c>
      <c r="J659" t="s">
        <v>32</v>
      </c>
      <c r="K659" t="s">
        <v>203</v>
      </c>
      <c r="L659" t="s">
        <v>34</v>
      </c>
      <c r="M659" t="s">
        <v>206</v>
      </c>
      <c r="N659">
        <v>2</v>
      </c>
      <c r="O659" t="s">
        <v>57</v>
      </c>
      <c r="R659" t="s">
        <v>190</v>
      </c>
      <c r="S659" t="s">
        <v>58</v>
      </c>
    </row>
    <row r="660" spans="1:19" x14ac:dyDescent="0.25">
      <c r="A660">
        <v>144793</v>
      </c>
      <c r="B660">
        <v>2025</v>
      </c>
      <c r="C660" t="s">
        <v>377</v>
      </c>
      <c r="D660" t="s">
        <v>26</v>
      </c>
      <c r="E660" t="s">
        <v>379</v>
      </c>
      <c r="F660" t="s">
        <v>391</v>
      </c>
      <c r="G660" s="1" t="s">
        <v>380</v>
      </c>
      <c r="H660" s="1" t="s">
        <v>381</v>
      </c>
      <c r="I660" t="s">
        <v>31</v>
      </c>
      <c r="J660" t="s">
        <v>32</v>
      </c>
      <c r="K660" t="s">
        <v>203</v>
      </c>
      <c r="L660" t="s">
        <v>34</v>
      </c>
      <c r="M660" t="s">
        <v>206</v>
      </c>
      <c r="N660">
        <v>3</v>
      </c>
      <c r="O660" t="s">
        <v>57</v>
      </c>
      <c r="R660" t="s">
        <v>190</v>
      </c>
      <c r="S660" t="s">
        <v>58</v>
      </c>
    </row>
    <row r="661" spans="1:19" x14ac:dyDescent="0.25">
      <c r="A661">
        <v>144793</v>
      </c>
      <c r="B661">
        <v>2025</v>
      </c>
      <c r="C661" t="s">
        <v>377</v>
      </c>
      <c r="D661" t="s">
        <v>26</v>
      </c>
      <c r="E661" t="s">
        <v>379</v>
      </c>
      <c r="F661" t="s">
        <v>391</v>
      </c>
      <c r="G661" s="1" t="s">
        <v>380</v>
      </c>
      <c r="H661" s="1" t="s">
        <v>381</v>
      </c>
      <c r="I661" t="s">
        <v>31</v>
      </c>
      <c r="J661" t="s">
        <v>32</v>
      </c>
      <c r="K661" t="s">
        <v>203</v>
      </c>
      <c r="L661" t="s">
        <v>34</v>
      </c>
      <c r="M661" t="s">
        <v>206</v>
      </c>
      <c r="N661">
        <v>4</v>
      </c>
      <c r="O661" t="s">
        <v>57</v>
      </c>
      <c r="S661" t="s">
        <v>58</v>
      </c>
    </row>
    <row r="662" spans="1:19" x14ac:dyDescent="0.25">
      <c r="A662">
        <v>144793</v>
      </c>
      <c r="B662">
        <v>2025</v>
      </c>
      <c r="C662" t="s">
        <v>377</v>
      </c>
      <c r="D662" t="s">
        <v>26</v>
      </c>
      <c r="E662" t="s">
        <v>379</v>
      </c>
      <c r="F662" t="s">
        <v>391</v>
      </c>
      <c r="G662" s="1" t="s">
        <v>380</v>
      </c>
      <c r="H662" s="1" t="s">
        <v>381</v>
      </c>
      <c r="I662" t="s">
        <v>31</v>
      </c>
      <c r="J662" t="s">
        <v>32</v>
      </c>
      <c r="K662" t="s">
        <v>203</v>
      </c>
      <c r="L662" t="s">
        <v>34</v>
      </c>
      <c r="M662" t="s">
        <v>206</v>
      </c>
      <c r="N662">
        <v>5</v>
      </c>
      <c r="O662" t="s">
        <v>57</v>
      </c>
      <c r="S662" t="s">
        <v>58</v>
      </c>
    </row>
    <row r="663" spans="1:19" x14ac:dyDescent="0.25">
      <c r="A663">
        <v>144793</v>
      </c>
      <c r="B663">
        <v>2025</v>
      </c>
      <c r="C663" t="s">
        <v>377</v>
      </c>
      <c r="D663" t="s">
        <v>26</v>
      </c>
      <c r="E663" t="s">
        <v>379</v>
      </c>
      <c r="F663" t="s">
        <v>391</v>
      </c>
      <c r="G663" s="1" t="s">
        <v>380</v>
      </c>
      <c r="H663" s="1" t="s">
        <v>381</v>
      </c>
      <c r="I663" t="s">
        <v>31</v>
      </c>
      <c r="J663" t="s">
        <v>32</v>
      </c>
      <c r="K663" t="s">
        <v>203</v>
      </c>
      <c r="L663" t="s">
        <v>34</v>
      </c>
      <c r="M663" t="s">
        <v>206</v>
      </c>
      <c r="N663">
        <v>6</v>
      </c>
      <c r="O663" t="s">
        <v>57</v>
      </c>
      <c r="S663" t="s">
        <v>58</v>
      </c>
    </row>
    <row r="664" spans="1:19" x14ac:dyDescent="0.25">
      <c r="A664">
        <v>144793</v>
      </c>
      <c r="B664">
        <v>2025</v>
      </c>
      <c r="C664" t="s">
        <v>377</v>
      </c>
      <c r="D664" t="s">
        <v>26</v>
      </c>
      <c r="E664" t="s">
        <v>379</v>
      </c>
      <c r="F664" t="s">
        <v>391</v>
      </c>
      <c r="G664" s="1" t="s">
        <v>380</v>
      </c>
      <c r="H664" s="1" t="s">
        <v>381</v>
      </c>
      <c r="I664" t="s">
        <v>31</v>
      </c>
      <c r="J664" t="s">
        <v>32</v>
      </c>
      <c r="K664" t="s">
        <v>203</v>
      </c>
      <c r="L664" t="s">
        <v>34</v>
      </c>
      <c r="M664" t="s">
        <v>206</v>
      </c>
      <c r="N664">
        <v>7</v>
      </c>
      <c r="O664" t="s">
        <v>57</v>
      </c>
      <c r="R664" t="s">
        <v>190</v>
      </c>
      <c r="S664" t="s">
        <v>58</v>
      </c>
    </row>
    <row r="665" spans="1:19" x14ac:dyDescent="0.25">
      <c r="A665">
        <v>144793</v>
      </c>
      <c r="B665">
        <v>2025</v>
      </c>
      <c r="C665" t="s">
        <v>377</v>
      </c>
      <c r="D665" t="s">
        <v>26</v>
      </c>
      <c r="E665" t="s">
        <v>379</v>
      </c>
      <c r="F665" t="s">
        <v>391</v>
      </c>
      <c r="G665" s="1" t="s">
        <v>380</v>
      </c>
      <c r="H665" s="1" t="s">
        <v>381</v>
      </c>
      <c r="I665" t="s">
        <v>31</v>
      </c>
      <c r="J665" t="s">
        <v>32</v>
      </c>
      <c r="K665" t="s">
        <v>203</v>
      </c>
      <c r="L665" t="s">
        <v>34</v>
      </c>
      <c r="M665" t="s">
        <v>206</v>
      </c>
      <c r="N665">
        <v>8</v>
      </c>
      <c r="O665" t="s">
        <v>57</v>
      </c>
      <c r="S665" t="s">
        <v>58</v>
      </c>
    </row>
    <row r="666" spans="1:19" x14ac:dyDescent="0.25">
      <c r="A666">
        <v>144793</v>
      </c>
      <c r="B666">
        <v>2025</v>
      </c>
      <c r="C666" t="s">
        <v>377</v>
      </c>
      <c r="D666" t="s">
        <v>26</v>
      </c>
      <c r="E666" t="s">
        <v>379</v>
      </c>
      <c r="F666" t="s">
        <v>391</v>
      </c>
      <c r="G666" s="1" t="s">
        <v>380</v>
      </c>
      <c r="H666" s="1" t="s">
        <v>381</v>
      </c>
      <c r="I666" t="s">
        <v>31</v>
      </c>
      <c r="J666" t="s">
        <v>32</v>
      </c>
      <c r="K666" t="s">
        <v>203</v>
      </c>
      <c r="L666" t="s">
        <v>34</v>
      </c>
      <c r="M666" t="s">
        <v>206</v>
      </c>
      <c r="N666">
        <v>9</v>
      </c>
      <c r="O666" t="s">
        <v>57</v>
      </c>
      <c r="S666" t="s">
        <v>58</v>
      </c>
    </row>
    <row r="667" spans="1:19" x14ac:dyDescent="0.25">
      <c r="A667">
        <v>144793</v>
      </c>
      <c r="B667">
        <v>2025</v>
      </c>
      <c r="C667" t="s">
        <v>377</v>
      </c>
      <c r="D667" t="s">
        <v>26</v>
      </c>
      <c r="E667" t="s">
        <v>379</v>
      </c>
      <c r="F667" t="s">
        <v>391</v>
      </c>
      <c r="G667" s="1" t="s">
        <v>380</v>
      </c>
      <c r="H667" s="1" t="s">
        <v>381</v>
      </c>
      <c r="I667" t="s">
        <v>31</v>
      </c>
      <c r="J667" t="s">
        <v>32</v>
      </c>
      <c r="K667" t="s">
        <v>203</v>
      </c>
      <c r="L667" t="s">
        <v>34</v>
      </c>
      <c r="M667" t="s">
        <v>206</v>
      </c>
      <c r="N667">
        <v>10</v>
      </c>
      <c r="O667" t="s">
        <v>57</v>
      </c>
      <c r="S667" t="s">
        <v>58</v>
      </c>
    </row>
    <row r="668" spans="1:19" x14ac:dyDescent="0.25">
      <c r="A668">
        <v>144793</v>
      </c>
      <c r="B668">
        <v>2025</v>
      </c>
      <c r="C668" t="s">
        <v>377</v>
      </c>
      <c r="D668" t="s">
        <v>26</v>
      </c>
      <c r="E668" t="s">
        <v>379</v>
      </c>
      <c r="F668" t="s">
        <v>391</v>
      </c>
      <c r="G668" s="1" t="s">
        <v>380</v>
      </c>
      <c r="H668" s="1" t="s">
        <v>381</v>
      </c>
      <c r="I668" t="s">
        <v>31</v>
      </c>
      <c r="J668" t="s">
        <v>32</v>
      </c>
      <c r="K668" t="s">
        <v>203</v>
      </c>
      <c r="L668" t="s">
        <v>34</v>
      </c>
      <c r="M668" t="s">
        <v>206</v>
      </c>
      <c r="N668">
        <v>11</v>
      </c>
      <c r="O668" t="s">
        <v>57</v>
      </c>
      <c r="R668" t="s">
        <v>190</v>
      </c>
      <c r="S668" t="s">
        <v>58</v>
      </c>
    </row>
    <row r="669" spans="1:19" x14ac:dyDescent="0.25">
      <c r="A669">
        <v>144793</v>
      </c>
      <c r="B669">
        <v>2025</v>
      </c>
      <c r="C669" t="s">
        <v>377</v>
      </c>
      <c r="D669" t="s">
        <v>26</v>
      </c>
      <c r="E669" t="s">
        <v>379</v>
      </c>
      <c r="F669" t="s">
        <v>391</v>
      </c>
      <c r="G669" s="1" t="s">
        <v>380</v>
      </c>
      <c r="H669" s="1" t="s">
        <v>381</v>
      </c>
      <c r="I669" t="s">
        <v>31</v>
      </c>
      <c r="J669" t="s">
        <v>32</v>
      </c>
      <c r="K669" t="s">
        <v>203</v>
      </c>
      <c r="L669" t="s">
        <v>34</v>
      </c>
      <c r="M669" t="s">
        <v>206</v>
      </c>
      <c r="N669">
        <v>12</v>
      </c>
      <c r="O669" t="s">
        <v>57</v>
      </c>
      <c r="R669" t="s">
        <v>190</v>
      </c>
      <c r="S669" t="s">
        <v>58</v>
      </c>
    </row>
    <row r="670" spans="1:19" x14ac:dyDescent="0.25">
      <c r="A670">
        <v>144793</v>
      </c>
      <c r="B670">
        <v>2025</v>
      </c>
      <c r="C670" t="s">
        <v>377</v>
      </c>
      <c r="D670" t="s">
        <v>26</v>
      </c>
      <c r="E670" t="s">
        <v>379</v>
      </c>
      <c r="F670" t="s">
        <v>391</v>
      </c>
      <c r="G670" s="1" t="s">
        <v>380</v>
      </c>
      <c r="H670" s="1" t="s">
        <v>381</v>
      </c>
      <c r="I670" t="s">
        <v>31</v>
      </c>
      <c r="J670" t="s">
        <v>32</v>
      </c>
      <c r="K670" t="s">
        <v>203</v>
      </c>
      <c r="L670" t="s">
        <v>34</v>
      </c>
      <c r="M670" t="s">
        <v>206</v>
      </c>
      <c r="N670">
        <v>13</v>
      </c>
      <c r="O670" t="s">
        <v>57</v>
      </c>
      <c r="S670" t="s">
        <v>58</v>
      </c>
    </row>
    <row r="671" spans="1:19" x14ac:dyDescent="0.25">
      <c r="A671">
        <v>144793</v>
      </c>
      <c r="B671">
        <v>2025</v>
      </c>
      <c r="C671" t="s">
        <v>377</v>
      </c>
      <c r="D671" t="s">
        <v>26</v>
      </c>
      <c r="E671" t="s">
        <v>379</v>
      </c>
      <c r="F671" t="s">
        <v>391</v>
      </c>
      <c r="G671" s="1" t="s">
        <v>380</v>
      </c>
      <c r="H671" s="1" t="s">
        <v>381</v>
      </c>
      <c r="I671" t="s">
        <v>31</v>
      </c>
      <c r="J671" t="s">
        <v>32</v>
      </c>
      <c r="K671" t="s">
        <v>203</v>
      </c>
      <c r="L671" t="s">
        <v>34</v>
      </c>
      <c r="M671" t="s">
        <v>206</v>
      </c>
      <c r="N671">
        <v>14</v>
      </c>
      <c r="O671" t="s">
        <v>57</v>
      </c>
      <c r="S671" t="s">
        <v>58</v>
      </c>
    </row>
    <row r="672" spans="1:19" x14ac:dyDescent="0.25">
      <c r="A672">
        <v>144793</v>
      </c>
      <c r="B672">
        <v>2025</v>
      </c>
      <c r="C672" t="s">
        <v>377</v>
      </c>
      <c r="D672" t="s">
        <v>26</v>
      </c>
      <c r="E672" t="s">
        <v>379</v>
      </c>
      <c r="F672" t="s">
        <v>391</v>
      </c>
      <c r="G672" s="1" t="s">
        <v>380</v>
      </c>
      <c r="H672" s="1" t="s">
        <v>381</v>
      </c>
      <c r="I672" t="s">
        <v>31</v>
      </c>
      <c r="J672" t="s">
        <v>32</v>
      </c>
      <c r="K672" t="s">
        <v>203</v>
      </c>
      <c r="L672" t="s">
        <v>34</v>
      </c>
      <c r="M672" t="s">
        <v>206</v>
      </c>
      <c r="N672">
        <v>15</v>
      </c>
      <c r="O672" t="s">
        <v>57</v>
      </c>
      <c r="R672" t="s">
        <v>190</v>
      </c>
      <c r="S672" t="s">
        <v>58</v>
      </c>
    </row>
    <row r="673" spans="1:19" x14ac:dyDescent="0.25">
      <c r="A673">
        <v>144793</v>
      </c>
      <c r="B673">
        <v>2025</v>
      </c>
      <c r="C673" t="s">
        <v>377</v>
      </c>
      <c r="D673" t="s">
        <v>26</v>
      </c>
      <c r="E673" t="s">
        <v>379</v>
      </c>
      <c r="F673" t="s">
        <v>391</v>
      </c>
      <c r="G673" s="1" t="s">
        <v>380</v>
      </c>
      <c r="H673" s="1" t="s">
        <v>381</v>
      </c>
      <c r="I673" t="s">
        <v>31</v>
      </c>
      <c r="J673" t="s">
        <v>32</v>
      </c>
      <c r="K673" t="s">
        <v>203</v>
      </c>
      <c r="L673" t="s">
        <v>34</v>
      </c>
      <c r="M673" t="s">
        <v>206</v>
      </c>
      <c r="N673">
        <v>16</v>
      </c>
      <c r="O673" t="s">
        <v>57</v>
      </c>
      <c r="S673" t="s">
        <v>58</v>
      </c>
    </row>
    <row r="674" spans="1:19" x14ac:dyDescent="0.25">
      <c r="A674">
        <v>144793</v>
      </c>
      <c r="B674">
        <v>2025</v>
      </c>
      <c r="C674" t="s">
        <v>377</v>
      </c>
      <c r="D674" t="s">
        <v>26</v>
      </c>
      <c r="E674" t="s">
        <v>379</v>
      </c>
      <c r="F674" t="s">
        <v>391</v>
      </c>
      <c r="G674" s="1" t="s">
        <v>380</v>
      </c>
      <c r="H674" s="1" t="s">
        <v>381</v>
      </c>
      <c r="I674" t="s">
        <v>31</v>
      </c>
      <c r="J674" t="s">
        <v>32</v>
      </c>
      <c r="K674" t="s">
        <v>203</v>
      </c>
      <c r="L674" t="s">
        <v>34</v>
      </c>
      <c r="M674" t="s">
        <v>206</v>
      </c>
      <c r="N674">
        <v>17</v>
      </c>
      <c r="O674" t="s">
        <v>57</v>
      </c>
      <c r="R674" t="s">
        <v>190</v>
      </c>
      <c r="S674" t="s">
        <v>58</v>
      </c>
    </row>
    <row r="675" spans="1:19" x14ac:dyDescent="0.25">
      <c r="A675">
        <v>144793</v>
      </c>
      <c r="B675">
        <v>2025</v>
      </c>
      <c r="C675" t="s">
        <v>377</v>
      </c>
      <c r="D675" t="s">
        <v>26</v>
      </c>
      <c r="E675" t="s">
        <v>379</v>
      </c>
      <c r="F675" t="s">
        <v>391</v>
      </c>
      <c r="G675" s="1" t="s">
        <v>380</v>
      </c>
      <c r="H675" s="1" t="s">
        <v>381</v>
      </c>
      <c r="I675" t="s">
        <v>31</v>
      </c>
      <c r="J675" t="s">
        <v>32</v>
      </c>
      <c r="K675" t="s">
        <v>203</v>
      </c>
      <c r="L675" t="s">
        <v>34</v>
      </c>
      <c r="M675" t="s">
        <v>206</v>
      </c>
      <c r="N675">
        <v>18</v>
      </c>
      <c r="O675" t="s">
        <v>57</v>
      </c>
      <c r="R675" t="s">
        <v>190</v>
      </c>
      <c r="S675" t="s">
        <v>58</v>
      </c>
    </row>
    <row r="676" spans="1:19" x14ac:dyDescent="0.25">
      <c r="A676">
        <v>144793</v>
      </c>
      <c r="B676">
        <v>2025</v>
      </c>
      <c r="C676" t="s">
        <v>377</v>
      </c>
      <c r="D676" t="s">
        <v>26</v>
      </c>
      <c r="E676" t="s">
        <v>379</v>
      </c>
      <c r="F676" t="s">
        <v>391</v>
      </c>
      <c r="G676" s="1" t="s">
        <v>380</v>
      </c>
      <c r="H676" s="1" t="s">
        <v>381</v>
      </c>
      <c r="I676" t="s">
        <v>31</v>
      </c>
      <c r="J676" t="s">
        <v>32</v>
      </c>
      <c r="K676" t="s">
        <v>203</v>
      </c>
      <c r="L676" t="s">
        <v>34</v>
      </c>
      <c r="M676" t="s">
        <v>206</v>
      </c>
      <c r="N676">
        <v>19</v>
      </c>
      <c r="O676" t="s">
        <v>57</v>
      </c>
      <c r="S676" t="s">
        <v>58</v>
      </c>
    </row>
    <row r="677" spans="1:19" x14ac:dyDescent="0.25">
      <c r="A677">
        <v>144793</v>
      </c>
      <c r="B677">
        <v>2025</v>
      </c>
      <c r="C677" t="s">
        <v>377</v>
      </c>
      <c r="D677" t="s">
        <v>26</v>
      </c>
      <c r="E677" t="s">
        <v>379</v>
      </c>
      <c r="F677" t="s">
        <v>391</v>
      </c>
      <c r="G677" s="1" t="s">
        <v>380</v>
      </c>
      <c r="H677" s="1" t="s">
        <v>381</v>
      </c>
      <c r="I677" t="s">
        <v>31</v>
      </c>
      <c r="J677" t="s">
        <v>32</v>
      </c>
      <c r="K677" t="s">
        <v>203</v>
      </c>
      <c r="L677" t="s">
        <v>34</v>
      </c>
      <c r="M677" t="s">
        <v>206</v>
      </c>
      <c r="N677">
        <v>20</v>
      </c>
      <c r="O677" t="s">
        <v>68</v>
      </c>
      <c r="R677" t="s">
        <v>190</v>
      </c>
      <c r="S677" t="s">
        <v>69</v>
      </c>
    </row>
    <row r="678" spans="1:19" x14ac:dyDescent="0.25">
      <c r="A678">
        <v>144793</v>
      </c>
      <c r="B678">
        <v>2025</v>
      </c>
      <c r="C678" t="s">
        <v>377</v>
      </c>
      <c r="D678" t="s">
        <v>26</v>
      </c>
      <c r="E678" t="s">
        <v>379</v>
      </c>
      <c r="F678" t="s">
        <v>391</v>
      </c>
      <c r="G678" s="1" t="s">
        <v>380</v>
      </c>
      <c r="H678" s="1" t="s">
        <v>381</v>
      </c>
      <c r="I678" t="s">
        <v>31</v>
      </c>
      <c r="J678" t="s">
        <v>32</v>
      </c>
      <c r="K678" t="s">
        <v>203</v>
      </c>
      <c r="L678" t="s">
        <v>34</v>
      </c>
      <c r="M678" t="s">
        <v>206</v>
      </c>
      <c r="N678">
        <v>21</v>
      </c>
      <c r="O678" t="s">
        <v>57</v>
      </c>
      <c r="S678" t="s">
        <v>58</v>
      </c>
    </row>
    <row r="679" spans="1:19" x14ac:dyDescent="0.25">
      <c r="A679">
        <v>144793</v>
      </c>
      <c r="B679">
        <v>2025</v>
      </c>
      <c r="C679" t="s">
        <v>377</v>
      </c>
      <c r="D679" t="s">
        <v>26</v>
      </c>
      <c r="E679" t="s">
        <v>379</v>
      </c>
      <c r="F679" t="s">
        <v>391</v>
      </c>
      <c r="G679" s="1" t="s">
        <v>380</v>
      </c>
      <c r="H679" s="1" t="s">
        <v>381</v>
      </c>
      <c r="I679" t="s">
        <v>31</v>
      </c>
      <c r="J679" t="s">
        <v>32</v>
      </c>
      <c r="K679" t="s">
        <v>203</v>
      </c>
      <c r="L679" t="s">
        <v>34</v>
      </c>
      <c r="M679" t="s">
        <v>206</v>
      </c>
      <c r="N679">
        <v>22</v>
      </c>
      <c r="O679" t="s">
        <v>57</v>
      </c>
      <c r="R679" t="s">
        <v>190</v>
      </c>
      <c r="S679" t="s">
        <v>58</v>
      </c>
    </row>
    <row r="680" spans="1:19" x14ac:dyDescent="0.25">
      <c r="A680">
        <v>144793</v>
      </c>
      <c r="B680">
        <v>2025</v>
      </c>
      <c r="C680" t="s">
        <v>377</v>
      </c>
      <c r="D680" t="s">
        <v>26</v>
      </c>
      <c r="E680" t="s">
        <v>379</v>
      </c>
      <c r="F680" t="s">
        <v>391</v>
      </c>
      <c r="G680" s="1" t="s">
        <v>380</v>
      </c>
      <c r="H680" s="1" t="s">
        <v>381</v>
      </c>
      <c r="I680" t="s">
        <v>31</v>
      </c>
      <c r="J680" t="s">
        <v>32</v>
      </c>
      <c r="K680" t="s">
        <v>203</v>
      </c>
      <c r="L680" t="s">
        <v>34</v>
      </c>
      <c r="M680" t="s">
        <v>206</v>
      </c>
      <c r="N680">
        <v>23</v>
      </c>
      <c r="O680" t="s">
        <v>57</v>
      </c>
      <c r="S680" t="s">
        <v>58</v>
      </c>
    </row>
    <row r="681" spans="1:19" x14ac:dyDescent="0.25">
      <c r="A681">
        <v>144793</v>
      </c>
      <c r="B681">
        <v>2025</v>
      </c>
      <c r="C681" t="s">
        <v>377</v>
      </c>
      <c r="D681" t="s">
        <v>26</v>
      </c>
      <c r="E681" t="s">
        <v>379</v>
      </c>
      <c r="F681" t="s">
        <v>391</v>
      </c>
      <c r="G681" s="1" t="s">
        <v>380</v>
      </c>
      <c r="H681" s="1" t="s">
        <v>381</v>
      </c>
      <c r="I681" t="s">
        <v>31</v>
      </c>
      <c r="J681" t="s">
        <v>32</v>
      </c>
      <c r="K681" t="s">
        <v>203</v>
      </c>
      <c r="L681" t="s">
        <v>34</v>
      </c>
      <c r="M681" t="s">
        <v>206</v>
      </c>
      <c r="N681">
        <v>24</v>
      </c>
      <c r="O681" t="s">
        <v>57</v>
      </c>
      <c r="S681" t="s">
        <v>58</v>
      </c>
    </row>
    <row r="682" spans="1:19" x14ac:dyDescent="0.25">
      <c r="A682">
        <v>144793</v>
      </c>
      <c r="B682">
        <v>2025</v>
      </c>
      <c r="C682" t="s">
        <v>377</v>
      </c>
      <c r="D682" t="s">
        <v>26</v>
      </c>
      <c r="E682" t="s">
        <v>379</v>
      </c>
      <c r="F682" t="s">
        <v>391</v>
      </c>
      <c r="G682" s="1" t="s">
        <v>380</v>
      </c>
      <c r="H682" s="1" t="s">
        <v>381</v>
      </c>
      <c r="I682" t="s">
        <v>31</v>
      </c>
      <c r="J682" t="s">
        <v>32</v>
      </c>
      <c r="K682" t="s">
        <v>203</v>
      </c>
      <c r="L682" t="s">
        <v>34</v>
      </c>
      <c r="M682" t="s">
        <v>206</v>
      </c>
      <c r="N682">
        <v>25</v>
      </c>
      <c r="O682" t="s">
        <v>68</v>
      </c>
      <c r="R682" t="s">
        <v>190</v>
      </c>
      <c r="S682" t="s">
        <v>69</v>
      </c>
    </row>
    <row r="683" spans="1:19" x14ac:dyDescent="0.25">
      <c r="A683">
        <v>144793</v>
      </c>
      <c r="B683">
        <v>2025</v>
      </c>
      <c r="C683" t="s">
        <v>377</v>
      </c>
      <c r="D683" t="s">
        <v>26</v>
      </c>
      <c r="E683" t="s">
        <v>379</v>
      </c>
      <c r="F683" t="s">
        <v>392</v>
      </c>
      <c r="G683" s="1" t="s">
        <v>380</v>
      </c>
      <c r="H683" s="1" t="s">
        <v>381</v>
      </c>
      <c r="I683" t="s">
        <v>31</v>
      </c>
      <c r="J683" t="s">
        <v>32</v>
      </c>
      <c r="K683" t="s">
        <v>203</v>
      </c>
      <c r="L683" t="s">
        <v>34</v>
      </c>
      <c r="M683" t="s">
        <v>206</v>
      </c>
      <c r="N683">
        <v>1</v>
      </c>
      <c r="O683" t="s">
        <v>57</v>
      </c>
      <c r="R683" t="s">
        <v>190</v>
      </c>
      <c r="S683" t="s">
        <v>58</v>
      </c>
    </row>
    <row r="684" spans="1:19" x14ac:dyDescent="0.25">
      <c r="A684">
        <v>144793</v>
      </c>
      <c r="B684">
        <v>2025</v>
      </c>
      <c r="C684" t="s">
        <v>377</v>
      </c>
      <c r="D684" t="s">
        <v>26</v>
      </c>
      <c r="E684" t="s">
        <v>379</v>
      </c>
      <c r="F684" t="s">
        <v>392</v>
      </c>
      <c r="G684" s="1" t="s">
        <v>380</v>
      </c>
      <c r="H684" s="1" t="s">
        <v>381</v>
      </c>
      <c r="I684" t="s">
        <v>31</v>
      </c>
      <c r="J684" t="s">
        <v>32</v>
      </c>
      <c r="K684" t="s">
        <v>203</v>
      </c>
      <c r="L684" t="s">
        <v>34</v>
      </c>
      <c r="M684" t="s">
        <v>206</v>
      </c>
      <c r="N684">
        <v>2</v>
      </c>
      <c r="O684" t="s">
        <v>57</v>
      </c>
      <c r="R684" t="s">
        <v>190</v>
      </c>
      <c r="S684" t="s">
        <v>58</v>
      </c>
    </row>
    <row r="685" spans="1:19" x14ac:dyDescent="0.25">
      <c r="A685">
        <v>144793</v>
      </c>
      <c r="B685">
        <v>2025</v>
      </c>
      <c r="C685" t="s">
        <v>377</v>
      </c>
      <c r="D685" t="s">
        <v>26</v>
      </c>
      <c r="E685" t="s">
        <v>379</v>
      </c>
      <c r="F685" t="s">
        <v>392</v>
      </c>
      <c r="G685" s="1" t="s">
        <v>380</v>
      </c>
      <c r="H685" s="1" t="s">
        <v>381</v>
      </c>
      <c r="I685" t="s">
        <v>31</v>
      </c>
      <c r="J685" t="s">
        <v>32</v>
      </c>
      <c r="K685" t="s">
        <v>203</v>
      </c>
      <c r="L685" t="s">
        <v>34</v>
      </c>
      <c r="M685" t="s">
        <v>206</v>
      </c>
      <c r="N685">
        <v>3</v>
      </c>
      <c r="O685" t="s">
        <v>57</v>
      </c>
      <c r="S685" t="s">
        <v>58</v>
      </c>
    </row>
    <row r="686" spans="1:19" x14ac:dyDescent="0.25">
      <c r="A686">
        <v>144793</v>
      </c>
      <c r="B686">
        <v>2025</v>
      </c>
      <c r="C686" t="s">
        <v>377</v>
      </c>
      <c r="D686" t="s">
        <v>26</v>
      </c>
      <c r="E686" t="s">
        <v>379</v>
      </c>
      <c r="F686" t="s">
        <v>392</v>
      </c>
      <c r="G686" s="1" t="s">
        <v>380</v>
      </c>
      <c r="H686" s="1" t="s">
        <v>381</v>
      </c>
      <c r="I686" t="s">
        <v>31</v>
      </c>
      <c r="J686" t="s">
        <v>32</v>
      </c>
      <c r="K686" t="s">
        <v>203</v>
      </c>
      <c r="L686" t="s">
        <v>34</v>
      </c>
      <c r="M686" t="s">
        <v>206</v>
      </c>
      <c r="N686">
        <v>4</v>
      </c>
      <c r="O686" t="s">
        <v>57</v>
      </c>
      <c r="R686" t="s">
        <v>190</v>
      </c>
      <c r="S686" t="s">
        <v>58</v>
      </c>
    </row>
    <row r="687" spans="1:19" x14ac:dyDescent="0.25">
      <c r="A687">
        <v>144793</v>
      </c>
      <c r="B687">
        <v>2025</v>
      </c>
      <c r="C687" t="s">
        <v>377</v>
      </c>
      <c r="D687" t="s">
        <v>26</v>
      </c>
      <c r="E687" t="s">
        <v>379</v>
      </c>
      <c r="F687" t="s">
        <v>392</v>
      </c>
      <c r="G687" s="1" t="s">
        <v>380</v>
      </c>
      <c r="H687" s="1" t="s">
        <v>381</v>
      </c>
      <c r="I687" t="s">
        <v>31</v>
      </c>
      <c r="J687" t="s">
        <v>32</v>
      </c>
      <c r="K687" t="s">
        <v>203</v>
      </c>
      <c r="L687" t="s">
        <v>34</v>
      </c>
      <c r="M687" t="s">
        <v>206</v>
      </c>
      <c r="N687">
        <v>5</v>
      </c>
      <c r="O687" t="s">
        <v>57</v>
      </c>
      <c r="R687" t="s">
        <v>190</v>
      </c>
      <c r="S687" t="s">
        <v>58</v>
      </c>
    </row>
    <row r="688" spans="1:19" x14ac:dyDescent="0.25">
      <c r="A688">
        <v>144793</v>
      </c>
      <c r="B688">
        <v>2025</v>
      </c>
      <c r="C688" t="s">
        <v>377</v>
      </c>
      <c r="D688" t="s">
        <v>26</v>
      </c>
      <c r="E688" t="s">
        <v>379</v>
      </c>
      <c r="F688" t="s">
        <v>392</v>
      </c>
      <c r="G688" s="1" t="s">
        <v>380</v>
      </c>
      <c r="H688" s="1" t="s">
        <v>381</v>
      </c>
      <c r="I688" t="s">
        <v>31</v>
      </c>
      <c r="J688" t="s">
        <v>32</v>
      </c>
      <c r="K688" t="s">
        <v>203</v>
      </c>
      <c r="L688" t="s">
        <v>34</v>
      </c>
      <c r="M688" t="s">
        <v>206</v>
      </c>
      <c r="N688">
        <v>6</v>
      </c>
      <c r="O688" t="s">
        <v>57</v>
      </c>
      <c r="R688" t="s">
        <v>190</v>
      </c>
      <c r="S688" t="s">
        <v>58</v>
      </c>
    </row>
    <row r="689" spans="1:19" x14ac:dyDescent="0.25">
      <c r="A689">
        <v>144793</v>
      </c>
      <c r="B689">
        <v>2025</v>
      </c>
      <c r="C689" t="s">
        <v>377</v>
      </c>
      <c r="D689" t="s">
        <v>26</v>
      </c>
      <c r="E689" t="s">
        <v>379</v>
      </c>
      <c r="F689" t="s">
        <v>392</v>
      </c>
      <c r="G689" s="1" t="s">
        <v>380</v>
      </c>
      <c r="H689" s="1" t="s">
        <v>381</v>
      </c>
      <c r="I689" t="s">
        <v>31</v>
      </c>
      <c r="J689" t="s">
        <v>32</v>
      </c>
      <c r="K689" t="s">
        <v>203</v>
      </c>
      <c r="L689" t="s">
        <v>34</v>
      </c>
      <c r="M689" t="s">
        <v>206</v>
      </c>
      <c r="N689">
        <v>7</v>
      </c>
      <c r="O689" t="s">
        <v>57</v>
      </c>
      <c r="S689" t="s">
        <v>58</v>
      </c>
    </row>
    <row r="690" spans="1:19" x14ac:dyDescent="0.25">
      <c r="A690">
        <v>144793</v>
      </c>
      <c r="B690">
        <v>2025</v>
      </c>
      <c r="C690" t="s">
        <v>377</v>
      </c>
      <c r="D690" t="s">
        <v>26</v>
      </c>
      <c r="E690" t="s">
        <v>379</v>
      </c>
      <c r="F690" t="s">
        <v>392</v>
      </c>
      <c r="G690" s="1" t="s">
        <v>380</v>
      </c>
      <c r="H690" s="1" t="s">
        <v>381</v>
      </c>
      <c r="I690" t="s">
        <v>31</v>
      </c>
      <c r="J690" t="s">
        <v>32</v>
      </c>
      <c r="K690" t="s">
        <v>203</v>
      </c>
      <c r="L690" t="s">
        <v>34</v>
      </c>
      <c r="M690" t="s">
        <v>206</v>
      </c>
      <c r="N690">
        <v>8</v>
      </c>
      <c r="O690" t="s">
        <v>57</v>
      </c>
      <c r="S690" t="s">
        <v>58</v>
      </c>
    </row>
    <row r="691" spans="1:19" x14ac:dyDescent="0.25">
      <c r="A691">
        <v>144793</v>
      </c>
      <c r="B691">
        <v>2025</v>
      </c>
      <c r="C691" t="s">
        <v>377</v>
      </c>
      <c r="D691" t="s">
        <v>26</v>
      </c>
      <c r="E691" t="s">
        <v>379</v>
      </c>
      <c r="F691" t="s">
        <v>392</v>
      </c>
      <c r="G691" s="1" t="s">
        <v>380</v>
      </c>
      <c r="H691" s="1" t="s">
        <v>381</v>
      </c>
      <c r="I691" t="s">
        <v>31</v>
      </c>
      <c r="J691" t="s">
        <v>32</v>
      </c>
      <c r="K691" t="s">
        <v>203</v>
      </c>
      <c r="L691" t="s">
        <v>34</v>
      </c>
      <c r="M691" t="s">
        <v>206</v>
      </c>
      <c r="N691">
        <v>9</v>
      </c>
      <c r="O691" t="s">
        <v>57</v>
      </c>
      <c r="R691" t="s">
        <v>190</v>
      </c>
      <c r="S691" t="s">
        <v>58</v>
      </c>
    </row>
    <row r="692" spans="1:19" x14ac:dyDescent="0.25">
      <c r="A692">
        <v>144793</v>
      </c>
      <c r="B692">
        <v>2025</v>
      </c>
      <c r="C692" t="s">
        <v>377</v>
      </c>
      <c r="D692" t="s">
        <v>26</v>
      </c>
      <c r="E692" t="s">
        <v>379</v>
      </c>
      <c r="F692" t="s">
        <v>392</v>
      </c>
      <c r="G692" s="1" t="s">
        <v>380</v>
      </c>
      <c r="H692" s="1" t="s">
        <v>381</v>
      </c>
      <c r="I692" t="s">
        <v>31</v>
      </c>
      <c r="J692" t="s">
        <v>32</v>
      </c>
      <c r="K692" t="s">
        <v>203</v>
      </c>
      <c r="L692" t="s">
        <v>34</v>
      </c>
      <c r="M692" t="s">
        <v>206</v>
      </c>
      <c r="N692">
        <v>10</v>
      </c>
      <c r="O692" t="s">
        <v>57</v>
      </c>
      <c r="R692" t="s">
        <v>190</v>
      </c>
      <c r="S692" t="s">
        <v>58</v>
      </c>
    </row>
    <row r="693" spans="1:19" x14ac:dyDescent="0.25">
      <c r="A693">
        <v>144793</v>
      </c>
      <c r="B693">
        <v>2025</v>
      </c>
      <c r="C693" t="s">
        <v>377</v>
      </c>
      <c r="D693" t="s">
        <v>26</v>
      </c>
      <c r="E693" t="s">
        <v>379</v>
      </c>
      <c r="F693" t="s">
        <v>392</v>
      </c>
      <c r="G693" s="1" t="s">
        <v>380</v>
      </c>
      <c r="H693" s="1" t="s">
        <v>381</v>
      </c>
      <c r="I693" t="s">
        <v>31</v>
      </c>
      <c r="J693" t="s">
        <v>32</v>
      </c>
      <c r="K693" t="s">
        <v>203</v>
      </c>
      <c r="L693" t="s">
        <v>34</v>
      </c>
      <c r="M693" t="s">
        <v>206</v>
      </c>
      <c r="N693">
        <v>11</v>
      </c>
      <c r="O693" t="s">
        <v>57</v>
      </c>
      <c r="S693" t="s">
        <v>58</v>
      </c>
    </row>
    <row r="694" spans="1:19" x14ac:dyDescent="0.25">
      <c r="A694">
        <v>144793</v>
      </c>
      <c r="B694">
        <v>2025</v>
      </c>
      <c r="C694" t="s">
        <v>377</v>
      </c>
      <c r="D694" t="s">
        <v>26</v>
      </c>
      <c r="E694" t="s">
        <v>379</v>
      </c>
      <c r="F694" t="s">
        <v>392</v>
      </c>
      <c r="G694" s="1" t="s">
        <v>380</v>
      </c>
      <c r="H694" s="1" t="s">
        <v>381</v>
      </c>
      <c r="I694" t="s">
        <v>31</v>
      </c>
      <c r="J694" t="s">
        <v>32</v>
      </c>
      <c r="K694" t="s">
        <v>203</v>
      </c>
      <c r="L694" t="s">
        <v>34</v>
      </c>
      <c r="M694" t="s">
        <v>206</v>
      </c>
      <c r="N694">
        <v>12</v>
      </c>
      <c r="O694" t="s">
        <v>57</v>
      </c>
      <c r="S694" t="s">
        <v>58</v>
      </c>
    </row>
    <row r="695" spans="1:19" x14ac:dyDescent="0.25">
      <c r="A695">
        <v>144793</v>
      </c>
      <c r="B695">
        <v>2025</v>
      </c>
      <c r="C695" t="s">
        <v>377</v>
      </c>
      <c r="D695" t="s">
        <v>26</v>
      </c>
      <c r="E695" t="s">
        <v>379</v>
      </c>
      <c r="F695" t="s">
        <v>392</v>
      </c>
      <c r="G695" s="1" t="s">
        <v>380</v>
      </c>
      <c r="H695" s="1" t="s">
        <v>381</v>
      </c>
      <c r="I695" t="s">
        <v>31</v>
      </c>
      <c r="J695" t="s">
        <v>32</v>
      </c>
      <c r="K695" t="s">
        <v>203</v>
      </c>
      <c r="L695" t="s">
        <v>34</v>
      </c>
      <c r="M695" t="s">
        <v>206</v>
      </c>
      <c r="N695">
        <v>13</v>
      </c>
      <c r="O695" t="s">
        <v>57</v>
      </c>
      <c r="S695" t="s">
        <v>58</v>
      </c>
    </row>
    <row r="696" spans="1:19" x14ac:dyDescent="0.25">
      <c r="A696">
        <v>144793</v>
      </c>
      <c r="B696">
        <v>2025</v>
      </c>
      <c r="C696" t="s">
        <v>377</v>
      </c>
      <c r="D696" t="s">
        <v>26</v>
      </c>
      <c r="E696" t="s">
        <v>379</v>
      </c>
      <c r="F696" t="s">
        <v>392</v>
      </c>
      <c r="G696" s="1" t="s">
        <v>380</v>
      </c>
      <c r="H696" s="1" t="s">
        <v>381</v>
      </c>
      <c r="I696" t="s">
        <v>31</v>
      </c>
      <c r="J696" t="s">
        <v>32</v>
      </c>
      <c r="K696" t="s">
        <v>203</v>
      </c>
      <c r="L696" t="s">
        <v>34</v>
      </c>
      <c r="M696" t="s">
        <v>206</v>
      </c>
      <c r="N696">
        <v>14</v>
      </c>
      <c r="O696" t="s">
        <v>57</v>
      </c>
      <c r="R696" t="s">
        <v>190</v>
      </c>
      <c r="S696" t="s">
        <v>58</v>
      </c>
    </row>
    <row r="697" spans="1:19" x14ac:dyDescent="0.25">
      <c r="A697">
        <v>144793</v>
      </c>
      <c r="B697">
        <v>2025</v>
      </c>
      <c r="C697" t="s">
        <v>377</v>
      </c>
      <c r="D697" t="s">
        <v>26</v>
      </c>
      <c r="E697" t="s">
        <v>379</v>
      </c>
      <c r="F697" t="s">
        <v>392</v>
      </c>
      <c r="G697" s="1" t="s">
        <v>380</v>
      </c>
      <c r="H697" s="1" t="s">
        <v>381</v>
      </c>
      <c r="I697" t="s">
        <v>31</v>
      </c>
      <c r="J697" t="s">
        <v>32</v>
      </c>
      <c r="K697" t="s">
        <v>203</v>
      </c>
      <c r="L697" t="s">
        <v>34</v>
      </c>
      <c r="M697" t="s">
        <v>206</v>
      </c>
      <c r="N697">
        <v>15</v>
      </c>
      <c r="O697" t="s">
        <v>57</v>
      </c>
      <c r="R697" t="s">
        <v>190</v>
      </c>
      <c r="S697" t="s">
        <v>58</v>
      </c>
    </row>
    <row r="698" spans="1:19" x14ac:dyDescent="0.25">
      <c r="A698">
        <v>144793</v>
      </c>
      <c r="B698">
        <v>2025</v>
      </c>
      <c r="C698" t="s">
        <v>377</v>
      </c>
      <c r="D698" t="s">
        <v>26</v>
      </c>
      <c r="E698" t="s">
        <v>379</v>
      </c>
      <c r="F698" t="s">
        <v>392</v>
      </c>
      <c r="G698" s="1" t="s">
        <v>380</v>
      </c>
      <c r="H698" s="1" t="s">
        <v>381</v>
      </c>
      <c r="I698" t="s">
        <v>31</v>
      </c>
      <c r="J698" t="s">
        <v>32</v>
      </c>
      <c r="K698" t="s">
        <v>203</v>
      </c>
      <c r="L698" t="s">
        <v>34</v>
      </c>
      <c r="M698" t="s">
        <v>206</v>
      </c>
      <c r="N698">
        <v>16</v>
      </c>
      <c r="O698" t="s">
        <v>57</v>
      </c>
      <c r="R698" t="s">
        <v>190</v>
      </c>
      <c r="S698" t="s">
        <v>58</v>
      </c>
    </row>
    <row r="699" spans="1:19" x14ac:dyDescent="0.25">
      <c r="A699">
        <v>144793</v>
      </c>
      <c r="B699">
        <v>2025</v>
      </c>
      <c r="C699" t="s">
        <v>377</v>
      </c>
      <c r="D699" t="s">
        <v>26</v>
      </c>
      <c r="E699" t="s">
        <v>379</v>
      </c>
      <c r="F699" t="s">
        <v>392</v>
      </c>
      <c r="G699" s="1" t="s">
        <v>380</v>
      </c>
      <c r="H699" s="1" t="s">
        <v>381</v>
      </c>
      <c r="I699" t="s">
        <v>31</v>
      </c>
      <c r="J699" t="s">
        <v>32</v>
      </c>
      <c r="K699" t="s">
        <v>203</v>
      </c>
      <c r="L699" t="s">
        <v>34</v>
      </c>
      <c r="M699" t="s">
        <v>206</v>
      </c>
      <c r="N699">
        <v>17</v>
      </c>
      <c r="O699" t="s">
        <v>394</v>
      </c>
      <c r="R699" t="s">
        <v>190</v>
      </c>
      <c r="S699" t="s">
        <v>395</v>
      </c>
    </row>
    <row r="700" spans="1:19" x14ac:dyDescent="0.25">
      <c r="A700">
        <v>144793</v>
      </c>
      <c r="B700">
        <v>2025</v>
      </c>
      <c r="C700" t="s">
        <v>377</v>
      </c>
      <c r="D700" t="s">
        <v>26</v>
      </c>
      <c r="E700" t="s">
        <v>379</v>
      </c>
      <c r="F700" t="s">
        <v>392</v>
      </c>
      <c r="G700" s="1" t="s">
        <v>380</v>
      </c>
      <c r="H700" s="1" t="s">
        <v>381</v>
      </c>
      <c r="I700" t="s">
        <v>31</v>
      </c>
      <c r="J700" t="s">
        <v>32</v>
      </c>
      <c r="K700" t="s">
        <v>203</v>
      </c>
      <c r="L700" t="s">
        <v>34</v>
      </c>
      <c r="M700" t="s">
        <v>206</v>
      </c>
      <c r="N700">
        <v>18</v>
      </c>
      <c r="O700" t="s">
        <v>57</v>
      </c>
      <c r="S700" t="s">
        <v>58</v>
      </c>
    </row>
    <row r="701" spans="1:19" x14ac:dyDescent="0.25">
      <c r="A701">
        <v>144793</v>
      </c>
      <c r="B701">
        <v>2025</v>
      </c>
      <c r="C701" t="s">
        <v>377</v>
      </c>
      <c r="D701" t="s">
        <v>26</v>
      </c>
      <c r="E701" t="s">
        <v>379</v>
      </c>
      <c r="F701" t="s">
        <v>392</v>
      </c>
      <c r="G701" s="1" t="s">
        <v>380</v>
      </c>
      <c r="H701" s="1" t="s">
        <v>381</v>
      </c>
      <c r="I701" t="s">
        <v>31</v>
      </c>
      <c r="J701" t="s">
        <v>32</v>
      </c>
      <c r="K701" t="s">
        <v>203</v>
      </c>
      <c r="L701" t="s">
        <v>34</v>
      </c>
      <c r="M701" t="s">
        <v>206</v>
      </c>
      <c r="N701">
        <v>19</v>
      </c>
      <c r="O701" t="s">
        <v>57</v>
      </c>
      <c r="R701" t="s">
        <v>190</v>
      </c>
      <c r="S701" t="s">
        <v>58</v>
      </c>
    </row>
    <row r="702" spans="1:19" x14ac:dyDescent="0.25">
      <c r="A702">
        <v>144793</v>
      </c>
      <c r="B702">
        <v>2025</v>
      </c>
      <c r="C702" t="s">
        <v>377</v>
      </c>
      <c r="D702" t="s">
        <v>26</v>
      </c>
      <c r="E702" t="s">
        <v>379</v>
      </c>
      <c r="F702" t="s">
        <v>392</v>
      </c>
      <c r="G702" s="1" t="s">
        <v>380</v>
      </c>
      <c r="H702" s="1" t="s">
        <v>381</v>
      </c>
      <c r="I702" t="s">
        <v>31</v>
      </c>
      <c r="J702" t="s">
        <v>32</v>
      </c>
      <c r="K702" t="s">
        <v>203</v>
      </c>
      <c r="L702" t="s">
        <v>34</v>
      </c>
      <c r="M702" t="s">
        <v>206</v>
      </c>
      <c r="N702">
        <v>20</v>
      </c>
      <c r="O702" t="s">
        <v>57</v>
      </c>
      <c r="S702" t="s">
        <v>58</v>
      </c>
    </row>
    <row r="703" spans="1:19" x14ac:dyDescent="0.25">
      <c r="A703">
        <v>144793</v>
      </c>
      <c r="B703">
        <v>2025</v>
      </c>
      <c r="C703" t="s">
        <v>377</v>
      </c>
      <c r="D703" t="s">
        <v>26</v>
      </c>
      <c r="E703" t="s">
        <v>379</v>
      </c>
      <c r="F703" t="s">
        <v>392</v>
      </c>
      <c r="G703" s="1" t="s">
        <v>380</v>
      </c>
      <c r="H703" s="1" t="s">
        <v>381</v>
      </c>
      <c r="I703" t="s">
        <v>31</v>
      </c>
      <c r="J703" t="s">
        <v>32</v>
      </c>
      <c r="K703" t="s">
        <v>203</v>
      </c>
      <c r="L703" t="s">
        <v>34</v>
      </c>
      <c r="M703" t="s">
        <v>206</v>
      </c>
      <c r="N703">
        <v>21</v>
      </c>
      <c r="O703" t="s">
        <v>57</v>
      </c>
      <c r="R703" t="s">
        <v>190</v>
      </c>
      <c r="S703" t="s">
        <v>58</v>
      </c>
    </row>
    <row r="704" spans="1:19" x14ac:dyDescent="0.25">
      <c r="A704">
        <v>144793</v>
      </c>
      <c r="B704">
        <v>2025</v>
      </c>
      <c r="C704" t="s">
        <v>377</v>
      </c>
      <c r="D704" t="s">
        <v>26</v>
      </c>
      <c r="E704" t="s">
        <v>379</v>
      </c>
      <c r="F704" t="s">
        <v>392</v>
      </c>
      <c r="G704" s="1" t="s">
        <v>380</v>
      </c>
      <c r="H704" s="1" t="s">
        <v>381</v>
      </c>
      <c r="I704" t="s">
        <v>31</v>
      </c>
      <c r="J704" t="s">
        <v>32</v>
      </c>
      <c r="K704" t="s">
        <v>203</v>
      </c>
      <c r="L704" t="s">
        <v>34</v>
      </c>
      <c r="M704" t="s">
        <v>206</v>
      </c>
      <c r="N704">
        <v>22</v>
      </c>
      <c r="O704" t="s">
        <v>68</v>
      </c>
      <c r="S704" t="s">
        <v>69</v>
      </c>
    </row>
    <row r="705" spans="1:19" x14ac:dyDescent="0.25">
      <c r="A705">
        <v>144793</v>
      </c>
      <c r="B705">
        <v>2025</v>
      </c>
      <c r="C705" t="s">
        <v>377</v>
      </c>
      <c r="D705" t="s">
        <v>26</v>
      </c>
      <c r="E705" t="s">
        <v>379</v>
      </c>
      <c r="F705" t="s">
        <v>392</v>
      </c>
      <c r="G705" s="1" t="s">
        <v>380</v>
      </c>
      <c r="H705" s="1" t="s">
        <v>381</v>
      </c>
      <c r="I705" t="s">
        <v>31</v>
      </c>
      <c r="J705" t="s">
        <v>32</v>
      </c>
      <c r="K705" t="s">
        <v>203</v>
      </c>
      <c r="L705" t="s">
        <v>34</v>
      </c>
      <c r="M705" t="s">
        <v>206</v>
      </c>
      <c r="N705">
        <v>23</v>
      </c>
      <c r="O705" t="s">
        <v>57</v>
      </c>
      <c r="R705" t="s">
        <v>190</v>
      </c>
      <c r="S705" t="s">
        <v>58</v>
      </c>
    </row>
    <row r="706" spans="1:19" x14ac:dyDescent="0.25">
      <c r="A706">
        <v>144793</v>
      </c>
      <c r="B706">
        <v>2025</v>
      </c>
      <c r="C706" t="s">
        <v>377</v>
      </c>
      <c r="D706" t="s">
        <v>26</v>
      </c>
      <c r="E706" t="s">
        <v>379</v>
      </c>
      <c r="F706" t="s">
        <v>392</v>
      </c>
      <c r="G706" s="1" t="s">
        <v>380</v>
      </c>
      <c r="H706" s="1" t="s">
        <v>381</v>
      </c>
      <c r="I706" t="s">
        <v>31</v>
      </c>
      <c r="J706" t="s">
        <v>32</v>
      </c>
      <c r="K706" t="s">
        <v>203</v>
      </c>
      <c r="L706" t="s">
        <v>34</v>
      </c>
      <c r="M706" t="s">
        <v>206</v>
      </c>
      <c r="N706">
        <v>24</v>
      </c>
      <c r="O706" t="s">
        <v>57</v>
      </c>
      <c r="S706" t="s">
        <v>58</v>
      </c>
    </row>
    <row r="707" spans="1:19" x14ac:dyDescent="0.25">
      <c r="A707">
        <v>144793</v>
      </c>
      <c r="B707">
        <v>2025</v>
      </c>
      <c r="C707" t="s">
        <v>377</v>
      </c>
      <c r="D707" t="s">
        <v>26</v>
      </c>
      <c r="E707" t="s">
        <v>379</v>
      </c>
      <c r="F707" t="s">
        <v>392</v>
      </c>
      <c r="G707" s="1" t="s">
        <v>380</v>
      </c>
      <c r="H707" s="1" t="s">
        <v>381</v>
      </c>
      <c r="I707" t="s">
        <v>31</v>
      </c>
      <c r="J707" t="s">
        <v>32</v>
      </c>
      <c r="K707" t="s">
        <v>203</v>
      </c>
      <c r="L707" t="s">
        <v>34</v>
      </c>
      <c r="M707" t="s">
        <v>206</v>
      </c>
      <c r="N707">
        <v>25</v>
      </c>
      <c r="O707" t="s">
        <v>68</v>
      </c>
      <c r="R707" t="s">
        <v>190</v>
      </c>
      <c r="S707" t="s">
        <v>69</v>
      </c>
    </row>
    <row r="708" spans="1:19" x14ac:dyDescent="0.25">
      <c r="A708">
        <v>144793</v>
      </c>
      <c r="B708">
        <v>2025</v>
      </c>
      <c r="C708" t="s">
        <v>377</v>
      </c>
      <c r="D708" t="s">
        <v>26</v>
      </c>
      <c r="E708" t="s">
        <v>379</v>
      </c>
      <c r="F708" t="s">
        <v>393</v>
      </c>
      <c r="G708" s="1" t="s">
        <v>380</v>
      </c>
      <c r="H708" s="1" t="s">
        <v>381</v>
      </c>
      <c r="I708" t="s">
        <v>31</v>
      </c>
      <c r="J708" t="s">
        <v>32</v>
      </c>
      <c r="K708" t="s">
        <v>203</v>
      </c>
      <c r="L708" t="s">
        <v>34</v>
      </c>
      <c r="M708" t="s">
        <v>206</v>
      </c>
      <c r="N708">
        <v>1</v>
      </c>
      <c r="O708" t="s">
        <v>57</v>
      </c>
      <c r="R708" t="s">
        <v>190</v>
      </c>
      <c r="S708" t="s">
        <v>58</v>
      </c>
    </row>
    <row r="709" spans="1:19" x14ac:dyDescent="0.25">
      <c r="A709">
        <v>144793</v>
      </c>
      <c r="B709">
        <v>2025</v>
      </c>
      <c r="C709" t="s">
        <v>377</v>
      </c>
      <c r="D709" t="s">
        <v>26</v>
      </c>
      <c r="E709" t="s">
        <v>379</v>
      </c>
      <c r="F709" t="s">
        <v>393</v>
      </c>
      <c r="G709" s="1" t="s">
        <v>380</v>
      </c>
      <c r="H709" s="1" t="s">
        <v>381</v>
      </c>
      <c r="I709" t="s">
        <v>31</v>
      </c>
      <c r="J709" t="s">
        <v>32</v>
      </c>
      <c r="K709" t="s">
        <v>203</v>
      </c>
      <c r="L709" t="s">
        <v>34</v>
      </c>
      <c r="M709" t="s">
        <v>206</v>
      </c>
      <c r="N709">
        <v>2</v>
      </c>
      <c r="O709" t="s">
        <v>57</v>
      </c>
      <c r="R709" t="s">
        <v>190</v>
      </c>
      <c r="S709" t="s">
        <v>58</v>
      </c>
    </row>
    <row r="710" spans="1:19" x14ac:dyDescent="0.25">
      <c r="A710">
        <v>144793</v>
      </c>
      <c r="B710">
        <v>2025</v>
      </c>
      <c r="C710" t="s">
        <v>377</v>
      </c>
      <c r="D710" t="s">
        <v>26</v>
      </c>
      <c r="E710" t="s">
        <v>379</v>
      </c>
      <c r="F710" t="s">
        <v>393</v>
      </c>
      <c r="G710" s="1" t="s">
        <v>380</v>
      </c>
      <c r="H710" s="1" t="s">
        <v>381</v>
      </c>
      <c r="I710" t="s">
        <v>31</v>
      </c>
      <c r="J710" t="s">
        <v>32</v>
      </c>
      <c r="K710" t="s">
        <v>203</v>
      </c>
      <c r="L710" t="s">
        <v>34</v>
      </c>
      <c r="M710" t="s">
        <v>206</v>
      </c>
      <c r="N710">
        <v>3</v>
      </c>
      <c r="O710" t="s">
        <v>57</v>
      </c>
      <c r="R710" t="s">
        <v>190</v>
      </c>
      <c r="S710" t="s">
        <v>58</v>
      </c>
    </row>
    <row r="711" spans="1:19" x14ac:dyDescent="0.25">
      <c r="A711">
        <v>144793</v>
      </c>
      <c r="B711">
        <v>2025</v>
      </c>
      <c r="C711" t="s">
        <v>377</v>
      </c>
      <c r="D711" t="s">
        <v>26</v>
      </c>
      <c r="E711" t="s">
        <v>379</v>
      </c>
      <c r="F711" t="s">
        <v>393</v>
      </c>
      <c r="G711" s="1" t="s">
        <v>380</v>
      </c>
      <c r="H711" s="1" t="s">
        <v>381</v>
      </c>
      <c r="I711" t="s">
        <v>31</v>
      </c>
      <c r="J711" t="s">
        <v>32</v>
      </c>
      <c r="K711" t="s">
        <v>203</v>
      </c>
      <c r="L711" t="s">
        <v>34</v>
      </c>
      <c r="M711" t="s">
        <v>206</v>
      </c>
      <c r="N711">
        <v>4</v>
      </c>
      <c r="O711" t="s">
        <v>57</v>
      </c>
      <c r="R711" t="s">
        <v>190</v>
      </c>
      <c r="S711" t="s">
        <v>58</v>
      </c>
    </row>
    <row r="712" spans="1:19" x14ac:dyDescent="0.25">
      <c r="A712">
        <v>144793</v>
      </c>
      <c r="B712">
        <v>2025</v>
      </c>
      <c r="C712" t="s">
        <v>377</v>
      </c>
      <c r="D712" t="s">
        <v>26</v>
      </c>
      <c r="E712" t="s">
        <v>379</v>
      </c>
      <c r="F712" t="s">
        <v>393</v>
      </c>
      <c r="G712" s="1" t="s">
        <v>380</v>
      </c>
      <c r="H712" s="1" t="s">
        <v>381</v>
      </c>
      <c r="I712" t="s">
        <v>31</v>
      </c>
      <c r="J712" t="s">
        <v>32</v>
      </c>
      <c r="K712" t="s">
        <v>203</v>
      </c>
      <c r="L712" t="s">
        <v>34</v>
      </c>
      <c r="M712" t="s">
        <v>206</v>
      </c>
      <c r="N712">
        <v>5</v>
      </c>
      <c r="O712" t="s">
        <v>57</v>
      </c>
      <c r="R712" t="s">
        <v>190</v>
      </c>
      <c r="S712" t="s">
        <v>58</v>
      </c>
    </row>
    <row r="713" spans="1:19" x14ac:dyDescent="0.25">
      <c r="A713">
        <v>144793</v>
      </c>
      <c r="B713">
        <v>2025</v>
      </c>
      <c r="C713" t="s">
        <v>377</v>
      </c>
      <c r="D713" t="s">
        <v>26</v>
      </c>
      <c r="E713" t="s">
        <v>379</v>
      </c>
      <c r="F713" t="s">
        <v>393</v>
      </c>
      <c r="G713" s="1" t="s">
        <v>380</v>
      </c>
      <c r="H713" s="1" t="s">
        <v>381</v>
      </c>
      <c r="I713" t="s">
        <v>31</v>
      </c>
      <c r="J713" t="s">
        <v>32</v>
      </c>
      <c r="K713" t="s">
        <v>203</v>
      </c>
      <c r="L713" t="s">
        <v>34</v>
      </c>
      <c r="M713" t="s">
        <v>206</v>
      </c>
      <c r="N713">
        <v>6</v>
      </c>
      <c r="O713" t="s">
        <v>57</v>
      </c>
      <c r="S713" t="s">
        <v>58</v>
      </c>
    </row>
    <row r="714" spans="1:19" x14ac:dyDescent="0.25">
      <c r="A714">
        <v>144793</v>
      </c>
      <c r="B714">
        <v>2025</v>
      </c>
      <c r="C714" t="s">
        <v>377</v>
      </c>
      <c r="D714" t="s">
        <v>26</v>
      </c>
      <c r="E714" t="s">
        <v>379</v>
      </c>
      <c r="F714" t="s">
        <v>393</v>
      </c>
      <c r="G714" s="1" t="s">
        <v>380</v>
      </c>
      <c r="H714" s="1" t="s">
        <v>381</v>
      </c>
      <c r="I714" t="s">
        <v>31</v>
      </c>
      <c r="J714" t="s">
        <v>32</v>
      </c>
      <c r="K714" t="s">
        <v>203</v>
      </c>
      <c r="L714" t="s">
        <v>34</v>
      </c>
      <c r="M714" t="s">
        <v>206</v>
      </c>
      <c r="N714">
        <v>7</v>
      </c>
      <c r="O714" t="s">
        <v>57</v>
      </c>
      <c r="R714" t="s">
        <v>190</v>
      </c>
      <c r="S714" t="s">
        <v>58</v>
      </c>
    </row>
    <row r="715" spans="1:19" x14ac:dyDescent="0.25">
      <c r="A715">
        <v>144793</v>
      </c>
      <c r="B715">
        <v>2025</v>
      </c>
      <c r="C715" t="s">
        <v>377</v>
      </c>
      <c r="D715" t="s">
        <v>26</v>
      </c>
      <c r="E715" t="s">
        <v>379</v>
      </c>
      <c r="F715" t="s">
        <v>393</v>
      </c>
      <c r="G715" s="1" t="s">
        <v>380</v>
      </c>
      <c r="H715" s="1" t="s">
        <v>381</v>
      </c>
      <c r="I715" t="s">
        <v>31</v>
      </c>
      <c r="J715" t="s">
        <v>32</v>
      </c>
      <c r="K715" t="s">
        <v>203</v>
      </c>
      <c r="L715" t="s">
        <v>34</v>
      </c>
      <c r="M715" t="s">
        <v>206</v>
      </c>
      <c r="N715">
        <v>8</v>
      </c>
      <c r="O715" t="s">
        <v>57</v>
      </c>
      <c r="R715" t="s">
        <v>190</v>
      </c>
      <c r="S715" t="s">
        <v>58</v>
      </c>
    </row>
    <row r="716" spans="1:19" x14ac:dyDescent="0.25">
      <c r="A716">
        <v>144793</v>
      </c>
      <c r="B716">
        <v>2025</v>
      </c>
      <c r="C716" t="s">
        <v>377</v>
      </c>
      <c r="D716" t="s">
        <v>26</v>
      </c>
      <c r="E716" t="s">
        <v>379</v>
      </c>
      <c r="F716" t="s">
        <v>393</v>
      </c>
      <c r="G716" s="1" t="s">
        <v>380</v>
      </c>
      <c r="H716" s="1" t="s">
        <v>381</v>
      </c>
      <c r="I716" t="s">
        <v>31</v>
      </c>
      <c r="J716" t="s">
        <v>32</v>
      </c>
      <c r="K716" t="s">
        <v>203</v>
      </c>
      <c r="L716" t="s">
        <v>34</v>
      </c>
      <c r="M716" t="s">
        <v>206</v>
      </c>
      <c r="N716">
        <v>9</v>
      </c>
      <c r="O716" t="s">
        <v>57</v>
      </c>
      <c r="R716" t="s">
        <v>190</v>
      </c>
      <c r="S716" t="s">
        <v>58</v>
      </c>
    </row>
    <row r="717" spans="1:19" x14ac:dyDescent="0.25">
      <c r="A717">
        <v>144793</v>
      </c>
      <c r="B717">
        <v>2025</v>
      </c>
      <c r="C717" t="s">
        <v>377</v>
      </c>
      <c r="D717" t="s">
        <v>26</v>
      </c>
      <c r="E717" t="s">
        <v>379</v>
      </c>
      <c r="F717" t="s">
        <v>393</v>
      </c>
      <c r="G717" s="1" t="s">
        <v>380</v>
      </c>
      <c r="H717" s="1" t="s">
        <v>381</v>
      </c>
      <c r="I717" t="s">
        <v>31</v>
      </c>
      <c r="J717" t="s">
        <v>32</v>
      </c>
      <c r="K717" t="s">
        <v>203</v>
      </c>
      <c r="L717" t="s">
        <v>34</v>
      </c>
      <c r="M717" t="s">
        <v>206</v>
      </c>
      <c r="N717">
        <v>10</v>
      </c>
      <c r="O717" t="s">
        <v>57</v>
      </c>
      <c r="R717" t="s">
        <v>190</v>
      </c>
      <c r="S717" t="s">
        <v>58</v>
      </c>
    </row>
    <row r="718" spans="1:19" x14ac:dyDescent="0.25">
      <c r="A718">
        <v>144795</v>
      </c>
      <c r="B718">
        <v>2025</v>
      </c>
      <c r="C718" t="s">
        <v>377</v>
      </c>
      <c r="D718" t="s">
        <v>26</v>
      </c>
      <c r="E718" t="s">
        <v>403</v>
      </c>
      <c r="F718" t="s">
        <v>406</v>
      </c>
      <c r="G718" s="1" t="s">
        <v>364</v>
      </c>
      <c r="H718" s="1" t="s">
        <v>404</v>
      </c>
      <c r="I718" t="s">
        <v>31</v>
      </c>
      <c r="J718" t="s">
        <v>32</v>
      </c>
      <c r="K718" t="s">
        <v>203</v>
      </c>
      <c r="L718" t="s">
        <v>34</v>
      </c>
      <c r="M718" t="s">
        <v>206</v>
      </c>
      <c r="N718">
        <v>1</v>
      </c>
      <c r="O718" t="s">
        <v>57</v>
      </c>
      <c r="Q718" t="s">
        <v>414</v>
      </c>
      <c r="R718" t="s">
        <v>190</v>
      </c>
      <c r="S718" t="s">
        <v>58</v>
      </c>
    </row>
    <row r="719" spans="1:19" x14ac:dyDescent="0.25">
      <c r="A719">
        <v>144795</v>
      </c>
      <c r="B719">
        <v>2025</v>
      </c>
      <c r="C719" t="s">
        <v>377</v>
      </c>
      <c r="D719" t="s">
        <v>26</v>
      </c>
      <c r="E719" t="s">
        <v>403</v>
      </c>
      <c r="F719" t="s">
        <v>406</v>
      </c>
      <c r="G719" s="1" t="s">
        <v>364</v>
      </c>
      <c r="H719" s="1" t="s">
        <v>404</v>
      </c>
      <c r="I719" t="s">
        <v>31</v>
      </c>
      <c r="J719" t="s">
        <v>32</v>
      </c>
      <c r="K719" t="s">
        <v>203</v>
      </c>
      <c r="L719" t="s">
        <v>34</v>
      </c>
      <c r="M719" t="s">
        <v>206</v>
      </c>
      <c r="N719">
        <v>2</v>
      </c>
      <c r="O719" t="s">
        <v>68</v>
      </c>
      <c r="Q719" t="s">
        <v>414</v>
      </c>
      <c r="S719" t="s">
        <v>69</v>
      </c>
    </row>
    <row r="720" spans="1:19" x14ac:dyDescent="0.25">
      <c r="A720">
        <v>144795</v>
      </c>
      <c r="B720">
        <v>2025</v>
      </c>
      <c r="C720" t="s">
        <v>377</v>
      </c>
      <c r="D720" t="s">
        <v>26</v>
      </c>
      <c r="E720" t="s">
        <v>403</v>
      </c>
      <c r="F720" t="s">
        <v>406</v>
      </c>
      <c r="G720" s="1" t="s">
        <v>364</v>
      </c>
      <c r="H720" s="1" t="s">
        <v>404</v>
      </c>
      <c r="I720" t="s">
        <v>31</v>
      </c>
      <c r="J720" t="s">
        <v>32</v>
      </c>
      <c r="K720" t="s">
        <v>203</v>
      </c>
      <c r="L720" t="s">
        <v>34</v>
      </c>
      <c r="M720" t="s">
        <v>206</v>
      </c>
      <c r="N720">
        <v>3</v>
      </c>
      <c r="O720" t="s">
        <v>57</v>
      </c>
      <c r="Q720" t="s">
        <v>414</v>
      </c>
      <c r="S720" t="s">
        <v>58</v>
      </c>
    </row>
    <row r="721" spans="1:19" x14ac:dyDescent="0.25">
      <c r="A721">
        <v>144795</v>
      </c>
      <c r="B721">
        <v>2025</v>
      </c>
      <c r="C721" t="s">
        <v>377</v>
      </c>
      <c r="D721" t="s">
        <v>26</v>
      </c>
      <c r="E721" t="s">
        <v>403</v>
      </c>
      <c r="F721" t="s">
        <v>406</v>
      </c>
      <c r="G721" s="1" t="s">
        <v>364</v>
      </c>
      <c r="H721" s="1" t="s">
        <v>404</v>
      </c>
      <c r="I721" t="s">
        <v>31</v>
      </c>
      <c r="J721" t="s">
        <v>32</v>
      </c>
      <c r="K721" t="s">
        <v>203</v>
      </c>
      <c r="L721" t="s">
        <v>34</v>
      </c>
      <c r="M721" t="s">
        <v>206</v>
      </c>
      <c r="N721">
        <v>4</v>
      </c>
      <c r="O721" t="s">
        <v>57</v>
      </c>
      <c r="Q721" t="s">
        <v>414</v>
      </c>
      <c r="R721" t="s">
        <v>190</v>
      </c>
      <c r="S721" t="s">
        <v>58</v>
      </c>
    </row>
    <row r="722" spans="1:19" x14ac:dyDescent="0.25">
      <c r="A722">
        <v>144795</v>
      </c>
      <c r="B722">
        <v>2025</v>
      </c>
      <c r="C722" t="s">
        <v>377</v>
      </c>
      <c r="D722" t="s">
        <v>26</v>
      </c>
      <c r="E722" t="s">
        <v>403</v>
      </c>
      <c r="F722" t="s">
        <v>406</v>
      </c>
      <c r="G722" s="1" t="s">
        <v>364</v>
      </c>
      <c r="H722" s="1" t="s">
        <v>404</v>
      </c>
      <c r="I722" t="s">
        <v>31</v>
      </c>
      <c r="J722" t="s">
        <v>32</v>
      </c>
      <c r="K722" t="s">
        <v>203</v>
      </c>
      <c r="L722" t="s">
        <v>34</v>
      </c>
      <c r="M722" t="s">
        <v>206</v>
      </c>
      <c r="N722">
        <v>5</v>
      </c>
      <c r="O722" t="s">
        <v>275</v>
      </c>
      <c r="Q722" t="s">
        <v>414</v>
      </c>
      <c r="S722" t="s">
        <v>276</v>
      </c>
    </row>
    <row r="723" spans="1:19" x14ac:dyDescent="0.25">
      <c r="A723">
        <v>144795</v>
      </c>
      <c r="B723">
        <v>2025</v>
      </c>
      <c r="C723" t="s">
        <v>377</v>
      </c>
      <c r="D723" t="s">
        <v>26</v>
      </c>
      <c r="E723" t="s">
        <v>403</v>
      </c>
      <c r="F723" t="s">
        <v>406</v>
      </c>
      <c r="G723" s="1" t="s">
        <v>364</v>
      </c>
      <c r="H723" s="1" t="s">
        <v>404</v>
      </c>
      <c r="I723" t="s">
        <v>31</v>
      </c>
      <c r="J723" t="s">
        <v>32</v>
      </c>
      <c r="K723" t="s">
        <v>203</v>
      </c>
      <c r="L723" t="s">
        <v>34</v>
      </c>
      <c r="M723" t="s">
        <v>206</v>
      </c>
      <c r="N723">
        <v>6</v>
      </c>
      <c r="O723" t="s">
        <v>57</v>
      </c>
      <c r="Q723" t="s">
        <v>414</v>
      </c>
      <c r="S723" t="s">
        <v>58</v>
      </c>
    </row>
    <row r="724" spans="1:19" x14ac:dyDescent="0.25">
      <c r="A724">
        <v>144795</v>
      </c>
      <c r="B724">
        <v>2025</v>
      </c>
      <c r="C724" t="s">
        <v>377</v>
      </c>
      <c r="D724" t="s">
        <v>26</v>
      </c>
      <c r="E724" t="s">
        <v>403</v>
      </c>
      <c r="F724" t="s">
        <v>406</v>
      </c>
      <c r="G724" s="1" t="s">
        <v>364</v>
      </c>
      <c r="H724" s="1" t="s">
        <v>404</v>
      </c>
      <c r="I724" t="s">
        <v>31</v>
      </c>
      <c r="J724" t="s">
        <v>32</v>
      </c>
      <c r="K724" t="s">
        <v>203</v>
      </c>
      <c r="L724" t="s">
        <v>34</v>
      </c>
      <c r="M724" t="s">
        <v>206</v>
      </c>
      <c r="N724">
        <v>7</v>
      </c>
      <c r="O724" t="s">
        <v>57</v>
      </c>
      <c r="Q724" t="s">
        <v>414</v>
      </c>
      <c r="R724" t="s">
        <v>190</v>
      </c>
      <c r="S724" t="s">
        <v>58</v>
      </c>
    </row>
    <row r="725" spans="1:19" x14ac:dyDescent="0.25">
      <c r="A725">
        <v>144795</v>
      </c>
      <c r="B725">
        <v>2025</v>
      </c>
      <c r="C725" t="s">
        <v>377</v>
      </c>
      <c r="D725" t="s">
        <v>26</v>
      </c>
      <c r="E725" t="s">
        <v>403</v>
      </c>
      <c r="F725" t="s">
        <v>406</v>
      </c>
      <c r="G725" s="1" t="s">
        <v>364</v>
      </c>
      <c r="H725" s="1" t="s">
        <v>404</v>
      </c>
      <c r="I725" t="s">
        <v>31</v>
      </c>
      <c r="J725" t="s">
        <v>32</v>
      </c>
      <c r="K725" t="s">
        <v>203</v>
      </c>
      <c r="L725" t="s">
        <v>34</v>
      </c>
      <c r="M725" t="s">
        <v>206</v>
      </c>
      <c r="N725">
        <v>8</v>
      </c>
      <c r="O725" t="s">
        <v>57</v>
      </c>
      <c r="Q725" t="s">
        <v>414</v>
      </c>
      <c r="S725" t="s">
        <v>58</v>
      </c>
    </row>
    <row r="726" spans="1:19" x14ac:dyDescent="0.25">
      <c r="A726">
        <v>144795</v>
      </c>
      <c r="B726">
        <v>2025</v>
      </c>
      <c r="C726" t="s">
        <v>377</v>
      </c>
      <c r="D726" t="s">
        <v>26</v>
      </c>
      <c r="E726" t="s">
        <v>403</v>
      </c>
      <c r="F726" t="s">
        <v>406</v>
      </c>
      <c r="G726" s="1" t="s">
        <v>364</v>
      </c>
      <c r="H726" s="1" t="s">
        <v>404</v>
      </c>
      <c r="I726" t="s">
        <v>31</v>
      </c>
      <c r="J726" t="s">
        <v>32</v>
      </c>
      <c r="K726" t="s">
        <v>203</v>
      </c>
      <c r="L726" t="s">
        <v>34</v>
      </c>
      <c r="M726" t="s">
        <v>206</v>
      </c>
      <c r="N726">
        <v>9</v>
      </c>
      <c r="O726" t="s">
        <v>57</v>
      </c>
      <c r="Q726" t="s">
        <v>414</v>
      </c>
      <c r="R726" t="s">
        <v>190</v>
      </c>
      <c r="S726" t="s">
        <v>58</v>
      </c>
    </row>
    <row r="727" spans="1:19" x14ac:dyDescent="0.25">
      <c r="A727">
        <v>144795</v>
      </c>
      <c r="B727">
        <v>2025</v>
      </c>
      <c r="C727" t="s">
        <v>377</v>
      </c>
      <c r="D727" t="s">
        <v>26</v>
      </c>
      <c r="E727" t="s">
        <v>403</v>
      </c>
      <c r="F727" t="s">
        <v>406</v>
      </c>
      <c r="G727" s="1" t="s">
        <v>364</v>
      </c>
      <c r="H727" s="1" t="s">
        <v>404</v>
      </c>
      <c r="I727" t="s">
        <v>31</v>
      </c>
      <c r="J727" t="s">
        <v>32</v>
      </c>
      <c r="K727" t="s">
        <v>203</v>
      </c>
      <c r="L727" t="s">
        <v>34</v>
      </c>
      <c r="M727" t="s">
        <v>206</v>
      </c>
      <c r="N727">
        <v>10</v>
      </c>
      <c r="O727" t="s">
        <v>68</v>
      </c>
      <c r="Q727" t="s">
        <v>414</v>
      </c>
      <c r="R727" t="s">
        <v>190</v>
      </c>
      <c r="S727" t="s">
        <v>69</v>
      </c>
    </row>
    <row r="728" spans="1:19" x14ac:dyDescent="0.25">
      <c r="A728">
        <v>144795</v>
      </c>
      <c r="B728">
        <v>2025</v>
      </c>
      <c r="C728" t="s">
        <v>377</v>
      </c>
      <c r="D728" t="s">
        <v>26</v>
      </c>
      <c r="E728" t="s">
        <v>403</v>
      </c>
      <c r="F728" t="s">
        <v>406</v>
      </c>
      <c r="G728" s="1" t="s">
        <v>364</v>
      </c>
      <c r="H728" s="1" t="s">
        <v>404</v>
      </c>
      <c r="I728" t="s">
        <v>31</v>
      </c>
      <c r="J728" t="s">
        <v>32</v>
      </c>
      <c r="K728" t="s">
        <v>203</v>
      </c>
      <c r="L728" t="s">
        <v>34</v>
      </c>
      <c r="M728" t="s">
        <v>206</v>
      </c>
      <c r="N728">
        <v>11</v>
      </c>
      <c r="O728" t="s">
        <v>57</v>
      </c>
      <c r="Q728" t="s">
        <v>414</v>
      </c>
      <c r="R728" t="s">
        <v>190</v>
      </c>
      <c r="S728" t="s">
        <v>58</v>
      </c>
    </row>
    <row r="729" spans="1:19" x14ac:dyDescent="0.25">
      <c r="A729">
        <v>144795</v>
      </c>
      <c r="B729">
        <v>2025</v>
      </c>
      <c r="C729" t="s">
        <v>377</v>
      </c>
      <c r="D729" t="s">
        <v>26</v>
      </c>
      <c r="E729" t="s">
        <v>403</v>
      </c>
      <c r="F729" t="s">
        <v>406</v>
      </c>
      <c r="G729" s="1" t="s">
        <v>364</v>
      </c>
      <c r="H729" s="1" t="s">
        <v>404</v>
      </c>
      <c r="I729" t="s">
        <v>31</v>
      </c>
      <c r="J729" t="s">
        <v>32</v>
      </c>
      <c r="K729" t="s">
        <v>203</v>
      </c>
      <c r="L729" t="s">
        <v>34</v>
      </c>
      <c r="M729" t="s">
        <v>206</v>
      </c>
      <c r="N729">
        <v>12</v>
      </c>
      <c r="O729" t="s">
        <v>68</v>
      </c>
      <c r="Q729" t="s">
        <v>414</v>
      </c>
      <c r="R729" t="s">
        <v>190</v>
      </c>
      <c r="S729" t="s">
        <v>69</v>
      </c>
    </row>
    <row r="730" spans="1:19" x14ac:dyDescent="0.25">
      <c r="A730">
        <v>144795</v>
      </c>
      <c r="B730">
        <v>2025</v>
      </c>
      <c r="C730" t="s">
        <v>377</v>
      </c>
      <c r="D730" t="s">
        <v>26</v>
      </c>
      <c r="E730" t="s">
        <v>403</v>
      </c>
      <c r="F730" t="s">
        <v>406</v>
      </c>
      <c r="G730" s="1" t="s">
        <v>364</v>
      </c>
      <c r="H730" s="1" t="s">
        <v>404</v>
      </c>
      <c r="I730" t="s">
        <v>31</v>
      </c>
      <c r="J730" t="s">
        <v>32</v>
      </c>
      <c r="K730" t="s">
        <v>203</v>
      </c>
      <c r="L730" t="s">
        <v>34</v>
      </c>
      <c r="M730" t="s">
        <v>206</v>
      </c>
      <c r="N730">
        <v>13</v>
      </c>
      <c r="O730" t="s">
        <v>197</v>
      </c>
      <c r="Q730" t="s">
        <v>414</v>
      </c>
      <c r="S730" t="s">
        <v>198</v>
      </c>
    </row>
    <row r="731" spans="1:19" x14ac:dyDescent="0.25">
      <c r="A731">
        <v>144795</v>
      </c>
      <c r="B731">
        <v>2025</v>
      </c>
      <c r="C731" t="s">
        <v>377</v>
      </c>
      <c r="D731" t="s">
        <v>26</v>
      </c>
      <c r="E731" t="s">
        <v>403</v>
      </c>
      <c r="F731" t="s">
        <v>406</v>
      </c>
      <c r="G731" s="1" t="s">
        <v>364</v>
      </c>
      <c r="H731" s="1" t="s">
        <v>404</v>
      </c>
      <c r="I731" t="s">
        <v>31</v>
      </c>
      <c r="J731" t="s">
        <v>32</v>
      </c>
      <c r="K731" t="s">
        <v>203</v>
      </c>
      <c r="L731" t="s">
        <v>34</v>
      </c>
      <c r="M731" t="s">
        <v>206</v>
      </c>
      <c r="N731">
        <v>14</v>
      </c>
      <c r="O731" t="s">
        <v>57</v>
      </c>
      <c r="Q731" t="s">
        <v>414</v>
      </c>
      <c r="S731" t="s">
        <v>58</v>
      </c>
    </row>
    <row r="732" spans="1:19" x14ac:dyDescent="0.25">
      <c r="A732">
        <v>144795</v>
      </c>
      <c r="B732">
        <v>2025</v>
      </c>
      <c r="C732" t="s">
        <v>377</v>
      </c>
      <c r="D732" t="s">
        <v>26</v>
      </c>
      <c r="E732" t="s">
        <v>403</v>
      </c>
      <c r="F732" t="s">
        <v>406</v>
      </c>
      <c r="G732" s="1" t="s">
        <v>364</v>
      </c>
      <c r="H732" s="1" t="s">
        <v>404</v>
      </c>
      <c r="I732" t="s">
        <v>31</v>
      </c>
      <c r="J732" t="s">
        <v>32</v>
      </c>
      <c r="K732" t="s">
        <v>203</v>
      </c>
      <c r="L732" t="s">
        <v>34</v>
      </c>
      <c r="M732" t="s">
        <v>206</v>
      </c>
      <c r="N732">
        <v>15</v>
      </c>
      <c r="O732" t="s">
        <v>57</v>
      </c>
      <c r="Q732" t="s">
        <v>414</v>
      </c>
      <c r="S732" t="s">
        <v>58</v>
      </c>
    </row>
    <row r="733" spans="1:19" x14ac:dyDescent="0.25">
      <c r="A733">
        <v>144795</v>
      </c>
      <c r="B733">
        <v>2025</v>
      </c>
      <c r="C733" t="s">
        <v>377</v>
      </c>
      <c r="D733" t="s">
        <v>26</v>
      </c>
      <c r="E733" t="s">
        <v>403</v>
      </c>
      <c r="F733" t="s">
        <v>406</v>
      </c>
      <c r="G733" s="1" t="s">
        <v>364</v>
      </c>
      <c r="H733" s="1" t="s">
        <v>404</v>
      </c>
      <c r="I733" t="s">
        <v>31</v>
      </c>
      <c r="J733" t="s">
        <v>32</v>
      </c>
      <c r="K733" t="s">
        <v>203</v>
      </c>
      <c r="L733" t="s">
        <v>34</v>
      </c>
      <c r="M733" t="s">
        <v>206</v>
      </c>
      <c r="N733">
        <v>16</v>
      </c>
      <c r="O733" t="s">
        <v>66</v>
      </c>
      <c r="Q733" t="s">
        <v>414</v>
      </c>
      <c r="R733" t="s">
        <v>190</v>
      </c>
      <c r="S733" t="s">
        <v>67</v>
      </c>
    </row>
    <row r="734" spans="1:19" x14ac:dyDescent="0.25">
      <c r="A734">
        <v>144795</v>
      </c>
      <c r="B734">
        <v>2025</v>
      </c>
      <c r="C734" t="s">
        <v>377</v>
      </c>
      <c r="D734" t="s">
        <v>26</v>
      </c>
      <c r="E734" t="s">
        <v>403</v>
      </c>
      <c r="F734" t="s">
        <v>406</v>
      </c>
      <c r="G734" s="1" t="s">
        <v>364</v>
      </c>
      <c r="H734" s="1" t="s">
        <v>404</v>
      </c>
      <c r="I734" t="s">
        <v>31</v>
      </c>
      <c r="J734" t="s">
        <v>32</v>
      </c>
      <c r="K734" t="s">
        <v>203</v>
      </c>
      <c r="L734" t="s">
        <v>34</v>
      </c>
      <c r="M734" t="s">
        <v>206</v>
      </c>
      <c r="N734">
        <v>17</v>
      </c>
      <c r="O734" t="s">
        <v>57</v>
      </c>
      <c r="Q734" t="s">
        <v>414</v>
      </c>
      <c r="S734" t="s">
        <v>58</v>
      </c>
    </row>
    <row r="735" spans="1:19" x14ac:dyDescent="0.25">
      <c r="A735">
        <v>144795</v>
      </c>
      <c r="B735">
        <v>2025</v>
      </c>
      <c r="C735" t="s">
        <v>377</v>
      </c>
      <c r="D735" t="s">
        <v>26</v>
      </c>
      <c r="E735" t="s">
        <v>403</v>
      </c>
      <c r="F735" t="s">
        <v>406</v>
      </c>
      <c r="G735" s="1" t="s">
        <v>364</v>
      </c>
      <c r="H735" s="1" t="s">
        <v>404</v>
      </c>
      <c r="I735" t="s">
        <v>31</v>
      </c>
      <c r="J735" t="s">
        <v>32</v>
      </c>
      <c r="K735" t="s">
        <v>203</v>
      </c>
      <c r="L735" t="s">
        <v>34</v>
      </c>
      <c r="M735" t="s">
        <v>206</v>
      </c>
      <c r="N735">
        <v>18</v>
      </c>
      <c r="O735" t="s">
        <v>57</v>
      </c>
      <c r="Q735" t="s">
        <v>414</v>
      </c>
      <c r="S735" t="s">
        <v>58</v>
      </c>
    </row>
    <row r="736" spans="1:19" x14ac:dyDescent="0.25">
      <c r="A736">
        <v>144795</v>
      </c>
      <c r="B736">
        <v>2025</v>
      </c>
      <c r="C736" t="s">
        <v>377</v>
      </c>
      <c r="D736" t="s">
        <v>26</v>
      </c>
      <c r="E736" t="s">
        <v>403</v>
      </c>
      <c r="F736" t="s">
        <v>406</v>
      </c>
      <c r="G736" s="1" t="s">
        <v>364</v>
      </c>
      <c r="H736" s="1" t="s">
        <v>404</v>
      </c>
      <c r="I736" t="s">
        <v>31</v>
      </c>
      <c r="J736" t="s">
        <v>32</v>
      </c>
      <c r="K736" t="s">
        <v>203</v>
      </c>
      <c r="L736" t="s">
        <v>34</v>
      </c>
      <c r="M736" t="s">
        <v>206</v>
      </c>
      <c r="N736">
        <v>19</v>
      </c>
      <c r="O736" t="s">
        <v>57</v>
      </c>
      <c r="Q736" t="s">
        <v>414</v>
      </c>
      <c r="S736" t="s">
        <v>58</v>
      </c>
    </row>
    <row r="737" spans="1:19" x14ac:dyDescent="0.25">
      <c r="A737">
        <v>144795</v>
      </c>
      <c r="B737">
        <v>2025</v>
      </c>
      <c r="C737" t="s">
        <v>377</v>
      </c>
      <c r="D737" t="s">
        <v>26</v>
      </c>
      <c r="E737" t="s">
        <v>403</v>
      </c>
      <c r="F737" t="s">
        <v>406</v>
      </c>
      <c r="G737" s="1" t="s">
        <v>364</v>
      </c>
      <c r="H737" s="1" t="s">
        <v>404</v>
      </c>
      <c r="I737" t="s">
        <v>31</v>
      </c>
      <c r="J737" t="s">
        <v>32</v>
      </c>
      <c r="K737" t="s">
        <v>203</v>
      </c>
      <c r="L737" t="s">
        <v>34</v>
      </c>
      <c r="M737" t="s">
        <v>206</v>
      </c>
      <c r="N737">
        <v>20</v>
      </c>
      <c r="O737" t="s">
        <v>57</v>
      </c>
      <c r="Q737" t="s">
        <v>414</v>
      </c>
      <c r="S737" t="s">
        <v>58</v>
      </c>
    </row>
    <row r="738" spans="1:19" x14ac:dyDescent="0.25">
      <c r="A738">
        <v>144795</v>
      </c>
      <c r="B738">
        <v>2025</v>
      </c>
      <c r="C738" t="s">
        <v>377</v>
      </c>
      <c r="D738" t="s">
        <v>26</v>
      </c>
      <c r="E738" t="s">
        <v>403</v>
      </c>
      <c r="F738" t="s">
        <v>406</v>
      </c>
      <c r="G738" s="1" t="s">
        <v>364</v>
      </c>
      <c r="H738" s="1" t="s">
        <v>404</v>
      </c>
      <c r="I738" t="s">
        <v>31</v>
      </c>
      <c r="J738" t="s">
        <v>32</v>
      </c>
      <c r="K738" t="s">
        <v>203</v>
      </c>
      <c r="L738" t="s">
        <v>34</v>
      </c>
      <c r="M738" t="s">
        <v>206</v>
      </c>
      <c r="N738">
        <v>21</v>
      </c>
      <c r="O738" t="s">
        <v>197</v>
      </c>
      <c r="R738" t="s">
        <v>190</v>
      </c>
      <c r="S738" t="s">
        <v>198</v>
      </c>
    </row>
    <row r="739" spans="1:19" x14ac:dyDescent="0.25">
      <c r="A739">
        <v>144795</v>
      </c>
      <c r="B739">
        <v>2025</v>
      </c>
      <c r="C739" t="s">
        <v>377</v>
      </c>
      <c r="D739" t="s">
        <v>26</v>
      </c>
      <c r="E739" t="s">
        <v>403</v>
      </c>
      <c r="F739" t="s">
        <v>406</v>
      </c>
      <c r="G739" s="1" t="s">
        <v>364</v>
      </c>
      <c r="H739" s="1" t="s">
        <v>404</v>
      </c>
      <c r="I739" t="s">
        <v>31</v>
      </c>
      <c r="J739" t="s">
        <v>32</v>
      </c>
      <c r="K739" t="s">
        <v>203</v>
      </c>
      <c r="L739" t="s">
        <v>34</v>
      </c>
      <c r="M739" t="s">
        <v>206</v>
      </c>
      <c r="N739">
        <v>22</v>
      </c>
      <c r="O739" t="s">
        <v>57</v>
      </c>
      <c r="Q739" t="s">
        <v>414</v>
      </c>
      <c r="S739" t="s">
        <v>58</v>
      </c>
    </row>
    <row r="740" spans="1:19" x14ac:dyDescent="0.25">
      <c r="A740">
        <v>144795</v>
      </c>
      <c r="B740">
        <v>2025</v>
      </c>
      <c r="C740" t="s">
        <v>377</v>
      </c>
      <c r="D740" t="s">
        <v>26</v>
      </c>
      <c r="E740" t="s">
        <v>403</v>
      </c>
      <c r="F740" t="s">
        <v>406</v>
      </c>
      <c r="G740" s="1" t="s">
        <v>364</v>
      </c>
      <c r="H740" s="1" t="s">
        <v>404</v>
      </c>
      <c r="I740" t="s">
        <v>31</v>
      </c>
      <c r="J740" t="s">
        <v>32</v>
      </c>
      <c r="K740" t="s">
        <v>203</v>
      </c>
      <c r="L740" t="s">
        <v>34</v>
      </c>
      <c r="M740" t="s">
        <v>206</v>
      </c>
      <c r="N740">
        <v>23</v>
      </c>
      <c r="O740" t="s">
        <v>57</v>
      </c>
      <c r="Q740" t="s">
        <v>414</v>
      </c>
      <c r="S740" t="s">
        <v>58</v>
      </c>
    </row>
    <row r="741" spans="1:19" x14ac:dyDescent="0.25">
      <c r="A741">
        <v>144795</v>
      </c>
      <c r="B741">
        <v>2025</v>
      </c>
      <c r="C741" t="s">
        <v>377</v>
      </c>
      <c r="D741" t="s">
        <v>26</v>
      </c>
      <c r="E741" t="s">
        <v>403</v>
      </c>
      <c r="F741" t="s">
        <v>406</v>
      </c>
      <c r="G741" s="1" t="s">
        <v>364</v>
      </c>
      <c r="H741" s="1" t="s">
        <v>404</v>
      </c>
      <c r="I741" t="s">
        <v>31</v>
      </c>
      <c r="J741" t="s">
        <v>32</v>
      </c>
      <c r="K741" t="s">
        <v>203</v>
      </c>
      <c r="L741" t="s">
        <v>34</v>
      </c>
      <c r="M741" t="s">
        <v>206</v>
      </c>
      <c r="N741">
        <v>24</v>
      </c>
      <c r="O741" t="s">
        <v>57</v>
      </c>
      <c r="Q741" t="s">
        <v>414</v>
      </c>
      <c r="R741" t="s">
        <v>190</v>
      </c>
      <c r="S741" t="s">
        <v>58</v>
      </c>
    </row>
    <row r="742" spans="1:19" x14ac:dyDescent="0.25">
      <c r="A742">
        <v>144795</v>
      </c>
      <c r="B742">
        <v>2025</v>
      </c>
      <c r="C742" t="s">
        <v>377</v>
      </c>
      <c r="D742" t="s">
        <v>26</v>
      </c>
      <c r="E742" t="s">
        <v>403</v>
      </c>
      <c r="F742" t="s">
        <v>406</v>
      </c>
      <c r="G742" s="1" t="s">
        <v>364</v>
      </c>
      <c r="H742" s="1" t="s">
        <v>404</v>
      </c>
      <c r="I742" t="s">
        <v>31</v>
      </c>
      <c r="J742" t="s">
        <v>32</v>
      </c>
      <c r="K742" t="s">
        <v>203</v>
      </c>
      <c r="L742" t="s">
        <v>34</v>
      </c>
      <c r="M742" t="s">
        <v>206</v>
      </c>
      <c r="N742">
        <v>25</v>
      </c>
      <c r="O742" t="s">
        <v>68</v>
      </c>
      <c r="Q742" t="s">
        <v>414</v>
      </c>
      <c r="R742" t="s">
        <v>190</v>
      </c>
      <c r="S742" t="s">
        <v>69</v>
      </c>
    </row>
    <row r="743" spans="1:19" x14ac:dyDescent="0.25">
      <c r="A743">
        <v>144795</v>
      </c>
      <c r="B743">
        <v>2025</v>
      </c>
      <c r="C743" t="s">
        <v>377</v>
      </c>
      <c r="D743" t="s">
        <v>26</v>
      </c>
      <c r="E743" t="s">
        <v>403</v>
      </c>
      <c r="F743" t="s">
        <v>408</v>
      </c>
      <c r="G743" s="1" t="s">
        <v>364</v>
      </c>
      <c r="H743" s="1" t="s">
        <v>404</v>
      </c>
      <c r="I743" t="s">
        <v>31</v>
      </c>
      <c r="J743" t="s">
        <v>32</v>
      </c>
      <c r="K743" t="s">
        <v>203</v>
      </c>
      <c r="L743" t="s">
        <v>34</v>
      </c>
      <c r="M743" t="s">
        <v>206</v>
      </c>
      <c r="N743">
        <v>1</v>
      </c>
      <c r="O743" t="s">
        <v>57</v>
      </c>
      <c r="Q743" t="s">
        <v>414</v>
      </c>
      <c r="S743" t="s">
        <v>58</v>
      </c>
    </row>
    <row r="744" spans="1:19" x14ac:dyDescent="0.25">
      <c r="A744">
        <v>144795</v>
      </c>
      <c r="B744">
        <v>2025</v>
      </c>
      <c r="C744" t="s">
        <v>377</v>
      </c>
      <c r="D744" t="s">
        <v>26</v>
      </c>
      <c r="E744" t="s">
        <v>403</v>
      </c>
      <c r="F744" t="s">
        <v>408</v>
      </c>
      <c r="G744" s="1" t="s">
        <v>364</v>
      </c>
      <c r="H744" s="1" t="s">
        <v>404</v>
      </c>
      <c r="I744" t="s">
        <v>31</v>
      </c>
      <c r="J744" t="s">
        <v>32</v>
      </c>
      <c r="K744" t="s">
        <v>203</v>
      </c>
      <c r="L744" t="s">
        <v>34</v>
      </c>
      <c r="M744" t="s">
        <v>206</v>
      </c>
      <c r="N744">
        <v>2</v>
      </c>
      <c r="O744" t="s">
        <v>57</v>
      </c>
      <c r="Q744" t="s">
        <v>414</v>
      </c>
      <c r="R744" t="s">
        <v>190</v>
      </c>
      <c r="S744" t="s">
        <v>58</v>
      </c>
    </row>
    <row r="745" spans="1:19" x14ac:dyDescent="0.25">
      <c r="A745">
        <v>144795</v>
      </c>
      <c r="B745">
        <v>2025</v>
      </c>
      <c r="C745" t="s">
        <v>377</v>
      </c>
      <c r="D745" t="s">
        <v>26</v>
      </c>
      <c r="E745" t="s">
        <v>403</v>
      </c>
      <c r="F745" t="s">
        <v>408</v>
      </c>
      <c r="G745" s="1" t="s">
        <v>364</v>
      </c>
      <c r="H745" s="1" t="s">
        <v>404</v>
      </c>
      <c r="I745" t="s">
        <v>31</v>
      </c>
      <c r="J745" t="s">
        <v>32</v>
      </c>
      <c r="K745" t="s">
        <v>203</v>
      </c>
      <c r="L745" t="s">
        <v>34</v>
      </c>
      <c r="M745" t="s">
        <v>206</v>
      </c>
      <c r="N745">
        <v>3</v>
      </c>
      <c r="O745" t="s">
        <v>57</v>
      </c>
      <c r="Q745" t="s">
        <v>414</v>
      </c>
      <c r="S745" t="s">
        <v>58</v>
      </c>
    </row>
    <row r="746" spans="1:19" x14ac:dyDescent="0.25">
      <c r="A746">
        <v>144795</v>
      </c>
      <c r="B746">
        <v>2025</v>
      </c>
      <c r="C746" t="s">
        <v>377</v>
      </c>
      <c r="D746" t="s">
        <v>26</v>
      </c>
      <c r="E746" t="s">
        <v>403</v>
      </c>
      <c r="F746" t="s">
        <v>408</v>
      </c>
      <c r="G746" s="1" t="s">
        <v>364</v>
      </c>
      <c r="H746" s="1" t="s">
        <v>404</v>
      </c>
      <c r="I746" t="s">
        <v>31</v>
      </c>
      <c r="J746" t="s">
        <v>32</v>
      </c>
      <c r="K746" t="s">
        <v>203</v>
      </c>
      <c r="L746" t="s">
        <v>34</v>
      </c>
      <c r="M746" t="s">
        <v>206</v>
      </c>
      <c r="N746">
        <v>4</v>
      </c>
      <c r="O746" t="s">
        <v>57</v>
      </c>
      <c r="Q746" t="s">
        <v>414</v>
      </c>
      <c r="R746" t="s">
        <v>190</v>
      </c>
      <c r="S746" t="s">
        <v>58</v>
      </c>
    </row>
    <row r="747" spans="1:19" x14ac:dyDescent="0.25">
      <c r="A747">
        <v>144795</v>
      </c>
      <c r="B747">
        <v>2025</v>
      </c>
      <c r="C747" t="s">
        <v>377</v>
      </c>
      <c r="D747" t="s">
        <v>26</v>
      </c>
      <c r="E747" t="s">
        <v>403</v>
      </c>
      <c r="F747" t="s">
        <v>408</v>
      </c>
      <c r="G747" s="1" t="s">
        <v>364</v>
      </c>
      <c r="H747" s="1" t="s">
        <v>404</v>
      </c>
      <c r="I747" t="s">
        <v>31</v>
      </c>
      <c r="J747" t="s">
        <v>32</v>
      </c>
      <c r="K747" t="s">
        <v>203</v>
      </c>
      <c r="L747" t="s">
        <v>34</v>
      </c>
      <c r="M747" t="s">
        <v>206</v>
      </c>
      <c r="N747">
        <v>5</v>
      </c>
      <c r="O747" t="s">
        <v>57</v>
      </c>
      <c r="Q747" t="s">
        <v>414</v>
      </c>
      <c r="S747" t="s">
        <v>58</v>
      </c>
    </row>
    <row r="748" spans="1:19" x14ac:dyDescent="0.25">
      <c r="A748">
        <v>144795</v>
      </c>
      <c r="B748">
        <v>2025</v>
      </c>
      <c r="C748" t="s">
        <v>377</v>
      </c>
      <c r="D748" t="s">
        <v>26</v>
      </c>
      <c r="E748" t="s">
        <v>403</v>
      </c>
      <c r="F748" t="s">
        <v>408</v>
      </c>
      <c r="G748" s="1" t="s">
        <v>364</v>
      </c>
      <c r="H748" s="1" t="s">
        <v>404</v>
      </c>
      <c r="I748" t="s">
        <v>31</v>
      </c>
      <c r="J748" t="s">
        <v>32</v>
      </c>
      <c r="K748" t="s">
        <v>203</v>
      </c>
      <c r="L748" t="s">
        <v>34</v>
      </c>
      <c r="M748" t="s">
        <v>206</v>
      </c>
      <c r="N748">
        <v>6</v>
      </c>
      <c r="Q748" t="s">
        <v>72</v>
      </c>
    </row>
    <row r="749" spans="1:19" x14ac:dyDescent="0.25">
      <c r="A749">
        <v>144795</v>
      </c>
      <c r="B749">
        <v>2025</v>
      </c>
      <c r="C749" t="s">
        <v>377</v>
      </c>
      <c r="D749" t="s">
        <v>26</v>
      </c>
      <c r="E749" t="s">
        <v>403</v>
      </c>
      <c r="F749" t="s">
        <v>408</v>
      </c>
      <c r="G749" s="1" t="s">
        <v>364</v>
      </c>
      <c r="H749" s="1" t="s">
        <v>404</v>
      </c>
      <c r="I749" t="s">
        <v>31</v>
      </c>
      <c r="J749" t="s">
        <v>32</v>
      </c>
      <c r="K749" t="s">
        <v>203</v>
      </c>
      <c r="L749" t="s">
        <v>34</v>
      </c>
      <c r="M749" t="s">
        <v>206</v>
      </c>
      <c r="N749">
        <v>7</v>
      </c>
      <c r="O749" t="s">
        <v>66</v>
      </c>
      <c r="Q749" t="s">
        <v>414</v>
      </c>
      <c r="R749" t="s">
        <v>190</v>
      </c>
      <c r="S749" t="s">
        <v>67</v>
      </c>
    </row>
    <row r="750" spans="1:19" x14ac:dyDescent="0.25">
      <c r="A750">
        <v>144795</v>
      </c>
      <c r="B750">
        <v>2025</v>
      </c>
      <c r="C750" t="s">
        <v>377</v>
      </c>
      <c r="D750" t="s">
        <v>26</v>
      </c>
      <c r="E750" t="s">
        <v>403</v>
      </c>
      <c r="F750" t="s">
        <v>408</v>
      </c>
      <c r="G750" s="1" t="s">
        <v>364</v>
      </c>
      <c r="H750" s="1" t="s">
        <v>404</v>
      </c>
      <c r="I750" t="s">
        <v>31</v>
      </c>
      <c r="J750" t="s">
        <v>32</v>
      </c>
      <c r="K750" t="s">
        <v>203</v>
      </c>
      <c r="L750" t="s">
        <v>34</v>
      </c>
      <c r="M750" t="s">
        <v>206</v>
      </c>
      <c r="N750">
        <v>8</v>
      </c>
      <c r="O750" t="s">
        <v>66</v>
      </c>
      <c r="Q750" t="s">
        <v>414</v>
      </c>
      <c r="R750" t="s">
        <v>190</v>
      </c>
      <c r="S750" t="s">
        <v>67</v>
      </c>
    </row>
    <row r="751" spans="1:19" x14ac:dyDescent="0.25">
      <c r="A751">
        <v>144795</v>
      </c>
      <c r="B751">
        <v>2025</v>
      </c>
      <c r="C751" t="s">
        <v>377</v>
      </c>
      <c r="D751" t="s">
        <v>26</v>
      </c>
      <c r="E751" t="s">
        <v>403</v>
      </c>
      <c r="F751" t="s">
        <v>408</v>
      </c>
      <c r="G751" s="1" t="s">
        <v>364</v>
      </c>
      <c r="H751" s="1" t="s">
        <v>404</v>
      </c>
      <c r="I751" t="s">
        <v>31</v>
      </c>
      <c r="J751" t="s">
        <v>32</v>
      </c>
      <c r="K751" t="s">
        <v>203</v>
      </c>
      <c r="L751" t="s">
        <v>34</v>
      </c>
      <c r="M751" t="s">
        <v>206</v>
      </c>
      <c r="N751">
        <v>9</v>
      </c>
      <c r="O751" t="s">
        <v>57</v>
      </c>
      <c r="Q751" t="s">
        <v>414</v>
      </c>
      <c r="S751" t="s">
        <v>58</v>
      </c>
    </row>
    <row r="752" spans="1:19" x14ac:dyDescent="0.25">
      <c r="A752">
        <v>144795</v>
      </c>
      <c r="B752">
        <v>2025</v>
      </c>
      <c r="C752" t="s">
        <v>377</v>
      </c>
      <c r="D752" t="s">
        <v>26</v>
      </c>
      <c r="E752" t="s">
        <v>403</v>
      </c>
      <c r="F752" t="s">
        <v>408</v>
      </c>
      <c r="G752" s="1" t="s">
        <v>364</v>
      </c>
      <c r="H752" s="1" t="s">
        <v>404</v>
      </c>
      <c r="I752" t="s">
        <v>31</v>
      </c>
      <c r="J752" t="s">
        <v>32</v>
      </c>
      <c r="K752" t="s">
        <v>203</v>
      </c>
      <c r="L752" t="s">
        <v>34</v>
      </c>
      <c r="M752" t="s">
        <v>206</v>
      </c>
      <c r="N752">
        <v>10</v>
      </c>
      <c r="O752" t="s">
        <v>66</v>
      </c>
      <c r="Q752" t="s">
        <v>414</v>
      </c>
      <c r="R752" t="s">
        <v>190</v>
      </c>
      <c r="S752" t="s">
        <v>67</v>
      </c>
    </row>
    <row r="753" spans="1:19" x14ac:dyDescent="0.25">
      <c r="A753">
        <v>144795</v>
      </c>
      <c r="B753">
        <v>2025</v>
      </c>
      <c r="C753" t="s">
        <v>377</v>
      </c>
      <c r="D753" t="s">
        <v>26</v>
      </c>
      <c r="E753" t="s">
        <v>403</v>
      </c>
      <c r="F753" t="s">
        <v>408</v>
      </c>
      <c r="G753" s="1" t="s">
        <v>364</v>
      </c>
      <c r="H753" s="1" t="s">
        <v>404</v>
      </c>
      <c r="I753" t="s">
        <v>31</v>
      </c>
      <c r="J753" t="s">
        <v>32</v>
      </c>
      <c r="K753" t="s">
        <v>203</v>
      </c>
      <c r="L753" t="s">
        <v>34</v>
      </c>
      <c r="M753" t="s">
        <v>206</v>
      </c>
      <c r="N753">
        <v>11</v>
      </c>
      <c r="O753" t="s">
        <v>66</v>
      </c>
      <c r="Q753" t="s">
        <v>414</v>
      </c>
      <c r="R753" t="s">
        <v>190</v>
      </c>
      <c r="S753" t="s">
        <v>67</v>
      </c>
    </row>
    <row r="754" spans="1:19" x14ac:dyDescent="0.25">
      <c r="A754">
        <v>144795</v>
      </c>
      <c r="B754">
        <v>2025</v>
      </c>
      <c r="C754" t="s">
        <v>377</v>
      </c>
      <c r="D754" t="s">
        <v>26</v>
      </c>
      <c r="E754" t="s">
        <v>403</v>
      </c>
      <c r="F754" t="s">
        <v>408</v>
      </c>
      <c r="G754" s="1" t="s">
        <v>364</v>
      </c>
      <c r="H754" s="1" t="s">
        <v>404</v>
      </c>
      <c r="I754" t="s">
        <v>31</v>
      </c>
      <c r="J754" t="s">
        <v>32</v>
      </c>
      <c r="K754" t="s">
        <v>203</v>
      </c>
      <c r="L754" t="s">
        <v>34</v>
      </c>
      <c r="M754" t="s">
        <v>206</v>
      </c>
      <c r="N754">
        <v>12</v>
      </c>
      <c r="O754" t="s">
        <v>66</v>
      </c>
      <c r="Q754" t="s">
        <v>414</v>
      </c>
      <c r="R754" t="s">
        <v>190</v>
      </c>
      <c r="S754" t="s">
        <v>67</v>
      </c>
    </row>
    <row r="755" spans="1:19" x14ac:dyDescent="0.25">
      <c r="A755">
        <v>144795</v>
      </c>
      <c r="B755">
        <v>2025</v>
      </c>
      <c r="C755" t="s">
        <v>377</v>
      </c>
      <c r="D755" t="s">
        <v>26</v>
      </c>
      <c r="E755" t="s">
        <v>403</v>
      </c>
      <c r="F755" t="s">
        <v>408</v>
      </c>
      <c r="G755" s="1" t="s">
        <v>364</v>
      </c>
      <c r="H755" s="1" t="s">
        <v>404</v>
      </c>
      <c r="I755" t="s">
        <v>31</v>
      </c>
      <c r="J755" t="s">
        <v>32</v>
      </c>
      <c r="K755" t="s">
        <v>203</v>
      </c>
      <c r="L755" t="s">
        <v>34</v>
      </c>
      <c r="M755" t="s">
        <v>206</v>
      </c>
      <c r="N755">
        <v>13</v>
      </c>
      <c r="O755" t="s">
        <v>57</v>
      </c>
      <c r="Q755" t="s">
        <v>414</v>
      </c>
      <c r="R755" t="s">
        <v>190</v>
      </c>
      <c r="S755" t="s">
        <v>58</v>
      </c>
    </row>
    <row r="756" spans="1:19" x14ac:dyDescent="0.25">
      <c r="A756">
        <v>144795</v>
      </c>
      <c r="B756">
        <v>2025</v>
      </c>
      <c r="C756" t="s">
        <v>377</v>
      </c>
      <c r="D756" t="s">
        <v>26</v>
      </c>
      <c r="E756" t="s">
        <v>403</v>
      </c>
      <c r="F756" t="s">
        <v>408</v>
      </c>
      <c r="G756" s="1" t="s">
        <v>364</v>
      </c>
      <c r="H756" s="1" t="s">
        <v>404</v>
      </c>
      <c r="I756" t="s">
        <v>31</v>
      </c>
      <c r="J756" t="s">
        <v>32</v>
      </c>
      <c r="K756" t="s">
        <v>203</v>
      </c>
      <c r="L756" t="s">
        <v>34</v>
      </c>
      <c r="M756" t="s">
        <v>206</v>
      </c>
      <c r="N756">
        <v>14</v>
      </c>
      <c r="O756" t="s">
        <v>57</v>
      </c>
      <c r="Q756" t="s">
        <v>414</v>
      </c>
      <c r="R756" t="s">
        <v>190</v>
      </c>
      <c r="S756" t="s">
        <v>58</v>
      </c>
    </row>
    <row r="757" spans="1:19" x14ac:dyDescent="0.25">
      <c r="A757">
        <v>144795</v>
      </c>
      <c r="B757">
        <v>2025</v>
      </c>
      <c r="C757" t="s">
        <v>377</v>
      </c>
      <c r="D757" t="s">
        <v>26</v>
      </c>
      <c r="E757" t="s">
        <v>403</v>
      </c>
      <c r="F757" t="s">
        <v>408</v>
      </c>
      <c r="G757" s="1" t="s">
        <v>364</v>
      </c>
      <c r="H757" s="1" t="s">
        <v>404</v>
      </c>
      <c r="I757" t="s">
        <v>31</v>
      </c>
      <c r="J757" t="s">
        <v>32</v>
      </c>
      <c r="K757" t="s">
        <v>203</v>
      </c>
      <c r="L757" t="s">
        <v>34</v>
      </c>
      <c r="M757" t="s">
        <v>206</v>
      </c>
      <c r="N757">
        <v>15</v>
      </c>
      <c r="O757" t="s">
        <v>57</v>
      </c>
      <c r="Q757" t="s">
        <v>414</v>
      </c>
      <c r="R757" t="s">
        <v>190</v>
      </c>
      <c r="S757" t="s">
        <v>58</v>
      </c>
    </row>
    <row r="758" spans="1:19" x14ac:dyDescent="0.25">
      <c r="A758">
        <v>144795</v>
      </c>
      <c r="B758">
        <v>2025</v>
      </c>
      <c r="C758" t="s">
        <v>377</v>
      </c>
      <c r="D758" t="s">
        <v>26</v>
      </c>
      <c r="E758" t="s">
        <v>403</v>
      </c>
      <c r="F758" t="s">
        <v>408</v>
      </c>
      <c r="G758" s="1" t="s">
        <v>364</v>
      </c>
      <c r="H758" s="1" t="s">
        <v>404</v>
      </c>
      <c r="I758" t="s">
        <v>31</v>
      </c>
      <c r="J758" t="s">
        <v>32</v>
      </c>
      <c r="K758" t="s">
        <v>203</v>
      </c>
      <c r="L758" t="s">
        <v>34</v>
      </c>
      <c r="M758" t="s">
        <v>206</v>
      </c>
      <c r="N758">
        <v>16</v>
      </c>
      <c r="O758" t="s">
        <v>66</v>
      </c>
      <c r="R758" t="s">
        <v>190</v>
      </c>
      <c r="S758" t="s">
        <v>67</v>
      </c>
    </row>
    <row r="759" spans="1:19" x14ac:dyDescent="0.25">
      <c r="A759">
        <v>144795</v>
      </c>
      <c r="B759">
        <v>2025</v>
      </c>
      <c r="C759" t="s">
        <v>377</v>
      </c>
      <c r="D759" t="s">
        <v>26</v>
      </c>
      <c r="E759" t="s">
        <v>403</v>
      </c>
      <c r="F759" t="s">
        <v>408</v>
      </c>
      <c r="G759" s="1" t="s">
        <v>364</v>
      </c>
      <c r="H759" s="1" t="s">
        <v>404</v>
      </c>
      <c r="I759" t="s">
        <v>31</v>
      </c>
      <c r="J759" t="s">
        <v>32</v>
      </c>
      <c r="K759" t="s">
        <v>203</v>
      </c>
      <c r="L759" t="s">
        <v>34</v>
      </c>
      <c r="M759" t="s">
        <v>206</v>
      </c>
      <c r="N759">
        <v>17</v>
      </c>
      <c r="O759" t="s">
        <v>57</v>
      </c>
      <c r="Q759" t="s">
        <v>414</v>
      </c>
      <c r="R759" t="s">
        <v>190</v>
      </c>
      <c r="S759" t="s">
        <v>58</v>
      </c>
    </row>
    <row r="760" spans="1:19" x14ac:dyDescent="0.25">
      <c r="A760">
        <v>144795</v>
      </c>
      <c r="B760">
        <v>2025</v>
      </c>
      <c r="C760" t="s">
        <v>377</v>
      </c>
      <c r="D760" t="s">
        <v>26</v>
      </c>
      <c r="E760" t="s">
        <v>403</v>
      </c>
      <c r="F760" t="s">
        <v>408</v>
      </c>
      <c r="G760" s="1" t="s">
        <v>364</v>
      </c>
      <c r="H760" s="1" t="s">
        <v>404</v>
      </c>
      <c r="I760" t="s">
        <v>31</v>
      </c>
      <c r="J760" t="s">
        <v>32</v>
      </c>
      <c r="K760" t="s">
        <v>203</v>
      </c>
      <c r="L760" t="s">
        <v>34</v>
      </c>
      <c r="M760" t="s">
        <v>206</v>
      </c>
      <c r="N760">
        <v>18</v>
      </c>
      <c r="O760" t="s">
        <v>57</v>
      </c>
      <c r="Q760" t="s">
        <v>414</v>
      </c>
      <c r="R760" t="s">
        <v>190</v>
      </c>
      <c r="S760" t="s">
        <v>58</v>
      </c>
    </row>
    <row r="761" spans="1:19" x14ac:dyDescent="0.25">
      <c r="A761">
        <v>144795</v>
      </c>
      <c r="B761">
        <v>2025</v>
      </c>
      <c r="C761" t="s">
        <v>377</v>
      </c>
      <c r="D761" t="s">
        <v>26</v>
      </c>
      <c r="E761" t="s">
        <v>403</v>
      </c>
      <c r="F761" t="s">
        <v>408</v>
      </c>
      <c r="G761" s="1" t="s">
        <v>364</v>
      </c>
      <c r="H761" s="1" t="s">
        <v>404</v>
      </c>
      <c r="I761" t="s">
        <v>31</v>
      </c>
      <c r="J761" t="s">
        <v>32</v>
      </c>
      <c r="K761" t="s">
        <v>203</v>
      </c>
      <c r="L761" t="s">
        <v>34</v>
      </c>
      <c r="M761" t="s">
        <v>206</v>
      </c>
      <c r="N761">
        <v>19</v>
      </c>
      <c r="O761" t="s">
        <v>197</v>
      </c>
      <c r="Q761" t="s">
        <v>414</v>
      </c>
      <c r="S761" t="s">
        <v>198</v>
      </c>
    </row>
    <row r="762" spans="1:19" x14ac:dyDescent="0.25">
      <c r="A762">
        <v>144795</v>
      </c>
      <c r="B762">
        <v>2025</v>
      </c>
      <c r="C762" t="s">
        <v>377</v>
      </c>
      <c r="D762" t="s">
        <v>26</v>
      </c>
      <c r="E762" t="s">
        <v>403</v>
      </c>
      <c r="F762" t="s">
        <v>408</v>
      </c>
      <c r="G762" s="1" t="s">
        <v>364</v>
      </c>
      <c r="H762" s="1" t="s">
        <v>404</v>
      </c>
      <c r="I762" t="s">
        <v>31</v>
      </c>
      <c r="J762" t="s">
        <v>32</v>
      </c>
      <c r="K762" t="s">
        <v>203</v>
      </c>
      <c r="L762" t="s">
        <v>34</v>
      </c>
      <c r="M762" t="s">
        <v>206</v>
      </c>
      <c r="N762">
        <v>20</v>
      </c>
      <c r="O762" t="s">
        <v>197</v>
      </c>
      <c r="Q762" t="s">
        <v>414</v>
      </c>
      <c r="S762" t="s">
        <v>198</v>
      </c>
    </row>
    <row r="763" spans="1:19" x14ac:dyDescent="0.25">
      <c r="A763">
        <v>144795</v>
      </c>
      <c r="B763">
        <v>2025</v>
      </c>
      <c r="C763" t="s">
        <v>377</v>
      </c>
      <c r="D763" t="s">
        <v>26</v>
      </c>
      <c r="E763" t="s">
        <v>403</v>
      </c>
      <c r="F763" t="s">
        <v>408</v>
      </c>
      <c r="G763" s="1" t="s">
        <v>364</v>
      </c>
      <c r="H763" s="1" t="s">
        <v>404</v>
      </c>
      <c r="I763" t="s">
        <v>31</v>
      </c>
      <c r="J763" t="s">
        <v>32</v>
      </c>
      <c r="K763" t="s">
        <v>203</v>
      </c>
      <c r="L763" t="s">
        <v>34</v>
      </c>
      <c r="M763" t="s">
        <v>206</v>
      </c>
      <c r="N763">
        <v>21</v>
      </c>
      <c r="O763" t="s">
        <v>197</v>
      </c>
      <c r="Q763" t="s">
        <v>414</v>
      </c>
      <c r="S763" t="s">
        <v>198</v>
      </c>
    </row>
    <row r="764" spans="1:19" x14ac:dyDescent="0.25">
      <c r="A764">
        <v>144795</v>
      </c>
      <c r="B764">
        <v>2025</v>
      </c>
      <c r="C764" t="s">
        <v>377</v>
      </c>
      <c r="D764" t="s">
        <v>26</v>
      </c>
      <c r="E764" t="s">
        <v>403</v>
      </c>
      <c r="F764" t="s">
        <v>408</v>
      </c>
      <c r="G764" s="1" t="s">
        <v>364</v>
      </c>
      <c r="H764" s="1" t="s">
        <v>404</v>
      </c>
      <c r="I764" t="s">
        <v>31</v>
      </c>
      <c r="J764" t="s">
        <v>32</v>
      </c>
      <c r="K764" t="s">
        <v>203</v>
      </c>
      <c r="L764" t="s">
        <v>34</v>
      </c>
      <c r="M764" t="s">
        <v>206</v>
      </c>
      <c r="N764">
        <v>22</v>
      </c>
      <c r="O764" t="s">
        <v>66</v>
      </c>
      <c r="Q764" t="s">
        <v>414</v>
      </c>
      <c r="S764" t="s">
        <v>67</v>
      </c>
    </row>
    <row r="765" spans="1:19" x14ac:dyDescent="0.25">
      <c r="A765">
        <v>144795</v>
      </c>
      <c r="B765">
        <v>2025</v>
      </c>
      <c r="C765" t="s">
        <v>377</v>
      </c>
      <c r="D765" t="s">
        <v>26</v>
      </c>
      <c r="E765" t="s">
        <v>403</v>
      </c>
      <c r="F765" t="s">
        <v>408</v>
      </c>
      <c r="G765" s="1" t="s">
        <v>364</v>
      </c>
      <c r="H765" s="1" t="s">
        <v>404</v>
      </c>
      <c r="I765" t="s">
        <v>31</v>
      </c>
      <c r="J765" t="s">
        <v>32</v>
      </c>
      <c r="K765" t="s">
        <v>203</v>
      </c>
      <c r="L765" t="s">
        <v>34</v>
      </c>
      <c r="M765" t="s">
        <v>206</v>
      </c>
      <c r="N765">
        <v>23</v>
      </c>
      <c r="O765" t="s">
        <v>197</v>
      </c>
      <c r="Q765" t="s">
        <v>414</v>
      </c>
      <c r="R765" t="s">
        <v>190</v>
      </c>
      <c r="S765" t="s">
        <v>198</v>
      </c>
    </row>
    <row r="766" spans="1:19" x14ac:dyDescent="0.25">
      <c r="A766">
        <v>144795</v>
      </c>
      <c r="B766">
        <v>2025</v>
      </c>
      <c r="C766" t="s">
        <v>377</v>
      </c>
      <c r="D766" t="s">
        <v>26</v>
      </c>
      <c r="E766" t="s">
        <v>403</v>
      </c>
      <c r="F766" t="s">
        <v>408</v>
      </c>
      <c r="G766" s="1" t="s">
        <v>364</v>
      </c>
      <c r="H766" s="1" t="s">
        <v>404</v>
      </c>
      <c r="I766" t="s">
        <v>31</v>
      </c>
      <c r="J766" t="s">
        <v>32</v>
      </c>
      <c r="K766" t="s">
        <v>203</v>
      </c>
      <c r="L766" t="s">
        <v>34</v>
      </c>
      <c r="M766" t="s">
        <v>206</v>
      </c>
      <c r="N766">
        <v>24</v>
      </c>
      <c r="O766" t="s">
        <v>197</v>
      </c>
      <c r="Q766" t="s">
        <v>414</v>
      </c>
      <c r="S766" t="s">
        <v>198</v>
      </c>
    </row>
    <row r="767" spans="1:19" x14ac:dyDescent="0.25">
      <c r="A767">
        <v>144795</v>
      </c>
      <c r="B767">
        <v>2025</v>
      </c>
      <c r="C767" t="s">
        <v>377</v>
      </c>
      <c r="D767" t="s">
        <v>26</v>
      </c>
      <c r="E767" t="s">
        <v>403</v>
      </c>
      <c r="F767" t="s">
        <v>408</v>
      </c>
      <c r="G767" s="1" t="s">
        <v>364</v>
      </c>
      <c r="H767" s="1" t="s">
        <v>404</v>
      </c>
      <c r="I767" t="s">
        <v>31</v>
      </c>
      <c r="J767" t="s">
        <v>32</v>
      </c>
      <c r="K767" t="s">
        <v>203</v>
      </c>
      <c r="L767" t="s">
        <v>34</v>
      </c>
      <c r="M767" t="s">
        <v>206</v>
      </c>
      <c r="N767">
        <v>25</v>
      </c>
      <c r="O767" t="s">
        <v>57</v>
      </c>
      <c r="Q767" t="s">
        <v>414</v>
      </c>
      <c r="R767" t="s">
        <v>190</v>
      </c>
      <c r="S767" t="s">
        <v>58</v>
      </c>
    </row>
    <row r="768" spans="1:19" x14ac:dyDescent="0.25">
      <c r="A768">
        <v>144795</v>
      </c>
      <c r="B768">
        <v>2025</v>
      </c>
      <c r="C768" t="s">
        <v>377</v>
      </c>
      <c r="D768" t="s">
        <v>26</v>
      </c>
      <c r="E768" t="s">
        <v>403</v>
      </c>
      <c r="F768" t="s">
        <v>410</v>
      </c>
      <c r="G768" s="1" t="s">
        <v>364</v>
      </c>
      <c r="H768" s="1" t="s">
        <v>404</v>
      </c>
      <c r="I768" t="s">
        <v>31</v>
      </c>
      <c r="J768" t="s">
        <v>32</v>
      </c>
      <c r="K768" t="s">
        <v>203</v>
      </c>
      <c r="L768" t="s">
        <v>34</v>
      </c>
      <c r="M768" t="s">
        <v>206</v>
      </c>
      <c r="N768">
        <v>1</v>
      </c>
      <c r="O768" t="s">
        <v>57</v>
      </c>
      <c r="Q768" t="s">
        <v>414</v>
      </c>
      <c r="R768" t="s">
        <v>190</v>
      </c>
      <c r="S768" t="s">
        <v>58</v>
      </c>
    </row>
    <row r="769" spans="1:19" x14ac:dyDescent="0.25">
      <c r="A769">
        <v>144795</v>
      </c>
      <c r="B769">
        <v>2025</v>
      </c>
      <c r="C769" t="s">
        <v>377</v>
      </c>
      <c r="D769" t="s">
        <v>26</v>
      </c>
      <c r="E769" t="s">
        <v>403</v>
      </c>
      <c r="F769" t="s">
        <v>410</v>
      </c>
      <c r="G769" s="1" t="s">
        <v>364</v>
      </c>
      <c r="H769" s="1" t="s">
        <v>404</v>
      </c>
      <c r="I769" t="s">
        <v>31</v>
      </c>
      <c r="J769" t="s">
        <v>32</v>
      </c>
      <c r="K769" t="s">
        <v>203</v>
      </c>
      <c r="L769" t="s">
        <v>34</v>
      </c>
      <c r="M769" t="s">
        <v>206</v>
      </c>
      <c r="N769">
        <v>2</v>
      </c>
      <c r="O769" t="s">
        <v>66</v>
      </c>
      <c r="Q769" t="s">
        <v>414</v>
      </c>
      <c r="R769" t="s">
        <v>190</v>
      </c>
      <c r="S769" t="s">
        <v>67</v>
      </c>
    </row>
    <row r="770" spans="1:19" x14ac:dyDescent="0.25">
      <c r="A770">
        <v>144795</v>
      </c>
      <c r="B770">
        <v>2025</v>
      </c>
      <c r="C770" t="s">
        <v>377</v>
      </c>
      <c r="D770" t="s">
        <v>26</v>
      </c>
      <c r="E770" t="s">
        <v>403</v>
      </c>
      <c r="F770" t="s">
        <v>410</v>
      </c>
      <c r="G770" s="1" t="s">
        <v>364</v>
      </c>
      <c r="H770" s="1" t="s">
        <v>404</v>
      </c>
      <c r="I770" t="s">
        <v>31</v>
      </c>
      <c r="J770" t="s">
        <v>32</v>
      </c>
      <c r="K770" t="s">
        <v>203</v>
      </c>
      <c r="L770" t="s">
        <v>34</v>
      </c>
      <c r="M770" t="s">
        <v>206</v>
      </c>
      <c r="N770">
        <v>3</v>
      </c>
      <c r="O770" t="s">
        <v>57</v>
      </c>
      <c r="Q770" t="s">
        <v>414</v>
      </c>
      <c r="S770" t="s">
        <v>58</v>
      </c>
    </row>
    <row r="771" spans="1:19" x14ac:dyDescent="0.25">
      <c r="A771">
        <v>144795</v>
      </c>
      <c r="B771">
        <v>2025</v>
      </c>
      <c r="C771" t="s">
        <v>377</v>
      </c>
      <c r="D771" t="s">
        <v>26</v>
      </c>
      <c r="E771" t="s">
        <v>403</v>
      </c>
      <c r="F771" t="s">
        <v>410</v>
      </c>
      <c r="G771" s="1" t="s">
        <v>364</v>
      </c>
      <c r="H771" s="1" t="s">
        <v>404</v>
      </c>
      <c r="I771" t="s">
        <v>31</v>
      </c>
      <c r="J771" t="s">
        <v>32</v>
      </c>
      <c r="K771" t="s">
        <v>203</v>
      </c>
      <c r="L771" t="s">
        <v>34</v>
      </c>
      <c r="M771" t="s">
        <v>206</v>
      </c>
      <c r="N771">
        <v>4</v>
      </c>
      <c r="O771" t="s">
        <v>66</v>
      </c>
      <c r="Q771" t="s">
        <v>414</v>
      </c>
      <c r="R771" t="s">
        <v>190</v>
      </c>
      <c r="S771" t="s">
        <v>67</v>
      </c>
    </row>
    <row r="772" spans="1:19" x14ac:dyDescent="0.25">
      <c r="A772">
        <v>144795</v>
      </c>
      <c r="B772">
        <v>2025</v>
      </c>
      <c r="C772" t="s">
        <v>377</v>
      </c>
      <c r="D772" t="s">
        <v>26</v>
      </c>
      <c r="E772" t="s">
        <v>403</v>
      </c>
      <c r="F772" t="s">
        <v>410</v>
      </c>
      <c r="G772" s="1" t="s">
        <v>364</v>
      </c>
      <c r="H772" s="1" t="s">
        <v>404</v>
      </c>
      <c r="I772" t="s">
        <v>31</v>
      </c>
      <c r="J772" t="s">
        <v>32</v>
      </c>
      <c r="K772" t="s">
        <v>203</v>
      </c>
      <c r="L772" t="s">
        <v>34</v>
      </c>
      <c r="M772" t="s">
        <v>206</v>
      </c>
      <c r="N772">
        <v>5</v>
      </c>
      <c r="O772" t="s">
        <v>57</v>
      </c>
      <c r="Q772" t="s">
        <v>414</v>
      </c>
      <c r="S772" t="s">
        <v>58</v>
      </c>
    </row>
    <row r="773" spans="1:19" x14ac:dyDescent="0.25">
      <c r="A773">
        <v>144795</v>
      </c>
      <c r="B773">
        <v>2025</v>
      </c>
      <c r="C773" t="s">
        <v>377</v>
      </c>
      <c r="D773" t="s">
        <v>26</v>
      </c>
      <c r="E773" t="s">
        <v>403</v>
      </c>
      <c r="F773" t="s">
        <v>410</v>
      </c>
      <c r="G773" s="1" t="s">
        <v>364</v>
      </c>
      <c r="H773" s="1" t="s">
        <v>404</v>
      </c>
      <c r="I773" t="s">
        <v>31</v>
      </c>
      <c r="J773" t="s">
        <v>32</v>
      </c>
      <c r="K773" t="s">
        <v>203</v>
      </c>
      <c r="L773" t="s">
        <v>34</v>
      </c>
      <c r="M773" t="s">
        <v>206</v>
      </c>
      <c r="N773">
        <v>6</v>
      </c>
      <c r="O773" t="s">
        <v>197</v>
      </c>
      <c r="Q773" t="s">
        <v>414</v>
      </c>
      <c r="R773" t="s">
        <v>190</v>
      </c>
      <c r="S773" t="s">
        <v>198</v>
      </c>
    </row>
    <row r="774" spans="1:19" x14ac:dyDescent="0.25">
      <c r="A774">
        <v>144795</v>
      </c>
      <c r="B774">
        <v>2025</v>
      </c>
      <c r="C774" t="s">
        <v>377</v>
      </c>
      <c r="D774" t="s">
        <v>26</v>
      </c>
      <c r="E774" t="s">
        <v>403</v>
      </c>
      <c r="F774" t="s">
        <v>410</v>
      </c>
      <c r="G774" s="1" t="s">
        <v>364</v>
      </c>
      <c r="H774" s="1" t="s">
        <v>404</v>
      </c>
      <c r="I774" t="s">
        <v>31</v>
      </c>
      <c r="J774" t="s">
        <v>32</v>
      </c>
      <c r="K774" t="s">
        <v>203</v>
      </c>
      <c r="L774" t="s">
        <v>34</v>
      </c>
      <c r="M774" t="s">
        <v>206</v>
      </c>
      <c r="N774">
        <v>7</v>
      </c>
      <c r="O774" t="s">
        <v>57</v>
      </c>
      <c r="Q774" t="s">
        <v>414</v>
      </c>
      <c r="R774" t="s">
        <v>190</v>
      </c>
      <c r="S774" t="s">
        <v>58</v>
      </c>
    </row>
    <row r="775" spans="1:19" x14ac:dyDescent="0.25">
      <c r="A775">
        <v>144795</v>
      </c>
      <c r="B775">
        <v>2025</v>
      </c>
      <c r="C775" t="s">
        <v>377</v>
      </c>
      <c r="D775" t="s">
        <v>26</v>
      </c>
      <c r="E775" t="s">
        <v>403</v>
      </c>
      <c r="F775" t="s">
        <v>410</v>
      </c>
      <c r="G775" s="1" t="s">
        <v>364</v>
      </c>
      <c r="H775" s="1" t="s">
        <v>404</v>
      </c>
      <c r="I775" t="s">
        <v>31</v>
      </c>
      <c r="J775" t="s">
        <v>32</v>
      </c>
      <c r="K775" t="s">
        <v>203</v>
      </c>
      <c r="L775" t="s">
        <v>34</v>
      </c>
      <c r="M775" t="s">
        <v>206</v>
      </c>
      <c r="N775">
        <v>8</v>
      </c>
      <c r="O775" t="s">
        <v>57</v>
      </c>
      <c r="Q775" t="s">
        <v>414</v>
      </c>
      <c r="R775" t="s">
        <v>190</v>
      </c>
      <c r="S775" t="s">
        <v>58</v>
      </c>
    </row>
    <row r="776" spans="1:19" x14ac:dyDescent="0.25">
      <c r="A776">
        <v>144795</v>
      </c>
      <c r="B776">
        <v>2025</v>
      </c>
      <c r="C776" t="s">
        <v>377</v>
      </c>
      <c r="D776" t="s">
        <v>26</v>
      </c>
      <c r="E776" t="s">
        <v>403</v>
      </c>
      <c r="F776" t="s">
        <v>410</v>
      </c>
      <c r="G776" s="1" t="s">
        <v>364</v>
      </c>
      <c r="H776" s="1" t="s">
        <v>404</v>
      </c>
      <c r="I776" t="s">
        <v>31</v>
      </c>
      <c r="J776" t="s">
        <v>32</v>
      </c>
      <c r="K776" t="s">
        <v>203</v>
      </c>
      <c r="L776" t="s">
        <v>34</v>
      </c>
      <c r="M776" t="s">
        <v>206</v>
      </c>
      <c r="N776">
        <v>9</v>
      </c>
      <c r="O776" t="s">
        <v>197</v>
      </c>
      <c r="Q776" t="s">
        <v>414</v>
      </c>
      <c r="S776" t="s">
        <v>198</v>
      </c>
    </row>
    <row r="777" spans="1:19" x14ac:dyDescent="0.25">
      <c r="A777">
        <v>144795</v>
      </c>
      <c r="B777">
        <v>2025</v>
      </c>
      <c r="C777" t="s">
        <v>377</v>
      </c>
      <c r="D777" t="s">
        <v>26</v>
      </c>
      <c r="E777" t="s">
        <v>403</v>
      </c>
      <c r="F777" t="s">
        <v>410</v>
      </c>
      <c r="G777" s="1" t="s">
        <v>364</v>
      </c>
      <c r="H777" s="1" t="s">
        <v>404</v>
      </c>
      <c r="I777" t="s">
        <v>31</v>
      </c>
      <c r="J777" t="s">
        <v>32</v>
      </c>
      <c r="K777" t="s">
        <v>203</v>
      </c>
      <c r="L777" t="s">
        <v>34</v>
      </c>
      <c r="M777" t="s">
        <v>206</v>
      </c>
      <c r="N777">
        <v>10</v>
      </c>
      <c r="O777" t="s">
        <v>66</v>
      </c>
      <c r="Q777" t="s">
        <v>414</v>
      </c>
      <c r="S777" t="s">
        <v>67</v>
      </c>
    </row>
    <row r="778" spans="1:19" x14ac:dyDescent="0.25">
      <c r="A778">
        <v>144795</v>
      </c>
      <c r="B778">
        <v>2025</v>
      </c>
      <c r="C778" t="s">
        <v>377</v>
      </c>
      <c r="D778" t="s">
        <v>26</v>
      </c>
      <c r="E778" t="s">
        <v>403</v>
      </c>
      <c r="F778" t="s">
        <v>410</v>
      </c>
      <c r="G778" s="1" t="s">
        <v>364</v>
      </c>
      <c r="H778" s="1" t="s">
        <v>404</v>
      </c>
      <c r="I778" t="s">
        <v>31</v>
      </c>
      <c r="J778" t="s">
        <v>32</v>
      </c>
      <c r="K778" t="s">
        <v>203</v>
      </c>
      <c r="L778" t="s">
        <v>34</v>
      </c>
      <c r="M778" t="s">
        <v>206</v>
      </c>
      <c r="N778">
        <v>11</v>
      </c>
      <c r="O778" t="s">
        <v>275</v>
      </c>
      <c r="Q778" t="s">
        <v>414</v>
      </c>
      <c r="R778" t="s">
        <v>190</v>
      </c>
      <c r="S778" t="s">
        <v>276</v>
      </c>
    </row>
    <row r="779" spans="1:19" x14ac:dyDescent="0.25">
      <c r="A779">
        <v>144795</v>
      </c>
      <c r="B779">
        <v>2025</v>
      </c>
      <c r="C779" t="s">
        <v>377</v>
      </c>
      <c r="D779" t="s">
        <v>26</v>
      </c>
      <c r="E779" t="s">
        <v>403</v>
      </c>
      <c r="F779" t="s">
        <v>410</v>
      </c>
      <c r="G779" s="1" t="s">
        <v>364</v>
      </c>
      <c r="H779" s="1" t="s">
        <v>404</v>
      </c>
      <c r="I779" t="s">
        <v>31</v>
      </c>
      <c r="J779" t="s">
        <v>32</v>
      </c>
      <c r="K779" t="s">
        <v>203</v>
      </c>
      <c r="L779" t="s">
        <v>34</v>
      </c>
      <c r="M779" t="s">
        <v>206</v>
      </c>
      <c r="N779">
        <v>12</v>
      </c>
      <c r="O779" t="s">
        <v>197</v>
      </c>
      <c r="Q779" t="s">
        <v>414</v>
      </c>
      <c r="R779" t="s">
        <v>190</v>
      </c>
      <c r="S779" t="s">
        <v>198</v>
      </c>
    </row>
    <row r="780" spans="1:19" x14ac:dyDescent="0.25">
      <c r="A780">
        <v>144795</v>
      </c>
      <c r="B780">
        <v>2025</v>
      </c>
      <c r="C780" t="s">
        <v>377</v>
      </c>
      <c r="D780" t="s">
        <v>26</v>
      </c>
      <c r="E780" t="s">
        <v>403</v>
      </c>
      <c r="F780" t="s">
        <v>410</v>
      </c>
      <c r="G780" s="1" t="s">
        <v>364</v>
      </c>
      <c r="H780" s="1" t="s">
        <v>404</v>
      </c>
      <c r="I780" t="s">
        <v>31</v>
      </c>
      <c r="J780" t="s">
        <v>32</v>
      </c>
      <c r="K780" t="s">
        <v>203</v>
      </c>
      <c r="L780" t="s">
        <v>34</v>
      </c>
      <c r="M780" t="s">
        <v>206</v>
      </c>
      <c r="N780">
        <v>13</v>
      </c>
      <c r="O780" t="s">
        <v>66</v>
      </c>
      <c r="Q780" t="s">
        <v>414</v>
      </c>
      <c r="R780" t="s">
        <v>190</v>
      </c>
      <c r="S780" t="s">
        <v>67</v>
      </c>
    </row>
    <row r="781" spans="1:19" x14ac:dyDescent="0.25">
      <c r="A781">
        <v>144795</v>
      </c>
      <c r="B781">
        <v>2025</v>
      </c>
      <c r="C781" t="s">
        <v>377</v>
      </c>
      <c r="D781" t="s">
        <v>26</v>
      </c>
      <c r="E781" t="s">
        <v>403</v>
      </c>
      <c r="F781" t="s">
        <v>410</v>
      </c>
      <c r="G781" s="1" t="s">
        <v>364</v>
      </c>
      <c r="H781" s="1" t="s">
        <v>404</v>
      </c>
      <c r="I781" t="s">
        <v>31</v>
      </c>
      <c r="J781" t="s">
        <v>32</v>
      </c>
      <c r="K781" t="s">
        <v>203</v>
      </c>
      <c r="L781" t="s">
        <v>34</v>
      </c>
      <c r="M781" t="s">
        <v>206</v>
      </c>
      <c r="N781">
        <v>14</v>
      </c>
      <c r="O781" t="s">
        <v>57</v>
      </c>
      <c r="Q781" t="s">
        <v>414</v>
      </c>
      <c r="R781" t="s">
        <v>190</v>
      </c>
      <c r="S781" t="s">
        <v>58</v>
      </c>
    </row>
    <row r="782" spans="1:19" x14ac:dyDescent="0.25">
      <c r="A782">
        <v>144795</v>
      </c>
      <c r="B782">
        <v>2025</v>
      </c>
      <c r="C782" t="s">
        <v>377</v>
      </c>
      <c r="D782" t="s">
        <v>26</v>
      </c>
      <c r="E782" t="s">
        <v>403</v>
      </c>
      <c r="F782" t="s">
        <v>410</v>
      </c>
      <c r="G782" s="1" t="s">
        <v>364</v>
      </c>
      <c r="H782" s="1" t="s">
        <v>404</v>
      </c>
      <c r="I782" t="s">
        <v>31</v>
      </c>
      <c r="J782" t="s">
        <v>32</v>
      </c>
      <c r="K782" t="s">
        <v>203</v>
      </c>
      <c r="L782" t="s">
        <v>34</v>
      </c>
      <c r="M782" t="s">
        <v>206</v>
      </c>
      <c r="N782">
        <v>15</v>
      </c>
      <c r="O782" t="s">
        <v>57</v>
      </c>
      <c r="Q782" t="s">
        <v>414</v>
      </c>
      <c r="S782" t="s">
        <v>58</v>
      </c>
    </row>
    <row r="783" spans="1:19" x14ac:dyDescent="0.25">
      <c r="A783">
        <v>144795</v>
      </c>
      <c r="B783">
        <v>2025</v>
      </c>
      <c r="C783" t="s">
        <v>377</v>
      </c>
      <c r="D783" t="s">
        <v>26</v>
      </c>
      <c r="E783" t="s">
        <v>403</v>
      </c>
      <c r="F783" t="s">
        <v>410</v>
      </c>
      <c r="G783" s="1" t="s">
        <v>364</v>
      </c>
      <c r="H783" s="1" t="s">
        <v>404</v>
      </c>
      <c r="I783" t="s">
        <v>31</v>
      </c>
      <c r="J783" t="s">
        <v>32</v>
      </c>
      <c r="K783" t="s">
        <v>203</v>
      </c>
      <c r="L783" t="s">
        <v>34</v>
      </c>
      <c r="M783" t="s">
        <v>206</v>
      </c>
      <c r="N783">
        <v>16</v>
      </c>
      <c r="O783" t="s">
        <v>66</v>
      </c>
      <c r="R783" t="s">
        <v>249</v>
      </c>
      <c r="S783" t="s">
        <v>67</v>
      </c>
    </row>
    <row r="784" spans="1:19" x14ac:dyDescent="0.25">
      <c r="A784">
        <v>144795</v>
      </c>
      <c r="B784">
        <v>2025</v>
      </c>
      <c r="C784" t="s">
        <v>377</v>
      </c>
      <c r="D784" t="s">
        <v>26</v>
      </c>
      <c r="E784" t="s">
        <v>403</v>
      </c>
      <c r="F784" t="s">
        <v>410</v>
      </c>
      <c r="G784" s="1" t="s">
        <v>364</v>
      </c>
      <c r="H784" s="1" t="s">
        <v>404</v>
      </c>
      <c r="I784" t="s">
        <v>31</v>
      </c>
      <c r="J784" t="s">
        <v>32</v>
      </c>
      <c r="K784" t="s">
        <v>203</v>
      </c>
      <c r="L784" t="s">
        <v>34</v>
      </c>
      <c r="M784" t="s">
        <v>206</v>
      </c>
      <c r="N784">
        <v>17</v>
      </c>
      <c r="O784" t="s">
        <v>57</v>
      </c>
      <c r="Q784" t="s">
        <v>414</v>
      </c>
      <c r="S784" t="s">
        <v>58</v>
      </c>
    </row>
    <row r="785" spans="1:19" x14ac:dyDescent="0.25">
      <c r="A785">
        <v>144795</v>
      </c>
      <c r="B785">
        <v>2025</v>
      </c>
      <c r="C785" t="s">
        <v>377</v>
      </c>
      <c r="D785" t="s">
        <v>26</v>
      </c>
      <c r="E785" t="s">
        <v>403</v>
      </c>
      <c r="F785" t="s">
        <v>410</v>
      </c>
      <c r="G785" s="1" t="s">
        <v>364</v>
      </c>
      <c r="H785" s="1" t="s">
        <v>404</v>
      </c>
      <c r="I785" t="s">
        <v>31</v>
      </c>
      <c r="J785" t="s">
        <v>32</v>
      </c>
      <c r="K785" t="s">
        <v>203</v>
      </c>
      <c r="L785" t="s">
        <v>34</v>
      </c>
      <c r="M785" t="s">
        <v>206</v>
      </c>
      <c r="N785">
        <v>18</v>
      </c>
      <c r="O785" t="s">
        <v>57</v>
      </c>
      <c r="Q785" t="s">
        <v>414</v>
      </c>
      <c r="R785" t="s">
        <v>190</v>
      </c>
      <c r="S785" t="s">
        <v>58</v>
      </c>
    </row>
    <row r="786" spans="1:19" x14ac:dyDescent="0.25">
      <c r="A786">
        <v>144795</v>
      </c>
      <c r="B786">
        <v>2025</v>
      </c>
      <c r="C786" t="s">
        <v>377</v>
      </c>
      <c r="D786" t="s">
        <v>26</v>
      </c>
      <c r="E786" t="s">
        <v>403</v>
      </c>
      <c r="F786" t="s">
        <v>410</v>
      </c>
      <c r="G786" s="1" t="s">
        <v>364</v>
      </c>
      <c r="H786" s="1" t="s">
        <v>404</v>
      </c>
      <c r="I786" t="s">
        <v>31</v>
      </c>
      <c r="J786" t="s">
        <v>32</v>
      </c>
      <c r="K786" t="s">
        <v>203</v>
      </c>
      <c r="L786" t="s">
        <v>34</v>
      </c>
      <c r="M786" t="s">
        <v>206</v>
      </c>
      <c r="N786">
        <v>19</v>
      </c>
      <c r="O786" t="s">
        <v>66</v>
      </c>
      <c r="Q786" t="s">
        <v>414</v>
      </c>
      <c r="S786" t="s">
        <v>67</v>
      </c>
    </row>
    <row r="787" spans="1:19" x14ac:dyDescent="0.25">
      <c r="A787">
        <v>144795</v>
      </c>
      <c r="B787">
        <v>2025</v>
      </c>
      <c r="C787" t="s">
        <v>377</v>
      </c>
      <c r="D787" t="s">
        <v>26</v>
      </c>
      <c r="E787" t="s">
        <v>403</v>
      </c>
      <c r="F787" t="s">
        <v>410</v>
      </c>
      <c r="G787" s="1" t="s">
        <v>364</v>
      </c>
      <c r="H787" s="1" t="s">
        <v>404</v>
      </c>
      <c r="I787" t="s">
        <v>31</v>
      </c>
      <c r="J787" t="s">
        <v>32</v>
      </c>
      <c r="K787" t="s">
        <v>203</v>
      </c>
      <c r="L787" t="s">
        <v>34</v>
      </c>
      <c r="M787" t="s">
        <v>206</v>
      </c>
      <c r="N787">
        <v>20</v>
      </c>
      <c r="O787" t="s">
        <v>57</v>
      </c>
      <c r="Q787" t="s">
        <v>414</v>
      </c>
      <c r="R787" t="s">
        <v>190</v>
      </c>
      <c r="S787" t="s">
        <v>58</v>
      </c>
    </row>
    <row r="788" spans="1:19" x14ac:dyDescent="0.25">
      <c r="A788">
        <v>144795</v>
      </c>
      <c r="B788">
        <v>2025</v>
      </c>
      <c r="C788" t="s">
        <v>377</v>
      </c>
      <c r="D788" t="s">
        <v>26</v>
      </c>
      <c r="E788" t="s">
        <v>403</v>
      </c>
      <c r="F788" t="s">
        <v>410</v>
      </c>
      <c r="G788" s="1" t="s">
        <v>364</v>
      </c>
      <c r="H788" s="1" t="s">
        <v>404</v>
      </c>
      <c r="I788" t="s">
        <v>31</v>
      </c>
      <c r="J788" t="s">
        <v>32</v>
      </c>
      <c r="K788" t="s">
        <v>203</v>
      </c>
      <c r="L788" t="s">
        <v>34</v>
      </c>
      <c r="M788" t="s">
        <v>206</v>
      </c>
      <c r="N788">
        <v>21</v>
      </c>
      <c r="O788" t="s">
        <v>57</v>
      </c>
      <c r="Q788" t="s">
        <v>414</v>
      </c>
      <c r="S788" t="s">
        <v>58</v>
      </c>
    </row>
    <row r="789" spans="1:19" x14ac:dyDescent="0.25">
      <c r="A789">
        <v>144795</v>
      </c>
      <c r="B789">
        <v>2025</v>
      </c>
      <c r="C789" t="s">
        <v>377</v>
      </c>
      <c r="D789" t="s">
        <v>26</v>
      </c>
      <c r="E789" t="s">
        <v>403</v>
      </c>
      <c r="F789" t="s">
        <v>410</v>
      </c>
      <c r="G789" s="1" t="s">
        <v>364</v>
      </c>
      <c r="H789" s="1" t="s">
        <v>404</v>
      </c>
      <c r="I789" t="s">
        <v>31</v>
      </c>
      <c r="J789" t="s">
        <v>32</v>
      </c>
      <c r="K789" t="s">
        <v>203</v>
      </c>
      <c r="L789" t="s">
        <v>34</v>
      </c>
      <c r="M789" t="s">
        <v>206</v>
      </c>
      <c r="N789">
        <v>22</v>
      </c>
      <c r="O789" t="s">
        <v>57</v>
      </c>
      <c r="Q789" t="s">
        <v>414</v>
      </c>
      <c r="R789" t="s">
        <v>190</v>
      </c>
      <c r="S789" t="s">
        <v>58</v>
      </c>
    </row>
    <row r="790" spans="1:19" x14ac:dyDescent="0.25">
      <c r="A790">
        <v>144795</v>
      </c>
      <c r="B790">
        <v>2025</v>
      </c>
      <c r="C790" t="s">
        <v>377</v>
      </c>
      <c r="D790" t="s">
        <v>26</v>
      </c>
      <c r="E790" t="s">
        <v>403</v>
      </c>
      <c r="F790" t="s">
        <v>410</v>
      </c>
      <c r="G790" s="1" t="s">
        <v>364</v>
      </c>
      <c r="H790" s="1" t="s">
        <v>404</v>
      </c>
      <c r="I790" t="s">
        <v>31</v>
      </c>
      <c r="J790" t="s">
        <v>32</v>
      </c>
      <c r="K790" t="s">
        <v>203</v>
      </c>
      <c r="L790" t="s">
        <v>34</v>
      </c>
      <c r="M790" t="s">
        <v>206</v>
      </c>
      <c r="N790">
        <v>23</v>
      </c>
      <c r="O790" t="s">
        <v>66</v>
      </c>
      <c r="R790" t="s">
        <v>249</v>
      </c>
      <c r="S790" t="s">
        <v>67</v>
      </c>
    </row>
    <row r="791" spans="1:19" x14ac:dyDescent="0.25">
      <c r="A791">
        <v>144795</v>
      </c>
      <c r="B791">
        <v>2025</v>
      </c>
      <c r="C791" t="s">
        <v>377</v>
      </c>
      <c r="D791" t="s">
        <v>26</v>
      </c>
      <c r="E791" t="s">
        <v>403</v>
      </c>
      <c r="F791" t="s">
        <v>410</v>
      </c>
      <c r="G791" s="1" t="s">
        <v>364</v>
      </c>
      <c r="H791" s="1" t="s">
        <v>404</v>
      </c>
      <c r="I791" t="s">
        <v>31</v>
      </c>
      <c r="J791" t="s">
        <v>32</v>
      </c>
      <c r="K791" t="s">
        <v>203</v>
      </c>
      <c r="L791" t="s">
        <v>34</v>
      </c>
      <c r="M791" t="s">
        <v>206</v>
      </c>
      <c r="N791">
        <v>24</v>
      </c>
      <c r="O791" t="s">
        <v>57</v>
      </c>
      <c r="Q791" t="s">
        <v>414</v>
      </c>
      <c r="R791" t="s">
        <v>190</v>
      </c>
      <c r="S791" t="s">
        <v>58</v>
      </c>
    </row>
    <row r="792" spans="1:19" x14ac:dyDescent="0.25">
      <c r="A792">
        <v>144795</v>
      </c>
      <c r="B792">
        <v>2025</v>
      </c>
      <c r="C792" t="s">
        <v>377</v>
      </c>
      <c r="D792" t="s">
        <v>26</v>
      </c>
      <c r="E792" t="s">
        <v>403</v>
      </c>
      <c r="F792" t="s">
        <v>410</v>
      </c>
      <c r="G792" s="1" t="s">
        <v>364</v>
      </c>
      <c r="H792" s="1" t="s">
        <v>404</v>
      </c>
      <c r="I792" t="s">
        <v>31</v>
      </c>
      <c r="J792" t="s">
        <v>32</v>
      </c>
      <c r="K792" t="s">
        <v>203</v>
      </c>
      <c r="L792" t="s">
        <v>34</v>
      </c>
      <c r="M792" t="s">
        <v>206</v>
      </c>
      <c r="N792">
        <v>25</v>
      </c>
      <c r="Q792" t="s">
        <v>59</v>
      </c>
    </row>
    <row r="793" spans="1:19" x14ac:dyDescent="0.25">
      <c r="A793">
        <v>144795</v>
      </c>
      <c r="B793">
        <v>2025</v>
      </c>
      <c r="C793" t="s">
        <v>377</v>
      </c>
      <c r="D793" t="s">
        <v>26</v>
      </c>
      <c r="E793" t="s">
        <v>403</v>
      </c>
      <c r="F793" t="s">
        <v>412</v>
      </c>
      <c r="G793" s="1" t="s">
        <v>364</v>
      </c>
      <c r="H793" s="1" t="s">
        <v>404</v>
      </c>
      <c r="I793" t="s">
        <v>31</v>
      </c>
      <c r="J793" t="s">
        <v>32</v>
      </c>
      <c r="K793" t="s">
        <v>203</v>
      </c>
      <c r="L793" t="s">
        <v>34</v>
      </c>
      <c r="M793" t="s">
        <v>206</v>
      </c>
      <c r="N793">
        <v>1</v>
      </c>
      <c r="O793" t="s">
        <v>57</v>
      </c>
      <c r="R793" t="s">
        <v>190</v>
      </c>
      <c r="S793" t="s">
        <v>58</v>
      </c>
    </row>
    <row r="794" spans="1:19" x14ac:dyDescent="0.25">
      <c r="A794">
        <v>144795</v>
      </c>
      <c r="B794">
        <v>2025</v>
      </c>
      <c r="C794" t="s">
        <v>377</v>
      </c>
      <c r="D794" t="s">
        <v>26</v>
      </c>
      <c r="E794" t="s">
        <v>403</v>
      </c>
      <c r="F794" t="s">
        <v>412</v>
      </c>
      <c r="G794" s="1" t="s">
        <v>364</v>
      </c>
      <c r="H794" s="1" t="s">
        <v>404</v>
      </c>
      <c r="I794" t="s">
        <v>31</v>
      </c>
      <c r="J794" t="s">
        <v>32</v>
      </c>
      <c r="K794" t="s">
        <v>203</v>
      </c>
      <c r="L794" t="s">
        <v>34</v>
      </c>
      <c r="M794" t="s">
        <v>206</v>
      </c>
      <c r="N794">
        <v>2</v>
      </c>
      <c r="P794" t="s">
        <v>102</v>
      </c>
      <c r="Q794" t="s">
        <v>149</v>
      </c>
      <c r="R794" t="s">
        <v>248</v>
      </c>
      <c r="S794" t="s">
        <v>103</v>
      </c>
    </row>
    <row r="795" spans="1:19" x14ac:dyDescent="0.25">
      <c r="A795">
        <v>144795</v>
      </c>
      <c r="B795">
        <v>2025</v>
      </c>
      <c r="C795" t="s">
        <v>377</v>
      </c>
      <c r="D795" t="s">
        <v>26</v>
      </c>
      <c r="E795" t="s">
        <v>403</v>
      </c>
      <c r="F795" t="s">
        <v>412</v>
      </c>
      <c r="G795" s="1" t="s">
        <v>364</v>
      </c>
      <c r="H795" s="1" t="s">
        <v>404</v>
      </c>
      <c r="I795" t="s">
        <v>31</v>
      </c>
      <c r="J795" t="s">
        <v>32</v>
      </c>
      <c r="K795" t="s">
        <v>203</v>
      </c>
      <c r="L795" t="s">
        <v>34</v>
      </c>
      <c r="M795" t="s">
        <v>206</v>
      </c>
      <c r="N795">
        <v>3</v>
      </c>
      <c r="O795" t="s">
        <v>57</v>
      </c>
      <c r="R795" t="s">
        <v>190</v>
      </c>
      <c r="S795" t="s">
        <v>58</v>
      </c>
    </row>
    <row r="796" spans="1:19" x14ac:dyDescent="0.25">
      <c r="A796">
        <v>144795</v>
      </c>
      <c r="B796">
        <v>2025</v>
      </c>
      <c r="C796" t="s">
        <v>377</v>
      </c>
      <c r="D796" t="s">
        <v>26</v>
      </c>
      <c r="E796" t="s">
        <v>403</v>
      </c>
      <c r="F796" t="s">
        <v>412</v>
      </c>
      <c r="G796" s="1" t="s">
        <v>364</v>
      </c>
      <c r="H796" s="1" t="s">
        <v>404</v>
      </c>
      <c r="I796" t="s">
        <v>31</v>
      </c>
      <c r="J796" t="s">
        <v>32</v>
      </c>
      <c r="K796" t="s">
        <v>203</v>
      </c>
      <c r="L796" t="s">
        <v>34</v>
      </c>
      <c r="M796" t="s">
        <v>206</v>
      </c>
      <c r="N796">
        <v>4</v>
      </c>
      <c r="O796" t="s">
        <v>68</v>
      </c>
      <c r="R796" t="s">
        <v>190</v>
      </c>
      <c r="S796" t="s">
        <v>69</v>
      </c>
    </row>
    <row r="797" spans="1:19" x14ac:dyDescent="0.25">
      <c r="A797">
        <v>144795</v>
      </c>
      <c r="B797">
        <v>2025</v>
      </c>
      <c r="C797" t="s">
        <v>377</v>
      </c>
      <c r="D797" t="s">
        <v>26</v>
      </c>
      <c r="E797" t="s">
        <v>403</v>
      </c>
      <c r="F797" t="s">
        <v>412</v>
      </c>
      <c r="G797" s="1" t="s">
        <v>364</v>
      </c>
      <c r="H797" s="1" t="s">
        <v>404</v>
      </c>
      <c r="I797" t="s">
        <v>31</v>
      </c>
      <c r="J797" t="s">
        <v>32</v>
      </c>
      <c r="K797" t="s">
        <v>203</v>
      </c>
      <c r="L797" t="s">
        <v>34</v>
      </c>
      <c r="M797" t="s">
        <v>206</v>
      </c>
      <c r="N797">
        <v>5</v>
      </c>
      <c r="O797" t="s">
        <v>57</v>
      </c>
      <c r="S797" t="s">
        <v>58</v>
      </c>
    </row>
    <row r="798" spans="1:19" x14ac:dyDescent="0.25">
      <c r="A798">
        <v>144795</v>
      </c>
      <c r="B798">
        <v>2025</v>
      </c>
      <c r="C798" t="s">
        <v>377</v>
      </c>
      <c r="D798" t="s">
        <v>26</v>
      </c>
      <c r="E798" t="s">
        <v>403</v>
      </c>
      <c r="F798" t="s">
        <v>412</v>
      </c>
      <c r="G798" s="1" t="s">
        <v>364</v>
      </c>
      <c r="H798" s="1" t="s">
        <v>404</v>
      </c>
      <c r="I798" t="s">
        <v>31</v>
      </c>
      <c r="J798" t="s">
        <v>32</v>
      </c>
      <c r="K798" t="s">
        <v>203</v>
      </c>
      <c r="L798" t="s">
        <v>34</v>
      </c>
      <c r="M798" t="s">
        <v>206</v>
      </c>
      <c r="N798">
        <v>6</v>
      </c>
      <c r="O798" t="s">
        <v>57</v>
      </c>
      <c r="S798" t="s">
        <v>58</v>
      </c>
    </row>
    <row r="799" spans="1:19" x14ac:dyDescent="0.25">
      <c r="A799">
        <v>144795</v>
      </c>
      <c r="B799">
        <v>2025</v>
      </c>
      <c r="C799" t="s">
        <v>377</v>
      </c>
      <c r="D799" t="s">
        <v>26</v>
      </c>
      <c r="E799" t="s">
        <v>403</v>
      </c>
      <c r="F799" t="s">
        <v>412</v>
      </c>
      <c r="G799" s="1" t="s">
        <v>364</v>
      </c>
      <c r="H799" s="1" t="s">
        <v>404</v>
      </c>
      <c r="I799" t="s">
        <v>31</v>
      </c>
      <c r="J799" t="s">
        <v>32</v>
      </c>
      <c r="K799" t="s">
        <v>203</v>
      </c>
      <c r="L799" t="s">
        <v>34</v>
      </c>
      <c r="M799" t="s">
        <v>206</v>
      </c>
      <c r="N799">
        <v>7</v>
      </c>
      <c r="O799" t="s">
        <v>57</v>
      </c>
      <c r="R799" t="s">
        <v>190</v>
      </c>
      <c r="S799" t="s">
        <v>58</v>
      </c>
    </row>
    <row r="800" spans="1:19" x14ac:dyDescent="0.25">
      <c r="A800">
        <v>144795</v>
      </c>
      <c r="B800">
        <v>2025</v>
      </c>
      <c r="C800" t="s">
        <v>377</v>
      </c>
      <c r="D800" t="s">
        <v>26</v>
      </c>
      <c r="E800" t="s">
        <v>403</v>
      </c>
      <c r="F800" t="s">
        <v>412</v>
      </c>
      <c r="G800" s="1" t="s">
        <v>364</v>
      </c>
      <c r="H800" s="1" t="s">
        <v>404</v>
      </c>
      <c r="I800" t="s">
        <v>31</v>
      </c>
      <c r="J800" t="s">
        <v>32</v>
      </c>
      <c r="K800" t="s">
        <v>203</v>
      </c>
      <c r="L800" t="s">
        <v>34</v>
      </c>
      <c r="M800" t="s">
        <v>206</v>
      </c>
      <c r="N800">
        <v>8</v>
      </c>
      <c r="O800" t="s">
        <v>68</v>
      </c>
      <c r="R800" t="s">
        <v>190</v>
      </c>
      <c r="S800" t="s">
        <v>69</v>
      </c>
    </row>
    <row r="801" spans="1:19" x14ac:dyDescent="0.25">
      <c r="A801">
        <v>144795</v>
      </c>
      <c r="B801">
        <v>2025</v>
      </c>
      <c r="C801" t="s">
        <v>377</v>
      </c>
      <c r="D801" t="s">
        <v>26</v>
      </c>
      <c r="E801" t="s">
        <v>403</v>
      </c>
      <c r="F801" t="s">
        <v>412</v>
      </c>
      <c r="G801" s="1" t="s">
        <v>364</v>
      </c>
      <c r="H801" s="1" t="s">
        <v>404</v>
      </c>
      <c r="I801" t="s">
        <v>31</v>
      </c>
      <c r="J801" t="s">
        <v>32</v>
      </c>
      <c r="K801" t="s">
        <v>203</v>
      </c>
      <c r="L801" t="s">
        <v>34</v>
      </c>
      <c r="M801" t="s">
        <v>206</v>
      </c>
      <c r="N801">
        <v>9</v>
      </c>
      <c r="O801" t="s">
        <v>197</v>
      </c>
      <c r="R801" t="s">
        <v>190</v>
      </c>
      <c r="S801" t="s">
        <v>198</v>
      </c>
    </row>
    <row r="802" spans="1:19" x14ac:dyDescent="0.25">
      <c r="A802">
        <v>144795</v>
      </c>
      <c r="B802">
        <v>2025</v>
      </c>
      <c r="C802" t="s">
        <v>377</v>
      </c>
      <c r="D802" t="s">
        <v>26</v>
      </c>
      <c r="E802" t="s">
        <v>403</v>
      </c>
      <c r="F802" t="s">
        <v>412</v>
      </c>
      <c r="G802" s="1" t="s">
        <v>364</v>
      </c>
      <c r="H802" s="1" t="s">
        <v>404</v>
      </c>
      <c r="I802" t="s">
        <v>31</v>
      </c>
      <c r="J802" t="s">
        <v>32</v>
      </c>
      <c r="K802" t="s">
        <v>203</v>
      </c>
      <c r="L802" t="s">
        <v>34</v>
      </c>
      <c r="M802" t="s">
        <v>206</v>
      </c>
      <c r="N802">
        <v>10</v>
      </c>
      <c r="O802" t="s">
        <v>68</v>
      </c>
      <c r="R802" t="s">
        <v>190</v>
      </c>
      <c r="S802" t="s">
        <v>69</v>
      </c>
    </row>
    <row r="803" spans="1:19" x14ac:dyDescent="0.25">
      <c r="A803">
        <v>144795</v>
      </c>
      <c r="B803">
        <v>2025</v>
      </c>
      <c r="C803" t="s">
        <v>377</v>
      </c>
      <c r="D803" t="s">
        <v>26</v>
      </c>
      <c r="E803" t="s">
        <v>403</v>
      </c>
      <c r="F803" t="s">
        <v>412</v>
      </c>
      <c r="G803" s="1" t="s">
        <v>364</v>
      </c>
      <c r="H803" s="1" t="s">
        <v>404</v>
      </c>
      <c r="I803" t="s">
        <v>31</v>
      </c>
      <c r="J803" t="s">
        <v>32</v>
      </c>
      <c r="K803" t="s">
        <v>203</v>
      </c>
      <c r="L803" t="s">
        <v>34</v>
      </c>
      <c r="M803" t="s">
        <v>206</v>
      </c>
      <c r="N803">
        <v>11</v>
      </c>
      <c r="O803" t="s">
        <v>57</v>
      </c>
      <c r="R803" t="s">
        <v>190</v>
      </c>
      <c r="S803" t="s">
        <v>58</v>
      </c>
    </row>
    <row r="804" spans="1:19" x14ac:dyDescent="0.25">
      <c r="A804">
        <v>144795</v>
      </c>
      <c r="B804">
        <v>2025</v>
      </c>
      <c r="C804" t="s">
        <v>377</v>
      </c>
      <c r="D804" t="s">
        <v>26</v>
      </c>
      <c r="E804" t="s">
        <v>403</v>
      </c>
      <c r="F804" t="s">
        <v>412</v>
      </c>
      <c r="G804" s="1" t="s">
        <v>364</v>
      </c>
      <c r="H804" s="1" t="s">
        <v>404</v>
      </c>
      <c r="I804" t="s">
        <v>31</v>
      </c>
      <c r="J804" t="s">
        <v>32</v>
      </c>
      <c r="K804" t="s">
        <v>203</v>
      </c>
      <c r="L804" t="s">
        <v>34</v>
      </c>
      <c r="M804" t="s">
        <v>206</v>
      </c>
      <c r="N804">
        <v>12</v>
      </c>
      <c r="Q804" t="s">
        <v>375</v>
      </c>
    </row>
    <row r="805" spans="1:19" x14ac:dyDescent="0.25">
      <c r="A805">
        <v>144795</v>
      </c>
      <c r="B805">
        <v>2025</v>
      </c>
      <c r="C805" t="s">
        <v>377</v>
      </c>
      <c r="D805" t="s">
        <v>26</v>
      </c>
      <c r="E805" t="s">
        <v>403</v>
      </c>
      <c r="F805" t="s">
        <v>412</v>
      </c>
      <c r="G805" s="1" t="s">
        <v>364</v>
      </c>
      <c r="H805" s="1" t="s">
        <v>404</v>
      </c>
      <c r="I805" t="s">
        <v>31</v>
      </c>
      <c r="J805" t="s">
        <v>32</v>
      </c>
      <c r="K805" t="s">
        <v>203</v>
      </c>
      <c r="L805" t="s">
        <v>34</v>
      </c>
      <c r="M805" t="s">
        <v>206</v>
      </c>
      <c r="N805">
        <v>13</v>
      </c>
      <c r="O805" t="s">
        <v>57</v>
      </c>
      <c r="S805" t="s">
        <v>58</v>
      </c>
    </row>
    <row r="806" spans="1:19" x14ac:dyDescent="0.25">
      <c r="A806">
        <v>144795</v>
      </c>
      <c r="B806">
        <v>2025</v>
      </c>
      <c r="C806" t="s">
        <v>377</v>
      </c>
      <c r="D806" t="s">
        <v>26</v>
      </c>
      <c r="E806" t="s">
        <v>403</v>
      </c>
      <c r="F806" t="s">
        <v>412</v>
      </c>
      <c r="G806" s="1" t="s">
        <v>364</v>
      </c>
      <c r="H806" s="1" t="s">
        <v>404</v>
      </c>
      <c r="I806" t="s">
        <v>31</v>
      </c>
      <c r="J806" t="s">
        <v>32</v>
      </c>
      <c r="K806" t="s">
        <v>203</v>
      </c>
      <c r="L806" t="s">
        <v>34</v>
      </c>
      <c r="M806" t="s">
        <v>206</v>
      </c>
      <c r="N806">
        <v>14</v>
      </c>
      <c r="O806" t="s">
        <v>197</v>
      </c>
      <c r="S806" t="s">
        <v>198</v>
      </c>
    </row>
    <row r="807" spans="1:19" x14ac:dyDescent="0.25">
      <c r="A807">
        <v>129185</v>
      </c>
      <c r="B807">
        <v>2024</v>
      </c>
      <c r="C807" t="s">
        <v>377</v>
      </c>
      <c r="D807" t="s">
        <v>26</v>
      </c>
      <c r="E807" t="s">
        <v>265</v>
      </c>
      <c r="F807" t="s">
        <v>424</v>
      </c>
      <c r="G807" s="1" t="s">
        <v>415</v>
      </c>
      <c r="H807" s="1" t="s">
        <v>415</v>
      </c>
      <c r="I807" t="s">
        <v>31</v>
      </c>
      <c r="J807" t="s">
        <v>32</v>
      </c>
      <c r="K807" t="s">
        <v>203</v>
      </c>
      <c r="L807" t="s">
        <v>34</v>
      </c>
      <c r="M807" t="s">
        <v>206</v>
      </c>
      <c r="N807">
        <v>1</v>
      </c>
      <c r="O807" t="s">
        <v>57</v>
      </c>
      <c r="S807" t="s">
        <v>58</v>
      </c>
    </row>
    <row r="808" spans="1:19" x14ac:dyDescent="0.25">
      <c r="A808">
        <v>129185</v>
      </c>
      <c r="B808">
        <v>2024</v>
      </c>
      <c r="C808" t="s">
        <v>377</v>
      </c>
      <c r="D808" t="s">
        <v>26</v>
      </c>
      <c r="E808" t="s">
        <v>265</v>
      </c>
      <c r="F808" t="s">
        <v>424</v>
      </c>
      <c r="G808" s="1" t="s">
        <v>415</v>
      </c>
      <c r="H808" s="1" t="s">
        <v>415</v>
      </c>
      <c r="I808" t="s">
        <v>31</v>
      </c>
      <c r="J808" t="s">
        <v>32</v>
      </c>
      <c r="K808" t="s">
        <v>203</v>
      </c>
      <c r="L808" t="s">
        <v>34</v>
      </c>
      <c r="M808" t="s">
        <v>206</v>
      </c>
      <c r="N808">
        <v>2</v>
      </c>
      <c r="O808" t="s">
        <v>57</v>
      </c>
      <c r="S808" t="s">
        <v>58</v>
      </c>
    </row>
    <row r="809" spans="1:19" x14ac:dyDescent="0.25">
      <c r="A809">
        <v>129185</v>
      </c>
      <c r="B809">
        <v>2024</v>
      </c>
      <c r="C809" t="s">
        <v>377</v>
      </c>
      <c r="D809" t="s">
        <v>26</v>
      </c>
      <c r="E809" t="s">
        <v>265</v>
      </c>
      <c r="F809" t="s">
        <v>424</v>
      </c>
      <c r="G809" s="1" t="s">
        <v>415</v>
      </c>
      <c r="H809" s="1" t="s">
        <v>415</v>
      </c>
      <c r="I809" t="s">
        <v>31</v>
      </c>
      <c r="J809" t="s">
        <v>32</v>
      </c>
      <c r="K809" t="s">
        <v>203</v>
      </c>
      <c r="L809" t="s">
        <v>34</v>
      </c>
      <c r="M809" t="s">
        <v>206</v>
      </c>
      <c r="N809">
        <v>3</v>
      </c>
      <c r="O809" t="s">
        <v>57</v>
      </c>
      <c r="S809" t="s">
        <v>58</v>
      </c>
    </row>
    <row r="810" spans="1:19" x14ac:dyDescent="0.25">
      <c r="A810">
        <v>129185</v>
      </c>
      <c r="B810">
        <v>2024</v>
      </c>
      <c r="C810" t="s">
        <v>377</v>
      </c>
      <c r="D810" t="s">
        <v>26</v>
      </c>
      <c r="E810" t="s">
        <v>265</v>
      </c>
      <c r="F810" t="s">
        <v>424</v>
      </c>
      <c r="G810" s="1" t="s">
        <v>415</v>
      </c>
      <c r="H810" s="1" t="s">
        <v>415</v>
      </c>
      <c r="I810" t="s">
        <v>31</v>
      </c>
      <c r="J810" t="s">
        <v>32</v>
      </c>
      <c r="K810" t="s">
        <v>203</v>
      </c>
      <c r="L810" t="s">
        <v>34</v>
      </c>
      <c r="M810" t="s">
        <v>206</v>
      </c>
      <c r="N810">
        <v>4</v>
      </c>
      <c r="O810" t="s">
        <v>57</v>
      </c>
      <c r="S810" t="s">
        <v>58</v>
      </c>
    </row>
    <row r="811" spans="1:19" x14ac:dyDescent="0.25">
      <c r="A811">
        <v>129185</v>
      </c>
      <c r="B811">
        <v>2024</v>
      </c>
      <c r="C811" t="s">
        <v>377</v>
      </c>
      <c r="D811" t="s">
        <v>26</v>
      </c>
      <c r="E811" t="s">
        <v>265</v>
      </c>
      <c r="F811" t="s">
        <v>424</v>
      </c>
      <c r="G811" s="1" t="s">
        <v>415</v>
      </c>
      <c r="H811" s="1" t="s">
        <v>415</v>
      </c>
      <c r="I811" t="s">
        <v>31</v>
      </c>
      <c r="J811" t="s">
        <v>32</v>
      </c>
      <c r="K811" t="s">
        <v>203</v>
      </c>
      <c r="L811" t="s">
        <v>34</v>
      </c>
      <c r="M811" t="s">
        <v>206</v>
      </c>
      <c r="N811">
        <v>5</v>
      </c>
      <c r="O811" t="s">
        <v>57</v>
      </c>
      <c r="S811" t="s">
        <v>58</v>
      </c>
    </row>
    <row r="812" spans="1:19" x14ac:dyDescent="0.25">
      <c r="A812">
        <v>129185</v>
      </c>
      <c r="B812">
        <v>2024</v>
      </c>
      <c r="C812" t="s">
        <v>377</v>
      </c>
      <c r="D812" t="s">
        <v>26</v>
      </c>
      <c r="E812" t="s">
        <v>265</v>
      </c>
      <c r="F812" t="s">
        <v>424</v>
      </c>
      <c r="G812" s="1" t="s">
        <v>415</v>
      </c>
      <c r="H812" s="1" t="s">
        <v>415</v>
      </c>
      <c r="I812" t="s">
        <v>31</v>
      </c>
      <c r="J812" t="s">
        <v>32</v>
      </c>
      <c r="K812" t="s">
        <v>203</v>
      </c>
      <c r="L812" t="s">
        <v>34</v>
      </c>
      <c r="M812" t="s">
        <v>206</v>
      </c>
      <c r="N812">
        <v>6</v>
      </c>
      <c r="O812" t="s">
        <v>57</v>
      </c>
      <c r="S812" t="s">
        <v>58</v>
      </c>
    </row>
    <row r="813" spans="1:19" x14ac:dyDescent="0.25">
      <c r="A813">
        <v>129185</v>
      </c>
      <c r="B813">
        <v>2024</v>
      </c>
      <c r="C813" t="s">
        <v>377</v>
      </c>
      <c r="D813" t="s">
        <v>26</v>
      </c>
      <c r="E813" t="s">
        <v>265</v>
      </c>
      <c r="F813" t="s">
        <v>424</v>
      </c>
      <c r="G813" s="1" t="s">
        <v>415</v>
      </c>
      <c r="H813" s="1" t="s">
        <v>415</v>
      </c>
      <c r="I813" t="s">
        <v>31</v>
      </c>
      <c r="J813" t="s">
        <v>32</v>
      </c>
      <c r="K813" t="s">
        <v>203</v>
      </c>
      <c r="L813" t="s">
        <v>34</v>
      </c>
      <c r="M813" t="s">
        <v>206</v>
      </c>
      <c r="N813">
        <v>7</v>
      </c>
      <c r="P813" t="s">
        <v>99</v>
      </c>
      <c r="Q813" t="s">
        <v>149</v>
      </c>
      <c r="R813" t="s">
        <v>248</v>
      </c>
      <c r="S813" t="s">
        <v>100</v>
      </c>
    </row>
    <row r="814" spans="1:19" x14ac:dyDescent="0.25">
      <c r="A814">
        <v>129185</v>
      </c>
      <c r="B814">
        <v>2024</v>
      </c>
      <c r="C814" t="s">
        <v>377</v>
      </c>
      <c r="D814" t="s">
        <v>26</v>
      </c>
      <c r="E814" t="s">
        <v>265</v>
      </c>
      <c r="F814" t="s">
        <v>424</v>
      </c>
      <c r="G814" s="1" t="s">
        <v>415</v>
      </c>
      <c r="H814" s="1" t="s">
        <v>415</v>
      </c>
      <c r="I814" t="s">
        <v>31</v>
      </c>
      <c r="J814" t="s">
        <v>32</v>
      </c>
      <c r="K814" t="s">
        <v>203</v>
      </c>
      <c r="L814" t="s">
        <v>34</v>
      </c>
      <c r="M814" t="s">
        <v>206</v>
      </c>
      <c r="N814">
        <v>8</v>
      </c>
      <c r="O814" t="s">
        <v>57</v>
      </c>
      <c r="S814" t="s">
        <v>58</v>
      </c>
    </row>
    <row r="815" spans="1:19" x14ac:dyDescent="0.25">
      <c r="A815">
        <v>129185</v>
      </c>
      <c r="B815">
        <v>2024</v>
      </c>
      <c r="C815" t="s">
        <v>377</v>
      </c>
      <c r="D815" t="s">
        <v>26</v>
      </c>
      <c r="E815" t="s">
        <v>265</v>
      </c>
      <c r="F815" t="s">
        <v>424</v>
      </c>
      <c r="G815" s="1" t="s">
        <v>415</v>
      </c>
      <c r="H815" s="1" t="s">
        <v>415</v>
      </c>
      <c r="I815" t="s">
        <v>31</v>
      </c>
      <c r="J815" t="s">
        <v>32</v>
      </c>
      <c r="K815" t="s">
        <v>203</v>
      </c>
      <c r="L815" t="s">
        <v>34</v>
      </c>
      <c r="M815" t="s">
        <v>206</v>
      </c>
      <c r="N815">
        <v>9</v>
      </c>
      <c r="O815" t="s">
        <v>68</v>
      </c>
      <c r="S815" t="s">
        <v>69</v>
      </c>
    </row>
    <row r="816" spans="1:19" x14ac:dyDescent="0.25">
      <c r="A816">
        <v>129185</v>
      </c>
      <c r="B816">
        <v>2024</v>
      </c>
      <c r="C816" t="s">
        <v>377</v>
      </c>
      <c r="D816" t="s">
        <v>26</v>
      </c>
      <c r="E816" t="s">
        <v>265</v>
      </c>
      <c r="F816" t="s">
        <v>424</v>
      </c>
      <c r="G816" s="1" t="s">
        <v>415</v>
      </c>
      <c r="H816" s="1" t="s">
        <v>415</v>
      </c>
      <c r="I816" t="s">
        <v>31</v>
      </c>
      <c r="J816" t="s">
        <v>32</v>
      </c>
      <c r="K816" t="s">
        <v>203</v>
      </c>
      <c r="L816" t="s">
        <v>34</v>
      </c>
      <c r="M816" t="s">
        <v>206</v>
      </c>
      <c r="N816">
        <v>10</v>
      </c>
      <c r="O816" t="s">
        <v>57</v>
      </c>
      <c r="S816" t="s">
        <v>58</v>
      </c>
    </row>
    <row r="817" spans="1:19" x14ac:dyDescent="0.25">
      <c r="A817">
        <v>129185</v>
      </c>
      <c r="B817">
        <v>2024</v>
      </c>
      <c r="C817" t="s">
        <v>377</v>
      </c>
      <c r="D817" t="s">
        <v>26</v>
      </c>
      <c r="E817" t="s">
        <v>265</v>
      </c>
      <c r="F817" t="s">
        <v>424</v>
      </c>
      <c r="G817" s="1" t="s">
        <v>415</v>
      </c>
      <c r="H817" s="1" t="s">
        <v>415</v>
      </c>
      <c r="I817" t="s">
        <v>31</v>
      </c>
      <c r="J817" t="s">
        <v>32</v>
      </c>
      <c r="K817" t="s">
        <v>203</v>
      </c>
      <c r="L817" t="s">
        <v>34</v>
      </c>
      <c r="M817" t="s">
        <v>206</v>
      </c>
      <c r="N817">
        <v>11</v>
      </c>
      <c r="O817" t="s">
        <v>57</v>
      </c>
      <c r="S817" t="s">
        <v>58</v>
      </c>
    </row>
    <row r="818" spans="1:19" x14ac:dyDescent="0.25">
      <c r="A818">
        <v>129185</v>
      </c>
      <c r="B818">
        <v>2024</v>
      </c>
      <c r="C818" t="s">
        <v>377</v>
      </c>
      <c r="D818" t="s">
        <v>26</v>
      </c>
      <c r="E818" t="s">
        <v>265</v>
      </c>
      <c r="F818" t="s">
        <v>424</v>
      </c>
      <c r="G818" s="1" t="s">
        <v>415</v>
      </c>
      <c r="H818" s="1" t="s">
        <v>415</v>
      </c>
      <c r="I818" t="s">
        <v>31</v>
      </c>
      <c r="J818" t="s">
        <v>32</v>
      </c>
      <c r="K818" t="s">
        <v>203</v>
      </c>
      <c r="L818" t="s">
        <v>34</v>
      </c>
      <c r="M818" t="s">
        <v>206</v>
      </c>
      <c r="N818">
        <v>12</v>
      </c>
      <c r="O818" t="s">
        <v>57</v>
      </c>
      <c r="S818" t="s">
        <v>58</v>
      </c>
    </row>
    <row r="819" spans="1:19" x14ac:dyDescent="0.25">
      <c r="A819">
        <v>129185</v>
      </c>
      <c r="B819">
        <v>2024</v>
      </c>
      <c r="C819" t="s">
        <v>377</v>
      </c>
      <c r="D819" t="s">
        <v>26</v>
      </c>
      <c r="E819" t="s">
        <v>265</v>
      </c>
      <c r="F819" t="s">
        <v>424</v>
      </c>
      <c r="G819" s="1" t="s">
        <v>415</v>
      </c>
      <c r="H819" s="1" t="s">
        <v>415</v>
      </c>
      <c r="I819" t="s">
        <v>31</v>
      </c>
      <c r="J819" t="s">
        <v>32</v>
      </c>
      <c r="K819" t="s">
        <v>203</v>
      </c>
      <c r="L819" t="s">
        <v>34</v>
      </c>
      <c r="M819" t="s">
        <v>206</v>
      </c>
      <c r="N819">
        <v>13</v>
      </c>
      <c r="O819" t="s">
        <v>68</v>
      </c>
      <c r="S819" t="s">
        <v>69</v>
      </c>
    </row>
    <row r="820" spans="1:19" x14ac:dyDescent="0.25">
      <c r="A820">
        <v>129185</v>
      </c>
      <c r="B820">
        <v>2024</v>
      </c>
      <c r="C820" t="s">
        <v>377</v>
      </c>
      <c r="D820" t="s">
        <v>26</v>
      </c>
      <c r="E820" t="s">
        <v>265</v>
      </c>
      <c r="F820" t="s">
        <v>424</v>
      </c>
      <c r="G820" s="1" t="s">
        <v>415</v>
      </c>
      <c r="H820" s="1" t="s">
        <v>415</v>
      </c>
      <c r="I820" t="s">
        <v>31</v>
      </c>
      <c r="J820" t="s">
        <v>32</v>
      </c>
      <c r="K820" t="s">
        <v>203</v>
      </c>
      <c r="L820" t="s">
        <v>34</v>
      </c>
      <c r="M820" t="s">
        <v>206</v>
      </c>
      <c r="N820">
        <v>14</v>
      </c>
      <c r="O820" t="s">
        <v>68</v>
      </c>
      <c r="S820" t="s">
        <v>69</v>
      </c>
    </row>
    <row r="821" spans="1:19" x14ac:dyDescent="0.25">
      <c r="A821">
        <v>129185</v>
      </c>
      <c r="B821">
        <v>2024</v>
      </c>
      <c r="C821" t="s">
        <v>377</v>
      </c>
      <c r="D821" t="s">
        <v>26</v>
      </c>
      <c r="E821" t="s">
        <v>265</v>
      </c>
      <c r="F821" t="s">
        <v>424</v>
      </c>
      <c r="G821" s="1" t="s">
        <v>415</v>
      </c>
      <c r="H821" s="1" t="s">
        <v>415</v>
      </c>
      <c r="I821" t="s">
        <v>31</v>
      </c>
      <c r="J821" t="s">
        <v>32</v>
      </c>
      <c r="K821" t="s">
        <v>203</v>
      </c>
      <c r="L821" t="s">
        <v>34</v>
      </c>
      <c r="M821" t="s">
        <v>206</v>
      </c>
      <c r="N821">
        <v>15</v>
      </c>
      <c r="O821" t="s">
        <v>68</v>
      </c>
      <c r="S821" t="s">
        <v>69</v>
      </c>
    </row>
    <row r="822" spans="1:19" x14ac:dyDescent="0.25">
      <c r="A822">
        <v>129185</v>
      </c>
      <c r="B822">
        <v>2024</v>
      </c>
      <c r="C822" t="s">
        <v>377</v>
      </c>
      <c r="D822" t="s">
        <v>26</v>
      </c>
      <c r="E822" t="s">
        <v>265</v>
      </c>
      <c r="F822" t="s">
        <v>424</v>
      </c>
      <c r="G822" s="1" t="s">
        <v>415</v>
      </c>
      <c r="H822" s="1" t="s">
        <v>415</v>
      </c>
      <c r="I822" t="s">
        <v>31</v>
      </c>
      <c r="J822" t="s">
        <v>32</v>
      </c>
      <c r="K822" t="s">
        <v>203</v>
      </c>
      <c r="L822" t="s">
        <v>34</v>
      </c>
      <c r="M822" t="s">
        <v>206</v>
      </c>
      <c r="N822">
        <v>16</v>
      </c>
      <c r="O822" t="s">
        <v>68</v>
      </c>
      <c r="R822" t="s">
        <v>190</v>
      </c>
      <c r="S822" t="s">
        <v>69</v>
      </c>
    </row>
    <row r="823" spans="1:19" x14ac:dyDescent="0.25">
      <c r="A823">
        <v>129185</v>
      </c>
      <c r="B823">
        <v>2024</v>
      </c>
      <c r="C823" t="s">
        <v>377</v>
      </c>
      <c r="D823" t="s">
        <v>26</v>
      </c>
      <c r="E823" t="s">
        <v>265</v>
      </c>
      <c r="F823" t="s">
        <v>424</v>
      </c>
      <c r="G823" s="1" t="s">
        <v>415</v>
      </c>
      <c r="H823" s="1" t="s">
        <v>415</v>
      </c>
      <c r="I823" t="s">
        <v>31</v>
      </c>
      <c r="J823" t="s">
        <v>32</v>
      </c>
      <c r="K823" t="s">
        <v>203</v>
      </c>
      <c r="L823" t="s">
        <v>34</v>
      </c>
      <c r="M823" t="s">
        <v>206</v>
      </c>
      <c r="N823">
        <v>17</v>
      </c>
      <c r="O823" t="s">
        <v>68</v>
      </c>
      <c r="S823" t="s">
        <v>69</v>
      </c>
    </row>
    <row r="824" spans="1:19" x14ac:dyDescent="0.25">
      <c r="A824">
        <v>129185</v>
      </c>
      <c r="B824">
        <v>2024</v>
      </c>
      <c r="C824" t="s">
        <v>377</v>
      </c>
      <c r="D824" t="s">
        <v>26</v>
      </c>
      <c r="E824" t="s">
        <v>265</v>
      </c>
      <c r="F824" t="s">
        <v>424</v>
      </c>
      <c r="G824" s="1" t="s">
        <v>415</v>
      </c>
      <c r="H824" s="1" t="s">
        <v>415</v>
      </c>
      <c r="I824" t="s">
        <v>31</v>
      </c>
      <c r="J824" t="s">
        <v>32</v>
      </c>
      <c r="K824" t="s">
        <v>203</v>
      </c>
      <c r="L824" t="s">
        <v>34</v>
      </c>
      <c r="M824" t="s">
        <v>206</v>
      </c>
      <c r="N824">
        <v>18</v>
      </c>
      <c r="O824" t="s">
        <v>57</v>
      </c>
      <c r="S824" t="s">
        <v>58</v>
      </c>
    </row>
    <row r="825" spans="1:19" x14ac:dyDescent="0.25">
      <c r="A825">
        <v>129185</v>
      </c>
      <c r="B825">
        <v>2024</v>
      </c>
      <c r="C825" t="s">
        <v>377</v>
      </c>
      <c r="D825" t="s">
        <v>26</v>
      </c>
      <c r="E825" t="s">
        <v>265</v>
      </c>
      <c r="F825" t="s">
        <v>424</v>
      </c>
      <c r="G825" s="1" t="s">
        <v>415</v>
      </c>
      <c r="H825" s="1" t="s">
        <v>415</v>
      </c>
      <c r="I825" t="s">
        <v>31</v>
      </c>
      <c r="J825" t="s">
        <v>32</v>
      </c>
      <c r="K825" t="s">
        <v>203</v>
      </c>
      <c r="L825" t="s">
        <v>34</v>
      </c>
      <c r="M825" t="s">
        <v>206</v>
      </c>
      <c r="N825">
        <v>19</v>
      </c>
      <c r="P825" t="s">
        <v>99</v>
      </c>
      <c r="Q825" t="s">
        <v>149</v>
      </c>
      <c r="R825" t="s">
        <v>248</v>
      </c>
      <c r="S825" t="s">
        <v>100</v>
      </c>
    </row>
    <row r="826" spans="1:19" x14ac:dyDescent="0.25">
      <c r="A826">
        <v>129185</v>
      </c>
      <c r="B826">
        <v>2024</v>
      </c>
      <c r="C826" t="s">
        <v>377</v>
      </c>
      <c r="D826" t="s">
        <v>26</v>
      </c>
      <c r="E826" t="s">
        <v>265</v>
      </c>
      <c r="F826" t="s">
        <v>424</v>
      </c>
      <c r="G826" s="1" t="s">
        <v>415</v>
      </c>
      <c r="H826" s="1" t="s">
        <v>415</v>
      </c>
      <c r="I826" t="s">
        <v>31</v>
      </c>
      <c r="J826" t="s">
        <v>32</v>
      </c>
      <c r="K826" t="s">
        <v>203</v>
      </c>
      <c r="L826" t="s">
        <v>34</v>
      </c>
      <c r="M826" t="s">
        <v>206</v>
      </c>
      <c r="N826">
        <v>20</v>
      </c>
      <c r="O826" t="s">
        <v>57</v>
      </c>
      <c r="S826" t="s">
        <v>58</v>
      </c>
    </row>
    <row r="827" spans="1:19" x14ac:dyDescent="0.25">
      <c r="A827">
        <v>129185</v>
      </c>
      <c r="B827">
        <v>2024</v>
      </c>
      <c r="C827" t="s">
        <v>377</v>
      </c>
      <c r="D827" t="s">
        <v>26</v>
      </c>
      <c r="E827" t="s">
        <v>265</v>
      </c>
      <c r="F827" t="s">
        <v>424</v>
      </c>
      <c r="G827" s="1" t="s">
        <v>415</v>
      </c>
      <c r="H827" s="1" t="s">
        <v>415</v>
      </c>
      <c r="I827" t="s">
        <v>31</v>
      </c>
      <c r="J827" t="s">
        <v>32</v>
      </c>
      <c r="K827" t="s">
        <v>203</v>
      </c>
      <c r="L827" t="s">
        <v>34</v>
      </c>
      <c r="M827" t="s">
        <v>206</v>
      </c>
      <c r="N827">
        <v>21</v>
      </c>
      <c r="P827" t="s">
        <v>99</v>
      </c>
      <c r="Q827" t="s">
        <v>149</v>
      </c>
      <c r="R827" t="s">
        <v>248</v>
      </c>
      <c r="S827" t="s">
        <v>100</v>
      </c>
    </row>
    <row r="828" spans="1:19" x14ac:dyDescent="0.25">
      <c r="A828">
        <v>129185</v>
      </c>
      <c r="B828">
        <v>2024</v>
      </c>
      <c r="C828" t="s">
        <v>377</v>
      </c>
      <c r="D828" t="s">
        <v>26</v>
      </c>
      <c r="E828" t="s">
        <v>265</v>
      </c>
      <c r="F828" t="s">
        <v>424</v>
      </c>
      <c r="G828" s="1" t="s">
        <v>415</v>
      </c>
      <c r="H828" s="1" t="s">
        <v>415</v>
      </c>
      <c r="I828" t="s">
        <v>31</v>
      </c>
      <c r="J828" t="s">
        <v>32</v>
      </c>
      <c r="K828" t="s">
        <v>203</v>
      </c>
      <c r="L828" t="s">
        <v>34</v>
      </c>
      <c r="M828" t="s">
        <v>206</v>
      </c>
      <c r="N828">
        <v>22</v>
      </c>
      <c r="O828" t="s">
        <v>57</v>
      </c>
      <c r="S828" t="s">
        <v>58</v>
      </c>
    </row>
    <row r="829" spans="1:19" x14ac:dyDescent="0.25">
      <c r="A829">
        <v>129185</v>
      </c>
      <c r="B829">
        <v>2024</v>
      </c>
      <c r="C829" t="s">
        <v>377</v>
      </c>
      <c r="D829" t="s">
        <v>26</v>
      </c>
      <c r="E829" t="s">
        <v>265</v>
      </c>
      <c r="F829" t="s">
        <v>424</v>
      </c>
      <c r="G829" s="1" t="s">
        <v>415</v>
      </c>
      <c r="H829" s="1" t="s">
        <v>415</v>
      </c>
      <c r="I829" t="s">
        <v>31</v>
      </c>
      <c r="J829" t="s">
        <v>32</v>
      </c>
      <c r="K829" t="s">
        <v>203</v>
      </c>
      <c r="L829" t="s">
        <v>34</v>
      </c>
      <c r="M829" t="s">
        <v>206</v>
      </c>
      <c r="N829">
        <v>23</v>
      </c>
      <c r="O829" t="s">
        <v>68</v>
      </c>
      <c r="R829" t="s">
        <v>190</v>
      </c>
      <c r="S829" t="s">
        <v>69</v>
      </c>
    </row>
    <row r="830" spans="1:19" x14ac:dyDescent="0.25">
      <c r="A830">
        <v>129185</v>
      </c>
      <c r="B830">
        <v>2024</v>
      </c>
      <c r="C830" t="s">
        <v>377</v>
      </c>
      <c r="D830" t="s">
        <v>26</v>
      </c>
      <c r="E830" t="s">
        <v>265</v>
      </c>
      <c r="F830" t="s">
        <v>424</v>
      </c>
      <c r="G830" s="1" t="s">
        <v>415</v>
      </c>
      <c r="H830" s="1" t="s">
        <v>415</v>
      </c>
      <c r="I830" t="s">
        <v>31</v>
      </c>
      <c r="J830" t="s">
        <v>32</v>
      </c>
      <c r="K830" t="s">
        <v>203</v>
      </c>
      <c r="L830" t="s">
        <v>34</v>
      </c>
      <c r="M830" t="s">
        <v>206</v>
      </c>
      <c r="N830">
        <v>24</v>
      </c>
      <c r="O830" t="s">
        <v>57</v>
      </c>
      <c r="S830" t="s">
        <v>58</v>
      </c>
    </row>
    <row r="831" spans="1:19" x14ac:dyDescent="0.25">
      <c r="A831">
        <v>129185</v>
      </c>
      <c r="B831">
        <v>2024</v>
      </c>
      <c r="C831" t="s">
        <v>377</v>
      </c>
      <c r="D831" t="s">
        <v>26</v>
      </c>
      <c r="E831" t="s">
        <v>265</v>
      </c>
      <c r="F831" t="s">
        <v>424</v>
      </c>
      <c r="G831" s="1" t="s">
        <v>415</v>
      </c>
      <c r="H831" s="1" t="s">
        <v>415</v>
      </c>
      <c r="I831" t="s">
        <v>31</v>
      </c>
      <c r="J831" t="s">
        <v>32</v>
      </c>
      <c r="K831" t="s">
        <v>203</v>
      </c>
      <c r="L831" t="s">
        <v>34</v>
      </c>
      <c r="M831" t="s">
        <v>206</v>
      </c>
      <c r="N831">
        <v>25</v>
      </c>
      <c r="O831" t="s">
        <v>57</v>
      </c>
      <c r="S831" t="s">
        <v>58</v>
      </c>
    </row>
    <row r="832" spans="1:19" x14ac:dyDescent="0.25">
      <c r="A832">
        <v>129185</v>
      </c>
      <c r="B832">
        <v>2024</v>
      </c>
      <c r="C832" t="s">
        <v>377</v>
      </c>
      <c r="D832" t="s">
        <v>26</v>
      </c>
      <c r="E832" t="s">
        <v>265</v>
      </c>
      <c r="F832" t="s">
        <v>424</v>
      </c>
      <c r="G832" s="1" t="s">
        <v>415</v>
      </c>
      <c r="H832" s="1" t="s">
        <v>415</v>
      </c>
      <c r="I832" t="s">
        <v>31</v>
      </c>
      <c r="J832" t="s">
        <v>32</v>
      </c>
      <c r="K832" t="s">
        <v>203</v>
      </c>
      <c r="L832" t="s">
        <v>34</v>
      </c>
      <c r="M832" t="s">
        <v>206</v>
      </c>
      <c r="N832">
        <v>26</v>
      </c>
      <c r="O832" t="s">
        <v>68</v>
      </c>
      <c r="S832" t="s">
        <v>69</v>
      </c>
    </row>
    <row r="833" spans="1:19" x14ac:dyDescent="0.25">
      <c r="A833">
        <v>129185</v>
      </c>
      <c r="B833">
        <v>2024</v>
      </c>
      <c r="C833" t="s">
        <v>377</v>
      </c>
      <c r="D833" t="s">
        <v>26</v>
      </c>
      <c r="E833" t="s">
        <v>265</v>
      </c>
      <c r="F833" t="s">
        <v>424</v>
      </c>
      <c r="G833" s="1" t="s">
        <v>415</v>
      </c>
      <c r="H833" s="1" t="s">
        <v>415</v>
      </c>
      <c r="I833" t="s">
        <v>31</v>
      </c>
      <c r="J833" t="s">
        <v>32</v>
      </c>
      <c r="K833" t="s">
        <v>203</v>
      </c>
      <c r="L833" t="s">
        <v>34</v>
      </c>
      <c r="M833" t="s">
        <v>206</v>
      </c>
      <c r="N833">
        <v>27</v>
      </c>
      <c r="O833" t="s">
        <v>68</v>
      </c>
      <c r="S833" t="s">
        <v>69</v>
      </c>
    </row>
    <row r="834" spans="1:19" x14ac:dyDescent="0.25">
      <c r="A834">
        <v>129185</v>
      </c>
      <c r="B834">
        <v>2024</v>
      </c>
      <c r="C834" t="s">
        <v>377</v>
      </c>
      <c r="D834" t="s">
        <v>26</v>
      </c>
      <c r="E834" t="s">
        <v>265</v>
      </c>
      <c r="F834" t="s">
        <v>424</v>
      </c>
      <c r="G834" s="1" t="s">
        <v>415</v>
      </c>
      <c r="H834" s="1" t="s">
        <v>415</v>
      </c>
      <c r="I834" t="s">
        <v>31</v>
      </c>
      <c r="J834" t="s">
        <v>32</v>
      </c>
      <c r="K834" t="s">
        <v>203</v>
      </c>
      <c r="L834" t="s">
        <v>34</v>
      </c>
      <c r="M834" t="s">
        <v>206</v>
      </c>
      <c r="N834">
        <v>28</v>
      </c>
      <c r="O834" t="s">
        <v>57</v>
      </c>
      <c r="S834" t="s">
        <v>58</v>
      </c>
    </row>
    <row r="835" spans="1:19" x14ac:dyDescent="0.25">
      <c r="A835">
        <v>129185</v>
      </c>
      <c r="B835">
        <v>2024</v>
      </c>
      <c r="C835" t="s">
        <v>377</v>
      </c>
      <c r="D835" t="s">
        <v>26</v>
      </c>
      <c r="E835" t="s">
        <v>265</v>
      </c>
      <c r="F835" t="s">
        <v>424</v>
      </c>
      <c r="G835" s="1" t="s">
        <v>415</v>
      </c>
      <c r="H835" s="1" t="s">
        <v>415</v>
      </c>
      <c r="I835" t="s">
        <v>31</v>
      </c>
      <c r="J835" t="s">
        <v>32</v>
      </c>
      <c r="K835" t="s">
        <v>203</v>
      </c>
      <c r="L835" t="s">
        <v>34</v>
      </c>
      <c r="M835" t="s">
        <v>206</v>
      </c>
      <c r="N835">
        <v>29</v>
      </c>
      <c r="O835" t="s">
        <v>68</v>
      </c>
      <c r="S835" t="s">
        <v>69</v>
      </c>
    </row>
    <row r="836" spans="1:19" x14ac:dyDescent="0.25">
      <c r="A836">
        <v>129185</v>
      </c>
      <c r="B836">
        <v>2024</v>
      </c>
      <c r="C836" t="s">
        <v>377</v>
      </c>
      <c r="D836" t="s">
        <v>26</v>
      </c>
      <c r="E836" t="s">
        <v>265</v>
      </c>
      <c r="F836" t="s">
        <v>424</v>
      </c>
      <c r="G836" s="1" t="s">
        <v>415</v>
      </c>
      <c r="H836" s="1" t="s">
        <v>415</v>
      </c>
      <c r="I836" t="s">
        <v>31</v>
      </c>
      <c r="J836" t="s">
        <v>32</v>
      </c>
      <c r="K836" t="s">
        <v>203</v>
      </c>
      <c r="L836" t="s">
        <v>34</v>
      </c>
      <c r="M836" t="s">
        <v>206</v>
      </c>
      <c r="N836">
        <v>30</v>
      </c>
      <c r="O836" t="s">
        <v>57</v>
      </c>
      <c r="S836" t="s">
        <v>58</v>
      </c>
    </row>
    <row r="837" spans="1:19" x14ac:dyDescent="0.25">
      <c r="A837">
        <v>129185</v>
      </c>
      <c r="B837">
        <v>2024</v>
      </c>
      <c r="C837" t="s">
        <v>377</v>
      </c>
      <c r="D837" t="s">
        <v>26</v>
      </c>
      <c r="E837" t="s">
        <v>265</v>
      </c>
      <c r="F837" t="s">
        <v>424</v>
      </c>
      <c r="G837" s="1" t="s">
        <v>415</v>
      </c>
      <c r="H837" s="1" t="s">
        <v>415</v>
      </c>
      <c r="I837" t="s">
        <v>31</v>
      </c>
      <c r="J837" t="s">
        <v>32</v>
      </c>
      <c r="K837" t="s">
        <v>203</v>
      </c>
      <c r="L837" t="s">
        <v>34</v>
      </c>
      <c r="M837" t="s">
        <v>206</v>
      </c>
      <c r="N837">
        <v>31</v>
      </c>
      <c r="O837" t="s">
        <v>57</v>
      </c>
      <c r="S837" t="s">
        <v>58</v>
      </c>
    </row>
    <row r="838" spans="1:19" x14ac:dyDescent="0.25">
      <c r="A838">
        <v>129185</v>
      </c>
      <c r="B838">
        <v>2024</v>
      </c>
      <c r="C838" t="s">
        <v>377</v>
      </c>
      <c r="D838" t="s">
        <v>26</v>
      </c>
      <c r="E838" t="s">
        <v>265</v>
      </c>
      <c r="F838" t="s">
        <v>424</v>
      </c>
      <c r="G838" s="1" t="s">
        <v>415</v>
      </c>
      <c r="H838" s="1" t="s">
        <v>415</v>
      </c>
      <c r="I838" t="s">
        <v>31</v>
      </c>
      <c r="J838" t="s">
        <v>32</v>
      </c>
      <c r="K838" t="s">
        <v>203</v>
      </c>
      <c r="L838" t="s">
        <v>34</v>
      </c>
      <c r="M838" t="s">
        <v>206</v>
      </c>
      <c r="N838">
        <v>32</v>
      </c>
      <c r="O838" t="s">
        <v>68</v>
      </c>
      <c r="S838" t="s">
        <v>69</v>
      </c>
    </row>
    <row r="839" spans="1:19" x14ac:dyDescent="0.25">
      <c r="A839">
        <v>129185</v>
      </c>
      <c r="B839">
        <v>2024</v>
      </c>
      <c r="C839" t="s">
        <v>377</v>
      </c>
      <c r="D839" t="s">
        <v>26</v>
      </c>
      <c r="E839" t="s">
        <v>265</v>
      </c>
      <c r="F839" t="s">
        <v>424</v>
      </c>
      <c r="G839" s="1" t="s">
        <v>415</v>
      </c>
      <c r="H839" s="1" t="s">
        <v>415</v>
      </c>
      <c r="I839" t="s">
        <v>31</v>
      </c>
      <c r="J839" t="s">
        <v>32</v>
      </c>
      <c r="K839" t="s">
        <v>203</v>
      </c>
      <c r="L839" t="s">
        <v>34</v>
      </c>
      <c r="M839" t="s">
        <v>206</v>
      </c>
      <c r="N839">
        <v>33</v>
      </c>
      <c r="O839" t="s">
        <v>57</v>
      </c>
      <c r="S839" t="s">
        <v>58</v>
      </c>
    </row>
    <row r="840" spans="1:19" x14ac:dyDescent="0.25">
      <c r="A840">
        <v>129185</v>
      </c>
      <c r="B840">
        <v>2024</v>
      </c>
      <c r="C840" t="s">
        <v>377</v>
      </c>
      <c r="D840" t="s">
        <v>26</v>
      </c>
      <c r="E840" t="s">
        <v>265</v>
      </c>
      <c r="F840" t="s">
        <v>424</v>
      </c>
      <c r="G840" s="1" t="s">
        <v>415</v>
      </c>
      <c r="H840" s="1" t="s">
        <v>415</v>
      </c>
      <c r="I840" t="s">
        <v>31</v>
      </c>
      <c r="J840" t="s">
        <v>32</v>
      </c>
      <c r="K840" t="s">
        <v>203</v>
      </c>
      <c r="L840" t="s">
        <v>34</v>
      </c>
      <c r="M840" t="s">
        <v>206</v>
      </c>
      <c r="N840">
        <v>34</v>
      </c>
      <c r="O840" t="s">
        <v>57</v>
      </c>
      <c r="S840" t="s">
        <v>58</v>
      </c>
    </row>
    <row r="841" spans="1:19" x14ac:dyDescent="0.25">
      <c r="A841">
        <v>129185</v>
      </c>
      <c r="B841">
        <v>2024</v>
      </c>
      <c r="C841" t="s">
        <v>377</v>
      </c>
      <c r="D841" t="s">
        <v>26</v>
      </c>
      <c r="E841" t="s">
        <v>265</v>
      </c>
      <c r="F841" t="s">
        <v>424</v>
      </c>
      <c r="G841" s="1" t="s">
        <v>415</v>
      </c>
      <c r="H841" s="1" t="s">
        <v>415</v>
      </c>
      <c r="I841" t="s">
        <v>31</v>
      </c>
      <c r="J841" t="s">
        <v>32</v>
      </c>
      <c r="K841" t="s">
        <v>203</v>
      </c>
      <c r="L841" t="s">
        <v>34</v>
      </c>
      <c r="M841" t="s">
        <v>206</v>
      </c>
      <c r="N841">
        <v>35</v>
      </c>
      <c r="O841" t="s">
        <v>57</v>
      </c>
      <c r="S841" t="s">
        <v>58</v>
      </c>
    </row>
    <row r="842" spans="1:19" x14ac:dyDescent="0.25">
      <c r="A842">
        <v>129185</v>
      </c>
      <c r="B842">
        <v>2024</v>
      </c>
      <c r="C842" t="s">
        <v>377</v>
      </c>
      <c r="D842" t="s">
        <v>26</v>
      </c>
      <c r="E842" t="s">
        <v>265</v>
      </c>
      <c r="F842" t="s">
        <v>424</v>
      </c>
      <c r="G842" s="1" t="s">
        <v>415</v>
      </c>
      <c r="H842" s="1" t="s">
        <v>415</v>
      </c>
      <c r="I842" t="s">
        <v>31</v>
      </c>
      <c r="J842" t="s">
        <v>32</v>
      </c>
      <c r="K842" t="s">
        <v>203</v>
      </c>
      <c r="L842" t="s">
        <v>34</v>
      </c>
      <c r="M842" t="s">
        <v>206</v>
      </c>
      <c r="N842">
        <v>36</v>
      </c>
      <c r="O842" t="s">
        <v>57</v>
      </c>
      <c r="S842" t="s">
        <v>58</v>
      </c>
    </row>
    <row r="843" spans="1:19" x14ac:dyDescent="0.25">
      <c r="A843">
        <v>129185</v>
      </c>
      <c r="B843">
        <v>2024</v>
      </c>
      <c r="C843" t="s">
        <v>377</v>
      </c>
      <c r="D843" t="s">
        <v>26</v>
      </c>
      <c r="E843" t="s">
        <v>265</v>
      </c>
      <c r="F843" t="s">
        <v>424</v>
      </c>
      <c r="G843" s="1" t="s">
        <v>415</v>
      </c>
      <c r="H843" s="1" t="s">
        <v>415</v>
      </c>
      <c r="I843" t="s">
        <v>31</v>
      </c>
      <c r="J843" t="s">
        <v>32</v>
      </c>
      <c r="K843" t="s">
        <v>203</v>
      </c>
      <c r="L843" t="s">
        <v>34</v>
      </c>
      <c r="M843" t="s">
        <v>206</v>
      </c>
      <c r="N843">
        <v>37</v>
      </c>
      <c r="O843" t="s">
        <v>57</v>
      </c>
      <c r="S843" t="s">
        <v>58</v>
      </c>
    </row>
    <row r="844" spans="1:19" x14ac:dyDescent="0.25">
      <c r="A844">
        <v>129185</v>
      </c>
      <c r="B844">
        <v>2024</v>
      </c>
      <c r="C844" t="s">
        <v>377</v>
      </c>
      <c r="D844" t="s">
        <v>26</v>
      </c>
      <c r="E844" t="s">
        <v>265</v>
      </c>
      <c r="F844" t="s">
        <v>424</v>
      </c>
      <c r="G844" s="1" t="s">
        <v>415</v>
      </c>
      <c r="H844" s="1" t="s">
        <v>415</v>
      </c>
      <c r="I844" t="s">
        <v>31</v>
      </c>
      <c r="J844" t="s">
        <v>32</v>
      </c>
      <c r="K844" t="s">
        <v>203</v>
      </c>
      <c r="L844" t="s">
        <v>34</v>
      </c>
      <c r="M844" t="s">
        <v>206</v>
      </c>
      <c r="N844">
        <v>38</v>
      </c>
      <c r="O844" t="s">
        <v>57</v>
      </c>
      <c r="S844" t="s">
        <v>58</v>
      </c>
    </row>
    <row r="845" spans="1:19" x14ac:dyDescent="0.25">
      <c r="A845">
        <v>129185</v>
      </c>
      <c r="B845">
        <v>2024</v>
      </c>
      <c r="C845" t="s">
        <v>377</v>
      </c>
      <c r="D845" t="s">
        <v>26</v>
      </c>
      <c r="E845" t="s">
        <v>265</v>
      </c>
      <c r="F845" t="s">
        <v>424</v>
      </c>
      <c r="G845" s="1" t="s">
        <v>415</v>
      </c>
      <c r="H845" s="1" t="s">
        <v>415</v>
      </c>
      <c r="I845" t="s">
        <v>31</v>
      </c>
      <c r="J845" t="s">
        <v>32</v>
      </c>
      <c r="K845" t="s">
        <v>203</v>
      </c>
      <c r="L845" t="s">
        <v>34</v>
      </c>
      <c r="M845" t="s">
        <v>206</v>
      </c>
      <c r="N845">
        <v>39</v>
      </c>
      <c r="O845" t="s">
        <v>57</v>
      </c>
      <c r="S845" t="s">
        <v>58</v>
      </c>
    </row>
    <row r="846" spans="1:19" x14ac:dyDescent="0.25">
      <c r="A846">
        <v>129185</v>
      </c>
      <c r="B846">
        <v>2024</v>
      </c>
      <c r="C846" t="s">
        <v>377</v>
      </c>
      <c r="D846" t="s">
        <v>26</v>
      </c>
      <c r="E846" t="s">
        <v>265</v>
      </c>
      <c r="F846" t="s">
        <v>424</v>
      </c>
      <c r="G846" s="1" t="s">
        <v>415</v>
      </c>
      <c r="H846" s="1" t="s">
        <v>415</v>
      </c>
      <c r="I846" t="s">
        <v>31</v>
      </c>
      <c r="J846" t="s">
        <v>32</v>
      </c>
      <c r="K846" t="s">
        <v>203</v>
      </c>
      <c r="L846" t="s">
        <v>34</v>
      </c>
      <c r="M846" t="s">
        <v>206</v>
      </c>
      <c r="N846">
        <v>40</v>
      </c>
      <c r="O846" t="s">
        <v>57</v>
      </c>
      <c r="S846" t="s">
        <v>58</v>
      </c>
    </row>
    <row r="847" spans="1:19" x14ac:dyDescent="0.25">
      <c r="A847">
        <v>129185</v>
      </c>
      <c r="B847">
        <v>2024</v>
      </c>
      <c r="C847" t="s">
        <v>377</v>
      </c>
      <c r="D847" t="s">
        <v>26</v>
      </c>
      <c r="E847" t="s">
        <v>265</v>
      </c>
      <c r="F847" t="s">
        <v>424</v>
      </c>
      <c r="G847" s="1" t="s">
        <v>415</v>
      </c>
      <c r="H847" s="1" t="s">
        <v>415</v>
      </c>
      <c r="I847" t="s">
        <v>31</v>
      </c>
      <c r="J847" t="s">
        <v>32</v>
      </c>
      <c r="K847" t="s">
        <v>203</v>
      </c>
      <c r="L847" t="s">
        <v>34</v>
      </c>
      <c r="M847" t="s">
        <v>206</v>
      </c>
      <c r="N847">
        <v>41</v>
      </c>
      <c r="O847" t="s">
        <v>68</v>
      </c>
      <c r="S847" t="s">
        <v>69</v>
      </c>
    </row>
    <row r="848" spans="1:19" x14ac:dyDescent="0.25">
      <c r="A848">
        <v>129185</v>
      </c>
      <c r="B848">
        <v>2024</v>
      </c>
      <c r="C848" t="s">
        <v>377</v>
      </c>
      <c r="D848" t="s">
        <v>26</v>
      </c>
      <c r="E848" t="s">
        <v>265</v>
      </c>
      <c r="F848" t="s">
        <v>424</v>
      </c>
      <c r="G848" s="1" t="s">
        <v>415</v>
      </c>
      <c r="H848" s="1" t="s">
        <v>415</v>
      </c>
      <c r="I848" t="s">
        <v>31</v>
      </c>
      <c r="J848" t="s">
        <v>32</v>
      </c>
      <c r="K848" t="s">
        <v>203</v>
      </c>
      <c r="L848" t="s">
        <v>34</v>
      </c>
      <c r="M848" t="s">
        <v>206</v>
      </c>
      <c r="N848">
        <v>42</v>
      </c>
      <c r="O848" t="s">
        <v>68</v>
      </c>
      <c r="R848" t="s">
        <v>190</v>
      </c>
      <c r="S848" t="s">
        <v>69</v>
      </c>
    </row>
    <row r="849" spans="1:19" x14ac:dyDescent="0.25">
      <c r="A849">
        <v>129185</v>
      </c>
      <c r="B849">
        <v>2024</v>
      </c>
      <c r="C849" t="s">
        <v>377</v>
      </c>
      <c r="D849" t="s">
        <v>26</v>
      </c>
      <c r="E849" t="s">
        <v>265</v>
      </c>
      <c r="F849" t="s">
        <v>424</v>
      </c>
      <c r="G849" s="1" t="s">
        <v>415</v>
      </c>
      <c r="H849" s="1" t="s">
        <v>415</v>
      </c>
      <c r="I849" t="s">
        <v>31</v>
      </c>
      <c r="J849" t="s">
        <v>32</v>
      </c>
      <c r="K849" t="s">
        <v>203</v>
      </c>
      <c r="L849" t="s">
        <v>34</v>
      </c>
      <c r="M849" t="s">
        <v>206</v>
      </c>
      <c r="N849">
        <v>43</v>
      </c>
      <c r="O849" t="s">
        <v>57</v>
      </c>
      <c r="S849" t="s">
        <v>58</v>
      </c>
    </row>
    <row r="850" spans="1:19" x14ac:dyDescent="0.25">
      <c r="A850">
        <v>129185</v>
      </c>
      <c r="B850">
        <v>2024</v>
      </c>
      <c r="C850" t="s">
        <v>377</v>
      </c>
      <c r="D850" t="s">
        <v>26</v>
      </c>
      <c r="E850" t="s">
        <v>265</v>
      </c>
      <c r="F850" t="s">
        <v>424</v>
      </c>
      <c r="G850" s="1" t="s">
        <v>415</v>
      </c>
      <c r="H850" s="1" t="s">
        <v>415</v>
      </c>
      <c r="I850" t="s">
        <v>31</v>
      </c>
      <c r="J850" t="s">
        <v>32</v>
      </c>
      <c r="K850" t="s">
        <v>203</v>
      </c>
      <c r="L850" t="s">
        <v>34</v>
      </c>
      <c r="M850" t="s">
        <v>206</v>
      </c>
      <c r="N850">
        <v>44</v>
      </c>
      <c r="O850" t="s">
        <v>57</v>
      </c>
      <c r="R850" t="s">
        <v>190</v>
      </c>
      <c r="S850" t="s">
        <v>58</v>
      </c>
    </row>
    <row r="851" spans="1:19" x14ac:dyDescent="0.25">
      <c r="A851">
        <v>129185</v>
      </c>
      <c r="B851">
        <v>2024</v>
      </c>
      <c r="C851" t="s">
        <v>377</v>
      </c>
      <c r="D851" t="s">
        <v>26</v>
      </c>
      <c r="E851" t="s">
        <v>265</v>
      </c>
      <c r="F851" t="s">
        <v>424</v>
      </c>
      <c r="G851" s="1" t="s">
        <v>415</v>
      </c>
      <c r="H851" s="1" t="s">
        <v>415</v>
      </c>
      <c r="I851" t="s">
        <v>31</v>
      </c>
      <c r="J851" t="s">
        <v>32</v>
      </c>
      <c r="K851" t="s">
        <v>203</v>
      </c>
      <c r="L851" t="s">
        <v>34</v>
      </c>
      <c r="M851" t="s">
        <v>206</v>
      </c>
      <c r="N851">
        <v>45</v>
      </c>
      <c r="O851" t="s">
        <v>57</v>
      </c>
      <c r="S851" t="s">
        <v>58</v>
      </c>
    </row>
    <row r="852" spans="1:19" x14ac:dyDescent="0.25">
      <c r="A852">
        <v>129185</v>
      </c>
      <c r="B852">
        <v>2024</v>
      </c>
      <c r="C852" t="s">
        <v>377</v>
      </c>
      <c r="D852" t="s">
        <v>26</v>
      </c>
      <c r="E852" t="s">
        <v>265</v>
      </c>
      <c r="F852" t="s">
        <v>424</v>
      </c>
      <c r="G852" s="1" t="s">
        <v>415</v>
      </c>
      <c r="H852" s="1" t="s">
        <v>415</v>
      </c>
      <c r="I852" t="s">
        <v>31</v>
      </c>
      <c r="J852" t="s">
        <v>32</v>
      </c>
      <c r="K852" t="s">
        <v>203</v>
      </c>
      <c r="L852" t="s">
        <v>34</v>
      </c>
      <c r="M852" t="s">
        <v>206</v>
      </c>
      <c r="N852">
        <v>46</v>
      </c>
      <c r="O852" t="s">
        <v>57</v>
      </c>
      <c r="S852" t="s">
        <v>58</v>
      </c>
    </row>
    <row r="853" spans="1:19" x14ac:dyDescent="0.25">
      <c r="A853">
        <v>129185</v>
      </c>
      <c r="B853">
        <v>2024</v>
      </c>
      <c r="C853" t="s">
        <v>377</v>
      </c>
      <c r="D853" t="s">
        <v>26</v>
      </c>
      <c r="E853" t="s">
        <v>265</v>
      </c>
      <c r="F853" t="s">
        <v>424</v>
      </c>
      <c r="G853" s="1" t="s">
        <v>415</v>
      </c>
      <c r="H853" s="1" t="s">
        <v>415</v>
      </c>
      <c r="I853" t="s">
        <v>31</v>
      </c>
      <c r="J853" t="s">
        <v>32</v>
      </c>
      <c r="K853" t="s">
        <v>203</v>
      </c>
      <c r="L853" t="s">
        <v>34</v>
      </c>
      <c r="M853" t="s">
        <v>206</v>
      </c>
      <c r="N853">
        <v>47</v>
      </c>
      <c r="O853" t="s">
        <v>57</v>
      </c>
      <c r="S853" t="s">
        <v>58</v>
      </c>
    </row>
    <row r="854" spans="1:19" x14ac:dyDescent="0.25">
      <c r="A854">
        <v>129185</v>
      </c>
      <c r="B854">
        <v>2024</v>
      </c>
      <c r="C854" t="s">
        <v>377</v>
      </c>
      <c r="D854" t="s">
        <v>26</v>
      </c>
      <c r="E854" t="s">
        <v>265</v>
      </c>
      <c r="F854" t="s">
        <v>424</v>
      </c>
      <c r="G854" s="1" t="s">
        <v>415</v>
      </c>
      <c r="H854" s="1" t="s">
        <v>415</v>
      </c>
      <c r="I854" t="s">
        <v>31</v>
      </c>
      <c r="J854" t="s">
        <v>32</v>
      </c>
      <c r="K854" t="s">
        <v>203</v>
      </c>
      <c r="L854" t="s">
        <v>34</v>
      </c>
      <c r="M854" t="s">
        <v>206</v>
      </c>
      <c r="N854">
        <v>48</v>
      </c>
      <c r="O854" t="s">
        <v>57</v>
      </c>
      <c r="S854" t="s">
        <v>58</v>
      </c>
    </row>
    <row r="855" spans="1:19" x14ac:dyDescent="0.25">
      <c r="A855">
        <v>129185</v>
      </c>
      <c r="B855">
        <v>2024</v>
      </c>
      <c r="C855" t="s">
        <v>377</v>
      </c>
      <c r="D855" t="s">
        <v>26</v>
      </c>
      <c r="E855" t="s">
        <v>265</v>
      </c>
      <c r="F855" t="s">
        <v>424</v>
      </c>
      <c r="G855" s="1" t="s">
        <v>415</v>
      </c>
      <c r="H855" s="1" t="s">
        <v>415</v>
      </c>
      <c r="I855" t="s">
        <v>31</v>
      </c>
      <c r="J855" t="s">
        <v>32</v>
      </c>
      <c r="K855" t="s">
        <v>203</v>
      </c>
      <c r="L855" t="s">
        <v>34</v>
      </c>
      <c r="M855" t="s">
        <v>206</v>
      </c>
      <c r="N855">
        <v>49</v>
      </c>
      <c r="O855" t="s">
        <v>57</v>
      </c>
      <c r="R855" t="s">
        <v>190</v>
      </c>
      <c r="S855" t="s">
        <v>58</v>
      </c>
    </row>
    <row r="856" spans="1:19" x14ac:dyDescent="0.25">
      <c r="A856">
        <v>129185</v>
      </c>
      <c r="B856">
        <v>2024</v>
      </c>
      <c r="C856" t="s">
        <v>377</v>
      </c>
      <c r="D856" t="s">
        <v>26</v>
      </c>
      <c r="E856" t="s">
        <v>265</v>
      </c>
      <c r="F856" t="s">
        <v>424</v>
      </c>
      <c r="G856" s="1" t="s">
        <v>415</v>
      </c>
      <c r="H856" s="1" t="s">
        <v>415</v>
      </c>
      <c r="I856" t="s">
        <v>31</v>
      </c>
      <c r="J856" t="s">
        <v>32</v>
      </c>
      <c r="K856" t="s">
        <v>203</v>
      </c>
      <c r="L856" t="s">
        <v>34</v>
      </c>
      <c r="M856" t="s">
        <v>206</v>
      </c>
      <c r="N856">
        <v>50</v>
      </c>
      <c r="O856" t="s">
        <v>66</v>
      </c>
      <c r="S856" t="s">
        <v>67</v>
      </c>
    </row>
    <row r="857" spans="1:19" x14ac:dyDescent="0.25">
      <c r="A857">
        <v>129185</v>
      </c>
      <c r="B857">
        <v>2024</v>
      </c>
      <c r="C857" t="s">
        <v>377</v>
      </c>
      <c r="D857" t="s">
        <v>26</v>
      </c>
      <c r="E857" t="s">
        <v>265</v>
      </c>
      <c r="F857" t="s">
        <v>424</v>
      </c>
      <c r="G857" s="1" t="s">
        <v>415</v>
      </c>
      <c r="H857" s="1" t="s">
        <v>415</v>
      </c>
      <c r="I857" t="s">
        <v>31</v>
      </c>
      <c r="J857" t="s">
        <v>32</v>
      </c>
      <c r="K857" t="s">
        <v>203</v>
      </c>
      <c r="L857" t="s">
        <v>34</v>
      </c>
      <c r="M857" t="s">
        <v>206</v>
      </c>
      <c r="N857">
        <v>51</v>
      </c>
      <c r="O857" t="s">
        <v>68</v>
      </c>
      <c r="R857" t="s">
        <v>190</v>
      </c>
      <c r="S857" t="s">
        <v>69</v>
      </c>
    </row>
    <row r="858" spans="1:19" x14ac:dyDescent="0.25">
      <c r="A858">
        <v>129185</v>
      </c>
      <c r="B858">
        <v>2024</v>
      </c>
      <c r="C858" t="s">
        <v>377</v>
      </c>
      <c r="D858" t="s">
        <v>26</v>
      </c>
      <c r="E858" t="s">
        <v>265</v>
      </c>
      <c r="F858" t="s">
        <v>424</v>
      </c>
      <c r="G858" s="1" t="s">
        <v>415</v>
      </c>
      <c r="H858" s="1" t="s">
        <v>415</v>
      </c>
      <c r="I858" t="s">
        <v>31</v>
      </c>
      <c r="J858" t="s">
        <v>32</v>
      </c>
      <c r="K858" t="s">
        <v>203</v>
      </c>
      <c r="L858" t="s">
        <v>34</v>
      </c>
      <c r="M858" t="s">
        <v>206</v>
      </c>
      <c r="N858">
        <v>52</v>
      </c>
      <c r="O858" t="s">
        <v>68</v>
      </c>
      <c r="S858" t="s">
        <v>69</v>
      </c>
    </row>
    <row r="859" spans="1:19" x14ac:dyDescent="0.25">
      <c r="A859">
        <v>129185</v>
      </c>
      <c r="B859">
        <v>2024</v>
      </c>
      <c r="C859" t="s">
        <v>377</v>
      </c>
      <c r="D859" t="s">
        <v>26</v>
      </c>
      <c r="E859" t="s">
        <v>265</v>
      </c>
      <c r="F859" t="s">
        <v>424</v>
      </c>
      <c r="G859" s="1" t="s">
        <v>415</v>
      </c>
      <c r="H859" s="1" t="s">
        <v>415</v>
      </c>
      <c r="I859" t="s">
        <v>31</v>
      </c>
      <c r="J859" t="s">
        <v>32</v>
      </c>
      <c r="K859" t="s">
        <v>203</v>
      </c>
      <c r="L859" t="s">
        <v>34</v>
      </c>
      <c r="M859" t="s">
        <v>206</v>
      </c>
      <c r="N859">
        <v>53</v>
      </c>
      <c r="O859" t="s">
        <v>275</v>
      </c>
      <c r="S859" t="s">
        <v>276</v>
      </c>
    </row>
    <row r="860" spans="1:19" x14ac:dyDescent="0.25">
      <c r="A860">
        <v>129185</v>
      </c>
      <c r="B860">
        <v>2024</v>
      </c>
      <c r="C860" t="s">
        <v>377</v>
      </c>
      <c r="D860" t="s">
        <v>26</v>
      </c>
      <c r="E860" t="s">
        <v>265</v>
      </c>
      <c r="F860" t="s">
        <v>424</v>
      </c>
      <c r="G860" s="1" t="s">
        <v>415</v>
      </c>
      <c r="H860" s="1" t="s">
        <v>415</v>
      </c>
      <c r="I860" t="s">
        <v>31</v>
      </c>
      <c r="J860" t="s">
        <v>32</v>
      </c>
      <c r="K860" t="s">
        <v>203</v>
      </c>
      <c r="L860" t="s">
        <v>34</v>
      </c>
      <c r="M860" t="s">
        <v>206</v>
      </c>
      <c r="N860">
        <v>54</v>
      </c>
      <c r="O860" t="s">
        <v>68</v>
      </c>
      <c r="R860" t="s">
        <v>190</v>
      </c>
      <c r="S860" t="s">
        <v>69</v>
      </c>
    </row>
    <row r="861" spans="1:19" x14ac:dyDescent="0.25">
      <c r="A861">
        <v>129185</v>
      </c>
      <c r="B861">
        <v>2024</v>
      </c>
      <c r="C861" t="s">
        <v>377</v>
      </c>
      <c r="D861" t="s">
        <v>26</v>
      </c>
      <c r="E861" t="s">
        <v>265</v>
      </c>
      <c r="F861" t="s">
        <v>424</v>
      </c>
      <c r="G861" s="1" t="s">
        <v>415</v>
      </c>
      <c r="H861" s="1" t="s">
        <v>415</v>
      </c>
      <c r="I861" t="s">
        <v>31</v>
      </c>
      <c r="J861" t="s">
        <v>32</v>
      </c>
      <c r="K861" t="s">
        <v>203</v>
      </c>
      <c r="L861" t="s">
        <v>34</v>
      </c>
      <c r="M861" t="s">
        <v>206</v>
      </c>
      <c r="N861">
        <v>55</v>
      </c>
      <c r="O861" t="s">
        <v>57</v>
      </c>
      <c r="S861" t="s">
        <v>58</v>
      </c>
    </row>
    <row r="862" spans="1:19" x14ac:dyDescent="0.25">
      <c r="A862">
        <v>129185</v>
      </c>
      <c r="B862">
        <v>2024</v>
      </c>
      <c r="C862" t="s">
        <v>377</v>
      </c>
      <c r="D862" t="s">
        <v>26</v>
      </c>
      <c r="E862" t="s">
        <v>265</v>
      </c>
      <c r="F862" t="s">
        <v>424</v>
      </c>
      <c r="G862" s="1" t="s">
        <v>415</v>
      </c>
      <c r="H862" s="1" t="s">
        <v>415</v>
      </c>
      <c r="I862" t="s">
        <v>31</v>
      </c>
      <c r="J862" t="s">
        <v>32</v>
      </c>
      <c r="K862" t="s">
        <v>203</v>
      </c>
      <c r="L862" t="s">
        <v>34</v>
      </c>
      <c r="M862" t="s">
        <v>206</v>
      </c>
      <c r="N862">
        <v>56</v>
      </c>
      <c r="O862" t="s">
        <v>68</v>
      </c>
      <c r="S862" t="s">
        <v>69</v>
      </c>
    </row>
    <row r="863" spans="1:19" x14ac:dyDescent="0.25">
      <c r="A863">
        <v>129185</v>
      </c>
      <c r="B863">
        <v>2024</v>
      </c>
      <c r="C863" t="s">
        <v>377</v>
      </c>
      <c r="D863" t="s">
        <v>26</v>
      </c>
      <c r="E863" t="s">
        <v>265</v>
      </c>
      <c r="F863" t="s">
        <v>424</v>
      </c>
      <c r="G863" s="1" t="s">
        <v>415</v>
      </c>
      <c r="H863" s="1" t="s">
        <v>415</v>
      </c>
      <c r="I863" t="s">
        <v>31</v>
      </c>
      <c r="J863" t="s">
        <v>32</v>
      </c>
      <c r="K863" t="s">
        <v>203</v>
      </c>
      <c r="L863" t="s">
        <v>34</v>
      </c>
      <c r="M863" t="s">
        <v>206</v>
      </c>
      <c r="N863">
        <v>57</v>
      </c>
      <c r="O863" t="s">
        <v>57</v>
      </c>
      <c r="S863" t="s">
        <v>58</v>
      </c>
    </row>
    <row r="864" spans="1:19" x14ac:dyDescent="0.25">
      <c r="A864">
        <v>129185</v>
      </c>
      <c r="B864">
        <v>2024</v>
      </c>
      <c r="C864" t="s">
        <v>377</v>
      </c>
      <c r="D864" t="s">
        <v>26</v>
      </c>
      <c r="E864" t="s">
        <v>265</v>
      </c>
      <c r="F864" t="s">
        <v>424</v>
      </c>
      <c r="G864" s="1" t="s">
        <v>415</v>
      </c>
      <c r="H864" s="1" t="s">
        <v>415</v>
      </c>
      <c r="I864" t="s">
        <v>31</v>
      </c>
      <c r="J864" t="s">
        <v>32</v>
      </c>
      <c r="K864" t="s">
        <v>203</v>
      </c>
      <c r="L864" t="s">
        <v>34</v>
      </c>
      <c r="M864" t="s">
        <v>206</v>
      </c>
      <c r="N864">
        <v>58</v>
      </c>
      <c r="O864" t="s">
        <v>68</v>
      </c>
      <c r="S864" t="s">
        <v>69</v>
      </c>
    </row>
    <row r="865" spans="1:19" x14ac:dyDescent="0.25">
      <c r="A865">
        <v>129185</v>
      </c>
      <c r="B865">
        <v>2024</v>
      </c>
      <c r="C865" t="s">
        <v>377</v>
      </c>
      <c r="D865" t="s">
        <v>26</v>
      </c>
      <c r="E865" t="s">
        <v>265</v>
      </c>
      <c r="F865" t="s">
        <v>424</v>
      </c>
      <c r="G865" s="1" t="s">
        <v>415</v>
      </c>
      <c r="H865" s="1" t="s">
        <v>415</v>
      </c>
      <c r="I865" t="s">
        <v>31</v>
      </c>
      <c r="J865" t="s">
        <v>32</v>
      </c>
      <c r="K865" t="s">
        <v>203</v>
      </c>
      <c r="L865" t="s">
        <v>34</v>
      </c>
      <c r="M865" t="s">
        <v>206</v>
      </c>
      <c r="N865">
        <v>59</v>
      </c>
      <c r="O865" t="s">
        <v>57</v>
      </c>
      <c r="S865" t="s">
        <v>58</v>
      </c>
    </row>
    <row r="866" spans="1:19" x14ac:dyDescent="0.25">
      <c r="A866">
        <v>129185</v>
      </c>
      <c r="B866">
        <v>2024</v>
      </c>
      <c r="C866" t="s">
        <v>377</v>
      </c>
      <c r="D866" t="s">
        <v>26</v>
      </c>
      <c r="E866" t="s">
        <v>265</v>
      </c>
      <c r="F866" t="s">
        <v>424</v>
      </c>
      <c r="G866" s="1" t="s">
        <v>415</v>
      </c>
      <c r="H866" s="1" t="s">
        <v>415</v>
      </c>
      <c r="I866" t="s">
        <v>31</v>
      </c>
      <c r="J866" t="s">
        <v>32</v>
      </c>
      <c r="K866" t="s">
        <v>203</v>
      </c>
      <c r="L866" t="s">
        <v>34</v>
      </c>
      <c r="M866" t="s">
        <v>206</v>
      </c>
      <c r="N866">
        <v>60</v>
      </c>
      <c r="O866" t="s">
        <v>57</v>
      </c>
      <c r="S866" t="s">
        <v>58</v>
      </c>
    </row>
    <row r="867" spans="1:19" x14ac:dyDescent="0.25">
      <c r="A867">
        <v>129185</v>
      </c>
      <c r="B867">
        <v>2024</v>
      </c>
      <c r="C867" t="s">
        <v>377</v>
      </c>
      <c r="D867" t="s">
        <v>26</v>
      </c>
      <c r="E867" t="s">
        <v>265</v>
      </c>
      <c r="F867" t="s">
        <v>424</v>
      </c>
      <c r="G867" s="1" t="s">
        <v>415</v>
      </c>
      <c r="H867" s="1" t="s">
        <v>415</v>
      </c>
      <c r="I867" t="s">
        <v>31</v>
      </c>
      <c r="J867" t="s">
        <v>32</v>
      </c>
      <c r="K867" t="s">
        <v>203</v>
      </c>
      <c r="L867" t="s">
        <v>34</v>
      </c>
      <c r="M867" t="s">
        <v>206</v>
      </c>
      <c r="N867">
        <v>61</v>
      </c>
      <c r="P867" t="s">
        <v>99</v>
      </c>
      <c r="S867" t="s">
        <v>100</v>
      </c>
    </row>
    <row r="868" spans="1:19" x14ac:dyDescent="0.25">
      <c r="A868">
        <v>129185</v>
      </c>
      <c r="B868">
        <v>2024</v>
      </c>
      <c r="C868" t="s">
        <v>377</v>
      </c>
      <c r="D868" t="s">
        <v>26</v>
      </c>
      <c r="E868" t="s">
        <v>265</v>
      </c>
      <c r="F868" t="s">
        <v>424</v>
      </c>
      <c r="G868" s="1" t="s">
        <v>415</v>
      </c>
      <c r="H868" s="1" t="s">
        <v>415</v>
      </c>
      <c r="I868" t="s">
        <v>31</v>
      </c>
      <c r="J868" t="s">
        <v>32</v>
      </c>
      <c r="K868" t="s">
        <v>203</v>
      </c>
      <c r="L868" t="s">
        <v>34</v>
      </c>
      <c r="M868" t="s">
        <v>206</v>
      </c>
      <c r="N868">
        <v>62</v>
      </c>
      <c r="O868" t="s">
        <v>68</v>
      </c>
      <c r="R868" t="s">
        <v>190</v>
      </c>
      <c r="S868" t="s">
        <v>69</v>
      </c>
    </row>
    <row r="869" spans="1:19" x14ac:dyDescent="0.25">
      <c r="A869">
        <v>129185</v>
      </c>
      <c r="B869">
        <v>2024</v>
      </c>
      <c r="C869" t="s">
        <v>377</v>
      </c>
      <c r="D869" t="s">
        <v>26</v>
      </c>
      <c r="E869" t="s">
        <v>265</v>
      </c>
      <c r="F869" t="s">
        <v>424</v>
      </c>
      <c r="G869" s="1" t="s">
        <v>415</v>
      </c>
      <c r="H869" s="1" t="s">
        <v>415</v>
      </c>
      <c r="I869" t="s">
        <v>31</v>
      </c>
      <c r="J869" t="s">
        <v>32</v>
      </c>
      <c r="K869" t="s">
        <v>203</v>
      </c>
      <c r="L869" t="s">
        <v>34</v>
      </c>
      <c r="M869" t="s">
        <v>206</v>
      </c>
      <c r="N869">
        <v>63</v>
      </c>
      <c r="O869" t="s">
        <v>57</v>
      </c>
      <c r="S869" t="s">
        <v>58</v>
      </c>
    </row>
    <row r="870" spans="1:19" x14ac:dyDescent="0.25">
      <c r="A870">
        <v>129185</v>
      </c>
      <c r="B870">
        <v>2024</v>
      </c>
      <c r="C870" t="s">
        <v>377</v>
      </c>
      <c r="D870" t="s">
        <v>26</v>
      </c>
      <c r="E870" t="s">
        <v>265</v>
      </c>
      <c r="F870" t="s">
        <v>424</v>
      </c>
      <c r="G870" s="1" t="s">
        <v>415</v>
      </c>
      <c r="H870" s="1" t="s">
        <v>415</v>
      </c>
      <c r="I870" t="s">
        <v>31</v>
      </c>
      <c r="J870" t="s">
        <v>32</v>
      </c>
      <c r="K870" t="s">
        <v>203</v>
      </c>
      <c r="L870" t="s">
        <v>34</v>
      </c>
      <c r="M870" t="s">
        <v>206</v>
      </c>
      <c r="N870">
        <v>64</v>
      </c>
      <c r="O870" t="s">
        <v>57</v>
      </c>
      <c r="S870" t="s">
        <v>58</v>
      </c>
    </row>
    <row r="871" spans="1:19" x14ac:dyDescent="0.25">
      <c r="A871">
        <v>129185</v>
      </c>
      <c r="B871">
        <v>2024</v>
      </c>
      <c r="C871" t="s">
        <v>377</v>
      </c>
      <c r="D871" t="s">
        <v>26</v>
      </c>
      <c r="E871" t="s">
        <v>265</v>
      </c>
      <c r="F871" t="s">
        <v>424</v>
      </c>
      <c r="G871" s="1" t="s">
        <v>415</v>
      </c>
      <c r="H871" s="1" t="s">
        <v>415</v>
      </c>
      <c r="I871" t="s">
        <v>31</v>
      </c>
      <c r="J871" t="s">
        <v>32</v>
      </c>
      <c r="K871" t="s">
        <v>203</v>
      </c>
      <c r="L871" t="s">
        <v>34</v>
      </c>
      <c r="M871" t="s">
        <v>206</v>
      </c>
      <c r="N871">
        <v>65</v>
      </c>
      <c r="O871" t="s">
        <v>57</v>
      </c>
      <c r="S871" t="s">
        <v>58</v>
      </c>
    </row>
    <row r="872" spans="1:19" x14ac:dyDescent="0.25">
      <c r="A872">
        <v>129185</v>
      </c>
      <c r="B872">
        <v>2024</v>
      </c>
      <c r="C872" t="s">
        <v>377</v>
      </c>
      <c r="D872" t="s">
        <v>26</v>
      </c>
      <c r="E872" t="s">
        <v>265</v>
      </c>
      <c r="F872" t="s">
        <v>424</v>
      </c>
      <c r="G872" s="1" t="s">
        <v>415</v>
      </c>
      <c r="H872" s="1" t="s">
        <v>415</v>
      </c>
      <c r="I872" t="s">
        <v>31</v>
      </c>
      <c r="J872" t="s">
        <v>32</v>
      </c>
      <c r="K872" t="s">
        <v>203</v>
      </c>
      <c r="L872" t="s">
        <v>34</v>
      </c>
      <c r="M872" t="s">
        <v>206</v>
      </c>
      <c r="N872">
        <v>66</v>
      </c>
      <c r="P872" t="s">
        <v>99</v>
      </c>
      <c r="Q872" t="s">
        <v>149</v>
      </c>
      <c r="R872" t="s">
        <v>248</v>
      </c>
      <c r="S872" t="s">
        <v>100</v>
      </c>
    </row>
    <row r="873" spans="1:19" x14ac:dyDescent="0.25">
      <c r="A873">
        <v>129185</v>
      </c>
      <c r="B873">
        <v>2024</v>
      </c>
      <c r="C873" t="s">
        <v>377</v>
      </c>
      <c r="D873" t="s">
        <v>26</v>
      </c>
      <c r="E873" t="s">
        <v>265</v>
      </c>
      <c r="F873" t="s">
        <v>424</v>
      </c>
      <c r="G873" s="1" t="s">
        <v>415</v>
      </c>
      <c r="H873" s="1" t="s">
        <v>415</v>
      </c>
      <c r="I873" t="s">
        <v>31</v>
      </c>
      <c r="J873" t="s">
        <v>32</v>
      </c>
      <c r="K873" t="s">
        <v>203</v>
      </c>
      <c r="L873" t="s">
        <v>34</v>
      </c>
      <c r="M873" t="s">
        <v>206</v>
      </c>
      <c r="N873">
        <v>67</v>
      </c>
      <c r="O873" t="s">
        <v>57</v>
      </c>
      <c r="R873" t="s">
        <v>190</v>
      </c>
      <c r="S873" t="s">
        <v>58</v>
      </c>
    </row>
    <row r="874" spans="1:19" x14ac:dyDescent="0.25">
      <c r="A874">
        <v>129185</v>
      </c>
      <c r="B874">
        <v>2024</v>
      </c>
      <c r="C874" t="s">
        <v>377</v>
      </c>
      <c r="D874" t="s">
        <v>26</v>
      </c>
      <c r="E874" t="s">
        <v>265</v>
      </c>
      <c r="F874" t="s">
        <v>424</v>
      </c>
      <c r="G874" s="1" t="s">
        <v>415</v>
      </c>
      <c r="H874" s="1" t="s">
        <v>415</v>
      </c>
      <c r="I874" t="s">
        <v>31</v>
      </c>
      <c r="J874" t="s">
        <v>32</v>
      </c>
      <c r="K874" t="s">
        <v>203</v>
      </c>
      <c r="L874" t="s">
        <v>34</v>
      </c>
      <c r="M874" t="s">
        <v>206</v>
      </c>
      <c r="N874">
        <v>68</v>
      </c>
      <c r="O874" t="s">
        <v>57</v>
      </c>
      <c r="S874" t="s">
        <v>58</v>
      </c>
    </row>
    <row r="875" spans="1:19" x14ac:dyDescent="0.25">
      <c r="A875">
        <v>129185</v>
      </c>
      <c r="B875">
        <v>2024</v>
      </c>
      <c r="C875" t="s">
        <v>377</v>
      </c>
      <c r="D875" t="s">
        <v>26</v>
      </c>
      <c r="E875" t="s">
        <v>265</v>
      </c>
      <c r="F875" t="s">
        <v>424</v>
      </c>
      <c r="G875" s="1" t="s">
        <v>415</v>
      </c>
      <c r="H875" s="1" t="s">
        <v>415</v>
      </c>
      <c r="I875" t="s">
        <v>31</v>
      </c>
      <c r="J875" t="s">
        <v>32</v>
      </c>
      <c r="K875" t="s">
        <v>203</v>
      </c>
      <c r="L875" t="s">
        <v>34</v>
      </c>
      <c r="M875" t="s">
        <v>206</v>
      </c>
      <c r="N875">
        <v>69</v>
      </c>
      <c r="O875" t="s">
        <v>57</v>
      </c>
      <c r="S875" t="s">
        <v>58</v>
      </c>
    </row>
    <row r="876" spans="1:19" x14ac:dyDescent="0.25">
      <c r="A876">
        <v>129185</v>
      </c>
      <c r="B876">
        <v>2024</v>
      </c>
      <c r="C876" t="s">
        <v>377</v>
      </c>
      <c r="D876" t="s">
        <v>26</v>
      </c>
      <c r="E876" t="s">
        <v>265</v>
      </c>
      <c r="F876" t="s">
        <v>424</v>
      </c>
      <c r="G876" s="1" t="s">
        <v>415</v>
      </c>
      <c r="H876" s="1" t="s">
        <v>415</v>
      </c>
      <c r="I876" t="s">
        <v>31</v>
      </c>
      <c r="J876" t="s">
        <v>32</v>
      </c>
      <c r="K876" t="s">
        <v>203</v>
      </c>
      <c r="L876" t="s">
        <v>34</v>
      </c>
      <c r="M876" t="s">
        <v>206</v>
      </c>
      <c r="N876">
        <v>70</v>
      </c>
      <c r="O876" t="s">
        <v>57</v>
      </c>
      <c r="S876" t="s">
        <v>58</v>
      </c>
    </row>
    <row r="877" spans="1:19" x14ac:dyDescent="0.25">
      <c r="A877">
        <v>129185</v>
      </c>
      <c r="B877">
        <v>2024</v>
      </c>
      <c r="C877" t="s">
        <v>377</v>
      </c>
      <c r="D877" t="s">
        <v>26</v>
      </c>
      <c r="E877" t="s">
        <v>265</v>
      </c>
      <c r="F877" t="s">
        <v>424</v>
      </c>
      <c r="G877" s="1" t="s">
        <v>415</v>
      </c>
      <c r="H877" s="1" t="s">
        <v>415</v>
      </c>
      <c r="I877" t="s">
        <v>31</v>
      </c>
      <c r="J877" t="s">
        <v>32</v>
      </c>
      <c r="K877" t="s">
        <v>203</v>
      </c>
      <c r="L877" t="s">
        <v>34</v>
      </c>
      <c r="M877" t="s">
        <v>206</v>
      </c>
      <c r="N877">
        <v>71</v>
      </c>
      <c r="O877" t="s">
        <v>57</v>
      </c>
      <c r="R877" t="s">
        <v>190</v>
      </c>
      <c r="S877" t="s">
        <v>58</v>
      </c>
    </row>
    <row r="878" spans="1:19" x14ac:dyDescent="0.25">
      <c r="A878">
        <v>129185</v>
      </c>
      <c r="B878">
        <v>2024</v>
      </c>
      <c r="C878" t="s">
        <v>377</v>
      </c>
      <c r="D878" t="s">
        <v>26</v>
      </c>
      <c r="E878" t="s">
        <v>265</v>
      </c>
      <c r="F878" t="s">
        <v>424</v>
      </c>
      <c r="G878" s="1" t="s">
        <v>415</v>
      </c>
      <c r="H878" s="1" t="s">
        <v>415</v>
      </c>
      <c r="I878" t="s">
        <v>31</v>
      </c>
      <c r="J878" t="s">
        <v>32</v>
      </c>
      <c r="K878" t="s">
        <v>203</v>
      </c>
      <c r="L878" t="s">
        <v>34</v>
      </c>
      <c r="M878" t="s">
        <v>206</v>
      </c>
      <c r="N878">
        <v>72</v>
      </c>
      <c r="O878" t="s">
        <v>57</v>
      </c>
      <c r="S878" t="s">
        <v>58</v>
      </c>
    </row>
    <row r="879" spans="1:19" x14ac:dyDescent="0.25">
      <c r="A879">
        <v>129185</v>
      </c>
      <c r="B879">
        <v>2024</v>
      </c>
      <c r="C879" t="s">
        <v>377</v>
      </c>
      <c r="D879" t="s">
        <v>26</v>
      </c>
      <c r="E879" t="s">
        <v>265</v>
      </c>
      <c r="F879" t="s">
        <v>424</v>
      </c>
      <c r="G879" s="1" t="s">
        <v>415</v>
      </c>
      <c r="H879" s="1" t="s">
        <v>415</v>
      </c>
      <c r="I879" t="s">
        <v>31</v>
      </c>
      <c r="J879" t="s">
        <v>32</v>
      </c>
      <c r="K879" t="s">
        <v>203</v>
      </c>
      <c r="L879" t="s">
        <v>34</v>
      </c>
      <c r="M879" t="s">
        <v>206</v>
      </c>
      <c r="N879">
        <v>73</v>
      </c>
      <c r="O879" t="s">
        <v>57</v>
      </c>
      <c r="S879" t="s">
        <v>58</v>
      </c>
    </row>
    <row r="880" spans="1:19" x14ac:dyDescent="0.25">
      <c r="A880">
        <v>129185</v>
      </c>
      <c r="B880">
        <v>2024</v>
      </c>
      <c r="C880" t="s">
        <v>377</v>
      </c>
      <c r="D880" t="s">
        <v>26</v>
      </c>
      <c r="E880" t="s">
        <v>265</v>
      </c>
      <c r="F880" t="s">
        <v>424</v>
      </c>
      <c r="G880" s="1" t="s">
        <v>415</v>
      </c>
      <c r="H880" s="1" t="s">
        <v>415</v>
      </c>
      <c r="I880" t="s">
        <v>31</v>
      </c>
      <c r="J880" t="s">
        <v>32</v>
      </c>
      <c r="K880" t="s">
        <v>203</v>
      </c>
      <c r="L880" t="s">
        <v>34</v>
      </c>
      <c r="M880" t="s">
        <v>206</v>
      </c>
      <c r="N880">
        <v>74</v>
      </c>
      <c r="O880" t="s">
        <v>57</v>
      </c>
      <c r="R880" t="s">
        <v>190</v>
      </c>
      <c r="S880" t="s">
        <v>58</v>
      </c>
    </row>
    <row r="881" spans="1:19" x14ac:dyDescent="0.25">
      <c r="A881">
        <v>129185</v>
      </c>
      <c r="B881">
        <v>2024</v>
      </c>
      <c r="C881" t="s">
        <v>377</v>
      </c>
      <c r="D881" t="s">
        <v>26</v>
      </c>
      <c r="E881" t="s">
        <v>265</v>
      </c>
      <c r="F881" t="s">
        <v>424</v>
      </c>
      <c r="G881" s="1" t="s">
        <v>415</v>
      </c>
      <c r="H881" s="1" t="s">
        <v>415</v>
      </c>
      <c r="I881" t="s">
        <v>31</v>
      </c>
      <c r="J881" t="s">
        <v>32</v>
      </c>
      <c r="K881" t="s">
        <v>203</v>
      </c>
      <c r="L881" t="s">
        <v>34</v>
      </c>
      <c r="M881" t="s">
        <v>206</v>
      </c>
      <c r="N881">
        <v>75</v>
      </c>
      <c r="O881" t="s">
        <v>68</v>
      </c>
      <c r="S881" t="s">
        <v>69</v>
      </c>
    </row>
    <row r="882" spans="1:19" x14ac:dyDescent="0.25">
      <c r="A882">
        <v>129185</v>
      </c>
      <c r="B882">
        <v>2024</v>
      </c>
      <c r="C882" t="s">
        <v>377</v>
      </c>
      <c r="D882" t="s">
        <v>26</v>
      </c>
      <c r="E882" t="s">
        <v>265</v>
      </c>
      <c r="F882" t="s">
        <v>424</v>
      </c>
      <c r="G882" s="1" t="s">
        <v>415</v>
      </c>
      <c r="H882" s="1" t="s">
        <v>415</v>
      </c>
      <c r="I882" t="s">
        <v>31</v>
      </c>
      <c r="J882" t="s">
        <v>32</v>
      </c>
      <c r="K882" t="s">
        <v>203</v>
      </c>
      <c r="L882" t="s">
        <v>34</v>
      </c>
      <c r="M882" t="s">
        <v>206</v>
      </c>
      <c r="N882">
        <v>76</v>
      </c>
      <c r="O882" t="s">
        <v>57</v>
      </c>
      <c r="S882" t="s">
        <v>58</v>
      </c>
    </row>
    <row r="883" spans="1:19" x14ac:dyDescent="0.25">
      <c r="A883">
        <v>129185</v>
      </c>
      <c r="B883">
        <v>2024</v>
      </c>
      <c r="C883" t="s">
        <v>377</v>
      </c>
      <c r="D883" t="s">
        <v>26</v>
      </c>
      <c r="E883" t="s">
        <v>265</v>
      </c>
      <c r="F883" t="s">
        <v>424</v>
      </c>
      <c r="G883" s="1" t="s">
        <v>415</v>
      </c>
      <c r="H883" s="1" t="s">
        <v>415</v>
      </c>
      <c r="I883" t="s">
        <v>31</v>
      </c>
      <c r="J883" t="s">
        <v>32</v>
      </c>
      <c r="K883" t="s">
        <v>203</v>
      </c>
      <c r="L883" t="s">
        <v>34</v>
      </c>
      <c r="M883" t="s">
        <v>206</v>
      </c>
      <c r="N883">
        <v>77</v>
      </c>
      <c r="O883" t="s">
        <v>57</v>
      </c>
      <c r="S883" t="s">
        <v>58</v>
      </c>
    </row>
    <row r="884" spans="1:19" x14ac:dyDescent="0.25">
      <c r="A884">
        <v>129185</v>
      </c>
      <c r="B884">
        <v>2024</v>
      </c>
      <c r="C884" t="s">
        <v>377</v>
      </c>
      <c r="D884" t="s">
        <v>26</v>
      </c>
      <c r="E884" t="s">
        <v>265</v>
      </c>
      <c r="F884" t="s">
        <v>424</v>
      </c>
      <c r="G884" s="1" t="s">
        <v>415</v>
      </c>
      <c r="H884" s="1" t="s">
        <v>415</v>
      </c>
      <c r="I884" t="s">
        <v>31</v>
      </c>
      <c r="J884" t="s">
        <v>32</v>
      </c>
      <c r="K884" t="s">
        <v>203</v>
      </c>
      <c r="L884" t="s">
        <v>34</v>
      </c>
      <c r="M884" t="s">
        <v>206</v>
      </c>
      <c r="N884">
        <v>78</v>
      </c>
      <c r="O884" t="s">
        <v>57</v>
      </c>
      <c r="R884" t="s">
        <v>190</v>
      </c>
      <c r="S884" t="s">
        <v>58</v>
      </c>
    </row>
    <row r="885" spans="1:19" x14ac:dyDescent="0.25">
      <c r="A885">
        <v>129185</v>
      </c>
      <c r="B885">
        <v>2024</v>
      </c>
      <c r="C885" t="s">
        <v>377</v>
      </c>
      <c r="D885" t="s">
        <v>26</v>
      </c>
      <c r="E885" t="s">
        <v>265</v>
      </c>
      <c r="F885" t="s">
        <v>424</v>
      </c>
      <c r="G885" s="1" t="s">
        <v>415</v>
      </c>
      <c r="H885" s="1" t="s">
        <v>415</v>
      </c>
      <c r="I885" t="s">
        <v>31</v>
      </c>
      <c r="J885" t="s">
        <v>32</v>
      </c>
      <c r="K885" t="s">
        <v>203</v>
      </c>
      <c r="L885" t="s">
        <v>34</v>
      </c>
      <c r="M885" t="s">
        <v>206</v>
      </c>
      <c r="N885">
        <v>79</v>
      </c>
      <c r="O885" t="s">
        <v>57</v>
      </c>
      <c r="S885" t="s">
        <v>58</v>
      </c>
    </row>
    <row r="886" spans="1:19" x14ac:dyDescent="0.25">
      <c r="A886">
        <v>129185</v>
      </c>
      <c r="B886">
        <v>2024</v>
      </c>
      <c r="C886" t="s">
        <v>377</v>
      </c>
      <c r="D886" t="s">
        <v>26</v>
      </c>
      <c r="E886" t="s">
        <v>265</v>
      </c>
      <c r="F886" t="s">
        <v>424</v>
      </c>
      <c r="G886" s="1" t="s">
        <v>415</v>
      </c>
      <c r="H886" s="1" t="s">
        <v>415</v>
      </c>
      <c r="I886" t="s">
        <v>31</v>
      </c>
      <c r="J886" t="s">
        <v>32</v>
      </c>
      <c r="K886" t="s">
        <v>203</v>
      </c>
      <c r="L886" t="s">
        <v>34</v>
      </c>
      <c r="M886" t="s">
        <v>206</v>
      </c>
      <c r="N886">
        <v>80</v>
      </c>
      <c r="O886" t="s">
        <v>57</v>
      </c>
      <c r="R886" t="s">
        <v>190</v>
      </c>
      <c r="S886" t="s">
        <v>58</v>
      </c>
    </row>
    <row r="887" spans="1:19" x14ac:dyDescent="0.25">
      <c r="A887">
        <v>129185</v>
      </c>
      <c r="B887">
        <v>2024</v>
      </c>
      <c r="C887" t="s">
        <v>377</v>
      </c>
      <c r="D887" t="s">
        <v>26</v>
      </c>
      <c r="E887" t="s">
        <v>265</v>
      </c>
      <c r="F887" t="s">
        <v>424</v>
      </c>
      <c r="G887" s="1" t="s">
        <v>415</v>
      </c>
      <c r="H887" s="1" t="s">
        <v>415</v>
      </c>
      <c r="I887" t="s">
        <v>31</v>
      </c>
      <c r="J887" t="s">
        <v>32</v>
      </c>
      <c r="K887" t="s">
        <v>203</v>
      </c>
      <c r="L887" t="s">
        <v>34</v>
      </c>
      <c r="M887" t="s">
        <v>206</v>
      </c>
      <c r="N887">
        <v>81</v>
      </c>
      <c r="O887" t="s">
        <v>57</v>
      </c>
      <c r="S887" t="s">
        <v>58</v>
      </c>
    </row>
    <row r="888" spans="1:19" x14ac:dyDescent="0.25">
      <c r="A888">
        <v>129185</v>
      </c>
      <c r="B888">
        <v>2024</v>
      </c>
      <c r="C888" t="s">
        <v>377</v>
      </c>
      <c r="D888" t="s">
        <v>26</v>
      </c>
      <c r="E888" t="s">
        <v>265</v>
      </c>
      <c r="F888" t="s">
        <v>424</v>
      </c>
      <c r="G888" s="1" t="s">
        <v>415</v>
      </c>
      <c r="H888" s="1" t="s">
        <v>415</v>
      </c>
      <c r="I888" t="s">
        <v>31</v>
      </c>
      <c r="J888" t="s">
        <v>32</v>
      </c>
      <c r="K888" t="s">
        <v>203</v>
      </c>
      <c r="L888" t="s">
        <v>34</v>
      </c>
      <c r="M888" t="s">
        <v>206</v>
      </c>
      <c r="N888">
        <v>82</v>
      </c>
      <c r="P888" t="s">
        <v>99</v>
      </c>
      <c r="S888" t="s">
        <v>100</v>
      </c>
    </row>
    <row r="889" spans="1:19" x14ac:dyDescent="0.25">
      <c r="A889">
        <v>129185</v>
      </c>
      <c r="B889">
        <v>2024</v>
      </c>
      <c r="C889" t="s">
        <v>377</v>
      </c>
      <c r="D889" t="s">
        <v>26</v>
      </c>
      <c r="E889" t="s">
        <v>265</v>
      </c>
      <c r="F889" t="s">
        <v>424</v>
      </c>
      <c r="G889" s="1" t="s">
        <v>415</v>
      </c>
      <c r="H889" s="1" t="s">
        <v>415</v>
      </c>
      <c r="I889" t="s">
        <v>31</v>
      </c>
      <c r="J889" t="s">
        <v>32</v>
      </c>
      <c r="K889" t="s">
        <v>203</v>
      </c>
      <c r="L889" t="s">
        <v>34</v>
      </c>
      <c r="M889" t="s">
        <v>206</v>
      </c>
      <c r="N889">
        <v>83</v>
      </c>
      <c r="O889" t="s">
        <v>57</v>
      </c>
      <c r="S889" t="s">
        <v>58</v>
      </c>
    </row>
    <row r="890" spans="1:19" x14ac:dyDescent="0.25">
      <c r="A890">
        <v>129185</v>
      </c>
      <c r="B890">
        <v>2024</v>
      </c>
      <c r="C890" t="s">
        <v>377</v>
      </c>
      <c r="D890" t="s">
        <v>26</v>
      </c>
      <c r="E890" t="s">
        <v>265</v>
      </c>
      <c r="F890" t="s">
        <v>424</v>
      </c>
      <c r="G890" s="1" t="s">
        <v>415</v>
      </c>
      <c r="H890" s="1" t="s">
        <v>415</v>
      </c>
      <c r="I890" t="s">
        <v>31</v>
      </c>
      <c r="J890" t="s">
        <v>32</v>
      </c>
      <c r="K890" t="s">
        <v>203</v>
      </c>
      <c r="L890" t="s">
        <v>34</v>
      </c>
      <c r="M890" t="s">
        <v>206</v>
      </c>
      <c r="N890">
        <v>84</v>
      </c>
      <c r="O890" t="s">
        <v>57</v>
      </c>
      <c r="S890" t="s">
        <v>58</v>
      </c>
    </row>
    <row r="891" spans="1:19" x14ac:dyDescent="0.25">
      <c r="A891">
        <v>129185</v>
      </c>
      <c r="B891">
        <v>2024</v>
      </c>
      <c r="C891" t="s">
        <v>377</v>
      </c>
      <c r="D891" t="s">
        <v>26</v>
      </c>
      <c r="E891" t="s">
        <v>265</v>
      </c>
      <c r="F891" t="s">
        <v>424</v>
      </c>
      <c r="G891" s="1" t="s">
        <v>415</v>
      </c>
      <c r="H891" s="1" t="s">
        <v>415</v>
      </c>
      <c r="I891" t="s">
        <v>31</v>
      </c>
      <c r="J891" t="s">
        <v>32</v>
      </c>
      <c r="K891" t="s">
        <v>203</v>
      </c>
      <c r="L891" t="s">
        <v>34</v>
      </c>
      <c r="M891" t="s">
        <v>206</v>
      </c>
      <c r="N891">
        <v>85</v>
      </c>
      <c r="O891" t="s">
        <v>68</v>
      </c>
      <c r="S891" t="s">
        <v>69</v>
      </c>
    </row>
    <row r="892" spans="1:19" x14ac:dyDescent="0.25">
      <c r="A892">
        <v>129185</v>
      </c>
      <c r="B892">
        <v>2024</v>
      </c>
      <c r="C892" t="s">
        <v>377</v>
      </c>
      <c r="D892" t="s">
        <v>26</v>
      </c>
      <c r="E892" t="s">
        <v>265</v>
      </c>
      <c r="F892" t="s">
        <v>424</v>
      </c>
      <c r="G892" s="1" t="s">
        <v>415</v>
      </c>
      <c r="H892" s="1" t="s">
        <v>415</v>
      </c>
      <c r="I892" t="s">
        <v>31</v>
      </c>
      <c r="J892" t="s">
        <v>32</v>
      </c>
      <c r="K892" t="s">
        <v>203</v>
      </c>
      <c r="L892" t="s">
        <v>34</v>
      </c>
      <c r="M892" t="s">
        <v>206</v>
      </c>
      <c r="N892">
        <v>86</v>
      </c>
      <c r="O892" t="s">
        <v>57</v>
      </c>
      <c r="S892" t="s">
        <v>58</v>
      </c>
    </row>
    <row r="893" spans="1:19" x14ac:dyDescent="0.25">
      <c r="A893">
        <v>129185</v>
      </c>
      <c r="B893">
        <v>2024</v>
      </c>
      <c r="C893" t="s">
        <v>377</v>
      </c>
      <c r="D893" t="s">
        <v>26</v>
      </c>
      <c r="E893" t="s">
        <v>265</v>
      </c>
      <c r="F893" t="s">
        <v>424</v>
      </c>
      <c r="G893" s="1" t="s">
        <v>415</v>
      </c>
      <c r="H893" s="1" t="s">
        <v>415</v>
      </c>
      <c r="I893" t="s">
        <v>31</v>
      </c>
      <c r="J893" t="s">
        <v>32</v>
      </c>
      <c r="K893" t="s">
        <v>203</v>
      </c>
      <c r="L893" t="s">
        <v>34</v>
      </c>
      <c r="M893" t="s">
        <v>206</v>
      </c>
      <c r="N893">
        <v>87</v>
      </c>
      <c r="O893" t="s">
        <v>57</v>
      </c>
      <c r="S893" t="s">
        <v>58</v>
      </c>
    </row>
    <row r="894" spans="1:19" x14ac:dyDescent="0.25">
      <c r="A894">
        <v>129185</v>
      </c>
      <c r="B894">
        <v>2024</v>
      </c>
      <c r="C894" t="s">
        <v>377</v>
      </c>
      <c r="D894" t="s">
        <v>26</v>
      </c>
      <c r="E894" t="s">
        <v>265</v>
      </c>
      <c r="F894" t="s">
        <v>424</v>
      </c>
      <c r="G894" s="1" t="s">
        <v>415</v>
      </c>
      <c r="H894" s="1" t="s">
        <v>415</v>
      </c>
      <c r="I894" t="s">
        <v>31</v>
      </c>
      <c r="J894" t="s">
        <v>32</v>
      </c>
      <c r="K894" t="s">
        <v>203</v>
      </c>
      <c r="L894" t="s">
        <v>34</v>
      </c>
      <c r="M894" t="s">
        <v>206</v>
      </c>
      <c r="N894">
        <v>88</v>
      </c>
      <c r="O894" t="s">
        <v>57</v>
      </c>
      <c r="S894" t="s">
        <v>58</v>
      </c>
    </row>
    <row r="895" spans="1:19" x14ac:dyDescent="0.25">
      <c r="A895">
        <v>129185</v>
      </c>
      <c r="B895">
        <v>2024</v>
      </c>
      <c r="C895" t="s">
        <v>377</v>
      </c>
      <c r="D895" t="s">
        <v>26</v>
      </c>
      <c r="E895" t="s">
        <v>265</v>
      </c>
      <c r="F895" t="s">
        <v>424</v>
      </c>
      <c r="G895" s="1" t="s">
        <v>415</v>
      </c>
      <c r="H895" s="1" t="s">
        <v>415</v>
      </c>
      <c r="I895" t="s">
        <v>31</v>
      </c>
      <c r="J895" t="s">
        <v>32</v>
      </c>
      <c r="K895" t="s">
        <v>203</v>
      </c>
      <c r="L895" t="s">
        <v>34</v>
      </c>
      <c r="M895" t="s">
        <v>206</v>
      </c>
      <c r="N895">
        <v>89</v>
      </c>
      <c r="O895" t="s">
        <v>57</v>
      </c>
      <c r="R895" t="s">
        <v>190</v>
      </c>
      <c r="S895" t="s">
        <v>58</v>
      </c>
    </row>
    <row r="896" spans="1:19" x14ac:dyDescent="0.25">
      <c r="A896">
        <v>129185</v>
      </c>
      <c r="B896">
        <v>2024</v>
      </c>
      <c r="C896" t="s">
        <v>377</v>
      </c>
      <c r="D896" t="s">
        <v>26</v>
      </c>
      <c r="E896" t="s">
        <v>265</v>
      </c>
      <c r="F896" t="s">
        <v>424</v>
      </c>
      <c r="G896" s="1" t="s">
        <v>415</v>
      </c>
      <c r="H896" s="1" t="s">
        <v>415</v>
      </c>
      <c r="I896" t="s">
        <v>31</v>
      </c>
      <c r="J896" t="s">
        <v>32</v>
      </c>
      <c r="K896" t="s">
        <v>203</v>
      </c>
      <c r="L896" t="s">
        <v>34</v>
      </c>
      <c r="M896" t="s">
        <v>206</v>
      </c>
      <c r="N896">
        <v>90</v>
      </c>
      <c r="O896" t="s">
        <v>57</v>
      </c>
      <c r="S896" t="s">
        <v>58</v>
      </c>
    </row>
    <row r="897" spans="1:19" x14ac:dyDescent="0.25">
      <c r="A897">
        <v>129185</v>
      </c>
      <c r="B897">
        <v>2024</v>
      </c>
      <c r="C897" t="s">
        <v>377</v>
      </c>
      <c r="D897" t="s">
        <v>26</v>
      </c>
      <c r="E897" t="s">
        <v>265</v>
      </c>
      <c r="F897" t="s">
        <v>424</v>
      </c>
      <c r="G897" s="1" t="s">
        <v>415</v>
      </c>
      <c r="H897" s="1" t="s">
        <v>415</v>
      </c>
      <c r="I897" t="s">
        <v>31</v>
      </c>
      <c r="J897" t="s">
        <v>32</v>
      </c>
      <c r="K897" t="s">
        <v>203</v>
      </c>
      <c r="L897" t="s">
        <v>34</v>
      </c>
      <c r="M897" t="s">
        <v>206</v>
      </c>
      <c r="N897">
        <v>91</v>
      </c>
      <c r="O897" t="s">
        <v>68</v>
      </c>
      <c r="S897" t="s">
        <v>69</v>
      </c>
    </row>
    <row r="898" spans="1:19" x14ac:dyDescent="0.25">
      <c r="A898">
        <v>129185</v>
      </c>
      <c r="B898">
        <v>2024</v>
      </c>
      <c r="C898" t="s">
        <v>377</v>
      </c>
      <c r="D898" t="s">
        <v>26</v>
      </c>
      <c r="E898" t="s">
        <v>265</v>
      </c>
      <c r="F898" t="s">
        <v>424</v>
      </c>
      <c r="G898" s="1" t="s">
        <v>415</v>
      </c>
      <c r="H898" s="1" t="s">
        <v>415</v>
      </c>
      <c r="I898" t="s">
        <v>31</v>
      </c>
      <c r="J898" t="s">
        <v>32</v>
      </c>
      <c r="K898" t="s">
        <v>203</v>
      </c>
      <c r="L898" t="s">
        <v>34</v>
      </c>
      <c r="M898" t="s">
        <v>206</v>
      </c>
      <c r="N898">
        <v>92</v>
      </c>
      <c r="O898" t="s">
        <v>57</v>
      </c>
      <c r="S898" t="s">
        <v>58</v>
      </c>
    </row>
    <row r="899" spans="1:19" x14ac:dyDescent="0.25">
      <c r="A899">
        <v>129185</v>
      </c>
      <c r="B899">
        <v>2024</v>
      </c>
      <c r="C899" t="s">
        <v>377</v>
      </c>
      <c r="D899" t="s">
        <v>26</v>
      </c>
      <c r="E899" t="s">
        <v>265</v>
      </c>
      <c r="F899" t="s">
        <v>424</v>
      </c>
      <c r="G899" s="1" t="s">
        <v>415</v>
      </c>
      <c r="H899" s="1" t="s">
        <v>415</v>
      </c>
      <c r="I899" t="s">
        <v>31</v>
      </c>
      <c r="J899" t="s">
        <v>32</v>
      </c>
      <c r="K899" t="s">
        <v>203</v>
      </c>
      <c r="L899" t="s">
        <v>34</v>
      </c>
      <c r="M899" t="s">
        <v>206</v>
      </c>
      <c r="N899">
        <v>93</v>
      </c>
      <c r="O899" t="s">
        <v>275</v>
      </c>
      <c r="S899" t="s">
        <v>276</v>
      </c>
    </row>
    <row r="900" spans="1:19" x14ac:dyDescent="0.25">
      <c r="A900">
        <v>129185</v>
      </c>
      <c r="B900">
        <v>2024</v>
      </c>
      <c r="C900" t="s">
        <v>377</v>
      </c>
      <c r="D900" t="s">
        <v>26</v>
      </c>
      <c r="E900" t="s">
        <v>265</v>
      </c>
      <c r="F900" t="s">
        <v>424</v>
      </c>
      <c r="G900" s="1" t="s">
        <v>415</v>
      </c>
      <c r="H900" s="1" t="s">
        <v>415</v>
      </c>
      <c r="I900" t="s">
        <v>31</v>
      </c>
      <c r="J900" t="s">
        <v>32</v>
      </c>
      <c r="K900" t="s">
        <v>203</v>
      </c>
      <c r="L900" t="s">
        <v>34</v>
      </c>
      <c r="M900" t="s">
        <v>206</v>
      </c>
      <c r="N900">
        <v>94</v>
      </c>
      <c r="O900" t="s">
        <v>57</v>
      </c>
      <c r="S900" t="s">
        <v>58</v>
      </c>
    </row>
    <row r="901" spans="1:19" x14ac:dyDescent="0.25">
      <c r="A901">
        <v>129185</v>
      </c>
      <c r="B901">
        <v>2024</v>
      </c>
      <c r="C901" t="s">
        <v>377</v>
      </c>
      <c r="D901" t="s">
        <v>26</v>
      </c>
      <c r="E901" t="s">
        <v>265</v>
      </c>
      <c r="F901" t="s">
        <v>424</v>
      </c>
      <c r="G901" s="1" t="s">
        <v>415</v>
      </c>
      <c r="H901" s="1" t="s">
        <v>415</v>
      </c>
      <c r="I901" t="s">
        <v>31</v>
      </c>
      <c r="J901" t="s">
        <v>32</v>
      </c>
      <c r="K901" t="s">
        <v>203</v>
      </c>
      <c r="L901" t="s">
        <v>34</v>
      </c>
      <c r="M901" t="s">
        <v>206</v>
      </c>
      <c r="N901">
        <v>95</v>
      </c>
      <c r="O901" t="s">
        <v>57</v>
      </c>
      <c r="S901" t="s">
        <v>58</v>
      </c>
    </row>
    <row r="902" spans="1:19" x14ac:dyDescent="0.25">
      <c r="A902">
        <v>129185</v>
      </c>
      <c r="B902">
        <v>2024</v>
      </c>
      <c r="C902" t="s">
        <v>377</v>
      </c>
      <c r="D902" t="s">
        <v>26</v>
      </c>
      <c r="E902" t="s">
        <v>265</v>
      </c>
      <c r="F902" t="s">
        <v>424</v>
      </c>
      <c r="G902" s="1" t="s">
        <v>415</v>
      </c>
      <c r="H902" s="1" t="s">
        <v>415</v>
      </c>
      <c r="I902" t="s">
        <v>31</v>
      </c>
      <c r="J902" t="s">
        <v>32</v>
      </c>
      <c r="K902" t="s">
        <v>203</v>
      </c>
      <c r="L902" t="s">
        <v>34</v>
      </c>
      <c r="M902" t="s">
        <v>206</v>
      </c>
      <c r="N902">
        <v>96</v>
      </c>
      <c r="O902" t="s">
        <v>57</v>
      </c>
      <c r="S902" t="s">
        <v>58</v>
      </c>
    </row>
    <row r="903" spans="1:19" x14ac:dyDescent="0.25">
      <c r="A903">
        <v>129185</v>
      </c>
      <c r="B903">
        <v>2024</v>
      </c>
      <c r="C903" t="s">
        <v>377</v>
      </c>
      <c r="D903" t="s">
        <v>26</v>
      </c>
      <c r="E903" t="s">
        <v>265</v>
      </c>
      <c r="F903" t="s">
        <v>424</v>
      </c>
      <c r="G903" s="1" t="s">
        <v>415</v>
      </c>
      <c r="H903" s="1" t="s">
        <v>415</v>
      </c>
      <c r="I903" t="s">
        <v>31</v>
      </c>
      <c r="J903" t="s">
        <v>32</v>
      </c>
      <c r="K903" t="s">
        <v>203</v>
      </c>
      <c r="L903" t="s">
        <v>34</v>
      </c>
      <c r="M903" t="s">
        <v>206</v>
      </c>
      <c r="N903">
        <v>97</v>
      </c>
      <c r="O903" t="s">
        <v>57</v>
      </c>
      <c r="S903" t="s">
        <v>58</v>
      </c>
    </row>
    <row r="904" spans="1:19" x14ac:dyDescent="0.25">
      <c r="A904">
        <v>129185</v>
      </c>
      <c r="B904">
        <v>2024</v>
      </c>
      <c r="C904" t="s">
        <v>377</v>
      </c>
      <c r="D904" t="s">
        <v>26</v>
      </c>
      <c r="E904" t="s">
        <v>265</v>
      </c>
      <c r="F904" t="s">
        <v>424</v>
      </c>
      <c r="G904" s="1" t="s">
        <v>415</v>
      </c>
      <c r="H904" s="1" t="s">
        <v>415</v>
      </c>
      <c r="I904" t="s">
        <v>31</v>
      </c>
      <c r="J904" t="s">
        <v>32</v>
      </c>
      <c r="K904" t="s">
        <v>203</v>
      </c>
      <c r="L904" t="s">
        <v>34</v>
      </c>
      <c r="M904" t="s">
        <v>206</v>
      </c>
      <c r="N904">
        <v>98</v>
      </c>
      <c r="P904" t="s">
        <v>99</v>
      </c>
      <c r="S904" t="s">
        <v>100</v>
      </c>
    </row>
    <row r="905" spans="1:19" x14ac:dyDescent="0.25">
      <c r="A905">
        <v>129185</v>
      </c>
      <c r="B905">
        <v>2024</v>
      </c>
      <c r="C905" t="s">
        <v>377</v>
      </c>
      <c r="D905" t="s">
        <v>26</v>
      </c>
      <c r="E905" t="s">
        <v>265</v>
      </c>
      <c r="F905" t="s">
        <v>424</v>
      </c>
      <c r="G905" s="1" t="s">
        <v>415</v>
      </c>
      <c r="H905" s="1" t="s">
        <v>415</v>
      </c>
      <c r="I905" t="s">
        <v>31</v>
      </c>
      <c r="J905" t="s">
        <v>32</v>
      </c>
      <c r="K905" t="s">
        <v>203</v>
      </c>
      <c r="L905" t="s">
        <v>34</v>
      </c>
      <c r="M905" t="s">
        <v>206</v>
      </c>
      <c r="N905">
        <v>99</v>
      </c>
      <c r="O905" t="s">
        <v>57</v>
      </c>
      <c r="S905" t="s">
        <v>58</v>
      </c>
    </row>
    <row r="906" spans="1:19" x14ac:dyDescent="0.25">
      <c r="A906">
        <v>129185</v>
      </c>
      <c r="B906">
        <v>2024</v>
      </c>
      <c r="C906" t="s">
        <v>377</v>
      </c>
      <c r="D906" t="s">
        <v>26</v>
      </c>
      <c r="E906" t="s">
        <v>265</v>
      </c>
      <c r="F906" t="s">
        <v>424</v>
      </c>
      <c r="G906" s="1" t="s">
        <v>415</v>
      </c>
      <c r="H906" s="1" t="s">
        <v>415</v>
      </c>
      <c r="I906" t="s">
        <v>31</v>
      </c>
      <c r="J906" t="s">
        <v>32</v>
      </c>
      <c r="K906" t="s">
        <v>203</v>
      </c>
      <c r="L906" t="s">
        <v>34</v>
      </c>
      <c r="M906" t="s">
        <v>206</v>
      </c>
      <c r="N906">
        <v>100</v>
      </c>
      <c r="O906" t="s">
        <v>57</v>
      </c>
      <c r="R906" t="s">
        <v>190</v>
      </c>
      <c r="S906" t="s">
        <v>58</v>
      </c>
    </row>
    <row r="907" spans="1:19" x14ac:dyDescent="0.25">
      <c r="A907">
        <v>129185</v>
      </c>
      <c r="B907">
        <v>2024</v>
      </c>
      <c r="C907" t="s">
        <v>377</v>
      </c>
      <c r="D907" t="s">
        <v>26</v>
      </c>
      <c r="E907" t="s">
        <v>265</v>
      </c>
      <c r="F907" t="s">
        <v>426</v>
      </c>
      <c r="G907" s="1" t="s">
        <v>415</v>
      </c>
      <c r="H907" s="1" t="s">
        <v>415</v>
      </c>
      <c r="I907" t="s">
        <v>31</v>
      </c>
      <c r="J907" t="s">
        <v>32</v>
      </c>
      <c r="K907" t="s">
        <v>203</v>
      </c>
      <c r="L907" t="s">
        <v>34</v>
      </c>
      <c r="M907" t="s">
        <v>206</v>
      </c>
      <c r="N907">
        <v>1</v>
      </c>
      <c r="O907" t="s">
        <v>68</v>
      </c>
      <c r="S907" t="s">
        <v>69</v>
      </c>
    </row>
    <row r="908" spans="1:19" x14ac:dyDescent="0.25">
      <c r="A908">
        <v>129185</v>
      </c>
      <c r="B908">
        <v>2024</v>
      </c>
      <c r="C908" t="s">
        <v>377</v>
      </c>
      <c r="D908" t="s">
        <v>26</v>
      </c>
      <c r="E908" t="s">
        <v>265</v>
      </c>
      <c r="F908" t="s">
        <v>426</v>
      </c>
      <c r="G908" s="1" t="s">
        <v>415</v>
      </c>
      <c r="H908" s="1" t="s">
        <v>415</v>
      </c>
      <c r="I908" t="s">
        <v>31</v>
      </c>
      <c r="J908" t="s">
        <v>32</v>
      </c>
      <c r="K908" t="s">
        <v>203</v>
      </c>
      <c r="L908" t="s">
        <v>34</v>
      </c>
      <c r="M908" t="s">
        <v>206</v>
      </c>
      <c r="N908">
        <v>2</v>
      </c>
      <c r="O908" t="s">
        <v>57</v>
      </c>
      <c r="S908" t="s">
        <v>58</v>
      </c>
    </row>
    <row r="909" spans="1:19" x14ac:dyDescent="0.25">
      <c r="A909">
        <v>129185</v>
      </c>
      <c r="B909">
        <v>2024</v>
      </c>
      <c r="C909" t="s">
        <v>377</v>
      </c>
      <c r="D909" t="s">
        <v>26</v>
      </c>
      <c r="E909" t="s">
        <v>265</v>
      </c>
      <c r="F909" t="s">
        <v>426</v>
      </c>
      <c r="G909" s="1" t="s">
        <v>415</v>
      </c>
      <c r="H909" s="1" t="s">
        <v>415</v>
      </c>
      <c r="I909" t="s">
        <v>31</v>
      </c>
      <c r="J909" t="s">
        <v>32</v>
      </c>
      <c r="K909" t="s">
        <v>203</v>
      </c>
      <c r="L909" t="s">
        <v>34</v>
      </c>
      <c r="M909" t="s">
        <v>206</v>
      </c>
      <c r="N909">
        <v>3</v>
      </c>
      <c r="O909" t="s">
        <v>57</v>
      </c>
      <c r="S909" t="s">
        <v>58</v>
      </c>
    </row>
    <row r="910" spans="1:19" x14ac:dyDescent="0.25">
      <c r="A910">
        <v>129185</v>
      </c>
      <c r="B910">
        <v>2024</v>
      </c>
      <c r="C910" t="s">
        <v>377</v>
      </c>
      <c r="D910" t="s">
        <v>26</v>
      </c>
      <c r="E910" t="s">
        <v>265</v>
      </c>
      <c r="F910" t="s">
        <v>426</v>
      </c>
      <c r="G910" s="1" t="s">
        <v>415</v>
      </c>
      <c r="H910" s="1" t="s">
        <v>415</v>
      </c>
      <c r="I910" t="s">
        <v>31</v>
      </c>
      <c r="J910" t="s">
        <v>32</v>
      </c>
      <c r="K910" t="s">
        <v>203</v>
      </c>
      <c r="L910" t="s">
        <v>34</v>
      </c>
      <c r="M910" t="s">
        <v>206</v>
      </c>
      <c r="N910">
        <v>4</v>
      </c>
      <c r="P910" t="s">
        <v>99</v>
      </c>
      <c r="Q910" t="s">
        <v>149</v>
      </c>
      <c r="R910" t="s">
        <v>248</v>
      </c>
      <c r="S910" t="s">
        <v>100</v>
      </c>
    </row>
    <row r="911" spans="1:19" x14ac:dyDescent="0.25">
      <c r="A911">
        <v>129185</v>
      </c>
      <c r="B911">
        <v>2024</v>
      </c>
      <c r="C911" t="s">
        <v>377</v>
      </c>
      <c r="D911" t="s">
        <v>26</v>
      </c>
      <c r="E911" t="s">
        <v>265</v>
      </c>
      <c r="F911" t="s">
        <v>426</v>
      </c>
      <c r="G911" s="1" t="s">
        <v>415</v>
      </c>
      <c r="H911" s="1" t="s">
        <v>415</v>
      </c>
      <c r="I911" t="s">
        <v>31</v>
      </c>
      <c r="J911" t="s">
        <v>32</v>
      </c>
      <c r="K911" t="s">
        <v>203</v>
      </c>
      <c r="L911" t="s">
        <v>34</v>
      </c>
      <c r="M911" t="s">
        <v>206</v>
      </c>
      <c r="N911">
        <v>5</v>
      </c>
      <c r="P911" t="s">
        <v>99</v>
      </c>
      <c r="Q911" t="s">
        <v>133</v>
      </c>
      <c r="R911" t="s">
        <v>248</v>
      </c>
      <c r="S911" t="s">
        <v>100</v>
      </c>
    </row>
    <row r="912" spans="1:19" x14ac:dyDescent="0.25">
      <c r="A912">
        <v>129185</v>
      </c>
      <c r="B912">
        <v>2024</v>
      </c>
      <c r="C912" t="s">
        <v>377</v>
      </c>
      <c r="D912" t="s">
        <v>26</v>
      </c>
      <c r="E912" t="s">
        <v>265</v>
      </c>
      <c r="F912" t="s">
        <v>426</v>
      </c>
      <c r="G912" s="1" t="s">
        <v>415</v>
      </c>
      <c r="H912" s="1" t="s">
        <v>415</v>
      </c>
      <c r="I912" t="s">
        <v>31</v>
      </c>
      <c r="J912" t="s">
        <v>32</v>
      </c>
      <c r="K912" t="s">
        <v>203</v>
      </c>
      <c r="L912" t="s">
        <v>34</v>
      </c>
      <c r="M912" t="s">
        <v>206</v>
      </c>
      <c r="N912">
        <v>6</v>
      </c>
      <c r="O912" t="s">
        <v>57</v>
      </c>
      <c r="S912" t="s">
        <v>58</v>
      </c>
    </row>
    <row r="913" spans="1:19" x14ac:dyDescent="0.25">
      <c r="A913">
        <v>129185</v>
      </c>
      <c r="B913">
        <v>2024</v>
      </c>
      <c r="C913" t="s">
        <v>377</v>
      </c>
      <c r="D913" t="s">
        <v>26</v>
      </c>
      <c r="E913" t="s">
        <v>265</v>
      </c>
      <c r="F913" t="s">
        <v>426</v>
      </c>
      <c r="G913" s="1" t="s">
        <v>415</v>
      </c>
      <c r="H913" s="1" t="s">
        <v>415</v>
      </c>
      <c r="I913" t="s">
        <v>31</v>
      </c>
      <c r="J913" t="s">
        <v>32</v>
      </c>
      <c r="K913" t="s">
        <v>203</v>
      </c>
      <c r="L913" t="s">
        <v>34</v>
      </c>
      <c r="M913" t="s">
        <v>206</v>
      </c>
      <c r="N913">
        <v>7</v>
      </c>
      <c r="O913" t="s">
        <v>57</v>
      </c>
      <c r="S913" t="s">
        <v>58</v>
      </c>
    </row>
    <row r="914" spans="1:19" x14ac:dyDescent="0.25">
      <c r="A914">
        <v>129185</v>
      </c>
      <c r="B914">
        <v>2024</v>
      </c>
      <c r="C914" t="s">
        <v>377</v>
      </c>
      <c r="D914" t="s">
        <v>26</v>
      </c>
      <c r="E914" t="s">
        <v>265</v>
      </c>
      <c r="F914" t="s">
        <v>426</v>
      </c>
      <c r="G914" s="1" t="s">
        <v>415</v>
      </c>
      <c r="H914" s="1" t="s">
        <v>415</v>
      </c>
      <c r="I914" t="s">
        <v>31</v>
      </c>
      <c r="J914" t="s">
        <v>32</v>
      </c>
      <c r="K914" t="s">
        <v>203</v>
      </c>
      <c r="L914" t="s">
        <v>34</v>
      </c>
      <c r="M914" t="s">
        <v>206</v>
      </c>
      <c r="N914">
        <v>8</v>
      </c>
      <c r="O914" t="s">
        <v>57</v>
      </c>
      <c r="S914" t="s">
        <v>58</v>
      </c>
    </row>
    <row r="915" spans="1:19" x14ac:dyDescent="0.25">
      <c r="A915">
        <v>129185</v>
      </c>
      <c r="B915">
        <v>2024</v>
      </c>
      <c r="C915" t="s">
        <v>377</v>
      </c>
      <c r="D915" t="s">
        <v>26</v>
      </c>
      <c r="E915" t="s">
        <v>265</v>
      </c>
      <c r="F915" t="s">
        <v>426</v>
      </c>
      <c r="G915" s="1" t="s">
        <v>415</v>
      </c>
      <c r="H915" s="1" t="s">
        <v>415</v>
      </c>
      <c r="I915" t="s">
        <v>31</v>
      </c>
      <c r="J915" t="s">
        <v>32</v>
      </c>
      <c r="K915" t="s">
        <v>203</v>
      </c>
      <c r="L915" t="s">
        <v>34</v>
      </c>
      <c r="M915" t="s">
        <v>206</v>
      </c>
      <c r="N915">
        <v>9</v>
      </c>
      <c r="O915" t="s">
        <v>57</v>
      </c>
      <c r="S915" t="s">
        <v>58</v>
      </c>
    </row>
    <row r="916" spans="1:19" x14ac:dyDescent="0.25">
      <c r="A916">
        <v>129185</v>
      </c>
      <c r="B916">
        <v>2024</v>
      </c>
      <c r="C916" t="s">
        <v>377</v>
      </c>
      <c r="D916" t="s">
        <v>26</v>
      </c>
      <c r="E916" t="s">
        <v>265</v>
      </c>
      <c r="F916" t="s">
        <v>426</v>
      </c>
      <c r="G916" s="1" t="s">
        <v>415</v>
      </c>
      <c r="H916" s="1" t="s">
        <v>415</v>
      </c>
      <c r="I916" t="s">
        <v>31</v>
      </c>
      <c r="J916" t="s">
        <v>32</v>
      </c>
      <c r="K916" t="s">
        <v>203</v>
      </c>
      <c r="L916" t="s">
        <v>34</v>
      </c>
      <c r="M916" t="s">
        <v>206</v>
      </c>
      <c r="N916">
        <v>10</v>
      </c>
      <c r="O916" t="s">
        <v>57</v>
      </c>
      <c r="S916" t="s">
        <v>58</v>
      </c>
    </row>
    <row r="917" spans="1:19" x14ac:dyDescent="0.25">
      <c r="A917">
        <v>129201</v>
      </c>
      <c r="B917">
        <v>2024</v>
      </c>
      <c r="C917" t="s">
        <v>377</v>
      </c>
      <c r="D917" t="s">
        <v>26</v>
      </c>
      <c r="E917" t="s">
        <v>279</v>
      </c>
      <c r="F917" t="s">
        <v>430</v>
      </c>
      <c r="G917" s="1" t="s">
        <v>428</v>
      </c>
      <c r="H917" s="1" t="s">
        <v>429</v>
      </c>
      <c r="I917" t="s">
        <v>31</v>
      </c>
      <c r="J917" t="s">
        <v>32</v>
      </c>
      <c r="K917" t="s">
        <v>203</v>
      </c>
      <c r="L917" t="s">
        <v>34</v>
      </c>
      <c r="M917" t="s">
        <v>206</v>
      </c>
      <c r="N917">
        <v>1</v>
      </c>
      <c r="P917" t="s">
        <v>99</v>
      </c>
      <c r="Q917" t="s">
        <v>149</v>
      </c>
      <c r="S917" t="s">
        <v>100</v>
      </c>
    </row>
    <row r="918" spans="1:19" x14ac:dyDescent="0.25">
      <c r="A918">
        <v>129201</v>
      </c>
      <c r="B918">
        <v>2024</v>
      </c>
      <c r="C918" t="s">
        <v>377</v>
      </c>
      <c r="D918" t="s">
        <v>26</v>
      </c>
      <c r="E918" t="s">
        <v>279</v>
      </c>
      <c r="F918" t="s">
        <v>430</v>
      </c>
      <c r="G918" s="1" t="s">
        <v>428</v>
      </c>
      <c r="H918" s="1" t="s">
        <v>429</v>
      </c>
      <c r="I918" t="s">
        <v>31</v>
      </c>
      <c r="J918" t="s">
        <v>32</v>
      </c>
      <c r="K918" t="s">
        <v>203</v>
      </c>
      <c r="L918" t="s">
        <v>34</v>
      </c>
      <c r="M918" t="s">
        <v>206</v>
      </c>
      <c r="N918">
        <v>2</v>
      </c>
      <c r="P918" t="s">
        <v>99</v>
      </c>
      <c r="S918" t="s">
        <v>100</v>
      </c>
    </row>
    <row r="919" spans="1:19" x14ac:dyDescent="0.25">
      <c r="A919">
        <v>129201</v>
      </c>
      <c r="B919">
        <v>2024</v>
      </c>
      <c r="C919" t="s">
        <v>377</v>
      </c>
      <c r="D919" t="s">
        <v>26</v>
      </c>
      <c r="E919" t="s">
        <v>279</v>
      </c>
      <c r="F919" t="s">
        <v>430</v>
      </c>
      <c r="G919" s="1" t="s">
        <v>428</v>
      </c>
      <c r="H919" s="1" t="s">
        <v>429</v>
      </c>
      <c r="I919" t="s">
        <v>31</v>
      </c>
      <c r="J919" t="s">
        <v>32</v>
      </c>
      <c r="K919" t="s">
        <v>203</v>
      </c>
      <c r="L919" t="s">
        <v>34</v>
      </c>
      <c r="M919" t="s">
        <v>206</v>
      </c>
      <c r="N919">
        <v>3</v>
      </c>
      <c r="P919" t="s">
        <v>95</v>
      </c>
      <c r="Q919" t="s">
        <v>149</v>
      </c>
      <c r="R919" t="s">
        <v>248</v>
      </c>
      <c r="S919" t="s">
        <v>96</v>
      </c>
    </row>
    <row r="920" spans="1:19" x14ac:dyDescent="0.25">
      <c r="A920">
        <v>129201</v>
      </c>
      <c r="B920">
        <v>2024</v>
      </c>
      <c r="C920" t="s">
        <v>377</v>
      </c>
      <c r="D920" t="s">
        <v>26</v>
      </c>
      <c r="E920" t="s">
        <v>279</v>
      </c>
      <c r="F920" t="s">
        <v>430</v>
      </c>
      <c r="G920" s="1" t="s">
        <v>428</v>
      </c>
      <c r="H920" s="1" t="s">
        <v>429</v>
      </c>
      <c r="I920" t="s">
        <v>31</v>
      </c>
      <c r="J920" t="s">
        <v>32</v>
      </c>
      <c r="K920" t="s">
        <v>203</v>
      </c>
      <c r="L920" t="s">
        <v>34</v>
      </c>
      <c r="M920" t="s">
        <v>206</v>
      </c>
      <c r="N920">
        <v>4</v>
      </c>
      <c r="P920" t="s">
        <v>99</v>
      </c>
      <c r="S920" t="s">
        <v>100</v>
      </c>
    </row>
    <row r="921" spans="1:19" x14ac:dyDescent="0.25">
      <c r="A921">
        <v>129201</v>
      </c>
      <c r="B921">
        <v>2024</v>
      </c>
      <c r="C921" t="s">
        <v>377</v>
      </c>
      <c r="D921" t="s">
        <v>26</v>
      </c>
      <c r="E921" t="s">
        <v>279</v>
      </c>
      <c r="F921" t="s">
        <v>430</v>
      </c>
      <c r="G921" s="1" t="s">
        <v>428</v>
      </c>
      <c r="H921" s="1" t="s">
        <v>429</v>
      </c>
      <c r="I921" t="s">
        <v>31</v>
      </c>
      <c r="J921" t="s">
        <v>32</v>
      </c>
      <c r="K921" t="s">
        <v>203</v>
      </c>
      <c r="L921" t="s">
        <v>34</v>
      </c>
      <c r="M921" t="s">
        <v>206</v>
      </c>
      <c r="N921">
        <v>5</v>
      </c>
      <c r="O921" t="s">
        <v>57</v>
      </c>
      <c r="S921" t="s">
        <v>58</v>
      </c>
    </row>
    <row r="922" spans="1:19" x14ac:dyDescent="0.25">
      <c r="A922">
        <v>129201</v>
      </c>
      <c r="B922">
        <v>2024</v>
      </c>
      <c r="C922" t="s">
        <v>377</v>
      </c>
      <c r="D922" t="s">
        <v>26</v>
      </c>
      <c r="E922" t="s">
        <v>279</v>
      </c>
      <c r="F922" t="s">
        <v>430</v>
      </c>
      <c r="G922" s="1" t="s">
        <v>428</v>
      </c>
      <c r="H922" s="1" t="s">
        <v>429</v>
      </c>
      <c r="I922" t="s">
        <v>31</v>
      </c>
      <c r="J922" t="s">
        <v>32</v>
      </c>
      <c r="K922" t="s">
        <v>203</v>
      </c>
      <c r="L922" t="s">
        <v>34</v>
      </c>
      <c r="M922" t="s">
        <v>206</v>
      </c>
      <c r="N922">
        <v>6</v>
      </c>
      <c r="O922" t="s">
        <v>57</v>
      </c>
      <c r="S922" t="s">
        <v>58</v>
      </c>
    </row>
    <row r="923" spans="1:19" x14ac:dyDescent="0.25">
      <c r="A923">
        <v>129201</v>
      </c>
      <c r="B923">
        <v>2024</v>
      </c>
      <c r="C923" t="s">
        <v>377</v>
      </c>
      <c r="D923" t="s">
        <v>26</v>
      </c>
      <c r="E923" t="s">
        <v>279</v>
      </c>
      <c r="F923" t="s">
        <v>430</v>
      </c>
      <c r="G923" s="1" t="s">
        <v>428</v>
      </c>
      <c r="H923" s="1" t="s">
        <v>429</v>
      </c>
      <c r="I923" t="s">
        <v>31</v>
      </c>
      <c r="J923" t="s">
        <v>32</v>
      </c>
      <c r="K923" t="s">
        <v>203</v>
      </c>
      <c r="L923" t="s">
        <v>34</v>
      </c>
      <c r="M923" t="s">
        <v>206</v>
      </c>
      <c r="N923">
        <v>7</v>
      </c>
      <c r="O923" t="s">
        <v>57</v>
      </c>
      <c r="S923" t="s">
        <v>58</v>
      </c>
    </row>
    <row r="924" spans="1:19" x14ac:dyDescent="0.25">
      <c r="A924">
        <v>129201</v>
      </c>
      <c r="B924">
        <v>2024</v>
      </c>
      <c r="C924" t="s">
        <v>377</v>
      </c>
      <c r="D924" t="s">
        <v>26</v>
      </c>
      <c r="E924" t="s">
        <v>279</v>
      </c>
      <c r="F924" t="s">
        <v>430</v>
      </c>
      <c r="G924" s="1" t="s">
        <v>428</v>
      </c>
      <c r="H924" s="1" t="s">
        <v>429</v>
      </c>
      <c r="I924" t="s">
        <v>31</v>
      </c>
      <c r="J924" t="s">
        <v>32</v>
      </c>
      <c r="K924" t="s">
        <v>203</v>
      </c>
      <c r="L924" t="s">
        <v>34</v>
      </c>
      <c r="M924" t="s">
        <v>206</v>
      </c>
      <c r="N924">
        <v>8</v>
      </c>
      <c r="O924" t="s">
        <v>57</v>
      </c>
      <c r="S924" t="s">
        <v>58</v>
      </c>
    </row>
    <row r="925" spans="1:19" x14ac:dyDescent="0.25">
      <c r="A925">
        <v>129201</v>
      </c>
      <c r="B925">
        <v>2024</v>
      </c>
      <c r="C925" t="s">
        <v>377</v>
      </c>
      <c r="D925" t="s">
        <v>26</v>
      </c>
      <c r="E925" t="s">
        <v>279</v>
      </c>
      <c r="F925" t="s">
        <v>430</v>
      </c>
      <c r="G925" s="1" t="s">
        <v>428</v>
      </c>
      <c r="H925" s="1" t="s">
        <v>429</v>
      </c>
      <c r="I925" t="s">
        <v>31</v>
      </c>
      <c r="J925" t="s">
        <v>32</v>
      </c>
      <c r="K925" t="s">
        <v>203</v>
      </c>
      <c r="L925" t="s">
        <v>34</v>
      </c>
      <c r="M925" t="s">
        <v>206</v>
      </c>
      <c r="N925">
        <v>9</v>
      </c>
      <c r="P925" t="s">
        <v>95</v>
      </c>
      <c r="Q925" t="s">
        <v>149</v>
      </c>
      <c r="R925" t="s">
        <v>248</v>
      </c>
      <c r="S925" t="s">
        <v>96</v>
      </c>
    </row>
    <row r="926" spans="1:19" x14ac:dyDescent="0.25">
      <c r="A926">
        <v>129201</v>
      </c>
      <c r="B926">
        <v>2024</v>
      </c>
      <c r="C926" t="s">
        <v>377</v>
      </c>
      <c r="D926" t="s">
        <v>26</v>
      </c>
      <c r="E926" t="s">
        <v>279</v>
      </c>
      <c r="F926" t="s">
        <v>430</v>
      </c>
      <c r="G926" s="1" t="s">
        <v>428</v>
      </c>
      <c r="H926" s="1" t="s">
        <v>429</v>
      </c>
      <c r="I926" t="s">
        <v>31</v>
      </c>
      <c r="J926" t="s">
        <v>32</v>
      </c>
      <c r="K926" t="s">
        <v>203</v>
      </c>
      <c r="L926" t="s">
        <v>34</v>
      </c>
      <c r="M926" t="s">
        <v>206</v>
      </c>
      <c r="N926">
        <v>10</v>
      </c>
      <c r="O926" t="s">
        <v>57</v>
      </c>
      <c r="S926" t="s">
        <v>58</v>
      </c>
    </row>
    <row r="927" spans="1:19" x14ac:dyDescent="0.25">
      <c r="A927">
        <v>129201</v>
      </c>
      <c r="B927">
        <v>2024</v>
      </c>
      <c r="C927" t="s">
        <v>377</v>
      </c>
      <c r="D927" t="s">
        <v>26</v>
      </c>
      <c r="E927" t="s">
        <v>279</v>
      </c>
      <c r="F927" t="s">
        <v>430</v>
      </c>
      <c r="G927" s="1" t="s">
        <v>428</v>
      </c>
      <c r="H927" s="1" t="s">
        <v>429</v>
      </c>
      <c r="I927" t="s">
        <v>31</v>
      </c>
      <c r="J927" t="s">
        <v>32</v>
      </c>
      <c r="K927" t="s">
        <v>203</v>
      </c>
      <c r="L927" t="s">
        <v>34</v>
      </c>
      <c r="M927" t="s">
        <v>206</v>
      </c>
      <c r="N927">
        <v>11</v>
      </c>
      <c r="O927" t="s">
        <v>57</v>
      </c>
      <c r="S927" t="s">
        <v>58</v>
      </c>
    </row>
    <row r="928" spans="1:19" x14ac:dyDescent="0.25">
      <c r="A928">
        <v>129201</v>
      </c>
      <c r="B928">
        <v>2024</v>
      </c>
      <c r="C928" t="s">
        <v>377</v>
      </c>
      <c r="D928" t="s">
        <v>26</v>
      </c>
      <c r="E928" t="s">
        <v>279</v>
      </c>
      <c r="F928" t="s">
        <v>430</v>
      </c>
      <c r="G928" s="1" t="s">
        <v>428</v>
      </c>
      <c r="H928" s="1" t="s">
        <v>429</v>
      </c>
      <c r="I928" t="s">
        <v>31</v>
      </c>
      <c r="J928" t="s">
        <v>32</v>
      </c>
      <c r="K928" t="s">
        <v>203</v>
      </c>
      <c r="L928" t="s">
        <v>34</v>
      </c>
      <c r="M928" t="s">
        <v>206</v>
      </c>
      <c r="N928">
        <v>12</v>
      </c>
      <c r="P928" t="s">
        <v>95</v>
      </c>
      <c r="Q928" t="s">
        <v>149</v>
      </c>
      <c r="R928" t="s">
        <v>248</v>
      </c>
      <c r="S928" t="s">
        <v>96</v>
      </c>
    </row>
    <row r="929" spans="1:19" x14ac:dyDescent="0.25">
      <c r="A929">
        <v>129201</v>
      </c>
      <c r="B929">
        <v>2024</v>
      </c>
      <c r="C929" t="s">
        <v>377</v>
      </c>
      <c r="D929" t="s">
        <v>26</v>
      </c>
      <c r="E929" t="s">
        <v>279</v>
      </c>
      <c r="F929" t="s">
        <v>430</v>
      </c>
      <c r="G929" s="1" t="s">
        <v>428</v>
      </c>
      <c r="H929" s="1" t="s">
        <v>429</v>
      </c>
      <c r="I929" t="s">
        <v>31</v>
      </c>
      <c r="J929" t="s">
        <v>32</v>
      </c>
      <c r="K929" t="s">
        <v>203</v>
      </c>
      <c r="L929" t="s">
        <v>34</v>
      </c>
      <c r="M929" t="s">
        <v>206</v>
      </c>
      <c r="N929">
        <v>13</v>
      </c>
      <c r="O929" t="s">
        <v>57</v>
      </c>
      <c r="S929" t="s">
        <v>58</v>
      </c>
    </row>
    <row r="930" spans="1:19" x14ac:dyDescent="0.25">
      <c r="A930">
        <v>129201</v>
      </c>
      <c r="B930">
        <v>2024</v>
      </c>
      <c r="C930" t="s">
        <v>377</v>
      </c>
      <c r="D930" t="s">
        <v>26</v>
      </c>
      <c r="E930" t="s">
        <v>279</v>
      </c>
      <c r="F930" t="s">
        <v>430</v>
      </c>
      <c r="G930" s="1" t="s">
        <v>428</v>
      </c>
      <c r="H930" s="1" t="s">
        <v>429</v>
      </c>
      <c r="I930" t="s">
        <v>31</v>
      </c>
      <c r="J930" t="s">
        <v>32</v>
      </c>
      <c r="K930" t="s">
        <v>203</v>
      </c>
      <c r="L930" t="s">
        <v>34</v>
      </c>
      <c r="M930" t="s">
        <v>206</v>
      </c>
      <c r="N930">
        <v>14</v>
      </c>
      <c r="O930" t="s">
        <v>68</v>
      </c>
      <c r="S930" t="s">
        <v>69</v>
      </c>
    </row>
    <row r="931" spans="1:19" x14ac:dyDescent="0.25">
      <c r="A931">
        <v>129201</v>
      </c>
      <c r="B931">
        <v>2024</v>
      </c>
      <c r="C931" t="s">
        <v>377</v>
      </c>
      <c r="D931" t="s">
        <v>26</v>
      </c>
      <c r="E931" t="s">
        <v>279</v>
      </c>
      <c r="F931" t="s">
        <v>430</v>
      </c>
      <c r="G931" s="1" t="s">
        <v>428</v>
      </c>
      <c r="H931" s="1" t="s">
        <v>429</v>
      </c>
      <c r="I931" t="s">
        <v>31</v>
      </c>
      <c r="J931" t="s">
        <v>32</v>
      </c>
      <c r="K931" t="s">
        <v>203</v>
      </c>
      <c r="L931" t="s">
        <v>34</v>
      </c>
      <c r="M931" t="s">
        <v>206</v>
      </c>
      <c r="N931">
        <v>15</v>
      </c>
      <c r="P931" t="s">
        <v>95</v>
      </c>
      <c r="Q931" t="s">
        <v>149</v>
      </c>
      <c r="S931" t="s">
        <v>96</v>
      </c>
    </row>
    <row r="932" spans="1:19" x14ac:dyDescent="0.25">
      <c r="A932">
        <v>129201</v>
      </c>
      <c r="B932">
        <v>2024</v>
      </c>
      <c r="C932" t="s">
        <v>377</v>
      </c>
      <c r="D932" t="s">
        <v>26</v>
      </c>
      <c r="E932" t="s">
        <v>279</v>
      </c>
      <c r="F932" t="s">
        <v>430</v>
      </c>
      <c r="G932" s="1" t="s">
        <v>428</v>
      </c>
      <c r="H932" s="1" t="s">
        <v>429</v>
      </c>
      <c r="I932" t="s">
        <v>31</v>
      </c>
      <c r="J932" t="s">
        <v>32</v>
      </c>
      <c r="K932" t="s">
        <v>203</v>
      </c>
      <c r="L932" t="s">
        <v>34</v>
      </c>
      <c r="M932" t="s">
        <v>206</v>
      </c>
      <c r="N932">
        <v>16</v>
      </c>
      <c r="O932" t="s">
        <v>68</v>
      </c>
      <c r="S932" t="s">
        <v>69</v>
      </c>
    </row>
    <row r="933" spans="1:19" x14ac:dyDescent="0.25">
      <c r="A933">
        <v>129201</v>
      </c>
      <c r="B933">
        <v>2024</v>
      </c>
      <c r="C933" t="s">
        <v>377</v>
      </c>
      <c r="D933" t="s">
        <v>26</v>
      </c>
      <c r="E933" t="s">
        <v>279</v>
      </c>
      <c r="F933" t="s">
        <v>430</v>
      </c>
      <c r="G933" s="1" t="s">
        <v>428</v>
      </c>
      <c r="H933" s="1" t="s">
        <v>429</v>
      </c>
      <c r="I933" t="s">
        <v>31</v>
      </c>
      <c r="J933" t="s">
        <v>32</v>
      </c>
      <c r="K933" t="s">
        <v>203</v>
      </c>
      <c r="L933" t="s">
        <v>34</v>
      </c>
      <c r="M933" t="s">
        <v>206</v>
      </c>
      <c r="N933">
        <v>17</v>
      </c>
      <c r="O933" t="s">
        <v>57</v>
      </c>
      <c r="S933" t="s">
        <v>58</v>
      </c>
    </row>
    <row r="934" spans="1:19" x14ac:dyDescent="0.25">
      <c r="A934">
        <v>129201</v>
      </c>
      <c r="B934">
        <v>2024</v>
      </c>
      <c r="C934" t="s">
        <v>377</v>
      </c>
      <c r="D934" t="s">
        <v>26</v>
      </c>
      <c r="E934" t="s">
        <v>279</v>
      </c>
      <c r="F934" t="s">
        <v>430</v>
      </c>
      <c r="G934" s="1" t="s">
        <v>428</v>
      </c>
      <c r="H934" s="1" t="s">
        <v>429</v>
      </c>
      <c r="I934" t="s">
        <v>31</v>
      </c>
      <c r="J934" t="s">
        <v>32</v>
      </c>
      <c r="K934" t="s">
        <v>203</v>
      </c>
      <c r="L934" t="s">
        <v>34</v>
      </c>
      <c r="M934" t="s">
        <v>206</v>
      </c>
      <c r="N934">
        <v>18</v>
      </c>
      <c r="O934" t="s">
        <v>68</v>
      </c>
      <c r="S934" t="s">
        <v>69</v>
      </c>
    </row>
    <row r="935" spans="1:19" x14ac:dyDescent="0.25">
      <c r="A935">
        <v>129201</v>
      </c>
      <c r="B935">
        <v>2024</v>
      </c>
      <c r="C935" t="s">
        <v>377</v>
      </c>
      <c r="D935" t="s">
        <v>26</v>
      </c>
      <c r="E935" t="s">
        <v>279</v>
      </c>
      <c r="F935" t="s">
        <v>430</v>
      </c>
      <c r="G935" s="1" t="s">
        <v>428</v>
      </c>
      <c r="H935" s="1" t="s">
        <v>429</v>
      </c>
      <c r="I935" t="s">
        <v>31</v>
      </c>
      <c r="J935" t="s">
        <v>32</v>
      </c>
      <c r="K935" t="s">
        <v>203</v>
      </c>
      <c r="L935" t="s">
        <v>34</v>
      </c>
      <c r="M935" t="s">
        <v>206</v>
      </c>
      <c r="N935">
        <v>19</v>
      </c>
      <c r="O935" t="s">
        <v>57</v>
      </c>
      <c r="S935" t="s">
        <v>58</v>
      </c>
    </row>
    <row r="936" spans="1:19" x14ac:dyDescent="0.25">
      <c r="A936">
        <v>129201</v>
      </c>
      <c r="B936">
        <v>2024</v>
      </c>
      <c r="C936" t="s">
        <v>377</v>
      </c>
      <c r="D936" t="s">
        <v>26</v>
      </c>
      <c r="E936" t="s">
        <v>279</v>
      </c>
      <c r="F936" t="s">
        <v>430</v>
      </c>
      <c r="G936" s="1" t="s">
        <v>428</v>
      </c>
      <c r="H936" s="1" t="s">
        <v>429</v>
      </c>
      <c r="I936" t="s">
        <v>31</v>
      </c>
      <c r="J936" t="s">
        <v>32</v>
      </c>
      <c r="K936" t="s">
        <v>203</v>
      </c>
      <c r="L936" t="s">
        <v>34</v>
      </c>
      <c r="M936" t="s">
        <v>206</v>
      </c>
      <c r="N936">
        <v>20</v>
      </c>
      <c r="O936" t="s">
        <v>57</v>
      </c>
      <c r="S936" t="s">
        <v>58</v>
      </c>
    </row>
    <row r="937" spans="1:19" x14ac:dyDescent="0.25">
      <c r="A937">
        <v>129201</v>
      </c>
      <c r="B937">
        <v>2024</v>
      </c>
      <c r="C937" t="s">
        <v>377</v>
      </c>
      <c r="D937" t="s">
        <v>26</v>
      </c>
      <c r="E937" t="s">
        <v>279</v>
      </c>
      <c r="F937" t="s">
        <v>430</v>
      </c>
      <c r="G937" s="1" t="s">
        <v>428</v>
      </c>
      <c r="H937" s="1" t="s">
        <v>429</v>
      </c>
      <c r="I937" t="s">
        <v>31</v>
      </c>
      <c r="J937" t="s">
        <v>32</v>
      </c>
      <c r="K937" t="s">
        <v>203</v>
      </c>
      <c r="L937" t="s">
        <v>34</v>
      </c>
      <c r="M937" t="s">
        <v>206</v>
      </c>
      <c r="N937">
        <v>21</v>
      </c>
      <c r="O937" t="s">
        <v>68</v>
      </c>
      <c r="S937" t="s">
        <v>69</v>
      </c>
    </row>
    <row r="938" spans="1:19" x14ac:dyDescent="0.25">
      <c r="A938">
        <v>129201</v>
      </c>
      <c r="B938">
        <v>2024</v>
      </c>
      <c r="C938" t="s">
        <v>377</v>
      </c>
      <c r="D938" t="s">
        <v>26</v>
      </c>
      <c r="E938" t="s">
        <v>279</v>
      </c>
      <c r="F938" t="s">
        <v>430</v>
      </c>
      <c r="G938" s="1" t="s">
        <v>428</v>
      </c>
      <c r="H938" s="1" t="s">
        <v>429</v>
      </c>
      <c r="I938" t="s">
        <v>31</v>
      </c>
      <c r="J938" t="s">
        <v>32</v>
      </c>
      <c r="K938" t="s">
        <v>203</v>
      </c>
      <c r="L938" t="s">
        <v>34</v>
      </c>
      <c r="M938" t="s">
        <v>206</v>
      </c>
      <c r="N938">
        <v>22</v>
      </c>
      <c r="O938" t="s">
        <v>57</v>
      </c>
      <c r="S938" t="s">
        <v>58</v>
      </c>
    </row>
    <row r="939" spans="1:19" x14ac:dyDescent="0.25">
      <c r="A939">
        <v>129201</v>
      </c>
      <c r="B939">
        <v>2024</v>
      </c>
      <c r="C939" t="s">
        <v>377</v>
      </c>
      <c r="D939" t="s">
        <v>26</v>
      </c>
      <c r="E939" t="s">
        <v>279</v>
      </c>
      <c r="F939" t="s">
        <v>430</v>
      </c>
      <c r="G939" s="1" t="s">
        <v>428</v>
      </c>
      <c r="H939" s="1" t="s">
        <v>429</v>
      </c>
      <c r="I939" t="s">
        <v>31</v>
      </c>
      <c r="J939" t="s">
        <v>32</v>
      </c>
      <c r="K939" t="s">
        <v>203</v>
      </c>
      <c r="L939" t="s">
        <v>34</v>
      </c>
      <c r="M939" t="s">
        <v>206</v>
      </c>
      <c r="N939">
        <v>23</v>
      </c>
      <c r="O939" t="s">
        <v>68</v>
      </c>
      <c r="R939" t="s">
        <v>190</v>
      </c>
      <c r="S939" t="s">
        <v>69</v>
      </c>
    </row>
    <row r="940" spans="1:19" x14ac:dyDescent="0.25">
      <c r="A940">
        <v>129201</v>
      </c>
      <c r="B940">
        <v>2024</v>
      </c>
      <c r="C940" t="s">
        <v>377</v>
      </c>
      <c r="D940" t="s">
        <v>26</v>
      </c>
      <c r="E940" t="s">
        <v>279</v>
      </c>
      <c r="F940" t="s">
        <v>430</v>
      </c>
      <c r="G940" s="1" t="s">
        <v>428</v>
      </c>
      <c r="H940" s="1" t="s">
        <v>429</v>
      </c>
      <c r="I940" t="s">
        <v>31</v>
      </c>
      <c r="J940" t="s">
        <v>32</v>
      </c>
      <c r="K940" t="s">
        <v>203</v>
      </c>
      <c r="L940" t="s">
        <v>34</v>
      </c>
      <c r="M940" t="s">
        <v>206</v>
      </c>
      <c r="N940">
        <v>24</v>
      </c>
      <c r="O940" t="s">
        <v>57</v>
      </c>
      <c r="S940" t="s">
        <v>58</v>
      </c>
    </row>
    <row r="941" spans="1:19" x14ac:dyDescent="0.25">
      <c r="A941">
        <v>129201</v>
      </c>
      <c r="B941">
        <v>2024</v>
      </c>
      <c r="C941" t="s">
        <v>377</v>
      </c>
      <c r="D941" t="s">
        <v>26</v>
      </c>
      <c r="E941" t="s">
        <v>279</v>
      </c>
      <c r="F941" t="s">
        <v>430</v>
      </c>
      <c r="G941" s="1" t="s">
        <v>428</v>
      </c>
      <c r="H941" s="1" t="s">
        <v>429</v>
      </c>
      <c r="I941" t="s">
        <v>31</v>
      </c>
      <c r="J941" t="s">
        <v>32</v>
      </c>
      <c r="K941" t="s">
        <v>203</v>
      </c>
      <c r="L941" t="s">
        <v>34</v>
      </c>
      <c r="M941" t="s">
        <v>206</v>
      </c>
      <c r="N941">
        <v>25</v>
      </c>
      <c r="O941" t="s">
        <v>66</v>
      </c>
      <c r="S941" t="s">
        <v>67</v>
      </c>
    </row>
    <row r="942" spans="1:19" x14ac:dyDescent="0.25">
      <c r="A942">
        <v>129201</v>
      </c>
      <c r="B942">
        <v>2024</v>
      </c>
      <c r="C942" t="s">
        <v>377</v>
      </c>
      <c r="D942" t="s">
        <v>26</v>
      </c>
      <c r="E942" t="s">
        <v>279</v>
      </c>
      <c r="F942" t="s">
        <v>432</v>
      </c>
      <c r="G942" s="1" t="s">
        <v>428</v>
      </c>
      <c r="H942" s="1" t="s">
        <v>429</v>
      </c>
      <c r="I942" t="s">
        <v>31</v>
      </c>
      <c r="J942" t="s">
        <v>32</v>
      </c>
      <c r="K942" t="s">
        <v>203</v>
      </c>
      <c r="L942" t="s">
        <v>34</v>
      </c>
      <c r="M942" t="s">
        <v>206</v>
      </c>
      <c r="N942">
        <v>1</v>
      </c>
      <c r="O942" t="s">
        <v>57</v>
      </c>
      <c r="S942" t="s">
        <v>58</v>
      </c>
    </row>
    <row r="943" spans="1:19" x14ac:dyDescent="0.25">
      <c r="A943">
        <v>129201</v>
      </c>
      <c r="B943">
        <v>2024</v>
      </c>
      <c r="C943" t="s">
        <v>377</v>
      </c>
      <c r="D943" t="s">
        <v>26</v>
      </c>
      <c r="E943" t="s">
        <v>279</v>
      </c>
      <c r="F943" t="s">
        <v>432</v>
      </c>
      <c r="G943" s="1" t="s">
        <v>428</v>
      </c>
      <c r="H943" s="1" t="s">
        <v>429</v>
      </c>
      <c r="I943" t="s">
        <v>31</v>
      </c>
      <c r="J943" t="s">
        <v>32</v>
      </c>
      <c r="K943" t="s">
        <v>203</v>
      </c>
      <c r="L943" t="s">
        <v>34</v>
      </c>
      <c r="M943" t="s">
        <v>206</v>
      </c>
      <c r="N943">
        <v>2</v>
      </c>
      <c r="O943" t="s">
        <v>57</v>
      </c>
      <c r="R943" t="s">
        <v>190</v>
      </c>
      <c r="S943" t="s">
        <v>58</v>
      </c>
    </row>
    <row r="944" spans="1:19" x14ac:dyDescent="0.25">
      <c r="A944">
        <v>129201</v>
      </c>
      <c r="B944">
        <v>2024</v>
      </c>
      <c r="C944" t="s">
        <v>377</v>
      </c>
      <c r="D944" t="s">
        <v>26</v>
      </c>
      <c r="E944" t="s">
        <v>279</v>
      </c>
      <c r="F944" t="s">
        <v>432</v>
      </c>
      <c r="G944" s="1" t="s">
        <v>428</v>
      </c>
      <c r="H944" s="1" t="s">
        <v>429</v>
      </c>
      <c r="I944" t="s">
        <v>31</v>
      </c>
      <c r="J944" t="s">
        <v>32</v>
      </c>
      <c r="K944" t="s">
        <v>203</v>
      </c>
      <c r="L944" t="s">
        <v>34</v>
      </c>
      <c r="M944" t="s">
        <v>206</v>
      </c>
      <c r="N944">
        <v>3</v>
      </c>
      <c r="O944" t="s">
        <v>57</v>
      </c>
      <c r="S944" t="s">
        <v>58</v>
      </c>
    </row>
    <row r="945" spans="1:19" x14ac:dyDescent="0.25">
      <c r="A945">
        <v>129201</v>
      </c>
      <c r="B945">
        <v>2024</v>
      </c>
      <c r="C945" t="s">
        <v>377</v>
      </c>
      <c r="D945" t="s">
        <v>26</v>
      </c>
      <c r="E945" t="s">
        <v>279</v>
      </c>
      <c r="F945" t="s">
        <v>432</v>
      </c>
      <c r="G945" s="1" t="s">
        <v>428</v>
      </c>
      <c r="H945" s="1" t="s">
        <v>429</v>
      </c>
      <c r="I945" t="s">
        <v>31</v>
      </c>
      <c r="J945" t="s">
        <v>32</v>
      </c>
      <c r="K945" t="s">
        <v>203</v>
      </c>
      <c r="L945" t="s">
        <v>34</v>
      </c>
      <c r="M945" t="s">
        <v>206</v>
      </c>
      <c r="N945">
        <v>4</v>
      </c>
      <c r="O945" t="s">
        <v>57</v>
      </c>
      <c r="R945" t="s">
        <v>190</v>
      </c>
      <c r="S945" t="s">
        <v>58</v>
      </c>
    </row>
    <row r="946" spans="1:19" x14ac:dyDescent="0.25">
      <c r="A946">
        <v>129201</v>
      </c>
      <c r="B946">
        <v>2024</v>
      </c>
      <c r="C946" t="s">
        <v>377</v>
      </c>
      <c r="D946" t="s">
        <v>26</v>
      </c>
      <c r="E946" t="s">
        <v>279</v>
      </c>
      <c r="F946" t="s">
        <v>432</v>
      </c>
      <c r="G946" s="1" t="s">
        <v>428</v>
      </c>
      <c r="H946" s="1" t="s">
        <v>429</v>
      </c>
      <c r="I946" t="s">
        <v>31</v>
      </c>
      <c r="J946" t="s">
        <v>32</v>
      </c>
      <c r="K946" t="s">
        <v>203</v>
      </c>
      <c r="L946" t="s">
        <v>34</v>
      </c>
      <c r="M946" t="s">
        <v>206</v>
      </c>
      <c r="N946">
        <v>5</v>
      </c>
      <c r="O946" t="s">
        <v>57</v>
      </c>
      <c r="S946" t="s">
        <v>58</v>
      </c>
    </row>
    <row r="947" spans="1:19" x14ac:dyDescent="0.25">
      <c r="A947">
        <v>129201</v>
      </c>
      <c r="B947">
        <v>2024</v>
      </c>
      <c r="C947" t="s">
        <v>377</v>
      </c>
      <c r="D947" t="s">
        <v>26</v>
      </c>
      <c r="E947" t="s">
        <v>279</v>
      </c>
      <c r="F947" t="s">
        <v>432</v>
      </c>
      <c r="G947" s="1" t="s">
        <v>428</v>
      </c>
      <c r="H947" s="1" t="s">
        <v>429</v>
      </c>
      <c r="I947" t="s">
        <v>31</v>
      </c>
      <c r="J947" t="s">
        <v>32</v>
      </c>
      <c r="K947" t="s">
        <v>203</v>
      </c>
      <c r="L947" t="s">
        <v>34</v>
      </c>
      <c r="M947" t="s">
        <v>206</v>
      </c>
      <c r="N947">
        <v>6</v>
      </c>
      <c r="P947" t="s">
        <v>95</v>
      </c>
      <c r="Q947" t="s">
        <v>149</v>
      </c>
      <c r="S947" t="s">
        <v>96</v>
      </c>
    </row>
    <row r="948" spans="1:19" x14ac:dyDescent="0.25">
      <c r="A948">
        <v>129201</v>
      </c>
      <c r="B948">
        <v>2024</v>
      </c>
      <c r="C948" t="s">
        <v>377</v>
      </c>
      <c r="D948" t="s">
        <v>26</v>
      </c>
      <c r="E948" t="s">
        <v>279</v>
      </c>
      <c r="F948" t="s">
        <v>432</v>
      </c>
      <c r="G948" s="1" t="s">
        <v>428</v>
      </c>
      <c r="H948" s="1" t="s">
        <v>429</v>
      </c>
      <c r="I948" t="s">
        <v>31</v>
      </c>
      <c r="J948" t="s">
        <v>32</v>
      </c>
      <c r="K948" t="s">
        <v>203</v>
      </c>
      <c r="L948" t="s">
        <v>34</v>
      </c>
      <c r="M948" t="s">
        <v>206</v>
      </c>
      <c r="N948">
        <v>7</v>
      </c>
      <c r="P948" t="s">
        <v>95</v>
      </c>
      <c r="Q948" t="s">
        <v>149</v>
      </c>
      <c r="S948" t="s">
        <v>96</v>
      </c>
    </row>
    <row r="949" spans="1:19" x14ac:dyDescent="0.25">
      <c r="A949">
        <v>129201</v>
      </c>
      <c r="B949">
        <v>2024</v>
      </c>
      <c r="C949" t="s">
        <v>377</v>
      </c>
      <c r="D949" t="s">
        <v>26</v>
      </c>
      <c r="E949" t="s">
        <v>279</v>
      </c>
      <c r="F949" t="s">
        <v>432</v>
      </c>
      <c r="G949" s="1" t="s">
        <v>428</v>
      </c>
      <c r="H949" s="1" t="s">
        <v>429</v>
      </c>
      <c r="I949" t="s">
        <v>31</v>
      </c>
      <c r="J949" t="s">
        <v>32</v>
      </c>
      <c r="K949" t="s">
        <v>203</v>
      </c>
      <c r="L949" t="s">
        <v>34</v>
      </c>
      <c r="M949" t="s">
        <v>206</v>
      </c>
      <c r="N949">
        <v>8</v>
      </c>
      <c r="O949" t="s">
        <v>57</v>
      </c>
      <c r="S949" t="s">
        <v>58</v>
      </c>
    </row>
    <row r="950" spans="1:19" x14ac:dyDescent="0.25">
      <c r="A950">
        <v>129201</v>
      </c>
      <c r="B950">
        <v>2024</v>
      </c>
      <c r="C950" t="s">
        <v>377</v>
      </c>
      <c r="D950" t="s">
        <v>26</v>
      </c>
      <c r="E950" t="s">
        <v>279</v>
      </c>
      <c r="F950" t="s">
        <v>432</v>
      </c>
      <c r="G950" s="1" t="s">
        <v>428</v>
      </c>
      <c r="H950" s="1" t="s">
        <v>429</v>
      </c>
      <c r="I950" t="s">
        <v>31</v>
      </c>
      <c r="J950" t="s">
        <v>32</v>
      </c>
      <c r="K950" t="s">
        <v>203</v>
      </c>
      <c r="L950" t="s">
        <v>34</v>
      </c>
      <c r="M950" t="s">
        <v>206</v>
      </c>
      <c r="N950">
        <v>9</v>
      </c>
      <c r="O950" t="s">
        <v>57</v>
      </c>
      <c r="S950" t="s">
        <v>58</v>
      </c>
    </row>
    <row r="951" spans="1:19" x14ac:dyDescent="0.25">
      <c r="A951">
        <v>129201</v>
      </c>
      <c r="B951">
        <v>2024</v>
      </c>
      <c r="C951" t="s">
        <v>377</v>
      </c>
      <c r="D951" t="s">
        <v>26</v>
      </c>
      <c r="E951" t="s">
        <v>279</v>
      </c>
      <c r="F951" t="s">
        <v>432</v>
      </c>
      <c r="G951" s="1" t="s">
        <v>428</v>
      </c>
      <c r="H951" s="1" t="s">
        <v>429</v>
      </c>
      <c r="I951" t="s">
        <v>31</v>
      </c>
      <c r="J951" t="s">
        <v>32</v>
      </c>
      <c r="K951" t="s">
        <v>203</v>
      </c>
      <c r="L951" t="s">
        <v>34</v>
      </c>
      <c r="M951" t="s">
        <v>206</v>
      </c>
      <c r="N951">
        <v>10</v>
      </c>
      <c r="O951" t="s">
        <v>57</v>
      </c>
      <c r="S951" t="s">
        <v>58</v>
      </c>
    </row>
    <row r="952" spans="1:19" x14ac:dyDescent="0.25">
      <c r="A952">
        <v>129201</v>
      </c>
      <c r="B952">
        <v>2024</v>
      </c>
      <c r="C952" t="s">
        <v>377</v>
      </c>
      <c r="D952" t="s">
        <v>26</v>
      </c>
      <c r="E952" t="s">
        <v>279</v>
      </c>
      <c r="F952" t="s">
        <v>432</v>
      </c>
      <c r="G952" s="1" t="s">
        <v>428</v>
      </c>
      <c r="H952" s="1" t="s">
        <v>429</v>
      </c>
      <c r="I952" t="s">
        <v>31</v>
      </c>
      <c r="J952" t="s">
        <v>32</v>
      </c>
      <c r="K952" t="s">
        <v>203</v>
      </c>
      <c r="L952" t="s">
        <v>34</v>
      </c>
      <c r="M952" t="s">
        <v>206</v>
      </c>
      <c r="N952">
        <v>11</v>
      </c>
      <c r="O952" t="s">
        <v>57</v>
      </c>
      <c r="S952" t="s">
        <v>58</v>
      </c>
    </row>
    <row r="953" spans="1:19" x14ac:dyDescent="0.25">
      <c r="A953">
        <v>129201</v>
      </c>
      <c r="B953">
        <v>2024</v>
      </c>
      <c r="C953" t="s">
        <v>377</v>
      </c>
      <c r="D953" t="s">
        <v>26</v>
      </c>
      <c r="E953" t="s">
        <v>279</v>
      </c>
      <c r="F953" t="s">
        <v>432</v>
      </c>
      <c r="G953" s="1" t="s">
        <v>428</v>
      </c>
      <c r="H953" s="1" t="s">
        <v>429</v>
      </c>
      <c r="I953" t="s">
        <v>31</v>
      </c>
      <c r="J953" t="s">
        <v>32</v>
      </c>
      <c r="K953" t="s">
        <v>203</v>
      </c>
      <c r="L953" t="s">
        <v>34</v>
      </c>
      <c r="M953" t="s">
        <v>206</v>
      </c>
      <c r="N953">
        <v>12</v>
      </c>
      <c r="O953" t="s">
        <v>57</v>
      </c>
      <c r="S953" t="s">
        <v>58</v>
      </c>
    </row>
    <row r="954" spans="1:19" x14ac:dyDescent="0.25">
      <c r="A954">
        <v>129201</v>
      </c>
      <c r="B954">
        <v>2024</v>
      </c>
      <c r="C954" t="s">
        <v>377</v>
      </c>
      <c r="D954" t="s">
        <v>26</v>
      </c>
      <c r="E954" t="s">
        <v>279</v>
      </c>
      <c r="F954" t="s">
        <v>432</v>
      </c>
      <c r="G954" s="1" t="s">
        <v>428</v>
      </c>
      <c r="H954" s="1" t="s">
        <v>429</v>
      </c>
      <c r="I954" t="s">
        <v>31</v>
      </c>
      <c r="J954" t="s">
        <v>32</v>
      </c>
      <c r="K954" t="s">
        <v>203</v>
      </c>
      <c r="L954" t="s">
        <v>34</v>
      </c>
      <c r="M954" t="s">
        <v>206</v>
      </c>
      <c r="N954">
        <v>13</v>
      </c>
      <c r="O954" t="s">
        <v>436</v>
      </c>
      <c r="S954" t="s">
        <v>437</v>
      </c>
    </row>
    <row r="955" spans="1:19" x14ac:dyDescent="0.25">
      <c r="A955">
        <v>129201</v>
      </c>
      <c r="B955">
        <v>2024</v>
      </c>
      <c r="C955" t="s">
        <v>377</v>
      </c>
      <c r="D955" t="s">
        <v>26</v>
      </c>
      <c r="E955" t="s">
        <v>279</v>
      </c>
      <c r="F955" t="s">
        <v>432</v>
      </c>
      <c r="G955" s="1" t="s">
        <v>428</v>
      </c>
      <c r="H955" s="1" t="s">
        <v>429</v>
      </c>
      <c r="I955" t="s">
        <v>31</v>
      </c>
      <c r="J955" t="s">
        <v>32</v>
      </c>
      <c r="K955" t="s">
        <v>203</v>
      </c>
      <c r="L955" t="s">
        <v>34</v>
      </c>
      <c r="M955" t="s">
        <v>206</v>
      </c>
      <c r="N955">
        <v>14</v>
      </c>
      <c r="O955" t="s">
        <v>57</v>
      </c>
      <c r="S955" t="s">
        <v>58</v>
      </c>
    </row>
    <row r="956" spans="1:19" x14ac:dyDescent="0.25">
      <c r="A956">
        <v>129201</v>
      </c>
      <c r="B956">
        <v>2024</v>
      </c>
      <c r="C956" t="s">
        <v>377</v>
      </c>
      <c r="D956" t="s">
        <v>26</v>
      </c>
      <c r="E956" t="s">
        <v>279</v>
      </c>
      <c r="F956" t="s">
        <v>432</v>
      </c>
      <c r="G956" s="1" t="s">
        <v>428</v>
      </c>
      <c r="H956" s="1" t="s">
        <v>429</v>
      </c>
      <c r="I956" t="s">
        <v>31</v>
      </c>
      <c r="J956" t="s">
        <v>32</v>
      </c>
      <c r="K956" t="s">
        <v>203</v>
      </c>
      <c r="L956" t="s">
        <v>34</v>
      </c>
      <c r="M956" t="s">
        <v>206</v>
      </c>
      <c r="N956">
        <v>15</v>
      </c>
      <c r="O956" t="s">
        <v>68</v>
      </c>
      <c r="S956" t="s">
        <v>69</v>
      </c>
    </row>
    <row r="957" spans="1:19" x14ac:dyDescent="0.25">
      <c r="A957">
        <v>129201</v>
      </c>
      <c r="B957">
        <v>2024</v>
      </c>
      <c r="C957" t="s">
        <v>377</v>
      </c>
      <c r="D957" t="s">
        <v>26</v>
      </c>
      <c r="E957" t="s">
        <v>279</v>
      </c>
      <c r="F957" t="s">
        <v>432</v>
      </c>
      <c r="G957" s="1" t="s">
        <v>428</v>
      </c>
      <c r="H957" s="1" t="s">
        <v>429</v>
      </c>
      <c r="I957" t="s">
        <v>31</v>
      </c>
      <c r="J957" t="s">
        <v>32</v>
      </c>
      <c r="K957" t="s">
        <v>203</v>
      </c>
      <c r="L957" t="s">
        <v>34</v>
      </c>
      <c r="M957" t="s">
        <v>206</v>
      </c>
      <c r="N957">
        <v>16</v>
      </c>
      <c r="O957" t="s">
        <v>66</v>
      </c>
      <c r="S957" t="s">
        <v>67</v>
      </c>
    </row>
    <row r="958" spans="1:19" x14ac:dyDescent="0.25">
      <c r="A958">
        <v>129201</v>
      </c>
      <c r="B958">
        <v>2024</v>
      </c>
      <c r="C958" t="s">
        <v>377</v>
      </c>
      <c r="D958" t="s">
        <v>26</v>
      </c>
      <c r="E958" t="s">
        <v>279</v>
      </c>
      <c r="F958" t="s">
        <v>432</v>
      </c>
      <c r="G958" s="1" t="s">
        <v>428</v>
      </c>
      <c r="H958" s="1" t="s">
        <v>429</v>
      </c>
      <c r="I958" t="s">
        <v>31</v>
      </c>
      <c r="J958" t="s">
        <v>32</v>
      </c>
      <c r="K958" t="s">
        <v>203</v>
      </c>
      <c r="L958" t="s">
        <v>34</v>
      </c>
      <c r="M958" t="s">
        <v>206</v>
      </c>
      <c r="N958">
        <v>17</v>
      </c>
      <c r="O958" t="s">
        <v>57</v>
      </c>
      <c r="S958" t="s">
        <v>58</v>
      </c>
    </row>
    <row r="959" spans="1:19" x14ac:dyDescent="0.25">
      <c r="A959">
        <v>129201</v>
      </c>
      <c r="B959">
        <v>2024</v>
      </c>
      <c r="C959" t="s">
        <v>377</v>
      </c>
      <c r="D959" t="s">
        <v>26</v>
      </c>
      <c r="E959" t="s">
        <v>279</v>
      </c>
      <c r="F959" t="s">
        <v>432</v>
      </c>
      <c r="G959" s="1" t="s">
        <v>428</v>
      </c>
      <c r="H959" s="1" t="s">
        <v>429</v>
      </c>
      <c r="I959" t="s">
        <v>31</v>
      </c>
      <c r="J959" t="s">
        <v>32</v>
      </c>
      <c r="K959" t="s">
        <v>203</v>
      </c>
      <c r="L959" t="s">
        <v>34</v>
      </c>
      <c r="M959" t="s">
        <v>206</v>
      </c>
      <c r="N959">
        <v>18</v>
      </c>
      <c r="O959" t="s">
        <v>66</v>
      </c>
      <c r="S959" t="s">
        <v>67</v>
      </c>
    </row>
    <row r="960" spans="1:19" x14ac:dyDescent="0.25">
      <c r="A960">
        <v>129201</v>
      </c>
      <c r="B960">
        <v>2024</v>
      </c>
      <c r="C960" t="s">
        <v>377</v>
      </c>
      <c r="D960" t="s">
        <v>26</v>
      </c>
      <c r="E960" t="s">
        <v>279</v>
      </c>
      <c r="F960" t="s">
        <v>432</v>
      </c>
      <c r="G960" s="1" t="s">
        <v>428</v>
      </c>
      <c r="H960" s="1" t="s">
        <v>429</v>
      </c>
      <c r="I960" t="s">
        <v>31</v>
      </c>
      <c r="J960" t="s">
        <v>32</v>
      </c>
      <c r="K960" t="s">
        <v>203</v>
      </c>
      <c r="L960" t="s">
        <v>34</v>
      </c>
      <c r="M960" t="s">
        <v>206</v>
      </c>
      <c r="N960">
        <v>19</v>
      </c>
      <c r="O960" t="s">
        <v>57</v>
      </c>
      <c r="S960" t="s">
        <v>58</v>
      </c>
    </row>
    <row r="961" spans="1:19" x14ac:dyDescent="0.25">
      <c r="A961">
        <v>129201</v>
      </c>
      <c r="B961">
        <v>2024</v>
      </c>
      <c r="C961" t="s">
        <v>377</v>
      </c>
      <c r="D961" t="s">
        <v>26</v>
      </c>
      <c r="E961" t="s">
        <v>279</v>
      </c>
      <c r="F961" t="s">
        <v>432</v>
      </c>
      <c r="G961" s="1" t="s">
        <v>428</v>
      </c>
      <c r="H961" s="1" t="s">
        <v>429</v>
      </c>
      <c r="I961" t="s">
        <v>31</v>
      </c>
      <c r="J961" t="s">
        <v>32</v>
      </c>
      <c r="K961" t="s">
        <v>203</v>
      </c>
      <c r="L961" t="s">
        <v>34</v>
      </c>
      <c r="M961" t="s">
        <v>206</v>
      </c>
      <c r="N961">
        <v>20</v>
      </c>
      <c r="O961" t="s">
        <v>66</v>
      </c>
      <c r="S961" t="s">
        <v>67</v>
      </c>
    </row>
    <row r="962" spans="1:19" x14ac:dyDescent="0.25">
      <c r="A962">
        <v>129201</v>
      </c>
      <c r="B962">
        <v>2024</v>
      </c>
      <c r="C962" t="s">
        <v>377</v>
      </c>
      <c r="D962" t="s">
        <v>26</v>
      </c>
      <c r="E962" t="s">
        <v>279</v>
      </c>
      <c r="F962" t="s">
        <v>432</v>
      </c>
      <c r="G962" s="1" t="s">
        <v>428</v>
      </c>
      <c r="H962" s="1" t="s">
        <v>429</v>
      </c>
      <c r="I962" t="s">
        <v>31</v>
      </c>
      <c r="J962" t="s">
        <v>32</v>
      </c>
      <c r="K962" t="s">
        <v>203</v>
      </c>
      <c r="L962" t="s">
        <v>34</v>
      </c>
      <c r="M962" t="s">
        <v>206</v>
      </c>
      <c r="N962">
        <v>21</v>
      </c>
      <c r="O962" t="s">
        <v>57</v>
      </c>
      <c r="R962" t="s">
        <v>190</v>
      </c>
      <c r="S962" t="s">
        <v>58</v>
      </c>
    </row>
    <row r="963" spans="1:19" x14ac:dyDescent="0.25">
      <c r="A963">
        <v>129201</v>
      </c>
      <c r="B963">
        <v>2024</v>
      </c>
      <c r="C963" t="s">
        <v>377</v>
      </c>
      <c r="D963" t="s">
        <v>26</v>
      </c>
      <c r="E963" t="s">
        <v>279</v>
      </c>
      <c r="F963" t="s">
        <v>432</v>
      </c>
      <c r="G963" s="1" t="s">
        <v>428</v>
      </c>
      <c r="H963" s="1" t="s">
        <v>429</v>
      </c>
      <c r="I963" t="s">
        <v>31</v>
      </c>
      <c r="J963" t="s">
        <v>32</v>
      </c>
      <c r="K963" t="s">
        <v>203</v>
      </c>
      <c r="L963" t="s">
        <v>34</v>
      </c>
      <c r="M963" t="s">
        <v>206</v>
      </c>
      <c r="N963">
        <v>22</v>
      </c>
      <c r="O963" t="s">
        <v>57</v>
      </c>
      <c r="S963" t="s">
        <v>58</v>
      </c>
    </row>
    <row r="964" spans="1:19" x14ac:dyDescent="0.25">
      <c r="A964">
        <v>129201</v>
      </c>
      <c r="B964">
        <v>2024</v>
      </c>
      <c r="C964" t="s">
        <v>377</v>
      </c>
      <c r="D964" t="s">
        <v>26</v>
      </c>
      <c r="E964" t="s">
        <v>279</v>
      </c>
      <c r="F964" t="s">
        <v>432</v>
      </c>
      <c r="G964" s="1" t="s">
        <v>428</v>
      </c>
      <c r="H964" s="1" t="s">
        <v>429</v>
      </c>
      <c r="I964" t="s">
        <v>31</v>
      </c>
      <c r="J964" t="s">
        <v>32</v>
      </c>
      <c r="K964" t="s">
        <v>203</v>
      </c>
      <c r="L964" t="s">
        <v>34</v>
      </c>
      <c r="M964" t="s">
        <v>206</v>
      </c>
      <c r="N964">
        <v>23</v>
      </c>
      <c r="O964" t="s">
        <v>57</v>
      </c>
      <c r="S964" t="s">
        <v>58</v>
      </c>
    </row>
    <row r="965" spans="1:19" x14ac:dyDescent="0.25">
      <c r="A965">
        <v>129201</v>
      </c>
      <c r="B965">
        <v>2024</v>
      </c>
      <c r="C965" t="s">
        <v>377</v>
      </c>
      <c r="D965" t="s">
        <v>26</v>
      </c>
      <c r="E965" t="s">
        <v>279</v>
      </c>
      <c r="F965" t="s">
        <v>434</v>
      </c>
      <c r="G965" s="1" t="s">
        <v>428</v>
      </c>
      <c r="H965" s="1" t="s">
        <v>429</v>
      </c>
      <c r="I965" t="s">
        <v>31</v>
      </c>
      <c r="J965" t="s">
        <v>32</v>
      </c>
      <c r="K965" t="s">
        <v>203</v>
      </c>
      <c r="L965" t="s">
        <v>34</v>
      </c>
      <c r="M965" t="s">
        <v>206</v>
      </c>
      <c r="N965">
        <v>1</v>
      </c>
      <c r="O965" t="s">
        <v>57</v>
      </c>
      <c r="S965" t="s">
        <v>58</v>
      </c>
    </row>
    <row r="966" spans="1:19" x14ac:dyDescent="0.25">
      <c r="A966">
        <v>112649</v>
      </c>
      <c r="B966">
        <v>2023</v>
      </c>
      <c r="C966" t="s">
        <v>377</v>
      </c>
      <c r="D966" t="s">
        <v>26</v>
      </c>
      <c r="E966" t="s">
        <v>265</v>
      </c>
      <c r="F966" t="s">
        <v>446</v>
      </c>
      <c r="G966" s="1" t="s">
        <v>447</v>
      </c>
      <c r="H966" s="1" t="s">
        <v>443</v>
      </c>
      <c r="I966" t="s">
        <v>31</v>
      </c>
      <c r="J966" t="s">
        <v>32</v>
      </c>
      <c r="K966" t="s">
        <v>203</v>
      </c>
      <c r="L966" t="s">
        <v>34</v>
      </c>
      <c r="M966" t="s">
        <v>206</v>
      </c>
      <c r="N966">
        <v>1</v>
      </c>
      <c r="O966" t="s">
        <v>68</v>
      </c>
      <c r="S966" t="s">
        <v>69</v>
      </c>
    </row>
    <row r="967" spans="1:19" x14ac:dyDescent="0.25">
      <c r="A967">
        <v>112649</v>
      </c>
      <c r="B967">
        <v>2023</v>
      </c>
      <c r="C967" t="s">
        <v>377</v>
      </c>
      <c r="D967" t="s">
        <v>26</v>
      </c>
      <c r="E967" t="s">
        <v>265</v>
      </c>
      <c r="F967" t="s">
        <v>446</v>
      </c>
      <c r="G967" s="1" t="s">
        <v>447</v>
      </c>
      <c r="H967" s="1" t="s">
        <v>443</v>
      </c>
      <c r="I967" t="s">
        <v>31</v>
      </c>
      <c r="J967" t="s">
        <v>32</v>
      </c>
      <c r="K967" t="s">
        <v>203</v>
      </c>
      <c r="L967" t="s">
        <v>34</v>
      </c>
      <c r="M967" t="s">
        <v>206</v>
      </c>
      <c r="N967">
        <v>2</v>
      </c>
      <c r="O967" t="s">
        <v>68</v>
      </c>
      <c r="R967" t="s">
        <v>190</v>
      </c>
      <c r="S967" t="s">
        <v>69</v>
      </c>
    </row>
    <row r="968" spans="1:19" x14ac:dyDescent="0.25">
      <c r="A968">
        <v>112649</v>
      </c>
      <c r="B968">
        <v>2023</v>
      </c>
      <c r="C968" t="s">
        <v>377</v>
      </c>
      <c r="D968" t="s">
        <v>26</v>
      </c>
      <c r="E968" t="s">
        <v>265</v>
      </c>
      <c r="F968" t="s">
        <v>446</v>
      </c>
      <c r="G968" s="1" t="s">
        <v>447</v>
      </c>
      <c r="H968" s="1" t="s">
        <v>443</v>
      </c>
      <c r="I968" t="s">
        <v>31</v>
      </c>
      <c r="J968" t="s">
        <v>32</v>
      </c>
      <c r="K968" t="s">
        <v>203</v>
      </c>
      <c r="L968" t="s">
        <v>34</v>
      </c>
      <c r="M968" t="s">
        <v>206</v>
      </c>
      <c r="N968">
        <v>3</v>
      </c>
      <c r="O968" t="s">
        <v>57</v>
      </c>
      <c r="R968" t="s">
        <v>190</v>
      </c>
      <c r="S968" t="s">
        <v>58</v>
      </c>
    </row>
    <row r="969" spans="1:19" x14ac:dyDescent="0.25">
      <c r="A969">
        <v>112649</v>
      </c>
      <c r="B969">
        <v>2023</v>
      </c>
      <c r="C969" t="s">
        <v>377</v>
      </c>
      <c r="D969" t="s">
        <v>26</v>
      </c>
      <c r="E969" t="s">
        <v>265</v>
      </c>
      <c r="F969" t="s">
        <v>446</v>
      </c>
      <c r="G969" s="1" t="s">
        <v>447</v>
      </c>
      <c r="H969" s="1" t="s">
        <v>443</v>
      </c>
      <c r="I969" t="s">
        <v>31</v>
      </c>
      <c r="J969" t="s">
        <v>32</v>
      </c>
      <c r="K969" t="s">
        <v>203</v>
      </c>
      <c r="L969" t="s">
        <v>34</v>
      </c>
      <c r="M969" t="s">
        <v>206</v>
      </c>
      <c r="N969">
        <v>4</v>
      </c>
      <c r="O969" t="s">
        <v>57</v>
      </c>
      <c r="S969" t="s">
        <v>58</v>
      </c>
    </row>
    <row r="970" spans="1:19" x14ac:dyDescent="0.25">
      <c r="A970">
        <v>112649</v>
      </c>
      <c r="B970">
        <v>2023</v>
      </c>
      <c r="C970" t="s">
        <v>377</v>
      </c>
      <c r="D970" t="s">
        <v>26</v>
      </c>
      <c r="E970" t="s">
        <v>265</v>
      </c>
      <c r="F970" t="s">
        <v>446</v>
      </c>
      <c r="G970" s="1" t="s">
        <v>447</v>
      </c>
      <c r="H970" s="1" t="s">
        <v>443</v>
      </c>
      <c r="I970" t="s">
        <v>31</v>
      </c>
      <c r="J970" t="s">
        <v>32</v>
      </c>
      <c r="K970" t="s">
        <v>203</v>
      </c>
      <c r="L970" t="s">
        <v>34</v>
      </c>
      <c r="M970" t="s">
        <v>206</v>
      </c>
      <c r="N970">
        <v>5</v>
      </c>
      <c r="O970" t="s">
        <v>68</v>
      </c>
      <c r="R970" t="s">
        <v>190</v>
      </c>
      <c r="S970" t="s">
        <v>69</v>
      </c>
    </row>
    <row r="971" spans="1:19" x14ac:dyDescent="0.25">
      <c r="A971">
        <v>112649</v>
      </c>
      <c r="B971">
        <v>2023</v>
      </c>
      <c r="C971" t="s">
        <v>377</v>
      </c>
      <c r="D971" t="s">
        <v>26</v>
      </c>
      <c r="E971" t="s">
        <v>265</v>
      </c>
      <c r="F971" t="s">
        <v>446</v>
      </c>
      <c r="G971" s="1" t="s">
        <v>447</v>
      </c>
      <c r="H971" s="1" t="s">
        <v>443</v>
      </c>
      <c r="I971" t="s">
        <v>31</v>
      </c>
      <c r="J971" t="s">
        <v>32</v>
      </c>
      <c r="K971" t="s">
        <v>203</v>
      </c>
      <c r="L971" t="s">
        <v>34</v>
      </c>
      <c r="M971" t="s">
        <v>206</v>
      </c>
      <c r="N971">
        <v>6</v>
      </c>
      <c r="O971" t="s">
        <v>57</v>
      </c>
      <c r="S971" t="s">
        <v>58</v>
      </c>
    </row>
    <row r="972" spans="1:19" x14ac:dyDescent="0.25">
      <c r="A972">
        <v>112649</v>
      </c>
      <c r="B972">
        <v>2023</v>
      </c>
      <c r="C972" t="s">
        <v>377</v>
      </c>
      <c r="D972" t="s">
        <v>26</v>
      </c>
      <c r="E972" t="s">
        <v>265</v>
      </c>
      <c r="F972" t="s">
        <v>446</v>
      </c>
      <c r="G972" s="1" t="s">
        <v>447</v>
      </c>
      <c r="H972" s="1" t="s">
        <v>443</v>
      </c>
      <c r="I972" t="s">
        <v>31</v>
      </c>
      <c r="J972" t="s">
        <v>32</v>
      </c>
      <c r="K972" t="s">
        <v>203</v>
      </c>
      <c r="L972" t="s">
        <v>34</v>
      </c>
      <c r="M972" t="s">
        <v>206</v>
      </c>
      <c r="N972">
        <v>7</v>
      </c>
      <c r="O972" t="s">
        <v>57</v>
      </c>
      <c r="S972" t="s">
        <v>58</v>
      </c>
    </row>
    <row r="973" spans="1:19" x14ac:dyDescent="0.25">
      <c r="A973">
        <v>112649</v>
      </c>
      <c r="B973">
        <v>2023</v>
      </c>
      <c r="C973" t="s">
        <v>377</v>
      </c>
      <c r="D973" t="s">
        <v>26</v>
      </c>
      <c r="E973" t="s">
        <v>265</v>
      </c>
      <c r="F973" t="s">
        <v>446</v>
      </c>
      <c r="G973" s="1" t="s">
        <v>447</v>
      </c>
      <c r="H973" s="1" t="s">
        <v>443</v>
      </c>
      <c r="I973" t="s">
        <v>31</v>
      </c>
      <c r="J973" t="s">
        <v>32</v>
      </c>
      <c r="K973" t="s">
        <v>203</v>
      </c>
      <c r="L973" t="s">
        <v>34</v>
      </c>
      <c r="M973" t="s">
        <v>206</v>
      </c>
      <c r="N973">
        <v>8</v>
      </c>
      <c r="O973" t="s">
        <v>275</v>
      </c>
      <c r="R973" t="s">
        <v>190</v>
      </c>
      <c r="S973" t="s">
        <v>276</v>
      </c>
    </row>
    <row r="974" spans="1:19" x14ac:dyDescent="0.25">
      <c r="A974">
        <v>112649</v>
      </c>
      <c r="B974">
        <v>2023</v>
      </c>
      <c r="C974" t="s">
        <v>377</v>
      </c>
      <c r="D974" t="s">
        <v>26</v>
      </c>
      <c r="E974" t="s">
        <v>265</v>
      </c>
      <c r="F974" t="s">
        <v>446</v>
      </c>
      <c r="G974" s="1" t="s">
        <v>447</v>
      </c>
      <c r="H974" s="1" t="s">
        <v>443</v>
      </c>
      <c r="I974" t="s">
        <v>31</v>
      </c>
      <c r="J974" t="s">
        <v>32</v>
      </c>
      <c r="K974" t="s">
        <v>203</v>
      </c>
      <c r="L974" t="s">
        <v>34</v>
      </c>
      <c r="M974" t="s">
        <v>206</v>
      </c>
      <c r="N974">
        <v>9</v>
      </c>
      <c r="O974" t="s">
        <v>57</v>
      </c>
      <c r="R974" t="s">
        <v>190</v>
      </c>
      <c r="S974" t="s">
        <v>58</v>
      </c>
    </row>
    <row r="975" spans="1:19" x14ac:dyDescent="0.25">
      <c r="A975">
        <v>112649</v>
      </c>
      <c r="B975">
        <v>2023</v>
      </c>
      <c r="C975" t="s">
        <v>377</v>
      </c>
      <c r="D975" t="s">
        <v>26</v>
      </c>
      <c r="E975" t="s">
        <v>265</v>
      </c>
      <c r="F975" t="s">
        <v>446</v>
      </c>
      <c r="G975" s="1" t="s">
        <v>447</v>
      </c>
      <c r="H975" s="1" t="s">
        <v>443</v>
      </c>
      <c r="I975" t="s">
        <v>31</v>
      </c>
      <c r="J975" t="s">
        <v>32</v>
      </c>
      <c r="K975" t="s">
        <v>203</v>
      </c>
      <c r="L975" t="s">
        <v>34</v>
      </c>
      <c r="M975" t="s">
        <v>206</v>
      </c>
      <c r="N975">
        <v>10</v>
      </c>
      <c r="O975" t="s">
        <v>68</v>
      </c>
      <c r="R975" t="s">
        <v>190</v>
      </c>
      <c r="S975" t="s">
        <v>69</v>
      </c>
    </row>
    <row r="976" spans="1:19" x14ac:dyDescent="0.25">
      <c r="A976">
        <v>112649</v>
      </c>
      <c r="B976">
        <v>2023</v>
      </c>
      <c r="C976" t="s">
        <v>377</v>
      </c>
      <c r="D976" t="s">
        <v>26</v>
      </c>
      <c r="E976" t="s">
        <v>265</v>
      </c>
      <c r="F976" t="s">
        <v>446</v>
      </c>
      <c r="G976" s="1" t="s">
        <v>447</v>
      </c>
      <c r="H976" s="1" t="s">
        <v>443</v>
      </c>
      <c r="I976" t="s">
        <v>31</v>
      </c>
      <c r="J976" t="s">
        <v>32</v>
      </c>
      <c r="K976" t="s">
        <v>203</v>
      </c>
      <c r="L976" t="s">
        <v>34</v>
      </c>
      <c r="M976" t="s">
        <v>206</v>
      </c>
      <c r="N976">
        <v>11</v>
      </c>
      <c r="O976" t="s">
        <v>57</v>
      </c>
      <c r="R976" t="s">
        <v>190</v>
      </c>
      <c r="S976" t="s">
        <v>58</v>
      </c>
    </row>
    <row r="977" spans="1:19" x14ac:dyDescent="0.25">
      <c r="A977">
        <v>112649</v>
      </c>
      <c r="B977">
        <v>2023</v>
      </c>
      <c r="C977" t="s">
        <v>377</v>
      </c>
      <c r="D977" t="s">
        <v>26</v>
      </c>
      <c r="E977" t="s">
        <v>265</v>
      </c>
      <c r="F977" t="s">
        <v>446</v>
      </c>
      <c r="G977" s="1" t="s">
        <v>447</v>
      </c>
      <c r="H977" s="1" t="s">
        <v>443</v>
      </c>
      <c r="I977" t="s">
        <v>31</v>
      </c>
      <c r="J977" t="s">
        <v>32</v>
      </c>
      <c r="K977" t="s">
        <v>203</v>
      </c>
      <c r="L977" t="s">
        <v>34</v>
      </c>
      <c r="M977" t="s">
        <v>206</v>
      </c>
      <c r="N977">
        <v>12</v>
      </c>
      <c r="O977" t="s">
        <v>57</v>
      </c>
      <c r="S977" t="s">
        <v>58</v>
      </c>
    </row>
    <row r="978" spans="1:19" x14ac:dyDescent="0.25">
      <c r="A978">
        <v>112649</v>
      </c>
      <c r="B978">
        <v>2023</v>
      </c>
      <c r="C978" t="s">
        <v>377</v>
      </c>
      <c r="D978" t="s">
        <v>26</v>
      </c>
      <c r="E978" t="s">
        <v>265</v>
      </c>
      <c r="F978" t="s">
        <v>446</v>
      </c>
      <c r="G978" s="1" t="s">
        <v>447</v>
      </c>
      <c r="H978" s="1" t="s">
        <v>443</v>
      </c>
      <c r="I978" t="s">
        <v>31</v>
      </c>
      <c r="J978" t="s">
        <v>32</v>
      </c>
      <c r="K978" t="s">
        <v>203</v>
      </c>
      <c r="L978" t="s">
        <v>34</v>
      </c>
      <c r="M978" t="s">
        <v>206</v>
      </c>
      <c r="N978">
        <v>13</v>
      </c>
      <c r="O978" t="s">
        <v>197</v>
      </c>
      <c r="R978" t="s">
        <v>190</v>
      </c>
      <c r="S978" t="s">
        <v>198</v>
      </c>
    </row>
    <row r="979" spans="1:19" x14ac:dyDescent="0.25">
      <c r="A979">
        <v>112649</v>
      </c>
      <c r="B979">
        <v>2023</v>
      </c>
      <c r="C979" t="s">
        <v>377</v>
      </c>
      <c r="D979" t="s">
        <v>26</v>
      </c>
      <c r="E979" t="s">
        <v>265</v>
      </c>
      <c r="F979" t="s">
        <v>446</v>
      </c>
      <c r="G979" s="1" t="s">
        <v>447</v>
      </c>
      <c r="H979" s="1" t="s">
        <v>443</v>
      </c>
      <c r="I979" t="s">
        <v>31</v>
      </c>
      <c r="J979" t="s">
        <v>32</v>
      </c>
      <c r="K979" t="s">
        <v>203</v>
      </c>
      <c r="L979" t="s">
        <v>34</v>
      </c>
      <c r="M979" t="s">
        <v>206</v>
      </c>
      <c r="N979">
        <v>14</v>
      </c>
      <c r="O979" t="s">
        <v>275</v>
      </c>
      <c r="S979" t="s">
        <v>276</v>
      </c>
    </row>
    <row r="980" spans="1:19" x14ac:dyDescent="0.25">
      <c r="A980">
        <v>112649</v>
      </c>
      <c r="B980">
        <v>2023</v>
      </c>
      <c r="C980" t="s">
        <v>377</v>
      </c>
      <c r="D980" t="s">
        <v>26</v>
      </c>
      <c r="E980" t="s">
        <v>265</v>
      </c>
      <c r="F980" t="s">
        <v>446</v>
      </c>
      <c r="G980" s="1" t="s">
        <v>447</v>
      </c>
      <c r="H980" s="1" t="s">
        <v>443</v>
      </c>
      <c r="I980" t="s">
        <v>31</v>
      </c>
      <c r="J980" t="s">
        <v>32</v>
      </c>
      <c r="K980" t="s">
        <v>203</v>
      </c>
      <c r="L980" t="s">
        <v>34</v>
      </c>
      <c r="M980" t="s">
        <v>206</v>
      </c>
      <c r="N980">
        <v>15</v>
      </c>
      <c r="O980" t="s">
        <v>57</v>
      </c>
      <c r="S980" t="s">
        <v>58</v>
      </c>
    </row>
    <row r="981" spans="1:19" x14ac:dyDescent="0.25">
      <c r="A981">
        <v>112649</v>
      </c>
      <c r="B981">
        <v>2023</v>
      </c>
      <c r="C981" t="s">
        <v>377</v>
      </c>
      <c r="D981" t="s">
        <v>26</v>
      </c>
      <c r="E981" t="s">
        <v>265</v>
      </c>
      <c r="F981" t="s">
        <v>446</v>
      </c>
      <c r="G981" s="1" t="s">
        <v>447</v>
      </c>
      <c r="H981" s="1" t="s">
        <v>443</v>
      </c>
      <c r="I981" t="s">
        <v>31</v>
      </c>
      <c r="J981" t="s">
        <v>32</v>
      </c>
      <c r="K981" t="s">
        <v>203</v>
      </c>
      <c r="L981" t="s">
        <v>34</v>
      </c>
      <c r="M981" t="s">
        <v>206</v>
      </c>
      <c r="N981">
        <v>16</v>
      </c>
      <c r="O981" t="s">
        <v>57</v>
      </c>
      <c r="S981" t="s">
        <v>58</v>
      </c>
    </row>
    <row r="982" spans="1:19" x14ac:dyDescent="0.25">
      <c r="A982">
        <v>112649</v>
      </c>
      <c r="B982">
        <v>2023</v>
      </c>
      <c r="C982" t="s">
        <v>377</v>
      </c>
      <c r="D982" t="s">
        <v>26</v>
      </c>
      <c r="E982" t="s">
        <v>265</v>
      </c>
      <c r="F982" t="s">
        <v>446</v>
      </c>
      <c r="G982" s="1" t="s">
        <v>447</v>
      </c>
      <c r="H982" s="1" t="s">
        <v>443</v>
      </c>
      <c r="I982" t="s">
        <v>31</v>
      </c>
      <c r="J982" t="s">
        <v>32</v>
      </c>
      <c r="K982" t="s">
        <v>203</v>
      </c>
      <c r="L982" t="s">
        <v>34</v>
      </c>
      <c r="M982" t="s">
        <v>206</v>
      </c>
      <c r="N982">
        <v>17</v>
      </c>
      <c r="O982" t="s">
        <v>57</v>
      </c>
      <c r="S982" t="s">
        <v>58</v>
      </c>
    </row>
    <row r="983" spans="1:19" x14ac:dyDescent="0.25">
      <c r="A983">
        <v>112649</v>
      </c>
      <c r="B983">
        <v>2023</v>
      </c>
      <c r="C983" t="s">
        <v>377</v>
      </c>
      <c r="D983" t="s">
        <v>26</v>
      </c>
      <c r="E983" t="s">
        <v>265</v>
      </c>
      <c r="F983" t="s">
        <v>446</v>
      </c>
      <c r="G983" s="1" t="s">
        <v>447</v>
      </c>
      <c r="H983" s="1" t="s">
        <v>443</v>
      </c>
      <c r="I983" t="s">
        <v>31</v>
      </c>
      <c r="J983" t="s">
        <v>32</v>
      </c>
      <c r="K983" t="s">
        <v>203</v>
      </c>
      <c r="L983" t="s">
        <v>34</v>
      </c>
      <c r="M983" t="s">
        <v>206</v>
      </c>
      <c r="N983">
        <v>18</v>
      </c>
      <c r="O983" t="s">
        <v>275</v>
      </c>
      <c r="R983" t="s">
        <v>190</v>
      </c>
      <c r="S983" t="s">
        <v>276</v>
      </c>
    </row>
    <row r="984" spans="1:19" x14ac:dyDescent="0.25">
      <c r="A984">
        <v>112649</v>
      </c>
      <c r="B984">
        <v>2023</v>
      </c>
      <c r="C984" t="s">
        <v>377</v>
      </c>
      <c r="D984" t="s">
        <v>26</v>
      </c>
      <c r="E984" t="s">
        <v>265</v>
      </c>
      <c r="F984" t="s">
        <v>446</v>
      </c>
      <c r="G984" s="1" t="s">
        <v>447</v>
      </c>
      <c r="H984" s="1" t="s">
        <v>443</v>
      </c>
      <c r="I984" t="s">
        <v>31</v>
      </c>
      <c r="J984" t="s">
        <v>32</v>
      </c>
      <c r="K984" t="s">
        <v>203</v>
      </c>
      <c r="L984" t="s">
        <v>34</v>
      </c>
      <c r="M984" t="s">
        <v>206</v>
      </c>
      <c r="N984">
        <v>19</v>
      </c>
      <c r="O984" t="s">
        <v>57</v>
      </c>
      <c r="R984" t="s">
        <v>190</v>
      </c>
      <c r="S984" t="s">
        <v>58</v>
      </c>
    </row>
    <row r="985" spans="1:19" x14ac:dyDescent="0.25">
      <c r="A985">
        <v>112649</v>
      </c>
      <c r="B985">
        <v>2023</v>
      </c>
      <c r="C985" t="s">
        <v>377</v>
      </c>
      <c r="D985" t="s">
        <v>26</v>
      </c>
      <c r="E985" t="s">
        <v>265</v>
      </c>
      <c r="F985" t="s">
        <v>446</v>
      </c>
      <c r="G985" s="1" t="s">
        <v>447</v>
      </c>
      <c r="H985" s="1" t="s">
        <v>443</v>
      </c>
      <c r="I985" t="s">
        <v>31</v>
      </c>
      <c r="J985" t="s">
        <v>32</v>
      </c>
      <c r="K985" t="s">
        <v>203</v>
      </c>
      <c r="L985" t="s">
        <v>34</v>
      </c>
      <c r="M985" t="s">
        <v>206</v>
      </c>
      <c r="N985">
        <v>20</v>
      </c>
      <c r="O985" t="s">
        <v>57</v>
      </c>
      <c r="S985" t="s">
        <v>58</v>
      </c>
    </row>
    <row r="986" spans="1:19" x14ac:dyDescent="0.25">
      <c r="A986">
        <v>112649</v>
      </c>
      <c r="B986">
        <v>2023</v>
      </c>
      <c r="C986" t="s">
        <v>377</v>
      </c>
      <c r="D986" t="s">
        <v>26</v>
      </c>
      <c r="E986" t="s">
        <v>265</v>
      </c>
      <c r="F986" t="s">
        <v>446</v>
      </c>
      <c r="G986" s="1" t="s">
        <v>447</v>
      </c>
      <c r="H986" s="1" t="s">
        <v>443</v>
      </c>
      <c r="I986" t="s">
        <v>31</v>
      </c>
      <c r="J986" t="s">
        <v>32</v>
      </c>
      <c r="K986" t="s">
        <v>203</v>
      </c>
      <c r="L986" t="s">
        <v>34</v>
      </c>
      <c r="M986" t="s">
        <v>206</v>
      </c>
      <c r="N986">
        <v>21</v>
      </c>
      <c r="O986" t="s">
        <v>57</v>
      </c>
      <c r="R986" t="s">
        <v>190</v>
      </c>
      <c r="S986" t="s">
        <v>58</v>
      </c>
    </row>
    <row r="987" spans="1:19" x14ac:dyDescent="0.25">
      <c r="A987">
        <v>112649</v>
      </c>
      <c r="B987">
        <v>2023</v>
      </c>
      <c r="C987" t="s">
        <v>377</v>
      </c>
      <c r="D987" t="s">
        <v>26</v>
      </c>
      <c r="E987" t="s">
        <v>265</v>
      </c>
      <c r="F987" t="s">
        <v>446</v>
      </c>
      <c r="G987" s="1" t="s">
        <v>447</v>
      </c>
      <c r="H987" s="1" t="s">
        <v>443</v>
      </c>
      <c r="I987" t="s">
        <v>31</v>
      </c>
      <c r="J987" t="s">
        <v>32</v>
      </c>
      <c r="K987" t="s">
        <v>203</v>
      </c>
      <c r="L987" t="s">
        <v>34</v>
      </c>
      <c r="M987" t="s">
        <v>206</v>
      </c>
      <c r="N987">
        <v>22</v>
      </c>
      <c r="O987" t="s">
        <v>57</v>
      </c>
      <c r="R987" t="s">
        <v>190</v>
      </c>
      <c r="S987" t="s">
        <v>58</v>
      </c>
    </row>
    <row r="988" spans="1:19" x14ac:dyDescent="0.25">
      <c r="A988">
        <v>112649</v>
      </c>
      <c r="B988">
        <v>2023</v>
      </c>
      <c r="C988" t="s">
        <v>377</v>
      </c>
      <c r="D988" t="s">
        <v>26</v>
      </c>
      <c r="E988" t="s">
        <v>265</v>
      </c>
      <c r="F988" t="s">
        <v>446</v>
      </c>
      <c r="G988" s="1" t="s">
        <v>447</v>
      </c>
      <c r="H988" s="1" t="s">
        <v>443</v>
      </c>
      <c r="I988" t="s">
        <v>31</v>
      </c>
      <c r="J988" t="s">
        <v>32</v>
      </c>
      <c r="K988" t="s">
        <v>203</v>
      </c>
      <c r="L988" t="s">
        <v>34</v>
      </c>
      <c r="M988" t="s">
        <v>206</v>
      </c>
      <c r="N988">
        <v>23</v>
      </c>
      <c r="O988" t="s">
        <v>57</v>
      </c>
      <c r="R988" t="s">
        <v>190</v>
      </c>
      <c r="S988" t="s">
        <v>58</v>
      </c>
    </row>
    <row r="989" spans="1:19" x14ac:dyDescent="0.25">
      <c r="A989">
        <v>112649</v>
      </c>
      <c r="B989">
        <v>2023</v>
      </c>
      <c r="C989" t="s">
        <v>377</v>
      </c>
      <c r="D989" t="s">
        <v>26</v>
      </c>
      <c r="E989" t="s">
        <v>265</v>
      </c>
      <c r="F989" t="s">
        <v>446</v>
      </c>
      <c r="G989" s="1" t="s">
        <v>447</v>
      </c>
      <c r="H989" s="1" t="s">
        <v>443</v>
      </c>
      <c r="I989" t="s">
        <v>31</v>
      </c>
      <c r="J989" t="s">
        <v>32</v>
      </c>
      <c r="K989" t="s">
        <v>203</v>
      </c>
      <c r="L989" t="s">
        <v>34</v>
      </c>
      <c r="M989" t="s">
        <v>206</v>
      </c>
      <c r="N989">
        <v>24</v>
      </c>
      <c r="O989" t="s">
        <v>57</v>
      </c>
      <c r="R989" t="s">
        <v>190</v>
      </c>
      <c r="S989" t="s">
        <v>58</v>
      </c>
    </row>
    <row r="990" spans="1:19" x14ac:dyDescent="0.25">
      <c r="A990">
        <v>112649</v>
      </c>
      <c r="B990">
        <v>2023</v>
      </c>
      <c r="C990" t="s">
        <v>377</v>
      </c>
      <c r="D990" t="s">
        <v>26</v>
      </c>
      <c r="E990" t="s">
        <v>265</v>
      </c>
      <c r="F990" t="s">
        <v>446</v>
      </c>
      <c r="G990" s="1" t="s">
        <v>447</v>
      </c>
      <c r="H990" s="1" t="s">
        <v>443</v>
      </c>
      <c r="I990" t="s">
        <v>31</v>
      </c>
      <c r="J990" t="s">
        <v>32</v>
      </c>
      <c r="K990" t="s">
        <v>203</v>
      </c>
      <c r="L990" t="s">
        <v>34</v>
      </c>
      <c r="M990" t="s">
        <v>206</v>
      </c>
      <c r="N990">
        <v>25</v>
      </c>
      <c r="O990" t="s">
        <v>57</v>
      </c>
      <c r="S990" t="s">
        <v>58</v>
      </c>
    </row>
    <row r="991" spans="1:19" x14ac:dyDescent="0.25">
      <c r="A991">
        <v>112649</v>
      </c>
      <c r="B991">
        <v>2023</v>
      </c>
      <c r="C991" t="s">
        <v>377</v>
      </c>
      <c r="D991" t="s">
        <v>26</v>
      </c>
      <c r="E991" t="s">
        <v>265</v>
      </c>
      <c r="F991" t="s">
        <v>445</v>
      </c>
      <c r="G991" s="1" t="s">
        <v>442</v>
      </c>
      <c r="H991" s="1" t="s">
        <v>443</v>
      </c>
      <c r="I991" t="s">
        <v>31</v>
      </c>
      <c r="J991" t="s">
        <v>32</v>
      </c>
      <c r="K991" t="s">
        <v>203</v>
      </c>
      <c r="L991" t="s">
        <v>34</v>
      </c>
      <c r="M991" t="s">
        <v>206</v>
      </c>
      <c r="N991">
        <v>1</v>
      </c>
      <c r="O991" t="s">
        <v>68</v>
      </c>
      <c r="R991" t="s">
        <v>190</v>
      </c>
      <c r="S991" t="s">
        <v>69</v>
      </c>
    </row>
    <row r="992" spans="1:19" x14ac:dyDescent="0.25">
      <c r="A992">
        <v>112649</v>
      </c>
      <c r="B992">
        <v>2023</v>
      </c>
      <c r="C992" t="s">
        <v>377</v>
      </c>
      <c r="D992" t="s">
        <v>26</v>
      </c>
      <c r="E992" t="s">
        <v>265</v>
      </c>
      <c r="F992" t="s">
        <v>445</v>
      </c>
      <c r="G992" s="1" t="s">
        <v>442</v>
      </c>
      <c r="H992" s="1" t="s">
        <v>443</v>
      </c>
      <c r="I992" t="s">
        <v>31</v>
      </c>
      <c r="J992" t="s">
        <v>32</v>
      </c>
      <c r="K992" t="s">
        <v>203</v>
      </c>
      <c r="L992" t="s">
        <v>34</v>
      </c>
      <c r="M992" t="s">
        <v>206</v>
      </c>
      <c r="N992">
        <v>2</v>
      </c>
      <c r="O992" t="s">
        <v>57</v>
      </c>
      <c r="R992" t="s">
        <v>190</v>
      </c>
      <c r="S992" t="s">
        <v>58</v>
      </c>
    </row>
    <row r="993" spans="1:19" x14ac:dyDescent="0.25">
      <c r="A993">
        <v>112649</v>
      </c>
      <c r="B993">
        <v>2023</v>
      </c>
      <c r="C993" t="s">
        <v>377</v>
      </c>
      <c r="D993" t="s">
        <v>26</v>
      </c>
      <c r="E993" t="s">
        <v>265</v>
      </c>
      <c r="F993" t="s">
        <v>445</v>
      </c>
      <c r="G993" s="1" t="s">
        <v>442</v>
      </c>
      <c r="H993" s="1" t="s">
        <v>443</v>
      </c>
      <c r="I993" t="s">
        <v>31</v>
      </c>
      <c r="J993" t="s">
        <v>32</v>
      </c>
      <c r="K993" t="s">
        <v>203</v>
      </c>
      <c r="L993" t="s">
        <v>34</v>
      </c>
      <c r="M993" t="s">
        <v>206</v>
      </c>
      <c r="N993">
        <v>3</v>
      </c>
      <c r="O993" t="s">
        <v>68</v>
      </c>
      <c r="R993" t="s">
        <v>190</v>
      </c>
      <c r="S993" t="s">
        <v>69</v>
      </c>
    </row>
    <row r="994" spans="1:19" x14ac:dyDescent="0.25">
      <c r="A994">
        <v>112649</v>
      </c>
      <c r="B994">
        <v>2023</v>
      </c>
      <c r="C994" t="s">
        <v>377</v>
      </c>
      <c r="D994" t="s">
        <v>26</v>
      </c>
      <c r="E994" t="s">
        <v>265</v>
      </c>
      <c r="F994" t="s">
        <v>445</v>
      </c>
      <c r="G994" s="1" t="s">
        <v>442</v>
      </c>
      <c r="H994" s="1" t="s">
        <v>443</v>
      </c>
      <c r="I994" t="s">
        <v>31</v>
      </c>
      <c r="J994" t="s">
        <v>32</v>
      </c>
      <c r="K994" t="s">
        <v>203</v>
      </c>
      <c r="L994" t="s">
        <v>34</v>
      </c>
      <c r="M994" t="s">
        <v>206</v>
      </c>
      <c r="N994">
        <v>4</v>
      </c>
      <c r="O994" t="s">
        <v>57</v>
      </c>
      <c r="S994" t="s">
        <v>58</v>
      </c>
    </row>
    <row r="995" spans="1:19" x14ac:dyDescent="0.25">
      <c r="A995">
        <v>112649</v>
      </c>
      <c r="B995">
        <v>2023</v>
      </c>
      <c r="C995" t="s">
        <v>377</v>
      </c>
      <c r="D995" t="s">
        <v>26</v>
      </c>
      <c r="E995" t="s">
        <v>265</v>
      </c>
      <c r="F995" t="s">
        <v>445</v>
      </c>
      <c r="G995" s="1" t="s">
        <v>442</v>
      </c>
      <c r="H995" s="1" t="s">
        <v>443</v>
      </c>
      <c r="I995" t="s">
        <v>31</v>
      </c>
      <c r="J995" t="s">
        <v>32</v>
      </c>
      <c r="K995" t="s">
        <v>203</v>
      </c>
      <c r="L995" t="s">
        <v>34</v>
      </c>
      <c r="M995" t="s">
        <v>206</v>
      </c>
      <c r="N995">
        <v>5</v>
      </c>
      <c r="O995" t="s">
        <v>68</v>
      </c>
      <c r="S995" t="s">
        <v>69</v>
      </c>
    </row>
    <row r="996" spans="1:19" x14ac:dyDescent="0.25">
      <c r="A996">
        <v>112649</v>
      </c>
      <c r="B996">
        <v>2023</v>
      </c>
      <c r="C996" t="s">
        <v>377</v>
      </c>
      <c r="D996" t="s">
        <v>26</v>
      </c>
      <c r="E996" t="s">
        <v>265</v>
      </c>
      <c r="F996" t="s">
        <v>445</v>
      </c>
      <c r="G996" s="1" t="s">
        <v>442</v>
      </c>
      <c r="H996" s="1" t="s">
        <v>443</v>
      </c>
      <c r="I996" t="s">
        <v>31</v>
      </c>
      <c r="J996" t="s">
        <v>32</v>
      </c>
      <c r="K996" t="s">
        <v>203</v>
      </c>
      <c r="L996" t="s">
        <v>34</v>
      </c>
      <c r="M996" t="s">
        <v>206</v>
      </c>
      <c r="N996">
        <v>6</v>
      </c>
      <c r="O996" t="s">
        <v>197</v>
      </c>
      <c r="S996" t="s">
        <v>198</v>
      </c>
    </row>
    <row r="997" spans="1:19" x14ac:dyDescent="0.25">
      <c r="A997">
        <v>112649</v>
      </c>
      <c r="B997">
        <v>2023</v>
      </c>
      <c r="C997" t="s">
        <v>377</v>
      </c>
      <c r="D997" t="s">
        <v>26</v>
      </c>
      <c r="E997" t="s">
        <v>265</v>
      </c>
      <c r="F997" t="s">
        <v>445</v>
      </c>
      <c r="G997" s="1" t="s">
        <v>442</v>
      </c>
      <c r="H997" s="1" t="s">
        <v>443</v>
      </c>
      <c r="I997" t="s">
        <v>31</v>
      </c>
      <c r="J997" t="s">
        <v>32</v>
      </c>
      <c r="K997" t="s">
        <v>203</v>
      </c>
      <c r="L997" t="s">
        <v>34</v>
      </c>
      <c r="M997" t="s">
        <v>206</v>
      </c>
      <c r="N997">
        <v>7</v>
      </c>
      <c r="O997" t="s">
        <v>57</v>
      </c>
      <c r="R997" t="s">
        <v>190</v>
      </c>
      <c r="S997" t="s">
        <v>58</v>
      </c>
    </row>
    <row r="998" spans="1:19" x14ac:dyDescent="0.25">
      <c r="A998">
        <v>112649</v>
      </c>
      <c r="B998">
        <v>2023</v>
      </c>
      <c r="C998" t="s">
        <v>377</v>
      </c>
      <c r="D998" t="s">
        <v>26</v>
      </c>
      <c r="E998" t="s">
        <v>265</v>
      </c>
      <c r="F998" t="s">
        <v>445</v>
      </c>
      <c r="G998" s="1" t="s">
        <v>442</v>
      </c>
      <c r="H998" s="1" t="s">
        <v>443</v>
      </c>
      <c r="I998" t="s">
        <v>31</v>
      </c>
      <c r="J998" t="s">
        <v>32</v>
      </c>
      <c r="K998" t="s">
        <v>203</v>
      </c>
      <c r="L998" t="s">
        <v>34</v>
      </c>
      <c r="M998" t="s">
        <v>206</v>
      </c>
      <c r="N998">
        <v>8</v>
      </c>
      <c r="O998" t="s">
        <v>57</v>
      </c>
      <c r="R998" t="s">
        <v>190</v>
      </c>
      <c r="S998" t="s">
        <v>58</v>
      </c>
    </row>
    <row r="999" spans="1:19" x14ac:dyDescent="0.25">
      <c r="A999">
        <v>112649</v>
      </c>
      <c r="B999">
        <v>2023</v>
      </c>
      <c r="C999" t="s">
        <v>377</v>
      </c>
      <c r="D999" t="s">
        <v>26</v>
      </c>
      <c r="E999" t="s">
        <v>265</v>
      </c>
      <c r="F999" t="s">
        <v>445</v>
      </c>
      <c r="G999" s="1" t="s">
        <v>442</v>
      </c>
      <c r="H999" s="1" t="s">
        <v>443</v>
      </c>
      <c r="I999" t="s">
        <v>31</v>
      </c>
      <c r="J999" t="s">
        <v>32</v>
      </c>
      <c r="K999" t="s">
        <v>203</v>
      </c>
      <c r="L999" t="s">
        <v>34</v>
      </c>
      <c r="M999" t="s">
        <v>206</v>
      </c>
      <c r="N999">
        <v>9</v>
      </c>
      <c r="P999" t="s">
        <v>60</v>
      </c>
      <c r="Q999" t="s">
        <v>135</v>
      </c>
      <c r="R999" t="s">
        <v>190</v>
      </c>
      <c r="S999" t="s">
        <v>61</v>
      </c>
    </row>
    <row r="1000" spans="1:19" x14ac:dyDescent="0.25">
      <c r="A1000">
        <v>112649</v>
      </c>
      <c r="B1000">
        <v>2023</v>
      </c>
      <c r="C1000" t="s">
        <v>377</v>
      </c>
      <c r="D1000" t="s">
        <v>26</v>
      </c>
      <c r="E1000" t="s">
        <v>265</v>
      </c>
      <c r="F1000" t="s">
        <v>445</v>
      </c>
      <c r="G1000" s="1" t="s">
        <v>442</v>
      </c>
      <c r="H1000" s="1" t="s">
        <v>443</v>
      </c>
      <c r="I1000" t="s">
        <v>31</v>
      </c>
      <c r="J1000" t="s">
        <v>32</v>
      </c>
      <c r="K1000" t="s">
        <v>203</v>
      </c>
      <c r="L1000" t="s">
        <v>34</v>
      </c>
      <c r="M1000" t="s">
        <v>206</v>
      </c>
      <c r="N1000">
        <v>10</v>
      </c>
      <c r="O1000" t="s">
        <v>57</v>
      </c>
      <c r="S1000" t="s">
        <v>58</v>
      </c>
    </row>
    <row r="1001" spans="1:19" x14ac:dyDescent="0.25">
      <c r="A1001">
        <v>112649</v>
      </c>
      <c r="B1001">
        <v>2023</v>
      </c>
      <c r="C1001" t="s">
        <v>377</v>
      </c>
      <c r="D1001" t="s">
        <v>26</v>
      </c>
      <c r="E1001" t="s">
        <v>265</v>
      </c>
      <c r="F1001" t="s">
        <v>445</v>
      </c>
      <c r="G1001" s="1" t="s">
        <v>442</v>
      </c>
      <c r="H1001" s="1" t="s">
        <v>443</v>
      </c>
      <c r="I1001" t="s">
        <v>31</v>
      </c>
      <c r="J1001" t="s">
        <v>32</v>
      </c>
      <c r="K1001" t="s">
        <v>203</v>
      </c>
      <c r="L1001" t="s">
        <v>34</v>
      </c>
      <c r="M1001" t="s">
        <v>206</v>
      </c>
      <c r="N1001">
        <v>11</v>
      </c>
      <c r="O1001" t="s">
        <v>68</v>
      </c>
      <c r="S1001" t="s">
        <v>69</v>
      </c>
    </row>
    <row r="1002" spans="1:19" x14ac:dyDescent="0.25">
      <c r="A1002">
        <v>112649</v>
      </c>
      <c r="B1002">
        <v>2023</v>
      </c>
      <c r="C1002" t="s">
        <v>377</v>
      </c>
      <c r="D1002" t="s">
        <v>26</v>
      </c>
      <c r="E1002" t="s">
        <v>265</v>
      </c>
      <c r="F1002" t="s">
        <v>445</v>
      </c>
      <c r="G1002" s="1" t="s">
        <v>442</v>
      </c>
      <c r="H1002" s="1" t="s">
        <v>443</v>
      </c>
      <c r="I1002" t="s">
        <v>31</v>
      </c>
      <c r="J1002" t="s">
        <v>32</v>
      </c>
      <c r="K1002" t="s">
        <v>203</v>
      </c>
      <c r="L1002" t="s">
        <v>34</v>
      </c>
      <c r="M1002" t="s">
        <v>206</v>
      </c>
      <c r="N1002">
        <v>12</v>
      </c>
      <c r="O1002" t="s">
        <v>57</v>
      </c>
      <c r="R1002" t="s">
        <v>190</v>
      </c>
      <c r="S1002" t="s">
        <v>58</v>
      </c>
    </row>
    <row r="1003" spans="1:19" x14ac:dyDescent="0.25">
      <c r="A1003">
        <v>112649</v>
      </c>
      <c r="B1003">
        <v>2023</v>
      </c>
      <c r="C1003" t="s">
        <v>377</v>
      </c>
      <c r="D1003" t="s">
        <v>26</v>
      </c>
      <c r="E1003" t="s">
        <v>265</v>
      </c>
      <c r="F1003" t="s">
        <v>445</v>
      </c>
      <c r="G1003" s="1" t="s">
        <v>442</v>
      </c>
      <c r="H1003" s="1" t="s">
        <v>443</v>
      </c>
      <c r="I1003" t="s">
        <v>31</v>
      </c>
      <c r="J1003" t="s">
        <v>32</v>
      </c>
      <c r="K1003" t="s">
        <v>203</v>
      </c>
      <c r="L1003" t="s">
        <v>34</v>
      </c>
      <c r="M1003" t="s">
        <v>206</v>
      </c>
      <c r="N1003">
        <v>13</v>
      </c>
      <c r="O1003" t="s">
        <v>57</v>
      </c>
      <c r="R1003" t="s">
        <v>190</v>
      </c>
      <c r="S1003" t="s">
        <v>58</v>
      </c>
    </row>
    <row r="1004" spans="1:19" x14ac:dyDescent="0.25">
      <c r="A1004">
        <v>112649</v>
      </c>
      <c r="B1004">
        <v>2023</v>
      </c>
      <c r="C1004" t="s">
        <v>377</v>
      </c>
      <c r="D1004" t="s">
        <v>26</v>
      </c>
      <c r="E1004" t="s">
        <v>265</v>
      </c>
      <c r="F1004" t="s">
        <v>445</v>
      </c>
      <c r="G1004" s="1" t="s">
        <v>442</v>
      </c>
      <c r="H1004" s="1" t="s">
        <v>443</v>
      </c>
      <c r="I1004" t="s">
        <v>31</v>
      </c>
      <c r="J1004" t="s">
        <v>32</v>
      </c>
      <c r="K1004" t="s">
        <v>203</v>
      </c>
      <c r="L1004" t="s">
        <v>34</v>
      </c>
      <c r="M1004" t="s">
        <v>206</v>
      </c>
      <c r="N1004">
        <v>14</v>
      </c>
      <c r="O1004" t="s">
        <v>57</v>
      </c>
      <c r="R1004" t="s">
        <v>190</v>
      </c>
      <c r="S1004" t="s">
        <v>58</v>
      </c>
    </row>
    <row r="1005" spans="1:19" x14ac:dyDescent="0.25">
      <c r="A1005">
        <v>112649</v>
      </c>
      <c r="B1005">
        <v>2023</v>
      </c>
      <c r="C1005" t="s">
        <v>377</v>
      </c>
      <c r="D1005" t="s">
        <v>26</v>
      </c>
      <c r="E1005" t="s">
        <v>265</v>
      </c>
      <c r="F1005" t="s">
        <v>445</v>
      </c>
      <c r="G1005" s="1" t="s">
        <v>442</v>
      </c>
      <c r="H1005" s="1" t="s">
        <v>443</v>
      </c>
      <c r="I1005" t="s">
        <v>31</v>
      </c>
      <c r="J1005" t="s">
        <v>32</v>
      </c>
      <c r="K1005" t="s">
        <v>203</v>
      </c>
      <c r="L1005" t="s">
        <v>34</v>
      </c>
      <c r="M1005" t="s">
        <v>206</v>
      </c>
      <c r="N1005">
        <v>15</v>
      </c>
      <c r="O1005" t="s">
        <v>68</v>
      </c>
      <c r="S1005" t="s">
        <v>69</v>
      </c>
    </row>
    <row r="1006" spans="1:19" x14ac:dyDescent="0.25">
      <c r="A1006">
        <v>112649</v>
      </c>
      <c r="B1006">
        <v>2023</v>
      </c>
      <c r="C1006" t="s">
        <v>377</v>
      </c>
      <c r="D1006" t="s">
        <v>26</v>
      </c>
      <c r="E1006" t="s">
        <v>265</v>
      </c>
      <c r="F1006" t="s">
        <v>445</v>
      </c>
      <c r="G1006" s="1" t="s">
        <v>442</v>
      </c>
      <c r="H1006" s="1" t="s">
        <v>443</v>
      </c>
      <c r="I1006" t="s">
        <v>31</v>
      </c>
      <c r="J1006" t="s">
        <v>32</v>
      </c>
      <c r="K1006" t="s">
        <v>203</v>
      </c>
      <c r="L1006" t="s">
        <v>34</v>
      </c>
      <c r="M1006" t="s">
        <v>206</v>
      </c>
      <c r="N1006">
        <v>16</v>
      </c>
      <c r="O1006" t="s">
        <v>57</v>
      </c>
      <c r="R1006" t="s">
        <v>190</v>
      </c>
      <c r="S1006" t="s">
        <v>58</v>
      </c>
    </row>
    <row r="1007" spans="1:19" x14ac:dyDescent="0.25">
      <c r="A1007">
        <v>112649</v>
      </c>
      <c r="B1007">
        <v>2023</v>
      </c>
      <c r="C1007" t="s">
        <v>377</v>
      </c>
      <c r="D1007" t="s">
        <v>26</v>
      </c>
      <c r="E1007" t="s">
        <v>265</v>
      </c>
      <c r="F1007" t="s">
        <v>445</v>
      </c>
      <c r="G1007" s="1" t="s">
        <v>442</v>
      </c>
      <c r="H1007" s="1" t="s">
        <v>443</v>
      </c>
      <c r="I1007" t="s">
        <v>31</v>
      </c>
      <c r="J1007" t="s">
        <v>32</v>
      </c>
      <c r="K1007" t="s">
        <v>203</v>
      </c>
      <c r="L1007" t="s">
        <v>34</v>
      </c>
      <c r="M1007" t="s">
        <v>206</v>
      </c>
      <c r="N1007">
        <v>17</v>
      </c>
      <c r="O1007" t="s">
        <v>57</v>
      </c>
      <c r="R1007" t="s">
        <v>190</v>
      </c>
      <c r="S1007" t="s">
        <v>58</v>
      </c>
    </row>
    <row r="1008" spans="1:19" x14ac:dyDescent="0.25">
      <c r="A1008">
        <v>112649</v>
      </c>
      <c r="B1008">
        <v>2023</v>
      </c>
      <c r="C1008" t="s">
        <v>377</v>
      </c>
      <c r="D1008" t="s">
        <v>26</v>
      </c>
      <c r="E1008" t="s">
        <v>265</v>
      </c>
      <c r="F1008" t="s">
        <v>445</v>
      </c>
      <c r="G1008" s="1" t="s">
        <v>442</v>
      </c>
      <c r="H1008" s="1" t="s">
        <v>443</v>
      </c>
      <c r="I1008" t="s">
        <v>31</v>
      </c>
      <c r="J1008" t="s">
        <v>32</v>
      </c>
      <c r="K1008" t="s">
        <v>203</v>
      </c>
      <c r="L1008" t="s">
        <v>34</v>
      </c>
      <c r="M1008" t="s">
        <v>206</v>
      </c>
      <c r="N1008">
        <v>18</v>
      </c>
      <c r="O1008" t="s">
        <v>57</v>
      </c>
      <c r="R1008" t="s">
        <v>190</v>
      </c>
      <c r="S1008" t="s">
        <v>58</v>
      </c>
    </row>
    <row r="1009" spans="1:19" x14ac:dyDescent="0.25">
      <c r="A1009">
        <v>112649</v>
      </c>
      <c r="B1009">
        <v>2023</v>
      </c>
      <c r="C1009" t="s">
        <v>377</v>
      </c>
      <c r="D1009" t="s">
        <v>26</v>
      </c>
      <c r="E1009" t="s">
        <v>265</v>
      </c>
      <c r="F1009" t="s">
        <v>445</v>
      </c>
      <c r="G1009" s="1" t="s">
        <v>442</v>
      </c>
      <c r="H1009" s="1" t="s">
        <v>443</v>
      </c>
      <c r="I1009" t="s">
        <v>31</v>
      </c>
      <c r="J1009" t="s">
        <v>32</v>
      </c>
      <c r="K1009" t="s">
        <v>203</v>
      </c>
      <c r="L1009" t="s">
        <v>34</v>
      </c>
      <c r="M1009" t="s">
        <v>206</v>
      </c>
      <c r="N1009">
        <v>19</v>
      </c>
      <c r="O1009" t="s">
        <v>57</v>
      </c>
      <c r="S1009" t="s">
        <v>58</v>
      </c>
    </row>
    <row r="1010" spans="1:19" x14ac:dyDescent="0.25">
      <c r="A1010">
        <v>112649</v>
      </c>
      <c r="B1010">
        <v>2023</v>
      </c>
      <c r="C1010" t="s">
        <v>377</v>
      </c>
      <c r="D1010" t="s">
        <v>26</v>
      </c>
      <c r="E1010" t="s">
        <v>265</v>
      </c>
      <c r="F1010" t="s">
        <v>445</v>
      </c>
      <c r="G1010" s="1" t="s">
        <v>442</v>
      </c>
      <c r="H1010" s="1" t="s">
        <v>443</v>
      </c>
      <c r="I1010" t="s">
        <v>31</v>
      </c>
      <c r="J1010" t="s">
        <v>32</v>
      </c>
      <c r="K1010" t="s">
        <v>203</v>
      </c>
      <c r="L1010" t="s">
        <v>34</v>
      </c>
      <c r="M1010" t="s">
        <v>206</v>
      </c>
      <c r="N1010">
        <v>20</v>
      </c>
      <c r="O1010" t="s">
        <v>57</v>
      </c>
      <c r="R1010" t="s">
        <v>190</v>
      </c>
      <c r="S1010" t="s">
        <v>58</v>
      </c>
    </row>
    <row r="1011" spans="1:19" x14ac:dyDescent="0.25">
      <c r="A1011">
        <v>112649</v>
      </c>
      <c r="B1011">
        <v>2023</v>
      </c>
      <c r="C1011" t="s">
        <v>377</v>
      </c>
      <c r="D1011" t="s">
        <v>26</v>
      </c>
      <c r="E1011" t="s">
        <v>265</v>
      </c>
      <c r="F1011" t="s">
        <v>445</v>
      </c>
      <c r="G1011" s="1" t="s">
        <v>442</v>
      </c>
      <c r="H1011" s="1" t="s">
        <v>443</v>
      </c>
      <c r="I1011" t="s">
        <v>31</v>
      </c>
      <c r="J1011" t="s">
        <v>32</v>
      </c>
      <c r="K1011" t="s">
        <v>203</v>
      </c>
      <c r="L1011" t="s">
        <v>34</v>
      </c>
      <c r="M1011" t="s">
        <v>206</v>
      </c>
      <c r="N1011">
        <v>21</v>
      </c>
      <c r="O1011" t="s">
        <v>68</v>
      </c>
      <c r="R1011" t="s">
        <v>190</v>
      </c>
      <c r="S1011" t="s">
        <v>69</v>
      </c>
    </row>
    <row r="1012" spans="1:19" x14ac:dyDescent="0.25">
      <c r="A1012">
        <v>112649</v>
      </c>
      <c r="B1012">
        <v>2023</v>
      </c>
      <c r="C1012" t="s">
        <v>377</v>
      </c>
      <c r="D1012" t="s">
        <v>26</v>
      </c>
      <c r="E1012" t="s">
        <v>265</v>
      </c>
      <c r="F1012" t="s">
        <v>445</v>
      </c>
      <c r="G1012" s="1" t="s">
        <v>442</v>
      </c>
      <c r="H1012" s="1" t="s">
        <v>443</v>
      </c>
      <c r="I1012" t="s">
        <v>31</v>
      </c>
      <c r="J1012" t="s">
        <v>32</v>
      </c>
      <c r="K1012" t="s">
        <v>203</v>
      </c>
      <c r="L1012" t="s">
        <v>34</v>
      </c>
      <c r="M1012" t="s">
        <v>206</v>
      </c>
      <c r="N1012">
        <v>22</v>
      </c>
      <c r="O1012" t="s">
        <v>57</v>
      </c>
      <c r="R1012" t="s">
        <v>190</v>
      </c>
      <c r="S1012" t="s">
        <v>58</v>
      </c>
    </row>
    <row r="1013" spans="1:19" x14ac:dyDescent="0.25">
      <c r="A1013">
        <v>112649</v>
      </c>
      <c r="B1013">
        <v>2023</v>
      </c>
      <c r="C1013" t="s">
        <v>377</v>
      </c>
      <c r="D1013" t="s">
        <v>26</v>
      </c>
      <c r="E1013" t="s">
        <v>265</v>
      </c>
      <c r="F1013" t="s">
        <v>445</v>
      </c>
      <c r="G1013" s="1" t="s">
        <v>442</v>
      </c>
      <c r="H1013" s="1" t="s">
        <v>443</v>
      </c>
      <c r="I1013" t="s">
        <v>31</v>
      </c>
      <c r="J1013" t="s">
        <v>32</v>
      </c>
      <c r="K1013" t="s">
        <v>203</v>
      </c>
      <c r="L1013" t="s">
        <v>34</v>
      </c>
      <c r="M1013" t="s">
        <v>206</v>
      </c>
      <c r="N1013">
        <v>23</v>
      </c>
      <c r="O1013" t="s">
        <v>57</v>
      </c>
      <c r="R1013" t="s">
        <v>190</v>
      </c>
      <c r="S1013" t="s">
        <v>58</v>
      </c>
    </row>
    <row r="1014" spans="1:19" x14ac:dyDescent="0.25">
      <c r="A1014">
        <v>112649</v>
      </c>
      <c r="B1014">
        <v>2023</v>
      </c>
      <c r="C1014" t="s">
        <v>377</v>
      </c>
      <c r="D1014" t="s">
        <v>26</v>
      </c>
      <c r="E1014" t="s">
        <v>265</v>
      </c>
      <c r="F1014" t="s">
        <v>445</v>
      </c>
      <c r="G1014" s="1" t="s">
        <v>442</v>
      </c>
      <c r="H1014" s="1" t="s">
        <v>443</v>
      </c>
      <c r="I1014" t="s">
        <v>31</v>
      </c>
      <c r="J1014" t="s">
        <v>32</v>
      </c>
      <c r="K1014" t="s">
        <v>203</v>
      </c>
      <c r="L1014" t="s">
        <v>34</v>
      </c>
      <c r="M1014" t="s">
        <v>206</v>
      </c>
      <c r="N1014">
        <v>24</v>
      </c>
      <c r="O1014" t="s">
        <v>57</v>
      </c>
      <c r="S1014" t="s">
        <v>58</v>
      </c>
    </row>
    <row r="1015" spans="1:19" x14ac:dyDescent="0.25">
      <c r="A1015">
        <v>112649</v>
      </c>
      <c r="B1015">
        <v>2023</v>
      </c>
      <c r="C1015" t="s">
        <v>377</v>
      </c>
      <c r="D1015" t="s">
        <v>26</v>
      </c>
      <c r="E1015" t="s">
        <v>265</v>
      </c>
      <c r="F1015" t="s">
        <v>448</v>
      </c>
      <c r="G1015" s="1" t="s">
        <v>447</v>
      </c>
      <c r="H1015" s="1" t="s">
        <v>443</v>
      </c>
      <c r="I1015" t="s">
        <v>31</v>
      </c>
      <c r="J1015" t="s">
        <v>32</v>
      </c>
      <c r="K1015" t="s">
        <v>203</v>
      </c>
      <c r="L1015" t="s">
        <v>34</v>
      </c>
      <c r="M1015" t="s">
        <v>206</v>
      </c>
      <c r="N1015">
        <v>1</v>
      </c>
      <c r="O1015" t="s">
        <v>57</v>
      </c>
      <c r="S1015" t="s">
        <v>58</v>
      </c>
    </row>
    <row r="1016" spans="1:19" x14ac:dyDescent="0.25">
      <c r="A1016">
        <v>112649</v>
      </c>
      <c r="B1016">
        <v>2023</v>
      </c>
      <c r="C1016" t="s">
        <v>377</v>
      </c>
      <c r="D1016" t="s">
        <v>26</v>
      </c>
      <c r="E1016" t="s">
        <v>265</v>
      </c>
      <c r="F1016" t="s">
        <v>448</v>
      </c>
      <c r="G1016" s="1" t="s">
        <v>447</v>
      </c>
      <c r="H1016" s="1" t="s">
        <v>443</v>
      </c>
      <c r="I1016" t="s">
        <v>31</v>
      </c>
      <c r="J1016" t="s">
        <v>32</v>
      </c>
      <c r="K1016" t="s">
        <v>203</v>
      </c>
      <c r="L1016" t="s">
        <v>34</v>
      </c>
      <c r="M1016" t="s">
        <v>206</v>
      </c>
      <c r="N1016">
        <v>2</v>
      </c>
      <c r="O1016" t="s">
        <v>68</v>
      </c>
      <c r="R1016" t="s">
        <v>190</v>
      </c>
      <c r="S1016" t="s">
        <v>69</v>
      </c>
    </row>
    <row r="1017" spans="1:19" x14ac:dyDescent="0.25">
      <c r="A1017">
        <v>112649</v>
      </c>
      <c r="B1017">
        <v>2023</v>
      </c>
      <c r="C1017" t="s">
        <v>377</v>
      </c>
      <c r="D1017" t="s">
        <v>26</v>
      </c>
      <c r="E1017" t="s">
        <v>265</v>
      </c>
      <c r="F1017" t="s">
        <v>448</v>
      </c>
      <c r="G1017" s="1" t="s">
        <v>447</v>
      </c>
      <c r="H1017" s="1" t="s">
        <v>443</v>
      </c>
      <c r="I1017" t="s">
        <v>31</v>
      </c>
      <c r="J1017" t="s">
        <v>32</v>
      </c>
      <c r="K1017" t="s">
        <v>203</v>
      </c>
      <c r="L1017" t="s">
        <v>34</v>
      </c>
      <c r="M1017" t="s">
        <v>206</v>
      </c>
      <c r="N1017">
        <v>3</v>
      </c>
      <c r="P1017" t="s">
        <v>99</v>
      </c>
      <c r="Q1017" t="s">
        <v>149</v>
      </c>
      <c r="S1017" t="s">
        <v>100</v>
      </c>
    </row>
    <row r="1018" spans="1:19" x14ac:dyDescent="0.25">
      <c r="A1018">
        <v>112649</v>
      </c>
      <c r="B1018">
        <v>2023</v>
      </c>
      <c r="C1018" t="s">
        <v>377</v>
      </c>
      <c r="D1018" t="s">
        <v>26</v>
      </c>
      <c r="E1018" t="s">
        <v>265</v>
      </c>
      <c r="F1018" t="s">
        <v>448</v>
      </c>
      <c r="G1018" s="1" t="s">
        <v>447</v>
      </c>
      <c r="H1018" s="1" t="s">
        <v>443</v>
      </c>
      <c r="I1018" t="s">
        <v>31</v>
      </c>
      <c r="J1018" t="s">
        <v>32</v>
      </c>
      <c r="K1018" t="s">
        <v>203</v>
      </c>
      <c r="L1018" t="s">
        <v>34</v>
      </c>
      <c r="M1018" t="s">
        <v>206</v>
      </c>
      <c r="N1018">
        <v>4</v>
      </c>
      <c r="P1018" t="s">
        <v>99</v>
      </c>
      <c r="Q1018" t="s">
        <v>149</v>
      </c>
      <c r="S1018" t="s">
        <v>100</v>
      </c>
    </row>
    <row r="1019" spans="1:19" x14ac:dyDescent="0.25">
      <c r="A1019">
        <v>112649</v>
      </c>
      <c r="B1019">
        <v>2023</v>
      </c>
      <c r="C1019" t="s">
        <v>377</v>
      </c>
      <c r="D1019" t="s">
        <v>26</v>
      </c>
      <c r="E1019" t="s">
        <v>265</v>
      </c>
      <c r="F1019" t="s">
        <v>448</v>
      </c>
      <c r="G1019" s="1" t="s">
        <v>447</v>
      </c>
      <c r="H1019" s="1" t="s">
        <v>443</v>
      </c>
      <c r="I1019" t="s">
        <v>31</v>
      </c>
      <c r="J1019" t="s">
        <v>32</v>
      </c>
      <c r="K1019" t="s">
        <v>203</v>
      </c>
      <c r="L1019" t="s">
        <v>34</v>
      </c>
      <c r="M1019" t="s">
        <v>206</v>
      </c>
      <c r="N1019">
        <v>5</v>
      </c>
      <c r="O1019" t="s">
        <v>57</v>
      </c>
      <c r="R1019" t="s">
        <v>190</v>
      </c>
      <c r="S1019" t="s">
        <v>58</v>
      </c>
    </row>
    <row r="1020" spans="1:19" x14ac:dyDescent="0.25">
      <c r="A1020">
        <v>112649</v>
      </c>
      <c r="B1020">
        <v>2023</v>
      </c>
      <c r="C1020" t="s">
        <v>377</v>
      </c>
      <c r="D1020" t="s">
        <v>26</v>
      </c>
      <c r="E1020" t="s">
        <v>265</v>
      </c>
      <c r="F1020" t="s">
        <v>448</v>
      </c>
      <c r="G1020" s="1" t="s">
        <v>447</v>
      </c>
      <c r="H1020" s="1" t="s">
        <v>443</v>
      </c>
      <c r="I1020" t="s">
        <v>31</v>
      </c>
      <c r="J1020" t="s">
        <v>32</v>
      </c>
      <c r="K1020" t="s">
        <v>203</v>
      </c>
      <c r="L1020" t="s">
        <v>34</v>
      </c>
      <c r="M1020" t="s">
        <v>206</v>
      </c>
      <c r="N1020">
        <v>6</v>
      </c>
      <c r="O1020" t="s">
        <v>57</v>
      </c>
      <c r="R1020" t="s">
        <v>190</v>
      </c>
      <c r="S1020" t="s">
        <v>58</v>
      </c>
    </row>
    <row r="1021" spans="1:19" x14ac:dyDescent="0.25">
      <c r="A1021">
        <v>112649</v>
      </c>
      <c r="B1021">
        <v>2023</v>
      </c>
      <c r="C1021" t="s">
        <v>377</v>
      </c>
      <c r="D1021" t="s">
        <v>26</v>
      </c>
      <c r="E1021" t="s">
        <v>265</v>
      </c>
      <c r="F1021" t="s">
        <v>448</v>
      </c>
      <c r="G1021" s="1" t="s">
        <v>447</v>
      </c>
      <c r="H1021" s="1" t="s">
        <v>443</v>
      </c>
      <c r="I1021" t="s">
        <v>31</v>
      </c>
      <c r="J1021" t="s">
        <v>32</v>
      </c>
      <c r="K1021" t="s">
        <v>203</v>
      </c>
      <c r="L1021" t="s">
        <v>34</v>
      </c>
      <c r="M1021" t="s">
        <v>206</v>
      </c>
      <c r="N1021">
        <v>7</v>
      </c>
      <c r="O1021" t="s">
        <v>57</v>
      </c>
      <c r="R1021" t="s">
        <v>190</v>
      </c>
      <c r="S1021" t="s">
        <v>58</v>
      </c>
    </row>
    <row r="1022" spans="1:19" x14ac:dyDescent="0.25">
      <c r="A1022">
        <v>112649</v>
      </c>
      <c r="B1022">
        <v>2023</v>
      </c>
      <c r="C1022" t="s">
        <v>377</v>
      </c>
      <c r="D1022" t="s">
        <v>26</v>
      </c>
      <c r="E1022" t="s">
        <v>265</v>
      </c>
      <c r="F1022" t="s">
        <v>448</v>
      </c>
      <c r="G1022" s="1" t="s">
        <v>447</v>
      </c>
      <c r="H1022" s="1" t="s">
        <v>443</v>
      </c>
      <c r="I1022" t="s">
        <v>31</v>
      </c>
      <c r="J1022" t="s">
        <v>32</v>
      </c>
      <c r="K1022" t="s">
        <v>203</v>
      </c>
      <c r="L1022" t="s">
        <v>34</v>
      </c>
      <c r="M1022" t="s">
        <v>206</v>
      </c>
      <c r="N1022">
        <v>8</v>
      </c>
      <c r="O1022" t="s">
        <v>57</v>
      </c>
      <c r="R1022" t="s">
        <v>190</v>
      </c>
      <c r="S1022" t="s">
        <v>58</v>
      </c>
    </row>
    <row r="1023" spans="1:19" x14ac:dyDescent="0.25">
      <c r="A1023">
        <v>112649</v>
      </c>
      <c r="B1023">
        <v>2023</v>
      </c>
      <c r="C1023" t="s">
        <v>377</v>
      </c>
      <c r="D1023" t="s">
        <v>26</v>
      </c>
      <c r="E1023" t="s">
        <v>265</v>
      </c>
      <c r="F1023" t="s">
        <v>448</v>
      </c>
      <c r="G1023" s="1" t="s">
        <v>447</v>
      </c>
      <c r="H1023" s="1" t="s">
        <v>443</v>
      </c>
      <c r="I1023" t="s">
        <v>31</v>
      </c>
      <c r="J1023" t="s">
        <v>32</v>
      </c>
      <c r="K1023" t="s">
        <v>203</v>
      </c>
      <c r="L1023" t="s">
        <v>34</v>
      </c>
      <c r="M1023" t="s">
        <v>206</v>
      </c>
      <c r="N1023">
        <v>9</v>
      </c>
      <c r="O1023" t="s">
        <v>68</v>
      </c>
      <c r="R1023" t="s">
        <v>190</v>
      </c>
      <c r="S1023" t="s">
        <v>69</v>
      </c>
    </row>
    <row r="1024" spans="1:19" x14ac:dyDescent="0.25">
      <c r="A1024">
        <v>112649</v>
      </c>
      <c r="B1024">
        <v>2023</v>
      </c>
      <c r="C1024" t="s">
        <v>377</v>
      </c>
      <c r="D1024" t="s">
        <v>26</v>
      </c>
      <c r="E1024" t="s">
        <v>265</v>
      </c>
      <c r="F1024" t="s">
        <v>448</v>
      </c>
      <c r="G1024" s="1" t="s">
        <v>447</v>
      </c>
      <c r="H1024" s="1" t="s">
        <v>443</v>
      </c>
      <c r="I1024" t="s">
        <v>31</v>
      </c>
      <c r="J1024" t="s">
        <v>32</v>
      </c>
      <c r="K1024" t="s">
        <v>203</v>
      </c>
      <c r="L1024" t="s">
        <v>34</v>
      </c>
      <c r="M1024" t="s">
        <v>206</v>
      </c>
      <c r="N1024">
        <v>10</v>
      </c>
      <c r="O1024" t="s">
        <v>57</v>
      </c>
      <c r="R1024" t="s">
        <v>190</v>
      </c>
      <c r="S1024" t="s">
        <v>58</v>
      </c>
    </row>
    <row r="1025" spans="1:19" x14ac:dyDescent="0.25">
      <c r="A1025">
        <v>112649</v>
      </c>
      <c r="B1025">
        <v>2023</v>
      </c>
      <c r="C1025" t="s">
        <v>377</v>
      </c>
      <c r="D1025" t="s">
        <v>26</v>
      </c>
      <c r="E1025" t="s">
        <v>265</v>
      </c>
      <c r="F1025" t="s">
        <v>448</v>
      </c>
      <c r="G1025" s="1" t="s">
        <v>447</v>
      </c>
      <c r="H1025" s="1" t="s">
        <v>443</v>
      </c>
      <c r="I1025" t="s">
        <v>31</v>
      </c>
      <c r="J1025" t="s">
        <v>32</v>
      </c>
      <c r="K1025" t="s">
        <v>203</v>
      </c>
      <c r="L1025" t="s">
        <v>34</v>
      </c>
      <c r="M1025" t="s">
        <v>206</v>
      </c>
      <c r="N1025">
        <v>11</v>
      </c>
      <c r="O1025" t="s">
        <v>57</v>
      </c>
      <c r="R1025" t="s">
        <v>190</v>
      </c>
      <c r="S1025" t="s">
        <v>58</v>
      </c>
    </row>
    <row r="1026" spans="1:19" x14ac:dyDescent="0.25">
      <c r="A1026">
        <v>112649</v>
      </c>
      <c r="B1026">
        <v>2023</v>
      </c>
      <c r="C1026" t="s">
        <v>377</v>
      </c>
      <c r="D1026" t="s">
        <v>26</v>
      </c>
      <c r="E1026" t="s">
        <v>265</v>
      </c>
      <c r="F1026" t="s">
        <v>448</v>
      </c>
      <c r="G1026" s="1" t="s">
        <v>447</v>
      </c>
      <c r="H1026" s="1" t="s">
        <v>443</v>
      </c>
      <c r="I1026" t="s">
        <v>31</v>
      </c>
      <c r="J1026" t="s">
        <v>32</v>
      </c>
      <c r="K1026" t="s">
        <v>203</v>
      </c>
      <c r="L1026" t="s">
        <v>34</v>
      </c>
      <c r="M1026" t="s">
        <v>206</v>
      </c>
      <c r="N1026">
        <v>12</v>
      </c>
      <c r="O1026" t="s">
        <v>68</v>
      </c>
      <c r="R1026" t="s">
        <v>190</v>
      </c>
      <c r="S1026" t="s">
        <v>69</v>
      </c>
    </row>
    <row r="1027" spans="1:19" x14ac:dyDescent="0.25">
      <c r="A1027">
        <v>112649</v>
      </c>
      <c r="B1027">
        <v>2023</v>
      </c>
      <c r="C1027" t="s">
        <v>377</v>
      </c>
      <c r="D1027" t="s">
        <v>26</v>
      </c>
      <c r="E1027" t="s">
        <v>265</v>
      </c>
      <c r="F1027" t="s">
        <v>448</v>
      </c>
      <c r="G1027" s="1" t="s">
        <v>447</v>
      </c>
      <c r="H1027" s="1" t="s">
        <v>443</v>
      </c>
      <c r="I1027" t="s">
        <v>31</v>
      </c>
      <c r="J1027" t="s">
        <v>32</v>
      </c>
      <c r="K1027" t="s">
        <v>203</v>
      </c>
      <c r="L1027" t="s">
        <v>34</v>
      </c>
      <c r="M1027" t="s">
        <v>206</v>
      </c>
      <c r="N1027">
        <v>13</v>
      </c>
      <c r="O1027" t="s">
        <v>57</v>
      </c>
      <c r="R1027" t="s">
        <v>190</v>
      </c>
      <c r="S1027" t="s">
        <v>58</v>
      </c>
    </row>
    <row r="1028" spans="1:19" x14ac:dyDescent="0.25">
      <c r="A1028">
        <v>112649</v>
      </c>
      <c r="B1028">
        <v>2023</v>
      </c>
      <c r="C1028" t="s">
        <v>377</v>
      </c>
      <c r="D1028" t="s">
        <v>26</v>
      </c>
      <c r="E1028" t="s">
        <v>265</v>
      </c>
      <c r="F1028" t="s">
        <v>448</v>
      </c>
      <c r="G1028" s="1" t="s">
        <v>447</v>
      </c>
      <c r="H1028" s="1" t="s">
        <v>443</v>
      </c>
      <c r="I1028" t="s">
        <v>31</v>
      </c>
      <c r="J1028" t="s">
        <v>32</v>
      </c>
      <c r="K1028" t="s">
        <v>203</v>
      </c>
      <c r="L1028" t="s">
        <v>34</v>
      </c>
      <c r="M1028" t="s">
        <v>206</v>
      </c>
      <c r="N1028">
        <v>14</v>
      </c>
      <c r="O1028" t="s">
        <v>57</v>
      </c>
      <c r="R1028" t="s">
        <v>190</v>
      </c>
      <c r="S1028" t="s">
        <v>58</v>
      </c>
    </row>
    <row r="1029" spans="1:19" x14ac:dyDescent="0.25">
      <c r="A1029">
        <v>112649</v>
      </c>
      <c r="B1029">
        <v>2023</v>
      </c>
      <c r="C1029" t="s">
        <v>377</v>
      </c>
      <c r="D1029" t="s">
        <v>26</v>
      </c>
      <c r="E1029" t="s">
        <v>265</v>
      </c>
      <c r="F1029" t="s">
        <v>448</v>
      </c>
      <c r="G1029" s="1" t="s">
        <v>447</v>
      </c>
      <c r="H1029" s="1" t="s">
        <v>443</v>
      </c>
      <c r="I1029" t="s">
        <v>31</v>
      </c>
      <c r="J1029" t="s">
        <v>32</v>
      </c>
      <c r="K1029" t="s">
        <v>203</v>
      </c>
      <c r="L1029" t="s">
        <v>34</v>
      </c>
      <c r="M1029" t="s">
        <v>206</v>
      </c>
      <c r="N1029">
        <v>15</v>
      </c>
      <c r="O1029" t="s">
        <v>197</v>
      </c>
      <c r="R1029" t="s">
        <v>190</v>
      </c>
      <c r="S1029" t="s">
        <v>198</v>
      </c>
    </row>
    <row r="1030" spans="1:19" x14ac:dyDescent="0.25">
      <c r="A1030">
        <v>112649</v>
      </c>
      <c r="B1030">
        <v>2023</v>
      </c>
      <c r="C1030" t="s">
        <v>377</v>
      </c>
      <c r="D1030" t="s">
        <v>26</v>
      </c>
      <c r="E1030" t="s">
        <v>265</v>
      </c>
      <c r="F1030" t="s">
        <v>448</v>
      </c>
      <c r="G1030" s="1" t="s">
        <v>447</v>
      </c>
      <c r="H1030" s="1" t="s">
        <v>443</v>
      </c>
      <c r="I1030" t="s">
        <v>31</v>
      </c>
      <c r="J1030" t="s">
        <v>32</v>
      </c>
      <c r="K1030" t="s">
        <v>203</v>
      </c>
      <c r="L1030" t="s">
        <v>34</v>
      </c>
      <c r="M1030" t="s">
        <v>206</v>
      </c>
      <c r="N1030">
        <v>16</v>
      </c>
      <c r="O1030" t="s">
        <v>197</v>
      </c>
      <c r="S1030" t="s">
        <v>198</v>
      </c>
    </row>
    <row r="1031" spans="1:19" x14ac:dyDescent="0.25">
      <c r="A1031">
        <v>112649</v>
      </c>
      <c r="B1031">
        <v>2023</v>
      </c>
      <c r="C1031" t="s">
        <v>377</v>
      </c>
      <c r="D1031" t="s">
        <v>26</v>
      </c>
      <c r="E1031" t="s">
        <v>265</v>
      </c>
      <c r="F1031" t="s">
        <v>448</v>
      </c>
      <c r="G1031" s="1" t="s">
        <v>447</v>
      </c>
      <c r="H1031" s="1" t="s">
        <v>443</v>
      </c>
      <c r="I1031" t="s">
        <v>31</v>
      </c>
      <c r="J1031" t="s">
        <v>32</v>
      </c>
      <c r="K1031" t="s">
        <v>203</v>
      </c>
      <c r="L1031" t="s">
        <v>34</v>
      </c>
      <c r="M1031" t="s">
        <v>206</v>
      </c>
      <c r="N1031">
        <v>17</v>
      </c>
      <c r="O1031" t="s">
        <v>68</v>
      </c>
      <c r="R1031" t="s">
        <v>190</v>
      </c>
      <c r="S1031" t="s">
        <v>69</v>
      </c>
    </row>
    <row r="1032" spans="1:19" x14ac:dyDescent="0.25">
      <c r="A1032">
        <v>112649</v>
      </c>
      <c r="B1032">
        <v>2023</v>
      </c>
      <c r="C1032" t="s">
        <v>377</v>
      </c>
      <c r="D1032" t="s">
        <v>26</v>
      </c>
      <c r="E1032" t="s">
        <v>265</v>
      </c>
      <c r="F1032" t="s">
        <v>448</v>
      </c>
      <c r="G1032" s="1" t="s">
        <v>447</v>
      </c>
      <c r="H1032" s="1" t="s">
        <v>443</v>
      </c>
      <c r="I1032" t="s">
        <v>31</v>
      </c>
      <c r="J1032" t="s">
        <v>32</v>
      </c>
      <c r="K1032" t="s">
        <v>203</v>
      </c>
      <c r="L1032" t="s">
        <v>34</v>
      </c>
      <c r="M1032" t="s">
        <v>206</v>
      </c>
      <c r="N1032">
        <v>18</v>
      </c>
      <c r="O1032" t="s">
        <v>277</v>
      </c>
      <c r="R1032" t="s">
        <v>190</v>
      </c>
      <c r="S1032" t="s">
        <v>278</v>
      </c>
    </row>
    <row r="1033" spans="1:19" x14ac:dyDescent="0.25">
      <c r="A1033">
        <v>112649</v>
      </c>
      <c r="B1033">
        <v>2023</v>
      </c>
      <c r="C1033" t="s">
        <v>377</v>
      </c>
      <c r="D1033" t="s">
        <v>26</v>
      </c>
      <c r="E1033" t="s">
        <v>265</v>
      </c>
      <c r="F1033" t="s">
        <v>448</v>
      </c>
      <c r="G1033" s="1" t="s">
        <v>447</v>
      </c>
      <c r="H1033" s="1" t="s">
        <v>443</v>
      </c>
      <c r="I1033" t="s">
        <v>31</v>
      </c>
      <c r="J1033" t="s">
        <v>32</v>
      </c>
      <c r="K1033" t="s">
        <v>203</v>
      </c>
      <c r="L1033" t="s">
        <v>34</v>
      </c>
      <c r="M1033" t="s">
        <v>206</v>
      </c>
      <c r="N1033">
        <v>19</v>
      </c>
      <c r="O1033" t="s">
        <v>57</v>
      </c>
      <c r="R1033" t="s">
        <v>190</v>
      </c>
      <c r="S1033" t="s">
        <v>58</v>
      </c>
    </row>
    <row r="1034" spans="1:19" x14ac:dyDescent="0.25">
      <c r="A1034">
        <v>112649</v>
      </c>
      <c r="B1034">
        <v>2023</v>
      </c>
      <c r="C1034" t="s">
        <v>377</v>
      </c>
      <c r="D1034" t="s">
        <v>26</v>
      </c>
      <c r="E1034" t="s">
        <v>265</v>
      </c>
      <c r="F1034" t="s">
        <v>448</v>
      </c>
      <c r="G1034" s="1" t="s">
        <v>447</v>
      </c>
      <c r="H1034" s="1" t="s">
        <v>443</v>
      </c>
      <c r="I1034" t="s">
        <v>31</v>
      </c>
      <c r="J1034" t="s">
        <v>32</v>
      </c>
      <c r="K1034" t="s">
        <v>203</v>
      </c>
      <c r="L1034" t="s">
        <v>34</v>
      </c>
      <c r="M1034" t="s">
        <v>206</v>
      </c>
      <c r="N1034">
        <v>20</v>
      </c>
      <c r="O1034" t="s">
        <v>57</v>
      </c>
      <c r="R1034" t="s">
        <v>190</v>
      </c>
      <c r="S1034" t="s">
        <v>58</v>
      </c>
    </row>
    <row r="1035" spans="1:19" x14ac:dyDescent="0.25">
      <c r="A1035">
        <v>112649</v>
      </c>
      <c r="B1035">
        <v>2023</v>
      </c>
      <c r="C1035" t="s">
        <v>377</v>
      </c>
      <c r="D1035" t="s">
        <v>26</v>
      </c>
      <c r="E1035" t="s">
        <v>265</v>
      </c>
      <c r="F1035" t="s">
        <v>448</v>
      </c>
      <c r="G1035" s="1" t="s">
        <v>447</v>
      </c>
      <c r="H1035" s="1" t="s">
        <v>443</v>
      </c>
      <c r="I1035" t="s">
        <v>31</v>
      </c>
      <c r="J1035" t="s">
        <v>32</v>
      </c>
      <c r="K1035" t="s">
        <v>203</v>
      </c>
      <c r="L1035" t="s">
        <v>34</v>
      </c>
      <c r="M1035" t="s">
        <v>206</v>
      </c>
      <c r="N1035">
        <v>21</v>
      </c>
      <c r="O1035" t="s">
        <v>57</v>
      </c>
      <c r="R1035" t="s">
        <v>190</v>
      </c>
      <c r="S1035" t="s">
        <v>58</v>
      </c>
    </row>
    <row r="1036" spans="1:19" x14ac:dyDescent="0.25">
      <c r="A1036">
        <v>112649</v>
      </c>
      <c r="B1036">
        <v>2023</v>
      </c>
      <c r="C1036" t="s">
        <v>377</v>
      </c>
      <c r="D1036" t="s">
        <v>26</v>
      </c>
      <c r="E1036" t="s">
        <v>265</v>
      </c>
      <c r="F1036" t="s">
        <v>448</v>
      </c>
      <c r="G1036" s="1" t="s">
        <v>447</v>
      </c>
      <c r="H1036" s="1" t="s">
        <v>443</v>
      </c>
      <c r="I1036" t="s">
        <v>31</v>
      </c>
      <c r="J1036" t="s">
        <v>32</v>
      </c>
      <c r="K1036" t="s">
        <v>203</v>
      </c>
      <c r="L1036" t="s">
        <v>34</v>
      </c>
      <c r="M1036" t="s">
        <v>206</v>
      </c>
      <c r="N1036">
        <v>22</v>
      </c>
      <c r="O1036" t="s">
        <v>68</v>
      </c>
      <c r="R1036" t="s">
        <v>190</v>
      </c>
      <c r="S1036" t="s">
        <v>69</v>
      </c>
    </row>
    <row r="1037" spans="1:19" x14ac:dyDescent="0.25">
      <c r="A1037">
        <v>112649</v>
      </c>
      <c r="B1037">
        <v>2023</v>
      </c>
      <c r="C1037" t="s">
        <v>377</v>
      </c>
      <c r="D1037" t="s">
        <v>26</v>
      </c>
      <c r="E1037" t="s">
        <v>265</v>
      </c>
      <c r="F1037" t="s">
        <v>448</v>
      </c>
      <c r="G1037" s="1" t="s">
        <v>447</v>
      </c>
      <c r="H1037" s="1" t="s">
        <v>443</v>
      </c>
      <c r="I1037" t="s">
        <v>31</v>
      </c>
      <c r="J1037" t="s">
        <v>32</v>
      </c>
      <c r="K1037" t="s">
        <v>203</v>
      </c>
      <c r="L1037" t="s">
        <v>34</v>
      </c>
      <c r="M1037" t="s">
        <v>206</v>
      </c>
      <c r="N1037">
        <v>23</v>
      </c>
      <c r="O1037" t="s">
        <v>57</v>
      </c>
      <c r="R1037" t="s">
        <v>190</v>
      </c>
      <c r="S1037" t="s">
        <v>58</v>
      </c>
    </row>
    <row r="1038" spans="1:19" x14ac:dyDescent="0.25">
      <c r="A1038">
        <v>112649</v>
      </c>
      <c r="B1038">
        <v>2023</v>
      </c>
      <c r="C1038" t="s">
        <v>377</v>
      </c>
      <c r="D1038" t="s">
        <v>26</v>
      </c>
      <c r="E1038" t="s">
        <v>265</v>
      </c>
      <c r="F1038" t="s">
        <v>448</v>
      </c>
      <c r="G1038" s="1" t="s">
        <v>447</v>
      </c>
      <c r="H1038" s="1" t="s">
        <v>443</v>
      </c>
      <c r="I1038" t="s">
        <v>31</v>
      </c>
      <c r="J1038" t="s">
        <v>32</v>
      </c>
      <c r="K1038" t="s">
        <v>203</v>
      </c>
      <c r="L1038" t="s">
        <v>34</v>
      </c>
      <c r="M1038" t="s">
        <v>206</v>
      </c>
      <c r="N1038">
        <v>24</v>
      </c>
      <c r="O1038" t="s">
        <v>57</v>
      </c>
      <c r="R1038" t="s">
        <v>190</v>
      </c>
      <c r="S1038" t="s">
        <v>58</v>
      </c>
    </row>
    <row r="1039" spans="1:19" x14ac:dyDescent="0.25">
      <c r="A1039">
        <v>112649</v>
      </c>
      <c r="B1039">
        <v>2023</v>
      </c>
      <c r="C1039" t="s">
        <v>377</v>
      </c>
      <c r="D1039" t="s">
        <v>26</v>
      </c>
      <c r="E1039" t="s">
        <v>265</v>
      </c>
      <c r="F1039" t="s">
        <v>448</v>
      </c>
      <c r="G1039" s="1" t="s">
        <v>447</v>
      </c>
      <c r="H1039" s="1" t="s">
        <v>443</v>
      </c>
      <c r="I1039" t="s">
        <v>31</v>
      </c>
      <c r="J1039" t="s">
        <v>32</v>
      </c>
      <c r="K1039" t="s">
        <v>203</v>
      </c>
      <c r="L1039" t="s">
        <v>34</v>
      </c>
      <c r="M1039" t="s">
        <v>206</v>
      </c>
      <c r="N1039">
        <v>25</v>
      </c>
      <c r="O1039" t="s">
        <v>57</v>
      </c>
      <c r="R1039" t="s">
        <v>190</v>
      </c>
      <c r="S1039" t="s">
        <v>58</v>
      </c>
    </row>
    <row r="1040" spans="1:19" x14ac:dyDescent="0.25">
      <c r="A1040">
        <v>112649</v>
      </c>
      <c r="B1040">
        <v>2023</v>
      </c>
      <c r="C1040" t="s">
        <v>377</v>
      </c>
      <c r="D1040" t="s">
        <v>26</v>
      </c>
      <c r="E1040" t="s">
        <v>265</v>
      </c>
      <c r="F1040" t="s">
        <v>449</v>
      </c>
      <c r="G1040" s="1" t="s">
        <v>447</v>
      </c>
      <c r="H1040" s="1" t="s">
        <v>443</v>
      </c>
      <c r="I1040" t="s">
        <v>31</v>
      </c>
      <c r="J1040" t="s">
        <v>32</v>
      </c>
      <c r="K1040" t="s">
        <v>203</v>
      </c>
      <c r="L1040" t="s">
        <v>34</v>
      </c>
      <c r="M1040" t="s">
        <v>206</v>
      </c>
      <c r="N1040">
        <v>1</v>
      </c>
      <c r="O1040" t="s">
        <v>57</v>
      </c>
      <c r="R1040" t="s">
        <v>190</v>
      </c>
      <c r="S1040" t="s">
        <v>58</v>
      </c>
    </row>
    <row r="1041" spans="1:19" x14ac:dyDescent="0.25">
      <c r="A1041">
        <v>112649</v>
      </c>
      <c r="B1041">
        <v>2023</v>
      </c>
      <c r="C1041" t="s">
        <v>377</v>
      </c>
      <c r="D1041" t="s">
        <v>26</v>
      </c>
      <c r="E1041" t="s">
        <v>265</v>
      </c>
      <c r="F1041" t="s">
        <v>449</v>
      </c>
      <c r="G1041" s="1" t="s">
        <v>447</v>
      </c>
      <c r="H1041" s="1" t="s">
        <v>443</v>
      </c>
      <c r="I1041" t="s">
        <v>31</v>
      </c>
      <c r="J1041" t="s">
        <v>32</v>
      </c>
      <c r="K1041" t="s">
        <v>203</v>
      </c>
      <c r="L1041" t="s">
        <v>34</v>
      </c>
      <c r="M1041" t="s">
        <v>206</v>
      </c>
      <c r="N1041">
        <v>2</v>
      </c>
      <c r="O1041" t="s">
        <v>57</v>
      </c>
      <c r="S1041" t="s">
        <v>58</v>
      </c>
    </row>
    <row r="1042" spans="1:19" x14ac:dyDescent="0.25">
      <c r="A1042">
        <v>112649</v>
      </c>
      <c r="B1042">
        <v>2023</v>
      </c>
      <c r="C1042" t="s">
        <v>377</v>
      </c>
      <c r="D1042" t="s">
        <v>26</v>
      </c>
      <c r="E1042" t="s">
        <v>265</v>
      </c>
      <c r="F1042" t="s">
        <v>449</v>
      </c>
      <c r="G1042" s="1" t="s">
        <v>447</v>
      </c>
      <c r="H1042" s="1" t="s">
        <v>443</v>
      </c>
      <c r="I1042" t="s">
        <v>31</v>
      </c>
      <c r="J1042" t="s">
        <v>32</v>
      </c>
      <c r="K1042" t="s">
        <v>203</v>
      </c>
      <c r="L1042" t="s">
        <v>34</v>
      </c>
      <c r="M1042" t="s">
        <v>206</v>
      </c>
      <c r="N1042">
        <v>3</v>
      </c>
      <c r="O1042" t="s">
        <v>57</v>
      </c>
      <c r="S1042" t="s">
        <v>58</v>
      </c>
    </row>
    <row r="1043" spans="1:19" x14ac:dyDescent="0.25">
      <c r="A1043">
        <v>112649</v>
      </c>
      <c r="B1043">
        <v>2023</v>
      </c>
      <c r="C1043" t="s">
        <v>377</v>
      </c>
      <c r="D1043" t="s">
        <v>26</v>
      </c>
      <c r="E1043" t="s">
        <v>265</v>
      </c>
      <c r="F1043" t="s">
        <v>449</v>
      </c>
      <c r="G1043" s="1" t="s">
        <v>447</v>
      </c>
      <c r="H1043" s="1" t="s">
        <v>443</v>
      </c>
      <c r="I1043" t="s">
        <v>31</v>
      </c>
      <c r="J1043" t="s">
        <v>32</v>
      </c>
      <c r="K1043" t="s">
        <v>203</v>
      </c>
      <c r="L1043" t="s">
        <v>34</v>
      </c>
      <c r="M1043" t="s">
        <v>206</v>
      </c>
      <c r="N1043">
        <v>4</v>
      </c>
      <c r="O1043" t="s">
        <v>57</v>
      </c>
      <c r="S1043" t="s">
        <v>58</v>
      </c>
    </row>
    <row r="1044" spans="1:19" x14ac:dyDescent="0.25">
      <c r="A1044">
        <v>112649</v>
      </c>
      <c r="B1044">
        <v>2023</v>
      </c>
      <c r="C1044" t="s">
        <v>377</v>
      </c>
      <c r="D1044" t="s">
        <v>26</v>
      </c>
      <c r="E1044" t="s">
        <v>265</v>
      </c>
      <c r="F1044" t="s">
        <v>449</v>
      </c>
      <c r="G1044" s="1" t="s">
        <v>447</v>
      </c>
      <c r="H1044" s="1" t="s">
        <v>443</v>
      </c>
      <c r="I1044" t="s">
        <v>31</v>
      </c>
      <c r="J1044" t="s">
        <v>32</v>
      </c>
      <c r="K1044" t="s">
        <v>203</v>
      </c>
      <c r="L1044" t="s">
        <v>34</v>
      </c>
      <c r="M1044" t="s">
        <v>206</v>
      </c>
      <c r="N1044">
        <v>5</v>
      </c>
      <c r="O1044" t="s">
        <v>68</v>
      </c>
      <c r="S1044" t="s">
        <v>69</v>
      </c>
    </row>
    <row r="1045" spans="1:19" x14ac:dyDescent="0.25">
      <c r="A1045">
        <v>112649</v>
      </c>
      <c r="B1045">
        <v>2023</v>
      </c>
      <c r="C1045" t="s">
        <v>377</v>
      </c>
      <c r="D1045" t="s">
        <v>26</v>
      </c>
      <c r="E1045" t="s">
        <v>265</v>
      </c>
      <c r="F1045" t="s">
        <v>449</v>
      </c>
      <c r="G1045" s="1" t="s">
        <v>447</v>
      </c>
      <c r="H1045" s="1" t="s">
        <v>443</v>
      </c>
      <c r="I1045" t="s">
        <v>31</v>
      </c>
      <c r="J1045" t="s">
        <v>32</v>
      </c>
      <c r="K1045" t="s">
        <v>203</v>
      </c>
      <c r="L1045" t="s">
        <v>34</v>
      </c>
      <c r="M1045" t="s">
        <v>206</v>
      </c>
      <c r="N1045">
        <v>6</v>
      </c>
      <c r="O1045" t="s">
        <v>57</v>
      </c>
      <c r="S1045" t="s">
        <v>58</v>
      </c>
    </row>
    <row r="1046" spans="1:19" x14ac:dyDescent="0.25">
      <c r="A1046">
        <v>112649</v>
      </c>
      <c r="B1046">
        <v>2023</v>
      </c>
      <c r="C1046" t="s">
        <v>377</v>
      </c>
      <c r="D1046" t="s">
        <v>26</v>
      </c>
      <c r="E1046" t="s">
        <v>265</v>
      </c>
      <c r="F1046" t="s">
        <v>449</v>
      </c>
      <c r="G1046" s="1" t="s">
        <v>447</v>
      </c>
      <c r="H1046" s="1" t="s">
        <v>443</v>
      </c>
      <c r="I1046" t="s">
        <v>31</v>
      </c>
      <c r="J1046" t="s">
        <v>32</v>
      </c>
      <c r="K1046" t="s">
        <v>203</v>
      </c>
      <c r="L1046" t="s">
        <v>34</v>
      </c>
      <c r="M1046" t="s">
        <v>206</v>
      </c>
      <c r="N1046">
        <v>7</v>
      </c>
      <c r="O1046" t="s">
        <v>57</v>
      </c>
      <c r="R1046" t="s">
        <v>190</v>
      </c>
      <c r="S1046" t="s">
        <v>58</v>
      </c>
    </row>
    <row r="1047" spans="1:19" x14ac:dyDescent="0.25">
      <c r="A1047">
        <v>112649</v>
      </c>
      <c r="B1047">
        <v>2023</v>
      </c>
      <c r="C1047" t="s">
        <v>377</v>
      </c>
      <c r="D1047" t="s">
        <v>26</v>
      </c>
      <c r="E1047" t="s">
        <v>265</v>
      </c>
      <c r="F1047" t="s">
        <v>449</v>
      </c>
      <c r="G1047" s="1" t="s">
        <v>447</v>
      </c>
      <c r="H1047" s="1" t="s">
        <v>443</v>
      </c>
      <c r="I1047" t="s">
        <v>31</v>
      </c>
      <c r="J1047" t="s">
        <v>32</v>
      </c>
      <c r="K1047" t="s">
        <v>203</v>
      </c>
      <c r="L1047" t="s">
        <v>34</v>
      </c>
      <c r="M1047" t="s">
        <v>206</v>
      </c>
      <c r="N1047">
        <v>8</v>
      </c>
      <c r="O1047" t="s">
        <v>57</v>
      </c>
      <c r="R1047" t="s">
        <v>190</v>
      </c>
      <c r="S1047" t="s">
        <v>58</v>
      </c>
    </row>
    <row r="1048" spans="1:19" x14ac:dyDescent="0.25">
      <c r="A1048">
        <v>112649</v>
      </c>
      <c r="B1048">
        <v>2023</v>
      </c>
      <c r="C1048" t="s">
        <v>377</v>
      </c>
      <c r="D1048" t="s">
        <v>26</v>
      </c>
      <c r="E1048" t="s">
        <v>265</v>
      </c>
      <c r="F1048" t="s">
        <v>449</v>
      </c>
      <c r="G1048" s="1" t="s">
        <v>447</v>
      </c>
      <c r="H1048" s="1" t="s">
        <v>443</v>
      </c>
      <c r="I1048" t="s">
        <v>31</v>
      </c>
      <c r="J1048" t="s">
        <v>32</v>
      </c>
      <c r="K1048" t="s">
        <v>203</v>
      </c>
      <c r="L1048" t="s">
        <v>34</v>
      </c>
      <c r="M1048" t="s">
        <v>206</v>
      </c>
      <c r="N1048">
        <v>9</v>
      </c>
      <c r="O1048" t="s">
        <v>68</v>
      </c>
      <c r="R1048" t="s">
        <v>190</v>
      </c>
      <c r="S1048" t="s">
        <v>69</v>
      </c>
    </row>
    <row r="1049" spans="1:19" x14ac:dyDescent="0.25">
      <c r="A1049">
        <v>112649</v>
      </c>
      <c r="B1049">
        <v>2023</v>
      </c>
      <c r="C1049" t="s">
        <v>377</v>
      </c>
      <c r="D1049" t="s">
        <v>26</v>
      </c>
      <c r="E1049" t="s">
        <v>265</v>
      </c>
      <c r="F1049" t="s">
        <v>449</v>
      </c>
      <c r="G1049" s="1" t="s">
        <v>447</v>
      </c>
      <c r="H1049" s="1" t="s">
        <v>443</v>
      </c>
      <c r="I1049" t="s">
        <v>31</v>
      </c>
      <c r="J1049" t="s">
        <v>32</v>
      </c>
      <c r="K1049" t="s">
        <v>203</v>
      </c>
      <c r="L1049" t="s">
        <v>34</v>
      </c>
      <c r="M1049" t="s">
        <v>206</v>
      </c>
      <c r="N1049">
        <v>10</v>
      </c>
      <c r="Q1049" t="s">
        <v>375</v>
      </c>
    </row>
    <row r="1050" spans="1:19" x14ac:dyDescent="0.25">
      <c r="A1050">
        <v>112649</v>
      </c>
      <c r="B1050">
        <v>2023</v>
      </c>
      <c r="C1050" t="s">
        <v>377</v>
      </c>
      <c r="D1050" t="s">
        <v>26</v>
      </c>
      <c r="E1050" t="s">
        <v>265</v>
      </c>
      <c r="F1050" t="s">
        <v>449</v>
      </c>
      <c r="G1050" s="1" t="s">
        <v>447</v>
      </c>
      <c r="H1050" s="1" t="s">
        <v>443</v>
      </c>
      <c r="I1050" t="s">
        <v>31</v>
      </c>
      <c r="J1050" t="s">
        <v>32</v>
      </c>
      <c r="K1050" t="s">
        <v>203</v>
      </c>
      <c r="L1050" t="s">
        <v>34</v>
      </c>
      <c r="M1050" t="s">
        <v>206</v>
      </c>
      <c r="N1050">
        <v>11</v>
      </c>
      <c r="O1050" t="s">
        <v>68</v>
      </c>
      <c r="R1050" t="s">
        <v>190</v>
      </c>
      <c r="S1050" t="s">
        <v>69</v>
      </c>
    </row>
    <row r="1051" spans="1:19" x14ac:dyDescent="0.25">
      <c r="A1051">
        <v>112649</v>
      </c>
      <c r="B1051">
        <v>2023</v>
      </c>
      <c r="C1051" t="s">
        <v>377</v>
      </c>
      <c r="D1051" t="s">
        <v>26</v>
      </c>
      <c r="E1051" t="s">
        <v>265</v>
      </c>
      <c r="F1051" t="s">
        <v>449</v>
      </c>
      <c r="G1051" s="1" t="s">
        <v>447</v>
      </c>
      <c r="H1051" s="1" t="s">
        <v>443</v>
      </c>
      <c r="I1051" t="s">
        <v>31</v>
      </c>
      <c r="J1051" t="s">
        <v>32</v>
      </c>
      <c r="K1051" t="s">
        <v>203</v>
      </c>
      <c r="L1051" t="s">
        <v>34</v>
      </c>
      <c r="M1051" t="s">
        <v>206</v>
      </c>
      <c r="N1051">
        <v>12</v>
      </c>
      <c r="O1051" t="s">
        <v>57</v>
      </c>
      <c r="R1051" t="s">
        <v>190</v>
      </c>
      <c r="S1051" t="s">
        <v>58</v>
      </c>
    </row>
    <row r="1052" spans="1:19" x14ac:dyDescent="0.25">
      <c r="A1052">
        <v>112649</v>
      </c>
      <c r="B1052">
        <v>2023</v>
      </c>
      <c r="C1052" t="s">
        <v>377</v>
      </c>
      <c r="D1052" t="s">
        <v>26</v>
      </c>
      <c r="E1052" t="s">
        <v>265</v>
      </c>
      <c r="F1052" t="s">
        <v>449</v>
      </c>
      <c r="G1052" s="1" t="s">
        <v>447</v>
      </c>
      <c r="H1052" s="1" t="s">
        <v>443</v>
      </c>
      <c r="I1052" t="s">
        <v>31</v>
      </c>
      <c r="J1052" t="s">
        <v>32</v>
      </c>
      <c r="K1052" t="s">
        <v>203</v>
      </c>
      <c r="L1052" t="s">
        <v>34</v>
      </c>
      <c r="M1052" t="s">
        <v>206</v>
      </c>
      <c r="N1052">
        <v>13</v>
      </c>
      <c r="O1052" t="s">
        <v>68</v>
      </c>
      <c r="S1052" t="s">
        <v>69</v>
      </c>
    </row>
    <row r="1053" spans="1:19" x14ac:dyDescent="0.25">
      <c r="A1053">
        <v>112649</v>
      </c>
      <c r="B1053">
        <v>2023</v>
      </c>
      <c r="C1053" t="s">
        <v>377</v>
      </c>
      <c r="D1053" t="s">
        <v>26</v>
      </c>
      <c r="E1053" t="s">
        <v>265</v>
      </c>
      <c r="F1053" t="s">
        <v>449</v>
      </c>
      <c r="G1053" s="1" t="s">
        <v>447</v>
      </c>
      <c r="H1053" s="1" t="s">
        <v>443</v>
      </c>
      <c r="I1053" t="s">
        <v>31</v>
      </c>
      <c r="J1053" t="s">
        <v>32</v>
      </c>
      <c r="K1053" t="s">
        <v>203</v>
      </c>
      <c r="L1053" t="s">
        <v>34</v>
      </c>
      <c r="M1053" t="s">
        <v>206</v>
      </c>
      <c r="N1053">
        <v>14</v>
      </c>
      <c r="O1053" t="s">
        <v>57</v>
      </c>
      <c r="S1053" t="s">
        <v>58</v>
      </c>
    </row>
    <row r="1054" spans="1:19" x14ac:dyDescent="0.25">
      <c r="A1054">
        <v>112649</v>
      </c>
      <c r="B1054">
        <v>2023</v>
      </c>
      <c r="C1054" t="s">
        <v>377</v>
      </c>
      <c r="D1054" t="s">
        <v>26</v>
      </c>
      <c r="E1054" t="s">
        <v>265</v>
      </c>
      <c r="F1054" t="s">
        <v>449</v>
      </c>
      <c r="G1054" s="1" t="s">
        <v>447</v>
      </c>
      <c r="H1054" s="1" t="s">
        <v>443</v>
      </c>
      <c r="I1054" t="s">
        <v>31</v>
      </c>
      <c r="J1054" t="s">
        <v>32</v>
      </c>
      <c r="K1054" t="s">
        <v>203</v>
      </c>
      <c r="L1054" t="s">
        <v>34</v>
      </c>
      <c r="M1054" t="s">
        <v>206</v>
      </c>
      <c r="N1054">
        <v>15</v>
      </c>
      <c r="O1054" t="s">
        <v>57</v>
      </c>
      <c r="R1054" t="s">
        <v>190</v>
      </c>
      <c r="S1054" t="s">
        <v>58</v>
      </c>
    </row>
    <row r="1055" spans="1:19" x14ac:dyDescent="0.25">
      <c r="A1055">
        <v>112649</v>
      </c>
      <c r="B1055">
        <v>2023</v>
      </c>
      <c r="C1055" t="s">
        <v>377</v>
      </c>
      <c r="D1055" t="s">
        <v>26</v>
      </c>
      <c r="E1055" t="s">
        <v>265</v>
      </c>
      <c r="F1055" t="s">
        <v>449</v>
      </c>
      <c r="G1055" s="1" t="s">
        <v>447</v>
      </c>
      <c r="H1055" s="1" t="s">
        <v>443</v>
      </c>
      <c r="I1055" t="s">
        <v>31</v>
      </c>
      <c r="J1055" t="s">
        <v>32</v>
      </c>
      <c r="K1055" t="s">
        <v>203</v>
      </c>
      <c r="L1055" t="s">
        <v>34</v>
      </c>
      <c r="M1055" t="s">
        <v>206</v>
      </c>
      <c r="N1055">
        <v>16</v>
      </c>
      <c r="O1055" t="s">
        <v>57</v>
      </c>
      <c r="R1055" t="s">
        <v>190</v>
      </c>
      <c r="S1055" t="s">
        <v>58</v>
      </c>
    </row>
    <row r="1056" spans="1:19" x14ac:dyDescent="0.25">
      <c r="A1056">
        <v>112649</v>
      </c>
      <c r="B1056">
        <v>2023</v>
      </c>
      <c r="C1056" t="s">
        <v>377</v>
      </c>
      <c r="D1056" t="s">
        <v>26</v>
      </c>
      <c r="E1056" t="s">
        <v>265</v>
      </c>
      <c r="F1056" t="s">
        <v>449</v>
      </c>
      <c r="G1056" s="1" t="s">
        <v>447</v>
      </c>
      <c r="H1056" s="1" t="s">
        <v>443</v>
      </c>
      <c r="I1056" t="s">
        <v>31</v>
      </c>
      <c r="J1056" t="s">
        <v>32</v>
      </c>
      <c r="K1056" t="s">
        <v>203</v>
      </c>
      <c r="L1056" t="s">
        <v>34</v>
      </c>
      <c r="M1056" t="s">
        <v>206</v>
      </c>
      <c r="N1056">
        <v>17</v>
      </c>
      <c r="O1056" t="s">
        <v>57</v>
      </c>
      <c r="S1056" t="s">
        <v>58</v>
      </c>
    </row>
    <row r="1057" spans="1:19" x14ac:dyDescent="0.25">
      <c r="A1057">
        <v>112649</v>
      </c>
      <c r="B1057">
        <v>2023</v>
      </c>
      <c r="C1057" t="s">
        <v>377</v>
      </c>
      <c r="D1057" t="s">
        <v>26</v>
      </c>
      <c r="E1057" t="s">
        <v>265</v>
      </c>
      <c r="F1057" t="s">
        <v>449</v>
      </c>
      <c r="G1057" s="1" t="s">
        <v>447</v>
      </c>
      <c r="H1057" s="1" t="s">
        <v>443</v>
      </c>
      <c r="I1057" t="s">
        <v>31</v>
      </c>
      <c r="J1057" t="s">
        <v>32</v>
      </c>
      <c r="K1057" t="s">
        <v>203</v>
      </c>
      <c r="L1057" t="s">
        <v>34</v>
      </c>
      <c r="M1057" t="s">
        <v>206</v>
      </c>
      <c r="N1057">
        <v>18</v>
      </c>
      <c r="O1057" t="s">
        <v>57</v>
      </c>
      <c r="S1057" t="s">
        <v>58</v>
      </c>
    </row>
    <row r="1058" spans="1:19" x14ac:dyDescent="0.25">
      <c r="A1058">
        <v>112649</v>
      </c>
      <c r="B1058">
        <v>2023</v>
      </c>
      <c r="C1058" t="s">
        <v>377</v>
      </c>
      <c r="D1058" t="s">
        <v>26</v>
      </c>
      <c r="E1058" t="s">
        <v>265</v>
      </c>
      <c r="F1058" t="s">
        <v>449</v>
      </c>
      <c r="G1058" s="1" t="s">
        <v>447</v>
      </c>
      <c r="H1058" s="1" t="s">
        <v>443</v>
      </c>
      <c r="I1058" t="s">
        <v>31</v>
      </c>
      <c r="J1058" t="s">
        <v>32</v>
      </c>
      <c r="K1058" t="s">
        <v>203</v>
      </c>
      <c r="L1058" t="s">
        <v>34</v>
      </c>
      <c r="M1058" t="s">
        <v>206</v>
      </c>
      <c r="N1058">
        <v>19</v>
      </c>
      <c r="O1058" t="s">
        <v>57</v>
      </c>
      <c r="R1058" t="s">
        <v>190</v>
      </c>
      <c r="S1058" t="s">
        <v>58</v>
      </c>
    </row>
    <row r="1059" spans="1:19" x14ac:dyDescent="0.25">
      <c r="A1059">
        <v>112649</v>
      </c>
      <c r="B1059">
        <v>2023</v>
      </c>
      <c r="C1059" t="s">
        <v>377</v>
      </c>
      <c r="D1059" t="s">
        <v>26</v>
      </c>
      <c r="E1059" t="s">
        <v>265</v>
      </c>
      <c r="F1059" t="s">
        <v>449</v>
      </c>
      <c r="G1059" s="1" t="s">
        <v>447</v>
      </c>
      <c r="H1059" s="1" t="s">
        <v>443</v>
      </c>
      <c r="I1059" t="s">
        <v>31</v>
      </c>
      <c r="J1059" t="s">
        <v>32</v>
      </c>
      <c r="K1059" t="s">
        <v>203</v>
      </c>
      <c r="L1059" t="s">
        <v>34</v>
      </c>
      <c r="M1059" t="s">
        <v>206</v>
      </c>
      <c r="N1059">
        <v>20</v>
      </c>
      <c r="Q1059" t="s">
        <v>151</v>
      </c>
    </row>
    <row r="1060" spans="1:19" x14ac:dyDescent="0.25">
      <c r="A1060">
        <v>112649</v>
      </c>
      <c r="B1060">
        <v>2023</v>
      </c>
      <c r="C1060" t="s">
        <v>377</v>
      </c>
      <c r="D1060" t="s">
        <v>26</v>
      </c>
      <c r="E1060" t="s">
        <v>265</v>
      </c>
      <c r="F1060" t="s">
        <v>449</v>
      </c>
      <c r="G1060" s="1" t="s">
        <v>447</v>
      </c>
      <c r="H1060" s="1" t="s">
        <v>443</v>
      </c>
      <c r="I1060" t="s">
        <v>31</v>
      </c>
      <c r="J1060" t="s">
        <v>32</v>
      </c>
      <c r="K1060" t="s">
        <v>203</v>
      </c>
      <c r="L1060" t="s">
        <v>34</v>
      </c>
      <c r="M1060" t="s">
        <v>206</v>
      </c>
      <c r="N1060">
        <v>21</v>
      </c>
      <c r="O1060" t="s">
        <v>57</v>
      </c>
      <c r="R1060" t="s">
        <v>190</v>
      </c>
      <c r="S1060" t="s">
        <v>58</v>
      </c>
    </row>
    <row r="1061" spans="1:19" x14ac:dyDescent="0.25">
      <c r="A1061">
        <v>112649</v>
      </c>
      <c r="B1061">
        <v>2023</v>
      </c>
      <c r="C1061" t="s">
        <v>377</v>
      </c>
      <c r="D1061" t="s">
        <v>26</v>
      </c>
      <c r="E1061" t="s">
        <v>265</v>
      </c>
      <c r="F1061" t="s">
        <v>449</v>
      </c>
      <c r="G1061" s="1" t="s">
        <v>447</v>
      </c>
      <c r="H1061" s="1" t="s">
        <v>443</v>
      </c>
      <c r="I1061" t="s">
        <v>31</v>
      </c>
      <c r="J1061" t="s">
        <v>32</v>
      </c>
      <c r="K1061" t="s">
        <v>203</v>
      </c>
      <c r="L1061" t="s">
        <v>34</v>
      </c>
      <c r="M1061" t="s">
        <v>206</v>
      </c>
      <c r="N1061">
        <v>22</v>
      </c>
      <c r="O1061" t="s">
        <v>68</v>
      </c>
      <c r="R1061" t="s">
        <v>190</v>
      </c>
      <c r="S1061" t="s">
        <v>69</v>
      </c>
    </row>
    <row r="1062" spans="1:19" x14ac:dyDescent="0.25">
      <c r="A1062">
        <v>112649</v>
      </c>
      <c r="B1062">
        <v>2023</v>
      </c>
      <c r="C1062" t="s">
        <v>377</v>
      </c>
      <c r="D1062" t="s">
        <v>26</v>
      </c>
      <c r="E1062" t="s">
        <v>265</v>
      </c>
      <c r="F1062" t="s">
        <v>449</v>
      </c>
      <c r="G1062" s="1" t="s">
        <v>447</v>
      </c>
      <c r="H1062" s="1" t="s">
        <v>443</v>
      </c>
      <c r="I1062" t="s">
        <v>31</v>
      </c>
      <c r="J1062" t="s">
        <v>32</v>
      </c>
      <c r="K1062" t="s">
        <v>203</v>
      </c>
      <c r="L1062" t="s">
        <v>34</v>
      </c>
      <c r="M1062" t="s">
        <v>206</v>
      </c>
      <c r="N1062">
        <v>23</v>
      </c>
      <c r="O1062" t="s">
        <v>197</v>
      </c>
      <c r="R1062" t="s">
        <v>190</v>
      </c>
      <c r="S1062" t="s">
        <v>198</v>
      </c>
    </row>
    <row r="1063" spans="1:19" x14ac:dyDescent="0.25">
      <c r="A1063">
        <v>112649</v>
      </c>
      <c r="B1063">
        <v>2023</v>
      </c>
      <c r="C1063" t="s">
        <v>377</v>
      </c>
      <c r="D1063" t="s">
        <v>26</v>
      </c>
      <c r="E1063" t="s">
        <v>265</v>
      </c>
      <c r="F1063" t="s">
        <v>449</v>
      </c>
      <c r="G1063" s="1" t="s">
        <v>447</v>
      </c>
      <c r="H1063" s="1" t="s">
        <v>443</v>
      </c>
      <c r="I1063" t="s">
        <v>31</v>
      </c>
      <c r="J1063" t="s">
        <v>32</v>
      </c>
      <c r="K1063" t="s">
        <v>203</v>
      </c>
      <c r="L1063" t="s">
        <v>34</v>
      </c>
      <c r="M1063" t="s">
        <v>206</v>
      </c>
      <c r="N1063">
        <v>24</v>
      </c>
      <c r="O1063" t="s">
        <v>57</v>
      </c>
      <c r="R1063" t="s">
        <v>190</v>
      </c>
      <c r="S1063" t="s">
        <v>58</v>
      </c>
    </row>
    <row r="1064" spans="1:19" x14ac:dyDescent="0.25">
      <c r="A1064">
        <v>112649</v>
      </c>
      <c r="B1064">
        <v>2023</v>
      </c>
      <c r="C1064" t="s">
        <v>377</v>
      </c>
      <c r="D1064" t="s">
        <v>26</v>
      </c>
      <c r="E1064" t="s">
        <v>265</v>
      </c>
      <c r="F1064" t="s">
        <v>449</v>
      </c>
      <c r="G1064" s="1" t="s">
        <v>447</v>
      </c>
      <c r="H1064" s="1" t="s">
        <v>443</v>
      </c>
      <c r="I1064" t="s">
        <v>31</v>
      </c>
      <c r="J1064" t="s">
        <v>32</v>
      </c>
      <c r="K1064" t="s">
        <v>203</v>
      </c>
      <c r="L1064" t="s">
        <v>34</v>
      </c>
      <c r="M1064" t="s">
        <v>206</v>
      </c>
      <c r="N1064">
        <v>25</v>
      </c>
      <c r="O1064" t="s">
        <v>57</v>
      </c>
      <c r="S1064" t="s">
        <v>58</v>
      </c>
    </row>
    <row r="1065" spans="1:19" x14ac:dyDescent="0.25">
      <c r="A1065">
        <v>112637</v>
      </c>
      <c r="B1065">
        <v>2023</v>
      </c>
      <c r="C1065" t="s">
        <v>377</v>
      </c>
      <c r="D1065" t="s">
        <v>26</v>
      </c>
      <c r="E1065" t="s">
        <v>279</v>
      </c>
      <c r="F1065" t="s">
        <v>459</v>
      </c>
      <c r="G1065" s="1" t="s">
        <v>452</v>
      </c>
      <c r="H1065" s="1" t="s">
        <v>453</v>
      </c>
      <c r="I1065" t="s">
        <v>31</v>
      </c>
      <c r="J1065" t="s">
        <v>32</v>
      </c>
      <c r="K1065" t="s">
        <v>203</v>
      </c>
      <c r="L1065" t="s">
        <v>34</v>
      </c>
      <c r="M1065" t="s">
        <v>206</v>
      </c>
      <c r="N1065">
        <v>1</v>
      </c>
      <c r="O1065" t="s">
        <v>68</v>
      </c>
      <c r="S1065" t="s">
        <v>69</v>
      </c>
    </row>
    <row r="1066" spans="1:19" x14ac:dyDescent="0.25">
      <c r="A1066">
        <v>112637</v>
      </c>
      <c r="B1066">
        <v>2023</v>
      </c>
      <c r="C1066" t="s">
        <v>377</v>
      </c>
      <c r="D1066" t="s">
        <v>26</v>
      </c>
      <c r="E1066" t="s">
        <v>279</v>
      </c>
      <c r="F1066" t="s">
        <v>459</v>
      </c>
      <c r="G1066" s="1" t="s">
        <v>452</v>
      </c>
      <c r="H1066" s="1" t="s">
        <v>453</v>
      </c>
      <c r="I1066" t="s">
        <v>31</v>
      </c>
      <c r="J1066" t="s">
        <v>32</v>
      </c>
      <c r="K1066" t="s">
        <v>203</v>
      </c>
      <c r="L1066" t="s">
        <v>34</v>
      </c>
      <c r="M1066" t="s">
        <v>206</v>
      </c>
      <c r="N1066">
        <v>2</v>
      </c>
      <c r="O1066" t="s">
        <v>68</v>
      </c>
      <c r="S1066" t="s">
        <v>69</v>
      </c>
    </row>
    <row r="1067" spans="1:19" x14ac:dyDescent="0.25">
      <c r="A1067">
        <v>112637</v>
      </c>
      <c r="B1067">
        <v>2023</v>
      </c>
      <c r="C1067" t="s">
        <v>377</v>
      </c>
      <c r="D1067" t="s">
        <v>26</v>
      </c>
      <c r="E1067" t="s">
        <v>279</v>
      </c>
      <c r="F1067" t="s">
        <v>459</v>
      </c>
      <c r="G1067" s="1" t="s">
        <v>452</v>
      </c>
      <c r="H1067" s="1" t="s">
        <v>453</v>
      </c>
      <c r="I1067" t="s">
        <v>31</v>
      </c>
      <c r="J1067" t="s">
        <v>32</v>
      </c>
      <c r="K1067" t="s">
        <v>203</v>
      </c>
      <c r="L1067" t="s">
        <v>34</v>
      </c>
      <c r="M1067" t="s">
        <v>206</v>
      </c>
      <c r="N1067">
        <v>3</v>
      </c>
      <c r="O1067" t="s">
        <v>68</v>
      </c>
      <c r="S1067" t="s">
        <v>69</v>
      </c>
    </row>
    <row r="1068" spans="1:19" x14ac:dyDescent="0.25">
      <c r="A1068">
        <v>112637</v>
      </c>
      <c r="B1068">
        <v>2023</v>
      </c>
      <c r="C1068" t="s">
        <v>377</v>
      </c>
      <c r="D1068" t="s">
        <v>26</v>
      </c>
      <c r="E1068" t="s">
        <v>279</v>
      </c>
      <c r="F1068" t="s">
        <v>459</v>
      </c>
      <c r="G1068" s="1" t="s">
        <v>452</v>
      </c>
      <c r="H1068" s="1" t="s">
        <v>453</v>
      </c>
      <c r="I1068" t="s">
        <v>31</v>
      </c>
      <c r="J1068" t="s">
        <v>32</v>
      </c>
      <c r="K1068" t="s">
        <v>203</v>
      </c>
      <c r="L1068" t="s">
        <v>34</v>
      </c>
      <c r="M1068" t="s">
        <v>206</v>
      </c>
      <c r="N1068">
        <v>4</v>
      </c>
      <c r="O1068" t="s">
        <v>68</v>
      </c>
      <c r="S1068" t="s">
        <v>69</v>
      </c>
    </row>
    <row r="1069" spans="1:19" x14ac:dyDescent="0.25">
      <c r="A1069">
        <v>112637</v>
      </c>
      <c r="B1069">
        <v>2023</v>
      </c>
      <c r="C1069" t="s">
        <v>377</v>
      </c>
      <c r="D1069" t="s">
        <v>26</v>
      </c>
      <c r="E1069" t="s">
        <v>279</v>
      </c>
      <c r="F1069" t="s">
        <v>459</v>
      </c>
      <c r="G1069" s="1" t="s">
        <v>452</v>
      </c>
      <c r="H1069" s="1" t="s">
        <v>453</v>
      </c>
      <c r="I1069" t="s">
        <v>31</v>
      </c>
      <c r="J1069" t="s">
        <v>32</v>
      </c>
      <c r="K1069" t="s">
        <v>203</v>
      </c>
      <c r="L1069" t="s">
        <v>34</v>
      </c>
      <c r="M1069" t="s">
        <v>206</v>
      </c>
      <c r="N1069">
        <v>5</v>
      </c>
      <c r="O1069" t="s">
        <v>57</v>
      </c>
      <c r="S1069" t="s">
        <v>58</v>
      </c>
    </row>
    <row r="1070" spans="1:19" x14ac:dyDescent="0.25">
      <c r="A1070">
        <v>112637</v>
      </c>
      <c r="B1070">
        <v>2023</v>
      </c>
      <c r="C1070" t="s">
        <v>377</v>
      </c>
      <c r="D1070" t="s">
        <v>26</v>
      </c>
      <c r="E1070" t="s">
        <v>279</v>
      </c>
      <c r="F1070" t="s">
        <v>459</v>
      </c>
      <c r="G1070" s="1" t="s">
        <v>452</v>
      </c>
      <c r="H1070" s="1" t="s">
        <v>453</v>
      </c>
      <c r="I1070" t="s">
        <v>31</v>
      </c>
      <c r="J1070" t="s">
        <v>32</v>
      </c>
      <c r="K1070" t="s">
        <v>203</v>
      </c>
      <c r="L1070" t="s">
        <v>34</v>
      </c>
      <c r="M1070" t="s">
        <v>206</v>
      </c>
      <c r="N1070">
        <v>6</v>
      </c>
      <c r="O1070" t="s">
        <v>57</v>
      </c>
      <c r="R1070" t="s">
        <v>190</v>
      </c>
      <c r="S1070" t="s">
        <v>58</v>
      </c>
    </row>
    <row r="1071" spans="1:19" x14ac:dyDescent="0.25">
      <c r="A1071">
        <v>112637</v>
      </c>
      <c r="B1071">
        <v>2023</v>
      </c>
      <c r="C1071" t="s">
        <v>377</v>
      </c>
      <c r="D1071" t="s">
        <v>26</v>
      </c>
      <c r="E1071" t="s">
        <v>279</v>
      </c>
      <c r="F1071" t="s">
        <v>459</v>
      </c>
      <c r="G1071" s="1" t="s">
        <v>452</v>
      </c>
      <c r="H1071" s="1" t="s">
        <v>453</v>
      </c>
      <c r="I1071" t="s">
        <v>31</v>
      </c>
      <c r="J1071" t="s">
        <v>32</v>
      </c>
      <c r="K1071" t="s">
        <v>203</v>
      </c>
      <c r="L1071" t="s">
        <v>34</v>
      </c>
      <c r="M1071" t="s">
        <v>206</v>
      </c>
      <c r="N1071">
        <v>7</v>
      </c>
      <c r="O1071" t="s">
        <v>57</v>
      </c>
      <c r="S1071" t="s">
        <v>58</v>
      </c>
    </row>
    <row r="1072" spans="1:19" x14ac:dyDescent="0.25">
      <c r="A1072">
        <v>112637</v>
      </c>
      <c r="B1072">
        <v>2023</v>
      </c>
      <c r="C1072" t="s">
        <v>377</v>
      </c>
      <c r="D1072" t="s">
        <v>26</v>
      </c>
      <c r="E1072" t="s">
        <v>279</v>
      </c>
      <c r="F1072" t="s">
        <v>459</v>
      </c>
      <c r="G1072" s="1" t="s">
        <v>452</v>
      </c>
      <c r="H1072" s="1" t="s">
        <v>453</v>
      </c>
      <c r="I1072" t="s">
        <v>31</v>
      </c>
      <c r="J1072" t="s">
        <v>32</v>
      </c>
      <c r="K1072" t="s">
        <v>203</v>
      </c>
      <c r="L1072" t="s">
        <v>34</v>
      </c>
      <c r="M1072" t="s">
        <v>206</v>
      </c>
      <c r="N1072">
        <v>8</v>
      </c>
      <c r="P1072" t="s">
        <v>70</v>
      </c>
      <c r="S1072" t="s">
        <v>71</v>
      </c>
    </row>
    <row r="1073" spans="1:19" x14ac:dyDescent="0.25">
      <c r="A1073">
        <v>112637</v>
      </c>
      <c r="B1073">
        <v>2023</v>
      </c>
      <c r="C1073" t="s">
        <v>377</v>
      </c>
      <c r="D1073" t="s">
        <v>26</v>
      </c>
      <c r="E1073" t="s">
        <v>279</v>
      </c>
      <c r="F1073" t="s">
        <v>459</v>
      </c>
      <c r="G1073" s="1" t="s">
        <v>452</v>
      </c>
      <c r="H1073" s="1" t="s">
        <v>453</v>
      </c>
      <c r="I1073" t="s">
        <v>31</v>
      </c>
      <c r="J1073" t="s">
        <v>32</v>
      </c>
      <c r="K1073" t="s">
        <v>203</v>
      </c>
      <c r="L1073" t="s">
        <v>34</v>
      </c>
      <c r="M1073" t="s">
        <v>206</v>
      </c>
      <c r="N1073">
        <v>9</v>
      </c>
      <c r="O1073" t="s">
        <v>57</v>
      </c>
      <c r="S1073" t="s">
        <v>58</v>
      </c>
    </row>
    <row r="1074" spans="1:19" x14ac:dyDescent="0.25">
      <c r="A1074">
        <v>112637</v>
      </c>
      <c r="B1074">
        <v>2023</v>
      </c>
      <c r="C1074" t="s">
        <v>377</v>
      </c>
      <c r="D1074" t="s">
        <v>26</v>
      </c>
      <c r="E1074" t="s">
        <v>279</v>
      </c>
      <c r="F1074" t="s">
        <v>459</v>
      </c>
      <c r="G1074" s="1" t="s">
        <v>452</v>
      </c>
      <c r="H1074" s="1" t="s">
        <v>453</v>
      </c>
      <c r="I1074" t="s">
        <v>31</v>
      </c>
      <c r="J1074" t="s">
        <v>32</v>
      </c>
      <c r="K1074" t="s">
        <v>203</v>
      </c>
      <c r="L1074" t="s">
        <v>34</v>
      </c>
      <c r="M1074" t="s">
        <v>206</v>
      </c>
      <c r="N1074">
        <v>10</v>
      </c>
      <c r="O1074" t="s">
        <v>57</v>
      </c>
      <c r="R1074" t="s">
        <v>190</v>
      </c>
      <c r="S1074" t="s">
        <v>58</v>
      </c>
    </row>
    <row r="1075" spans="1:19" x14ac:dyDescent="0.25">
      <c r="A1075">
        <v>112637</v>
      </c>
      <c r="B1075">
        <v>2023</v>
      </c>
      <c r="C1075" t="s">
        <v>377</v>
      </c>
      <c r="D1075" t="s">
        <v>26</v>
      </c>
      <c r="E1075" t="s">
        <v>279</v>
      </c>
      <c r="F1075" t="s">
        <v>459</v>
      </c>
      <c r="G1075" s="1" t="s">
        <v>452</v>
      </c>
      <c r="H1075" s="1" t="s">
        <v>453</v>
      </c>
      <c r="I1075" t="s">
        <v>31</v>
      </c>
      <c r="J1075" t="s">
        <v>32</v>
      </c>
      <c r="K1075" t="s">
        <v>203</v>
      </c>
      <c r="L1075" t="s">
        <v>34</v>
      </c>
      <c r="M1075" t="s">
        <v>206</v>
      </c>
      <c r="N1075">
        <v>11</v>
      </c>
      <c r="O1075" t="s">
        <v>68</v>
      </c>
      <c r="S1075" t="s">
        <v>69</v>
      </c>
    </row>
    <row r="1076" spans="1:19" x14ac:dyDescent="0.25">
      <c r="A1076">
        <v>112637</v>
      </c>
      <c r="B1076">
        <v>2023</v>
      </c>
      <c r="C1076" t="s">
        <v>377</v>
      </c>
      <c r="D1076" t="s">
        <v>26</v>
      </c>
      <c r="E1076" t="s">
        <v>279</v>
      </c>
      <c r="F1076" t="s">
        <v>459</v>
      </c>
      <c r="G1076" s="1" t="s">
        <v>452</v>
      </c>
      <c r="H1076" s="1" t="s">
        <v>453</v>
      </c>
      <c r="I1076" t="s">
        <v>31</v>
      </c>
      <c r="J1076" t="s">
        <v>32</v>
      </c>
      <c r="K1076" t="s">
        <v>203</v>
      </c>
      <c r="L1076" t="s">
        <v>34</v>
      </c>
      <c r="M1076" t="s">
        <v>206</v>
      </c>
      <c r="N1076">
        <v>12</v>
      </c>
      <c r="O1076" t="s">
        <v>68</v>
      </c>
      <c r="S1076" t="s">
        <v>69</v>
      </c>
    </row>
    <row r="1077" spans="1:19" x14ac:dyDescent="0.25">
      <c r="A1077">
        <v>112637</v>
      </c>
      <c r="B1077">
        <v>2023</v>
      </c>
      <c r="C1077" t="s">
        <v>377</v>
      </c>
      <c r="D1077" t="s">
        <v>26</v>
      </c>
      <c r="E1077" t="s">
        <v>279</v>
      </c>
      <c r="F1077" t="s">
        <v>459</v>
      </c>
      <c r="G1077" s="1" t="s">
        <v>452</v>
      </c>
      <c r="H1077" s="1" t="s">
        <v>453</v>
      </c>
      <c r="I1077" t="s">
        <v>31</v>
      </c>
      <c r="J1077" t="s">
        <v>32</v>
      </c>
      <c r="K1077" t="s">
        <v>203</v>
      </c>
      <c r="L1077" t="s">
        <v>34</v>
      </c>
      <c r="M1077" t="s">
        <v>206</v>
      </c>
      <c r="N1077">
        <v>13</v>
      </c>
      <c r="O1077" t="s">
        <v>68</v>
      </c>
      <c r="R1077" t="s">
        <v>190</v>
      </c>
      <c r="S1077" t="s">
        <v>69</v>
      </c>
    </row>
    <row r="1078" spans="1:19" x14ac:dyDescent="0.25">
      <c r="A1078">
        <v>112637</v>
      </c>
      <c r="B1078">
        <v>2023</v>
      </c>
      <c r="C1078" t="s">
        <v>377</v>
      </c>
      <c r="D1078" t="s">
        <v>26</v>
      </c>
      <c r="E1078" t="s">
        <v>279</v>
      </c>
      <c r="F1078" t="s">
        <v>459</v>
      </c>
      <c r="G1078" s="1" t="s">
        <v>452</v>
      </c>
      <c r="H1078" s="1" t="s">
        <v>453</v>
      </c>
      <c r="I1078" t="s">
        <v>31</v>
      </c>
      <c r="J1078" t="s">
        <v>32</v>
      </c>
      <c r="K1078" t="s">
        <v>203</v>
      </c>
      <c r="L1078" t="s">
        <v>34</v>
      </c>
      <c r="M1078" t="s">
        <v>206</v>
      </c>
      <c r="N1078">
        <v>14</v>
      </c>
      <c r="O1078" t="s">
        <v>68</v>
      </c>
      <c r="R1078" t="s">
        <v>190</v>
      </c>
      <c r="S1078" t="s">
        <v>69</v>
      </c>
    </row>
    <row r="1079" spans="1:19" x14ac:dyDescent="0.25">
      <c r="A1079">
        <v>112637</v>
      </c>
      <c r="B1079">
        <v>2023</v>
      </c>
      <c r="C1079" t="s">
        <v>377</v>
      </c>
      <c r="D1079" t="s">
        <v>26</v>
      </c>
      <c r="E1079" t="s">
        <v>279</v>
      </c>
      <c r="F1079" t="s">
        <v>459</v>
      </c>
      <c r="G1079" s="1" t="s">
        <v>452</v>
      </c>
      <c r="H1079" s="1" t="s">
        <v>453</v>
      </c>
      <c r="I1079" t="s">
        <v>31</v>
      </c>
      <c r="J1079" t="s">
        <v>32</v>
      </c>
      <c r="K1079" t="s">
        <v>203</v>
      </c>
      <c r="L1079" t="s">
        <v>34</v>
      </c>
      <c r="M1079" t="s">
        <v>206</v>
      </c>
      <c r="N1079">
        <v>15</v>
      </c>
      <c r="O1079" t="s">
        <v>57</v>
      </c>
      <c r="S1079" t="s">
        <v>58</v>
      </c>
    </row>
    <row r="1080" spans="1:19" x14ac:dyDescent="0.25">
      <c r="A1080">
        <v>112637</v>
      </c>
      <c r="B1080">
        <v>2023</v>
      </c>
      <c r="C1080" t="s">
        <v>377</v>
      </c>
      <c r="D1080" t="s">
        <v>26</v>
      </c>
      <c r="E1080" t="s">
        <v>279</v>
      </c>
      <c r="F1080" t="s">
        <v>459</v>
      </c>
      <c r="G1080" s="1" t="s">
        <v>452</v>
      </c>
      <c r="H1080" s="1" t="s">
        <v>453</v>
      </c>
      <c r="I1080" t="s">
        <v>31</v>
      </c>
      <c r="J1080" t="s">
        <v>32</v>
      </c>
      <c r="K1080" t="s">
        <v>203</v>
      </c>
      <c r="L1080" t="s">
        <v>34</v>
      </c>
      <c r="M1080" t="s">
        <v>206</v>
      </c>
      <c r="N1080">
        <v>16</v>
      </c>
      <c r="O1080" t="s">
        <v>63</v>
      </c>
      <c r="S1080" t="s">
        <v>64</v>
      </c>
    </row>
    <row r="1081" spans="1:19" x14ac:dyDescent="0.25">
      <c r="A1081">
        <v>112637</v>
      </c>
      <c r="B1081">
        <v>2023</v>
      </c>
      <c r="C1081" t="s">
        <v>377</v>
      </c>
      <c r="D1081" t="s">
        <v>26</v>
      </c>
      <c r="E1081" t="s">
        <v>279</v>
      </c>
      <c r="F1081" t="s">
        <v>459</v>
      </c>
      <c r="G1081" s="1" t="s">
        <v>452</v>
      </c>
      <c r="H1081" s="1" t="s">
        <v>453</v>
      </c>
      <c r="I1081" t="s">
        <v>31</v>
      </c>
      <c r="J1081" t="s">
        <v>32</v>
      </c>
      <c r="K1081" t="s">
        <v>203</v>
      </c>
      <c r="L1081" t="s">
        <v>34</v>
      </c>
      <c r="M1081" t="s">
        <v>206</v>
      </c>
      <c r="N1081">
        <v>17</v>
      </c>
      <c r="O1081" t="s">
        <v>68</v>
      </c>
      <c r="S1081" t="s">
        <v>69</v>
      </c>
    </row>
    <row r="1082" spans="1:19" x14ac:dyDescent="0.25">
      <c r="A1082">
        <v>112637</v>
      </c>
      <c r="B1082">
        <v>2023</v>
      </c>
      <c r="C1082" t="s">
        <v>377</v>
      </c>
      <c r="D1082" t="s">
        <v>26</v>
      </c>
      <c r="E1082" t="s">
        <v>279</v>
      </c>
      <c r="F1082" t="s">
        <v>459</v>
      </c>
      <c r="G1082" s="1" t="s">
        <v>452</v>
      </c>
      <c r="H1082" s="1" t="s">
        <v>453</v>
      </c>
      <c r="I1082" t="s">
        <v>31</v>
      </c>
      <c r="J1082" t="s">
        <v>32</v>
      </c>
      <c r="K1082" t="s">
        <v>203</v>
      </c>
      <c r="L1082" t="s">
        <v>34</v>
      </c>
      <c r="M1082" t="s">
        <v>206</v>
      </c>
      <c r="N1082">
        <v>18</v>
      </c>
      <c r="O1082" t="s">
        <v>68</v>
      </c>
      <c r="S1082" t="s">
        <v>69</v>
      </c>
    </row>
    <row r="1083" spans="1:19" x14ac:dyDescent="0.25">
      <c r="A1083">
        <v>112637</v>
      </c>
      <c r="B1083">
        <v>2023</v>
      </c>
      <c r="C1083" t="s">
        <v>377</v>
      </c>
      <c r="D1083" t="s">
        <v>26</v>
      </c>
      <c r="E1083" t="s">
        <v>279</v>
      </c>
      <c r="F1083" t="s">
        <v>459</v>
      </c>
      <c r="G1083" s="1" t="s">
        <v>452</v>
      </c>
      <c r="H1083" s="1" t="s">
        <v>453</v>
      </c>
      <c r="I1083" t="s">
        <v>31</v>
      </c>
      <c r="J1083" t="s">
        <v>32</v>
      </c>
      <c r="K1083" t="s">
        <v>203</v>
      </c>
      <c r="L1083" t="s">
        <v>34</v>
      </c>
      <c r="M1083" t="s">
        <v>206</v>
      </c>
      <c r="N1083">
        <v>19</v>
      </c>
      <c r="O1083" t="s">
        <v>68</v>
      </c>
      <c r="S1083" t="s">
        <v>69</v>
      </c>
    </row>
    <row r="1084" spans="1:19" x14ac:dyDescent="0.25">
      <c r="A1084">
        <v>112637</v>
      </c>
      <c r="B1084">
        <v>2023</v>
      </c>
      <c r="C1084" t="s">
        <v>377</v>
      </c>
      <c r="D1084" t="s">
        <v>26</v>
      </c>
      <c r="E1084" t="s">
        <v>279</v>
      </c>
      <c r="F1084" t="s">
        <v>459</v>
      </c>
      <c r="G1084" s="1" t="s">
        <v>452</v>
      </c>
      <c r="H1084" s="1" t="s">
        <v>453</v>
      </c>
      <c r="I1084" t="s">
        <v>31</v>
      </c>
      <c r="J1084" t="s">
        <v>32</v>
      </c>
      <c r="K1084" t="s">
        <v>203</v>
      </c>
      <c r="L1084" t="s">
        <v>34</v>
      </c>
      <c r="M1084" t="s">
        <v>206</v>
      </c>
      <c r="N1084">
        <v>20</v>
      </c>
      <c r="O1084" t="s">
        <v>57</v>
      </c>
      <c r="R1084" t="s">
        <v>190</v>
      </c>
      <c r="S1084" t="s">
        <v>58</v>
      </c>
    </row>
    <row r="1085" spans="1:19" x14ac:dyDescent="0.25">
      <c r="A1085">
        <v>112637</v>
      </c>
      <c r="B1085">
        <v>2023</v>
      </c>
      <c r="C1085" t="s">
        <v>377</v>
      </c>
      <c r="D1085" t="s">
        <v>26</v>
      </c>
      <c r="E1085" t="s">
        <v>279</v>
      </c>
      <c r="F1085" t="s">
        <v>459</v>
      </c>
      <c r="G1085" s="1" t="s">
        <v>452</v>
      </c>
      <c r="H1085" s="1" t="s">
        <v>453</v>
      </c>
      <c r="I1085" t="s">
        <v>31</v>
      </c>
      <c r="J1085" t="s">
        <v>32</v>
      </c>
      <c r="K1085" t="s">
        <v>203</v>
      </c>
      <c r="L1085" t="s">
        <v>34</v>
      </c>
      <c r="M1085" t="s">
        <v>206</v>
      </c>
      <c r="N1085">
        <v>21</v>
      </c>
      <c r="O1085" t="s">
        <v>68</v>
      </c>
      <c r="R1085" t="s">
        <v>190</v>
      </c>
      <c r="S1085" t="s">
        <v>69</v>
      </c>
    </row>
    <row r="1086" spans="1:19" x14ac:dyDescent="0.25">
      <c r="A1086">
        <v>112637</v>
      </c>
      <c r="B1086">
        <v>2023</v>
      </c>
      <c r="C1086" t="s">
        <v>377</v>
      </c>
      <c r="D1086" t="s">
        <v>26</v>
      </c>
      <c r="E1086" t="s">
        <v>279</v>
      </c>
      <c r="F1086" t="s">
        <v>459</v>
      </c>
      <c r="G1086" s="1" t="s">
        <v>452</v>
      </c>
      <c r="H1086" s="1" t="s">
        <v>453</v>
      </c>
      <c r="I1086" t="s">
        <v>31</v>
      </c>
      <c r="J1086" t="s">
        <v>32</v>
      </c>
      <c r="K1086" t="s">
        <v>203</v>
      </c>
      <c r="L1086" t="s">
        <v>34</v>
      </c>
      <c r="M1086" t="s">
        <v>206</v>
      </c>
      <c r="N1086">
        <v>22</v>
      </c>
      <c r="O1086" t="s">
        <v>68</v>
      </c>
      <c r="R1086" t="s">
        <v>190</v>
      </c>
      <c r="S1086" t="s">
        <v>69</v>
      </c>
    </row>
    <row r="1087" spans="1:19" x14ac:dyDescent="0.25">
      <c r="A1087">
        <v>112637</v>
      </c>
      <c r="B1087">
        <v>2023</v>
      </c>
      <c r="C1087" t="s">
        <v>377</v>
      </c>
      <c r="D1087" t="s">
        <v>26</v>
      </c>
      <c r="E1087" t="s">
        <v>279</v>
      </c>
      <c r="F1087" t="s">
        <v>459</v>
      </c>
      <c r="G1087" s="1" t="s">
        <v>452</v>
      </c>
      <c r="H1087" s="1" t="s">
        <v>453</v>
      </c>
      <c r="I1087" t="s">
        <v>31</v>
      </c>
      <c r="J1087" t="s">
        <v>32</v>
      </c>
      <c r="K1087" t="s">
        <v>203</v>
      </c>
      <c r="L1087" t="s">
        <v>34</v>
      </c>
      <c r="M1087" t="s">
        <v>206</v>
      </c>
      <c r="N1087">
        <v>23</v>
      </c>
      <c r="O1087" t="s">
        <v>68</v>
      </c>
      <c r="R1087" t="s">
        <v>190</v>
      </c>
      <c r="S1087" t="s">
        <v>69</v>
      </c>
    </row>
    <row r="1088" spans="1:19" x14ac:dyDescent="0.25">
      <c r="A1088">
        <v>112637</v>
      </c>
      <c r="B1088">
        <v>2023</v>
      </c>
      <c r="C1088" t="s">
        <v>377</v>
      </c>
      <c r="D1088" t="s">
        <v>26</v>
      </c>
      <c r="E1088" t="s">
        <v>279</v>
      </c>
      <c r="F1088" t="s">
        <v>459</v>
      </c>
      <c r="G1088" s="1" t="s">
        <v>452</v>
      </c>
      <c r="H1088" s="1" t="s">
        <v>453</v>
      </c>
      <c r="I1088" t="s">
        <v>31</v>
      </c>
      <c r="J1088" t="s">
        <v>32</v>
      </c>
      <c r="K1088" t="s">
        <v>203</v>
      </c>
      <c r="L1088" t="s">
        <v>34</v>
      </c>
      <c r="M1088" t="s">
        <v>206</v>
      </c>
      <c r="N1088">
        <v>24</v>
      </c>
      <c r="O1088" t="s">
        <v>68</v>
      </c>
      <c r="S1088" t="s">
        <v>69</v>
      </c>
    </row>
    <row r="1089" spans="1:19" x14ac:dyDescent="0.25">
      <c r="A1089">
        <v>112637</v>
      </c>
      <c r="B1089">
        <v>2023</v>
      </c>
      <c r="C1089" t="s">
        <v>377</v>
      </c>
      <c r="D1089" t="s">
        <v>26</v>
      </c>
      <c r="E1089" t="s">
        <v>279</v>
      </c>
      <c r="F1089" t="s">
        <v>459</v>
      </c>
      <c r="G1089" s="1" t="s">
        <v>452</v>
      </c>
      <c r="H1089" s="1" t="s">
        <v>453</v>
      </c>
      <c r="I1089" t="s">
        <v>31</v>
      </c>
      <c r="J1089" t="s">
        <v>32</v>
      </c>
      <c r="K1089" t="s">
        <v>203</v>
      </c>
      <c r="L1089" t="s">
        <v>34</v>
      </c>
      <c r="M1089" t="s">
        <v>206</v>
      </c>
      <c r="N1089">
        <v>25</v>
      </c>
      <c r="O1089" t="s">
        <v>68</v>
      </c>
      <c r="R1089" t="s">
        <v>190</v>
      </c>
      <c r="S1089" t="s">
        <v>69</v>
      </c>
    </row>
    <row r="1090" spans="1:19" x14ac:dyDescent="0.25">
      <c r="A1090">
        <v>112637</v>
      </c>
      <c r="B1090">
        <v>2023</v>
      </c>
      <c r="C1090" t="s">
        <v>377</v>
      </c>
      <c r="D1090" t="s">
        <v>26</v>
      </c>
      <c r="E1090" t="s">
        <v>279</v>
      </c>
      <c r="F1090" t="s">
        <v>459</v>
      </c>
      <c r="G1090" s="1" t="s">
        <v>452</v>
      </c>
      <c r="H1090" s="1" t="s">
        <v>453</v>
      </c>
      <c r="I1090" t="s">
        <v>31</v>
      </c>
      <c r="J1090" t="s">
        <v>32</v>
      </c>
      <c r="K1090" t="s">
        <v>203</v>
      </c>
      <c r="L1090" t="s">
        <v>34</v>
      </c>
      <c r="M1090" t="s">
        <v>206</v>
      </c>
      <c r="N1090">
        <v>26</v>
      </c>
      <c r="O1090" t="s">
        <v>57</v>
      </c>
      <c r="S1090" t="s">
        <v>58</v>
      </c>
    </row>
    <row r="1091" spans="1:19" x14ac:dyDescent="0.25">
      <c r="A1091">
        <v>112637</v>
      </c>
      <c r="B1091">
        <v>2023</v>
      </c>
      <c r="C1091" t="s">
        <v>377</v>
      </c>
      <c r="D1091" t="s">
        <v>26</v>
      </c>
      <c r="E1091" t="s">
        <v>279</v>
      </c>
      <c r="F1091" t="s">
        <v>459</v>
      </c>
      <c r="G1091" s="1" t="s">
        <v>452</v>
      </c>
      <c r="H1091" s="1" t="s">
        <v>453</v>
      </c>
      <c r="I1091" t="s">
        <v>31</v>
      </c>
      <c r="J1091" t="s">
        <v>32</v>
      </c>
      <c r="K1091" t="s">
        <v>203</v>
      </c>
      <c r="L1091" t="s">
        <v>34</v>
      </c>
      <c r="M1091" t="s">
        <v>206</v>
      </c>
      <c r="N1091">
        <v>27</v>
      </c>
      <c r="O1091" t="s">
        <v>57</v>
      </c>
      <c r="S1091" t="s">
        <v>58</v>
      </c>
    </row>
    <row r="1092" spans="1:19" x14ac:dyDescent="0.25">
      <c r="A1092">
        <v>112637</v>
      </c>
      <c r="B1092">
        <v>2023</v>
      </c>
      <c r="C1092" t="s">
        <v>377</v>
      </c>
      <c r="D1092" t="s">
        <v>26</v>
      </c>
      <c r="E1092" t="s">
        <v>279</v>
      </c>
      <c r="F1092" t="s">
        <v>459</v>
      </c>
      <c r="G1092" s="1" t="s">
        <v>452</v>
      </c>
      <c r="H1092" s="1" t="s">
        <v>453</v>
      </c>
      <c r="I1092" t="s">
        <v>31</v>
      </c>
      <c r="J1092" t="s">
        <v>32</v>
      </c>
      <c r="K1092" t="s">
        <v>203</v>
      </c>
      <c r="L1092" t="s">
        <v>34</v>
      </c>
      <c r="M1092" t="s">
        <v>206</v>
      </c>
      <c r="N1092">
        <v>28</v>
      </c>
      <c r="O1092" t="s">
        <v>57</v>
      </c>
      <c r="S1092" t="s">
        <v>58</v>
      </c>
    </row>
    <row r="1093" spans="1:19" x14ac:dyDescent="0.25">
      <c r="A1093">
        <v>112637</v>
      </c>
      <c r="B1093">
        <v>2023</v>
      </c>
      <c r="C1093" t="s">
        <v>377</v>
      </c>
      <c r="D1093" t="s">
        <v>26</v>
      </c>
      <c r="E1093" t="s">
        <v>279</v>
      </c>
      <c r="F1093" t="s">
        <v>459</v>
      </c>
      <c r="G1093" s="1" t="s">
        <v>452</v>
      </c>
      <c r="H1093" s="1" t="s">
        <v>453</v>
      </c>
      <c r="I1093" t="s">
        <v>31</v>
      </c>
      <c r="J1093" t="s">
        <v>32</v>
      </c>
      <c r="K1093" t="s">
        <v>203</v>
      </c>
      <c r="L1093" t="s">
        <v>34</v>
      </c>
      <c r="M1093" t="s">
        <v>206</v>
      </c>
      <c r="N1093">
        <v>29</v>
      </c>
      <c r="O1093" t="s">
        <v>68</v>
      </c>
      <c r="S1093" t="s">
        <v>69</v>
      </c>
    </row>
    <row r="1094" spans="1:19" x14ac:dyDescent="0.25">
      <c r="A1094">
        <v>112637</v>
      </c>
      <c r="B1094">
        <v>2023</v>
      </c>
      <c r="C1094" t="s">
        <v>377</v>
      </c>
      <c r="D1094" t="s">
        <v>26</v>
      </c>
      <c r="E1094" t="s">
        <v>279</v>
      </c>
      <c r="F1094" t="s">
        <v>459</v>
      </c>
      <c r="G1094" s="1" t="s">
        <v>452</v>
      </c>
      <c r="H1094" s="1" t="s">
        <v>453</v>
      </c>
      <c r="I1094" t="s">
        <v>31</v>
      </c>
      <c r="J1094" t="s">
        <v>32</v>
      </c>
      <c r="K1094" t="s">
        <v>203</v>
      </c>
      <c r="L1094" t="s">
        <v>34</v>
      </c>
      <c r="M1094" t="s">
        <v>206</v>
      </c>
      <c r="N1094">
        <v>30</v>
      </c>
      <c r="O1094" t="s">
        <v>57</v>
      </c>
      <c r="S1094" t="s">
        <v>58</v>
      </c>
    </row>
    <row r="1095" spans="1:19" x14ac:dyDescent="0.25">
      <c r="A1095">
        <v>112637</v>
      </c>
      <c r="B1095">
        <v>2023</v>
      </c>
      <c r="C1095" t="s">
        <v>377</v>
      </c>
      <c r="D1095" t="s">
        <v>26</v>
      </c>
      <c r="E1095" t="s">
        <v>279</v>
      </c>
      <c r="F1095" t="s">
        <v>459</v>
      </c>
      <c r="G1095" s="1" t="s">
        <v>452</v>
      </c>
      <c r="H1095" s="1" t="s">
        <v>453</v>
      </c>
      <c r="I1095" t="s">
        <v>31</v>
      </c>
      <c r="J1095" t="s">
        <v>32</v>
      </c>
      <c r="K1095" t="s">
        <v>203</v>
      </c>
      <c r="L1095" t="s">
        <v>34</v>
      </c>
      <c r="M1095" t="s">
        <v>206</v>
      </c>
      <c r="N1095">
        <v>31</v>
      </c>
      <c r="O1095" t="s">
        <v>57</v>
      </c>
      <c r="S1095" t="s">
        <v>58</v>
      </c>
    </row>
    <row r="1096" spans="1:19" x14ac:dyDescent="0.25">
      <c r="A1096">
        <v>112637</v>
      </c>
      <c r="B1096">
        <v>2023</v>
      </c>
      <c r="C1096" t="s">
        <v>377</v>
      </c>
      <c r="D1096" t="s">
        <v>26</v>
      </c>
      <c r="E1096" t="s">
        <v>279</v>
      </c>
      <c r="F1096" t="s">
        <v>459</v>
      </c>
      <c r="G1096" s="1" t="s">
        <v>452</v>
      </c>
      <c r="H1096" s="1" t="s">
        <v>453</v>
      </c>
      <c r="I1096" t="s">
        <v>31</v>
      </c>
      <c r="J1096" t="s">
        <v>32</v>
      </c>
      <c r="K1096" t="s">
        <v>203</v>
      </c>
      <c r="L1096" t="s">
        <v>34</v>
      </c>
      <c r="M1096" t="s">
        <v>206</v>
      </c>
      <c r="N1096">
        <v>32</v>
      </c>
      <c r="O1096" t="s">
        <v>57</v>
      </c>
      <c r="S1096" t="s">
        <v>58</v>
      </c>
    </row>
    <row r="1097" spans="1:19" x14ac:dyDescent="0.25">
      <c r="A1097">
        <v>112637</v>
      </c>
      <c r="B1097">
        <v>2023</v>
      </c>
      <c r="C1097" t="s">
        <v>377</v>
      </c>
      <c r="D1097" t="s">
        <v>26</v>
      </c>
      <c r="E1097" t="s">
        <v>279</v>
      </c>
      <c r="F1097" t="s">
        <v>459</v>
      </c>
      <c r="G1097" s="1" t="s">
        <v>452</v>
      </c>
      <c r="H1097" s="1" t="s">
        <v>453</v>
      </c>
      <c r="I1097" t="s">
        <v>31</v>
      </c>
      <c r="J1097" t="s">
        <v>32</v>
      </c>
      <c r="K1097" t="s">
        <v>203</v>
      </c>
      <c r="L1097" t="s">
        <v>34</v>
      </c>
      <c r="M1097" t="s">
        <v>206</v>
      </c>
      <c r="N1097">
        <v>33</v>
      </c>
      <c r="O1097" t="s">
        <v>68</v>
      </c>
      <c r="R1097" t="s">
        <v>190</v>
      </c>
      <c r="S1097" t="s">
        <v>69</v>
      </c>
    </row>
    <row r="1098" spans="1:19" x14ac:dyDescent="0.25">
      <c r="A1098">
        <v>112637</v>
      </c>
      <c r="B1098">
        <v>2023</v>
      </c>
      <c r="C1098" t="s">
        <v>377</v>
      </c>
      <c r="D1098" t="s">
        <v>26</v>
      </c>
      <c r="E1098" t="s">
        <v>279</v>
      </c>
      <c r="F1098" t="s">
        <v>459</v>
      </c>
      <c r="G1098" s="1" t="s">
        <v>452</v>
      </c>
      <c r="H1098" s="1" t="s">
        <v>453</v>
      </c>
      <c r="I1098" t="s">
        <v>31</v>
      </c>
      <c r="J1098" t="s">
        <v>32</v>
      </c>
      <c r="K1098" t="s">
        <v>203</v>
      </c>
      <c r="L1098" t="s">
        <v>34</v>
      </c>
      <c r="M1098" t="s">
        <v>206</v>
      </c>
      <c r="N1098">
        <v>34</v>
      </c>
      <c r="O1098" t="s">
        <v>68</v>
      </c>
      <c r="S1098" t="s">
        <v>69</v>
      </c>
    </row>
    <row r="1099" spans="1:19" x14ac:dyDescent="0.25">
      <c r="A1099">
        <v>112637</v>
      </c>
      <c r="B1099">
        <v>2023</v>
      </c>
      <c r="C1099" t="s">
        <v>377</v>
      </c>
      <c r="D1099" t="s">
        <v>26</v>
      </c>
      <c r="E1099" t="s">
        <v>279</v>
      </c>
      <c r="F1099" t="s">
        <v>459</v>
      </c>
      <c r="G1099" s="1" t="s">
        <v>452</v>
      </c>
      <c r="H1099" s="1" t="s">
        <v>453</v>
      </c>
      <c r="I1099" t="s">
        <v>31</v>
      </c>
      <c r="J1099" t="s">
        <v>32</v>
      </c>
      <c r="K1099" t="s">
        <v>203</v>
      </c>
      <c r="L1099" t="s">
        <v>34</v>
      </c>
      <c r="M1099" t="s">
        <v>206</v>
      </c>
      <c r="N1099">
        <v>35</v>
      </c>
      <c r="O1099" t="s">
        <v>57</v>
      </c>
      <c r="S1099" t="s">
        <v>58</v>
      </c>
    </row>
    <row r="1100" spans="1:19" x14ac:dyDescent="0.25">
      <c r="A1100">
        <v>112637</v>
      </c>
      <c r="B1100">
        <v>2023</v>
      </c>
      <c r="C1100" t="s">
        <v>377</v>
      </c>
      <c r="D1100" t="s">
        <v>26</v>
      </c>
      <c r="E1100" t="s">
        <v>279</v>
      </c>
      <c r="F1100" t="s">
        <v>459</v>
      </c>
      <c r="G1100" s="1" t="s">
        <v>452</v>
      </c>
      <c r="H1100" s="1" t="s">
        <v>453</v>
      </c>
      <c r="I1100" t="s">
        <v>31</v>
      </c>
      <c r="J1100" t="s">
        <v>32</v>
      </c>
      <c r="K1100" t="s">
        <v>203</v>
      </c>
      <c r="L1100" t="s">
        <v>34</v>
      </c>
      <c r="M1100" t="s">
        <v>206</v>
      </c>
      <c r="N1100">
        <v>36</v>
      </c>
      <c r="O1100" t="s">
        <v>68</v>
      </c>
      <c r="S1100" t="s">
        <v>69</v>
      </c>
    </row>
    <row r="1101" spans="1:19" x14ac:dyDescent="0.25">
      <c r="A1101">
        <v>112637</v>
      </c>
      <c r="B1101">
        <v>2023</v>
      </c>
      <c r="C1101" t="s">
        <v>377</v>
      </c>
      <c r="D1101" t="s">
        <v>26</v>
      </c>
      <c r="E1101" t="s">
        <v>279</v>
      </c>
      <c r="F1101" t="s">
        <v>459</v>
      </c>
      <c r="G1101" s="1" t="s">
        <v>452</v>
      </c>
      <c r="H1101" s="1" t="s">
        <v>453</v>
      </c>
      <c r="I1101" t="s">
        <v>31</v>
      </c>
      <c r="J1101" t="s">
        <v>32</v>
      </c>
      <c r="K1101" t="s">
        <v>203</v>
      </c>
      <c r="L1101" t="s">
        <v>34</v>
      </c>
      <c r="M1101" t="s">
        <v>206</v>
      </c>
      <c r="N1101">
        <v>37</v>
      </c>
      <c r="O1101" t="s">
        <v>68</v>
      </c>
      <c r="R1101" t="s">
        <v>190</v>
      </c>
      <c r="S1101" t="s">
        <v>69</v>
      </c>
    </row>
    <row r="1102" spans="1:19" x14ac:dyDescent="0.25">
      <c r="A1102">
        <v>112637</v>
      </c>
      <c r="B1102">
        <v>2023</v>
      </c>
      <c r="C1102" t="s">
        <v>377</v>
      </c>
      <c r="D1102" t="s">
        <v>26</v>
      </c>
      <c r="E1102" t="s">
        <v>279</v>
      </c>
      <c r="F1102" t="s">
        <v>459</v>
      </c>
      <c r="G1102" s="1" t="s">
        <v>452</v>
      </c>
      <c r="H1102" s="1" t="s">
        <v>453</v>
      </c>
      <c r="I1102" t="s">
        <v>31</v>
      </c>
      <c r="J1102" t="s">
        <v>32</v>
      </c>
      <c r="K1102" t="s">
        <v>203</v>
      </c>
      <c r="L1102" t="s">
        <v>34</v>
      </c>
      <c r="M1102" t="s">
        <v>206</v>
      </c>
      <c r="N1102">
        <v>38</v>
      </c>
      <c r="O1102" t="s">
        <v>57</v>
      </c>
      <c r="S1102" t="s">
        <v>58</v>
      </c>
    </row>
    <row r="1103" spans="1:19" x14ac:dyDescent="0.25">
      <c r="A1103">
        <v>112637</v>
      </c>
      <c r="B1103">
        <v>2023</v>
      </c>
      <c r="C1103" t="s">
        <v>377</v>
      </c>
      <c r="D1103" t="s">
        <v>26</v>
      </c>
      <c r="E1103" t="s">
        <v>279</v>
      </c>
      <c r="F1103" t="s">
        <v>459</v>
      </c>
      <c r="G1103" s="1" t="s">
        <v>452</v>
      </c>
      <c r="H1103" s="1" t="s">
        <v>453</v>
      </c>
      <c r="I1103" t="s">
        <v>31</v>
      </c>
      <c r="J1103" t="s">
        <v>32</v>
      </c>
      <c r="K1103" t="s">
        <v>203</v>
      </c>
      <c r="L1103" t="s">
        <v>34</v>
      </c>
      <c r="M1103" t="s">
        <v>206</v>
      </c>
      <c r="N1103">
        <v>39</v>
      </c>
      <c r="O1103" t="s">
        <v>68</v>
      </c>
      <c r="S1103" t="s">
        <v>69</v>
      </c>
    </row>
    <row r="1104" spans="1:19" x14ac:dyDescent="0.25">
      <c r="A1104">
        <v>112637</v>
      </c>
      <c r="B1104">
        <v>2023</v>
      </c>
      <c r="C1104" t="s">
        <v>377</v>
      </c>
      <c r="D1104" t="s">
        <v>26</v>
      </c>
      <c r="E1104" t="s">
        <v>279</v>
      </c>
      <c r="F1104" t="s">
        <v>459</v>
      </c>
      <c r="G1104" s="1" t="s">
        <v>452</v>
      </c>
      <c r="H1104" s="1" t="s">
        <v>453</v>
      </c>
      <c r="I1104" t="s">
        <v>31</v>
      </c>
      <c r="J1104" t="s">
        <v>32</v>
      </c>
      <c r="K1104" t="s">
        <v>203</v>
      </c>
      <c r="L1104" t="s">
        <v>34</v>
      </c>
      <c r="M1104" t="s">
        <v>206</v>
      </c>
      <c r="N1104">
        <v>40</v>
      </c>
      <c r="O1104" t="s">
        <v>57</v>
      </c>
      <c r="S1104" t="s">
        <v>58</v>
      </c>
    </row>
    <row r="1105" spans="1:19" x14ac:dyDescent="0.25">
      <c r="A1105">
        <v>112637</v>
      </c>
      <c r="B1105">
        <v>2023</v>
      </c>
      <c r="C1105" t="s">
        <v>377</v>
      </c>
      <c r="D1105" t="s">
        <v>26</v>
      </c>
      <c r="E1105" t="s">
        <v>279</v>
      </c>
      <c r="F1105" t="s">
        <v>459</v>
      </c>
      <c r="G1105" s="1" t="s">
        <v>452</v>
      </c>
      <c r="H1105" s="1" t="s">
        <v>453</v>
      </c>
      <c r="I1105" t="s">
        <v>31</v>
      </c>
      <c r="J1105" t="s">
        <v>32</v>
      </c>
      <c r="K1105" t="s">
        <v>203</v>
      </c>
      <c r="L1105" t="s">
        <v>34</v>
      </c>
      <c r="M1105" t="s">
        <v>206</v>
      </c>
      <c r="N1105">
        <v>41</v>
      </c>
      <c r="O1105" t="s">
        <v>57</v>
      </c>
      <c r="S1105" t="s">
        <v>58</v>
      </c>
    </row>
    <row r="1106" spans="1:19" x14ac:dyDescent="0.25">
      <c r="A1106">
        <v>112637</v>
      </c>
      <c r="B1106">
        <v>2023</v>
      </c>
      <c r="C1106" t="s">
        <v>377</v>
      </c>
      <c r="D1106" t="s">
        <v>26</v>
      </c>
      <c r="E1106" t="s">
        <v>279</v>
      </c>
      <c r="F1106" t="s">
        <v>459</v>
      </c>
      <c r="G1106" s="1" t="s">
        <v>452</v>
      </c>
      <c r="H1106" s="1" t="s">
        <v>453</v>
      </c>
      <c r="I1106" t="s">
        <v>31</v>
      </c>
      <c r="J1106" t="s">
        <v>32</v>
      </c>
      <c r="K1106" t="s">
        <v>203</v>
      </c>
      <c r="L1106" t="s">
        <v>34</v>
      </c>
      <c r="M1106" t="s">
        <v>206</v>
      </c>
      <c r="N1106">
        <v>42</v>
      </c>
      <c r="O1106" t="s">
        <v>57</v>
      </c>
      <c r="S1106" t="s">
        <v>58</v>
      </c>
    </row>
    <row r="1107" spans="1:19" x14ac:dyDescent="0.25">
      <c r="A1107">
        <v>112637</v>
      </c>
      <c r="B1107">
        <v>2023</v>
      </c>
      <c r="C1107" t="s">
        <v>377</v>
      </c>
      <c r="D1107" t="s">
        <v>26</v>
      </c>
      <c r="E1107" t="s">
        <v>279</v>
      </c>
      <c r="F1107" t="s">
        <v>459</v>
      </c>
      <c r="G1107" s="1" t="s">
        <v>452</v>
      </c>
      <c r="H1107" s="1" t="s">
        <v>453</v>
      </c>
      <c r="I1107" t="s">
        <v>31</v>
      </c>
      <c r="J1107" t="s">
        <v>32</v>
      </c>
      <c r="K1107" t="s">
        <v>203</v>
      </c>
      <c r="L1107" t="s">
        <v>34</v>
      </c>
      <c r="M1107" t="s">
        <v>206</v>
      </c>
      <c r="N1107">
        <v>43</v>
      </c>
      <c r="O1107" t="s">
        <v>68</v>
      </c>
      <c r="S1107" t="s">
        <v>69</v>
      </c>
    </row>
    <row r="1108" spans="1:19" x14ac:dyDescent="0.25">
      <c r="A1108">
        <v>112637</v>
      </c>
      <c r="B1108">
        <v>2023</v>
      </c>
      <c r="C1108" t="s">
        <v>377</v>
      </c>
      <c r="D1108" t="s">
        <v>26</v>
      </c>
      <c r="E1108" t="s">
        <v>279</v>
      </c>
      <c r="F1108" t="s">
        <v>459</v>
      </c>
      <c r="G1108" s="1" t="s">
        <v>452</v>
      </c>
      <c r="H1108" s="1" t="s">
        <v>453</v>
      </c>
      <c r="I1108" t="s">
        <v>31</v>
      </c>
      <c r="J1108" t="s">
        <v>32</v>
      </c>
      <c r="K1108" t="s">
        <v>203</v>
      </c>
      <c r="L1108" t="s">
        <v>34</v>
      </c>
      <c r="M1108" t="s">
        <v>206</v>
      </c>
      <c r="N1108">
        <v>44</v>
      </c>
      <c r="O1108" t="s">
        <v>57</v>
      </c>
      <c r="S1108" t="s">
        <v>58</v>
      </c>
    </row>
    <row r="1109" spans="1:19" x14ac:dyDescent="0.25">
      <c r="A1109">
        <v>112637</v>
      </c>
      <c r="B1109">
        <v>2023</v>
      </c>
      <c r="C1109" t="s">
        <v>377</v>
      </c>
      <c r="D1109" t="s">
        <v>26</v>
      </c>
      <c r="E1109" t="s">
        <v>279</v>
      </c>
      <c r="F1109" t="s">
        <v>459</v>
      </c>
      <c r="G1109" s="1" t="s">
        <v>452</v>
      </c>
      <c r="H1109" s="1" t="s">
        <v>453</v>
      </c>
      <c r="I1109" t="s">
        <v>31</v>
      </c>
      <c r="J1109" t="s">
        <v>32</v>
      </c>
      <c r="K1109" t="s">
        <v>203</v>
      </c>
      <c r="L1109" t="s">
        <v>34</v>
      </c>
      <c r="M1109" t="s">
        <v>206</v>
      </c>
      <c r="N1109">
        <v>45</v>
      </c>
      <c r="O1109" t="s">
        <v>57</v>
      </c>
      <c r="S1109" t="s">
        <v>58</v>
      </c>
    </row>
    <row r="1110" spans="1:19" x14ac:dyDescent="0.25">
      <c r="A1110">
        <v>112637</v>
      </c>
      <c r="B1110">
        <v>2023</v>
      </c>
      <c r="C1110" t="s">
        <v>377</v>
      </c>
      <c r="D1110" t="s">
        <v>26</v>
      </c>
      <c r="E1110" t="s">
        <v>279</v>
      </c>
      <c r="F1110" t="s">
        <v>459</v>
      </c>
      <c r="G1110" s="1" t="s">
        <v>452</v>
      </c>
      <c r="H1110" s="1" t="s">
        <v>453</v>
      </c>
      <c r="I1110" t="s">
        <v>31</v>
      </c>
      <c r="J1110" t="s">
        <v>32</v>
      </c>
      <c r="K1110" t="s">
        <v>203</v>
      </c>
      <c r="L1110" t="s">
        <v>34</v>
      </c>
      <c r="M1110" t="s">
        <v>206</v>
      </c>
      <c r="N1110">
        <v>46</v>
      </c>
      <c r="O1110" t="s">
        <v>57</v>
      </c>
      <c r="S1110" t="s">
        <v>58</v>
      </c>
    </row>
    <row r="1111" spans="1:19" x14ac:dyDescent="0.25">
      <c r="A1111">
        <v>112637</v>
      </c>
      <c r="B1111">
        <v>2023</v>
      </c>
      <c r="C1111" t="s">
        <v>377</v>
      </c>
      <c r="D1111" t="s">
        <v>26</v>
      </c>
      <c r="E1111" t="s">
        <v>279</v>
      </c>
      <c r="F1111" t="s">
        <v>459</v>
      </c>
      <c r="G1111" s="1" t="s">
        <v>452</v>
      </c>
      <c r="H1111" s="1" t="s">
        <v>453</v>
      </c>
      <c r="I1111" t="s">
        <v>31</v>
      </c>
      <c r="J1111" t="s">
        <v>32</v>
      </c>
      <c r="K1111" t="s">
        <v>203</v>
      </c>
      <c r="L1111" t="s">
        <v>34</v>
      </c>
      <c r="M1111" t="s">
        <v>206</v>
      </c>
      <c r="N1111">
        <v>47</v>
      </c>
      <c r="O1111" t="s">
        <v>57</v>
      </c>
      <c r="S1111" t="s">
        <v>58</v>
      </c>
    </row>
    <row r="1112" spans="1:19" x14ac:dyDescent="0.25">
      <c r="A1112">
        <v>112637</v>
      </c>
      <c r="B1112">
        <v>2023</v>
      </c>
      <c r="C1112" t="s">
        <v>377</v>
      </c>
      <c r="D1112" t="s">
        <v>26</v>
      </c>
      <c r="E1112" t="s">
        <v>279</v>
      </c>
      <c r="F1112" t="s">
        <v>459</v>
      </c>
      <c r="G1112" s="1" t="s">
        <v>452</v>
      </c>
      <c r="H1112" s="1" t="s">
        <v>453</v>
      </c>
      <c r="I1112" t="s">
        <v>31</v>
      </c>
      <c r="J1112" t="s">
        <v>32</v>
      </c>
      <c r="K1112" t="s">
        <v>203</v>
      </c>
      <c r="L1112" t="s">
        <v>34</v>
      </c>
      <c r="M1112" t="s">
        <v>206</v>
      </c>
      <c r="N1112">
        <v>48</v>
      </c>
      <c r="P1112" t="s">
        <v>60</v>
      </c>
      <c r="Q1112" t="s">
        <v>135</v>
      </c>
      <c r="S1112" t="s">
        <v>61</v>
      </c>
    </row>
    <row r="1113" spans="1:19" x14ac:dyDescent="0.25">
      <c r="A1113">
        <v>112637</v>
      </c>
      <c r="B1113">
        <v>2023</v>
      </c>
      <c r="C1113" t="s">
        <v>377</v>
      </c>
      <c r="D1113" t="s">
        <v>26</v>
      </c>
      <c r="E1113" t="s">
        <v>279</v>
      </c>
      <c r="F1113" t="s">
        <v>459</v>
      </c>
      <c r="G1113" s="1" t="s">
        <v>452</v>
      </c>
      <c r="H1113" s="1" t="s">
        <v>453</v>
      </c>
      <c r="I1113" t="s">
        <v>31</v>
      </c>
      <c r="J1113" t="s">
        <v>32</v>
      </c>
      <c r="K1113" t="s">
        <v>203</v>
      </c>
      <c r="L1113" t="s">
        <v>34</v>
      </c>
      <c r="M1113" t="s">
        <v>206</v>
      </c>
      <c r="N1113">
        <v>49</v>
      </c>
      <c r="Q1113" t="s">
        <v>375</v>
      </c>
    </row>
    <row r="1114" spans="1:19" x14ac:dyDescent="0.25">
      <c r="A1114">
        <v>112637</v>
      </c>
      <c r="B1114">
        <v>2023</v>
      </c>
      <c r="C1114" t="s">
        <v>377</v>
      </c>
      <c r="D1114" t="s">
        <v>26</v>
      </c>
      <c r="E1114" t="s">
        <v>279</v>
      </c>
      <c r="F1114" t="s">
        <v>459</v>
      </c>
      <c r="G1114" s="1" t="s">
        <v>452</v>
      </c>
      <c r="H1114" s="1" t="s">
        <v>453</v>
      </c>
      <c r="I1114" t="s">
        <v>31</v>
      </c>
      <c r="J1114" t="s">
        <v>32</v>
      </c>
      <c r="K1114" t="s">
        <v>203</v>
      </c>
      <c r="L1114" t="s">
        <v>34</v>
      </c>
      <c r="M1114" t="s">
        <v>206</v>
      </c>
      <c r="N1114">
        <v>50</v>
      </c>
      <c r="O1114" t="s">
        <v>57</v>
      </c>
      <c r="S1114" t="s">
        <v>58</v>
      </c>
    </row>
    <row r="1115" spans="1:19" x14ac:dyDescent="0.25">
      <c r="A1115">
        <v>112637</v>
      </c>
      <c r="B1115">
        <v>2023</v>
      </c>
      <c r="C1115" t="s">
        <v>377</v>
      </c>
      <c r="D1115" t="s">
        <v>26</v>
      </c>
      <c r="E1115" t="s">
        <v>279</v>
      </c>
      <c r="F1115" t="s">
        <v>459</v>
      </c>
      <c r="G1115" s="1" t="s">
        <v>452</v>
      </c>
      <c r="H1115" s="1" t="s">
        <v>453</v>
      </c>
      <c r="I1115" t="s">
        <v>31</v>
      </c>
      <c r="J1115" t="s">
        <v>32</v>
      </c>
      <c r="K1115" t="s">
        <v>203</v>
      </c>
      <c r="L1115" t="s">
        <v>34</v>
      </c>
      <c r="M1115" t="s">
        <v>206</v>
      </c>
      <c r="N1115">
        <v>51</v>
      </c>
      <c r="O1115" t="s">
        <v>68</v>
      </c>
      <c r="S1115" t="s">
        <v>69</v>
      </c>
    </row>
    <row r="1116" spans="1:19" x14ac:dyDescent="0.25">
      <c r="A1116">
        <v>112637</v>
      </c>
      <c r="B1116">
        <v>2023</v>
      </c>
      <c r="C1116" t="s">
        <v>377</v>
      </c>
      <c r="D1116" t="s">
        <v>26</v>
      </c>
      <c r="E1116" t="s">
        <v>279</v>
      </c>
      <c r="F1116" t="s">
        <v>459</v>
      </c>
      <c r="G1116" s="1" t="s">
        <v>452</v>
      </c>
      <c r="H1116" s="1" t="s">
        <v>453</v>
      </c>
      <c r="I1116" t="s">
        <v>31</v>
      </c>
      <c r="J1116" t="s">
        <v>32</v>
      </c>
      <c r="K1116" t="s">
        <v>203</v>
      </c>
      <c r="L1116" t="s">
        <v>34</v>
      </c>
      <c r="M1116" t="s">
        <v>206</v>
      </c>
      <c r="N1116">
        <v>52</v>
      </c>
      <c r="O1116" t="s">
        <v>68</v>
      </c>
      <c r="R1116" t="s">
        <v>190</v>
      </c>
      <c r="S1116" t="s">
        <v>69</v>
      </c>
    </row>
    <row r="1117" spans="1:19" x14ac:dyDescent="0.25">
      <c r="A1117">
        <v>112637</v>
      </c>
      <c r="B1117">
        <v>2023</v>
      </c>
      <c r="C1117" t="s">
        <v>377</v>
      </c>
      <c r="D1117" t="s">
        <v>26</v>
      </c>
      <c r="E1117" t="s">
        <v>279</v>
      </c>
      <c r="F1117" t="s">
        <v>459</v>
      </c>
      <c r="G1117" s="1" t="s">
        <v>452</v>
      </c>
      <c r="H1117" s="1" t="s">
        <v>453</v>
      </c>
      <c r="I1117" t="s">
        <v>31</v>
      </c>
      <c r="J1117" t="s">
        <v>32</v>
      </c>
      <c r="K1117" t="s">
        <v>203</v>
      </c>
      <c r="L1117" t="s">
        <v>34</v>
      </c>
      <c r="M1117" t="s">
        <v>206</v>
      </c>
      <c r="N1117">
        <v>53</v>
      </c>
      <c r="O1117" t="s">
        <v>68</v>
      </c>
      <c r="S1117" t="s">
        <v>69</v>
      </c>
    </row>
    <row r="1118" spans="1:19" x14ac:dyDescent="0.25">
      <c r="A1118">
        <v>112637</v>
      </c>
      <c r="B1118">
        <v>2023</v>
      </c>
      <c r="C1118" t="s">
        <v>377</v>
      </c>
      <c r="D1118" t="s">
        <v>26</v>
      </c>
      <c r="E1118" t="s">
        <v>279</v>
      </c>
      <c r="F1118" t="s">
        <v>459</v>
      </c>
      <c r="G1118" s="1" t="s">
        <v>452</v>
      </c>
      <c r="H1118" s="1" t="s">
        <v>453</v>
      </c>
      <c r="I1118" t="s">
        <v>31</v>
      </c>
      <c r="J1118" t="s">
        <v>32</v>
      </c>
      <c r="K1118" t="s">
        <v>203</v>
      </c>
      <c r="L1118" t="s">
        <v>34</v>
      </c>
      <c r="M1118" t="s">
        <v>206</v>
      </c>
      <c r="N1118">
        <v>54</v>
      </c>
      <c r="O1118" t="s">
        <v>68</v>
      </c>
      <c r="S1118" t="s">
        <v>69</v>
      </c>
    </row>
    <row r="1119" spans="1:19" x14ac:dyDescent="0.25">
      <c r="A1119">
        <v>112637</v>
      </c>
      <c r="B1119">
        <v>2023</v>
      </c>
      <c r="C1119" t="s">
        <v>377</v>
      </c>
      <c r="D1119" t="s">
        <v>26</v>
      </c>
      <c r="E1119" t="s">
        <v>279</v>
      </c>
      <c r="F1119" t="s">
        <v>459</v>
      </c>
      <c r="G1119" s="1" t="s">
        <v>452</v>
      </c>
      <c r="H1119" s="1" t="s">
        <v>453</v>
      </c>
      <c r="I1119" t="s">
        <v>31</v>
      </c>
      <c r="J1119" t="s">
        <v>32</v>
      </c>
      <c r="K1119" t="s">
        <v>203</v>
      </c>
      <c r="L1119" t="s">
        <v>34</v>
      </c>
      <c r="M1119" t="s">
        <v>206</v>
      </c>
      <c r="N1119">
        <v>55</v>
      </c>
      <c r="O1119" t="s">
        <v>57</v>
      </c>
      <c r="S1119" t="s">
        <v>58</v>
      </c>
    </row>
    <row r="1120" spans="1:19" x14ac:dyDescent="0.25">
      <c r="A1120">
        <v>112637</v>
      </c>
      <c r="B1120">
        <v>2023</v>
      </c>
      <c r="C1120" t="s">
        <v>377</v>
      </c>
      <c r="D1120" t="s">
        <v>26</v>
      </c>
      <c r="E1120" t="s">
        <v>279</v>
      </c>
      <c r="F1120" t="s">
        <v>459</v>
      </c>
      <c r="G1120" s="1" t="s">
        <v>452</v>
      </c>
      <c r="H1120" s="1" t="s">
        <v>453</v>
      </c>
      <c r="I1120" t="s">
        <v>31</v>
      </c>
      <c r="J1120" t="s">
        <v>32</v>
      </c>
      <c r="K1120" t="s">
        <v>203</v>
      </c>
      <c r="L1120" t="s">
        <v>34</v>
      </c>
      <c r="M1120" t="s">
        <v>206</v>
      </c>
      <c r="N1120">
        <v>56</v>
      </c>
      <c r="O1120" t="s">
        <v>68</v>
      </c>
      <c r="S1120" t="s">
        <v>69</v>
      </c>
    </row>
    <row r="1121" spans="1:19" x14ac:dyDescent="0.25">
      <c r="A1121">
        <v>112637</v>
      </c>
      <c r="B1121">
        <v>2023</v>
      </c>
      <c r="C1121" t="s">
        <v>377</v>
      </c>
      <c r="D1121" t="s">
        <v>26</v>
      </c>
      <c r="E1121" t="s">
        <v>279</v>
      </c>
      <c r="F1121" t="s">
        <v>459</v>
      </c>
      <c r="G1121" s="1" t="s">
        <v>452</v>
      </c>
      <c r="H1121" s="1" t="s">
        <v>453</v>
      </c>
      <c r="I1121" t="s">
        <v>31</v>
      </c>
      <c r="J1121" t="s">
        <v>32</v>
      </c>
      <c r="K1121" t="s">
        <v>203</v>
      </c>
      <c r="L1121" t="s">
        <v>34</v>
      </c>
      <c r="M1121" t="s">
        <v>206</v>
      </c>
      <c r="N1121">
        <v>57</v>
      </c>
      <c r="O1121" t="s">
        <v>197</v>
      </c>
      <c r="R1121" t="s">
        <v>190</v>
      </c>
      <c r="S1121" t="s">
        <v>198</v>
      </c>
    </row>
    <row r="1122" spans="1:19" x14ac:dyDescent="0.25">
      <c r="A1122">
        <v>112637</v>
      </c>
      <c r="B1122">
        <v>2023</v>
      </c>
      <c r="C1122" t="s">
        <v>377</v>
      </c>
      <c r="D1122" t="s">
        <v>26</v>
      </c>
      <c r="E1122" t="s">
        <v>279</v>
      </c>
      <c r="F1122" t="s">
        <v>459</v>
      </c>
      <c r="G1122" s="1" t="s">
        <v>452</v>
      </c>
      <c r="H1122" s="1" t="s">
        <v>453</v>
      </c>
      <c r="I1122" t="s">
        <v>31</v>
      </c>
      <c r="J1122" t="s">
        <v>32</v>
      </c>
      <c r="K1122" t="s">
        <v>203</v>
      </c>
      <c r="L1122" t="s">
        <v>34</v>
      </c>
      <c r="M1122" t="s">
        <v>206</v>
      </c>
      <c r="N1122">
        <v>58</v>
      </c>
      <c r="O1122" t="s">
        <v>68</v>
      </c>
      <c r="S1122" t="s">
        <v>69</v>
      </c>
    </row>
    <row r="1123" spans="1:19" x14ac:dyDescent="0.25">
      <c r="A1123">
        <v>112637</v>
      </c>
      <c r="B1123">
        <v>2023</v>
      </c>
      <c r="C1123" t="s">
        <v>377</v>
      </c>
      <c r="D1123" t="s">
        <v>26</v>
      </c>
      <c r="E1123" t="s">
        <v>279</v>
      </c>
      <c r="F1123" t="s">
        <v>459</v>
      </c>
      <c r="G1123" s="1" t="s">
        <v>452</v>
      </c>
      <c r="H1123" s="1" t="s">
        <v>453</v>
      </c>
      <c r="I1123" t="s">
        <v>31</v>
      </c>
      <c r="J1123" t="s">
        <v>32</v>
      </c>
      <c r="K1123" t="s">
        <v>203</v>
      </c>
      <c r="L1123" t="s">
        <v>34</v>
      </c>
      <c r="M1123" t="s">
        <v>206</v>
      </c>
      <c r="N1123">
        <v>59</v>
      </c>
      <c r="O1123" t="s">
        <v>57</v>
      </c>
      <c r="S1123" t="s">
        <v>58</v>
      </c>
    </row>
    <row r="1124" spans="1:19" x14ac:dyDescent="0.25">
      <c r="A1124">
        <v>112637</v>
      </c>
      <c r="B1124">
        <v>2023</v>
      </c>
      <c r="C1124" t="s">
        <v>377</v>
      </c>
      <c r="D1124" t="s">
        <v>26</v>
      </c>
      <c r="E1124" t="s">
        <v>279</v>
      </c>
      <c r="F1124" t="s">
        <v>459</v>
      </c>
      <c r="G1124" s="1" t="s">
        <v>452</v>
      </c>
      <c r="H1124" s="1" t="s">
        <v>453</v>
      </c>
      <c r="I1124" t="s">
        <v>31</v>
      </c>
      <c r="J1124" t="s">
        <v>32</v>
      </c>
      <c r="K1124" t="s">
        <v>203</v>
      </c>
      <c r="L1124" t="s">
        <v>34</v>
      </c>
      <c r="M1124" t="s">
        <v>206</v>
      </c>
      <c r="N1124">
        <v>60</v>
      </c>
      <c r="O1124" t="s">
        <v>57</v>
      </c>
      <c r="S1124" t="s">
        <v>58</v>
      </c>
    </row>
    <row r="1125" spans="1:19" x14ac:dyDescent="0.25">
      <c r="A1125">
        <v>112637</v>
      </c>
      <c r="B1125">
        <v>2023</v>
      </c>
      <c r="C1125" t="s">
        <v>377</v>
      </c>
      <c r="D1125" t="s">
        <v>26</v>
      </c>
      <c r="E1125" t="s">
        <v>279</v>
      </c>
      <c r="F1125" t="s">
        <v>459</v>
      </c>
      <c r="G1125" s="1" t="s">
        <v>452</v>
      </c>
      <c r="H1125" s="1" t="s">
        <v>453</v>
      </c>
      <c r="I1125" t="s">
        <v>31</v>
      </c>
      <c r="J1125" t="s">
        <v>32</v>
      </c>
      <c r="K1125" t="s">
        <v>203</v>
      </c>
      <c r="L1125" t="s">
        <v>34</v>
      </c>
      <c r="M1125" t="s">
        <v>206</v>
      </c>
      <c r="N1125">
        <v>61</v>
      </c>
      <c r="O1125" t="s">
        <v>68</v>
      </c>
      <c r="S1125" t="s">
        <v>69</v>
      </c>
    </row>
    <row r="1126" spans="1:19" x14ac:dyDescent="0.25">
      <c r="A1126">
        <v>112637</v>
      </c>
      <c r="B1126">
        <v>2023</v>
      </c>
      <c r="C1126" t="s">
        <v>377</v>
      </c>
      <c r="D1126" t="s">
        <v>26</v>
      </c>
      <c r="E1126" t="s">
        <v>279</v>
      </c>
      <c r="F1126" t="s">
        <v>459</v>
      </c>
      <c r="G1126" s="1" t="s">
        <v>452</v>
      </c>
      <c r="H1126" s="1" t="s">
        <v>453</v>
      </c>
      <c r="I1126" t="s">
        <v>31</v>
      </c>
      <c r="J1126" t="s">
        <v>32</v>
      </c>
      <c r="K1126" t="s">
        <v>203</v>
      </c>
      <c r="L1126" t="s">
        <v>34</v>
      </c>
      <c r="M1126" t="s">
        <v>206</v>
      </c>
      <c r="N1126">
        <v>62</v>
      </c>
      <c r="O1126" t="s">
        <v>57</v>
      </c>
      <c r="S1126" t="s">
        <v>58</v>
      </c>
    </row>
    <row r="1127" spans="1:19" x14ac:dyDescent="0.25">
      <c r="A1127">
        <v>112637</v>
      </c>
      <c r="B1127">
        <v>2023</v>
      </c>
      <c r="C1127" t="s">
        <v>377</v>
      </c>
      <c r="D1127" t="s">
        <v>26</v>
      </c>
      <c r="E1127" t="s">
        <v>279</v>
      </c>
      <c r="F1127" t="s">
        <v>459</v>
      </c>
      <c r="G1127" s="1" t="s">
        <v>452</v>
      </c>
      <c r="H1127" s="1" t="s">
        <v>453</v>
      </c>
      <c r="I1127" t="s">
        <v>31</v>
      </c>
      <c r="J1127" t="s">
        <v>32</v>
      </c>
      <c r="K1127" t="s">
        <v>203</v>
      </c>
      <c r="L1127" t="s">
        <v>34</v>
      </c>
      <c r="M1127" t="s">
        <v>206</v>
      </c>
      <c r="N1127">
        <v>63</v>
      </c>
      <c r="O1127" t="s">
        <v>57</v>
      </c>
      <c r="S1127" t="s">
        <v>58</v>
      </c>
    </row>
    <row r="1128" spans="1:19" x14ac:dyDescent="0.25">
      <c r="A1128">
        <v>112637</v>
      </c>
      <c r="B1128">
        <v>2023</v>
      </c>
      <c r="C1128" t="s">
        <v>377</v>
      </c>
      <c r="D1128" t="s">
        <v>26</v>
      </c>
      <c r="E1128" t="s">
        <v>279</v>
      </c>
      <c r="F1128" t="s">
        <v>459</v>
      </c>
      <c r="G1128" s="1" t="s">
        <v>452</v>
      </c>
      <c r="H1128" s="1" t="s">
        <v>453</v>
      </c>
      <c r="I1128" t="s">
        <v>31</v>
      </c>
      <c r="J1128" t="s">
        <v>32</v>
      </c>
      <c r="K1128" t="s">
        <v>203</v>
      </c>
      <c r="L1128" t="s">
        <v>34</v>
      </c>
      <c r="M1128" t="s">
        <v>206</v>
      </c>
      <c r="N1128">
        <v>64</v>
      </c>
      <c r="O1128" t="s">
        <v>57</v>
      </c>
      <c r="S1128" t="s">
        <v>58</v>
      </c>
    </row>
    <row r="1129" spans="1:19" x14ac:dyDescent="0.25">
      <c r="A1129">
        <v>112637</v>
      </c>
      <c r="B1129">
        <v>2023</v>
      </c>
      <c r="C1129" t="s">
        <v>377</v>
      </c>
      <c r="D1129" t="s">
        <v>26</v>
      </c>
      <c r="E1129" t="s">
        <v>279</v>
      </c>
      <c r="F1129" t="s">
        <v>459</v>
      </c>
      <c r="G1129" s="1" t="s">
        <v>452</v>
      </c>
      <c r="H1129" s="1" t="s">
        <v>453</v>
      </c>
      <c r="I1129" t="s">
        <v>31</v>
      </c>
      <c r="J1129" t="s">
        <v>32</v>
      </c>
      <c r="K1129" t="s">
        <v>203</v>
      </c>
      <c r="L1129" t="s">
        <v>34</v>
      </c>
      <c r="M1129" t="s">
        <v>206</v>
      </c>
      <c r="N1129">
        <v>65</v>
      </c>
      <c r="O1129" t="s">
        <v>57</v>
      </c>
      <c r="S1129" t="s">
        <v>58</v>
      </c>
    </row>
    <row r="1130" spans="1:19" x14ac:dyDescent="0.25">
      <c r="A1130">
        <v>112637</v>
      </c>
      <c r="B1130">
        <v>2023</v>
      </c>
      <c r="C1130" t="s">
        <v>377</v>
      </c>
      <c r="D1130" t="s">
        <v>26</v>
      </c>
      <c r="E1130" t="s">
        <v>279</v>
      </c>
      <c r="F1130" t="s">
        <v>459</v>
      </c>
      <c r="G1130" s="1" t="s">
        <v>452</v>
      </c>
      <c r="H1130" s="1" t="s">
        <v>453</v>
      </c>
      <c r="I1130" t="s">
        <v>31</v>
      </c>
      <c r="J1130" t="s">
        <v>32</v>
      </c>
      <c r="K1130" t="s">
        <v>203</v>
      </c>
      <c r="L1130" t="s">
        <v>34</v>
      </c>
      <c r="M1130" t="s">
        <v>206</v>
      </c>
      <c r="N1130">
        <v>66</v>
      </c>
      <c r="O1130" t="s">
        <v>68</v>
      </c>
      <c r="S1130" t="s">
        <v>69</v>
      </c>
    </row>
    <row r="1131" spans="1:19" x14ac:dyDescent="0.25">
      <c r="A1131">
        <v>112637</v>
      </c>
      <c r="B1131">
        <v>2023</v>
      </c>
      <c r="C1131" t="s">
        <v>377</v>
      </c>
      <c r="D1131" t="s">
        <v>26</v>
      </c>
      <c r="E1131" t="s">
        <v>279</v>
      </c>
      <c r="F1131" t="s">
        <v>459</v>
      </c>
      <c r="G1131" s="1" t="s">
        <v>452</v>
      </c>
      <c r="H1131" s="1" t="s">
        <v>453</v>
      </c>
      <c r="I1131" t="s">
        <v>31</v>
      </c>
      <c r="J1131" t="s">
        <v>32</v>
      </c>
      <c r="K1131" t="s">
        <v>203</v>
      </c>
      <c r="L1131" t="s">
        <v>34</v>
      </c>
      <c r="M1131" t="s">
        <v>206</v>
      </c>
      <c r="N1131">
        <v>67</v>
      </c>
      <c r="O1131" t="s">
        <v>68</v>
      </c>
      <c r="S1131" t="s">
        <v>69</v>
      </c>
    </row>
    <row r="1132" spans="1:19" x14ac:dyDescent="0.25">
      <c r="A1132">
        <v>112637</v>
      </c>
      <c r="B1132">
        <v>2023</v>
      </c>
      <c r="C1132" t="s">
        <v>377</v>
      </c>
      <c r="D1132" t="s">
        <v>26</v>
      </c>
      <c r="E1132" t="s">
        <v>279</v>
      </c>
      <c r="F1132" t="s">
        <v>459</v>
      </c>
      <c r="G1132" s="1" t="s">
        <v>452</v>
      </c>
      <c r="H1132" s="1" t="s">
        <v>453</v>
      </c>
      <c r="I1132" t="s">
        <v>31</v>
      </c>
      <c r="J1132" t="s">
        <v>32</v>
      </c>
      <c r="K1132" t="s">
        <v>203</v>
      </c>
      <c r="L1132" t="s">
        <v>34</v>
      </c>
      <c r="M1132" t="s">
        <v>206</v>
      </c>
      <c r="N1132">
        <v>68</v>
      </c>
      <c r="O1132" t="s">
        <v>68</v>
      </c>
      <c r="S1132" t="s">
        <v>69</v>
      </c>
    </row>
    <row r="1133" spans="1:19" x14ac:dyDescent="0.25">
      <c r="A1133">
        <v>112637</v>
      </c>
      <c r="B1133">
        <v>2023</v>
      </c>
      <c r="C1133" t="s">
        <v>377</v>
      </c>
      <c r="D1133" t="s">
        <v>26</v>
      </c>
      <c r="E1133" t="s">
        <v>279</v>
      </c>
      <c r="F1133" t="s">
        <v>459</v>
      </c>
      <c r="G1133" s="1" t="s">
        <v>452</v>
      </c>
      <c r="H1133" s="1" t="s">
        <v>453</v>
      </c>
      <c r="I1133" t="s">
        <v>31</v>
      </c>
      <c r="J1133" t="s">
        <v>32</v>
      </c>
      <c r="K1133" t="s">
        <v>203</v>
      </c>
      <c r="L1133" t="s">
        <v>34</v>
      </c>
      <c r="M1133" t="s">
        <v>206</v>
      </c>
      <c r="N1133">
        <v>69</v>
      </c>
      <c r="O1133" t="s">
        <v>68</v>
      </c>
      <c r="S1133" t="s">
        <v>69</v>
      </c>
    </row>
    <row r="1134" spans="1:19" x14ac:dyDescent="0.25">
      <c r="A1134">
        <v>112637</v>
      </c>
      <c r="B1134">
        <v>2023</v>
      </c>
      <c r="C1134" t="s">
        <v>377</v>
      </c>
      <c r="D1134" t="s">
        <v>26</v>
      </c>
      <c r="E1134" t="s">
        <v>279</v>
      </c>
      <c r="F1134" t="s">
        <v>459</v>
      </c>
      <c r="G1134" s="1" t="s">
        <v>452</v>
      </c>
      <c r="H1134" s="1" t="s">
        <v>453</v>
      </c>
      <c r="I1134" t="s">
        <v>31</v>
      </c>
      <c r="J1134" t="s">
        <v>32</v>
      </c>
      <c r="K1134" t="s">
        <v>203</v>
      </c>
      <c r="L1134" t="s">
        <v>34</v>
      </c>
      <c r="M1134" t="s">
        <v>206</v>
      </c>
      <c r="N1134">
        <v>70</v>
      </c>
      <c r="O1134" t="s">
        <v>68</v>
      </c>
      <c r="S1134" t="s">
        <v>69</v>
      </c>
    </row>
    <row r="1135" spans="1:19" x14ac:dyDescent="0.25">
      <c r="A1135">
        <v>112637</v>
      </c>
      <c r="B1135">
        <v>2023</v>
      </c>
      <c r="C1135" t="s">
        <v>377</v>
      </c>
      <c r="D1135" t="s">
        <v>26</v>
      </c>
      <c r="E1135" t="s">
        <v>279</v>
      </c>
      <c r="F1135" t="s">
        <v>459</v>
      </c>
      <c r="G1135" s="1" t="s">
        <v>452</v>
      </c>
      <c r="H1135" s="1" t="s">
        <v>453</v>
      </c>
      <c r="I1135" t="s">
        <v>31</v>
      </c>
      <c r="J1135" t="s">
        <v>32</v>
      </c>
      <c r="K1135" t="s">
        <v>203</v>
      </c>
      <c r="L1135" t="s">
        <v>34</v>
      </c>
      <c r="M1135" t="s">
        <v>206</v>
      </c>
      <c r="N1135">
        <v>71</v>
      </c>
      <c r="O1135" t="s">
        <v>57</v>
      </c>
      <c r="S1135" t="s">
        <v>58</v>
      </c>
    </row>
    <row r="1136" spans="1:19" x14ac:dyDescent="0.25">
      <c r="A1136">
        <v>112637</v>
      </c>
      <c r="B1136">
        <v>2023</v>
      </c>
      <c r="C1136" t="s">
        <v>377</v>
      </c>
      <c r="D1136" t="s">
        <v>26</v>
      </c>
      <c r="E1136" t="s">
        <v>279</v>
      </c>
      <c r="F1136" t="s">
        <v>459</v>
      </c>
      <c r="G1136" s="1" t="s">
        <v>452</v>
      </c>
      <c r="H1136" s="1" t="s">
        <v>453</v>
      </c>
      <c r="I1136" t="s">
        <v>31</v>
      </c>
      <c r="J1136" t="s">
        <v>32</v>
      </c>
      <c r="K1136" t="s">
        <v>203</v>
      </c>
      <c r="L1136" t="s">
        <v>34</v>
      </c>
      <c r="M1136" t="s">
        <v>206</v>
      </c>
      <c r="N1136">
        <v>72</v>
      </c>
      <c r="O1136" t="s">
        <v>57</v>
      </c>
      <c r="S1136" t="s">
        <v>58</v>
      </c>
    </row>
    <row r="1137" spans="1:19" x14ac:dyDescent="0.25">
      <c r="A1137">
        <v>112637</v>
      </c>
      <c r="B1137">
        <v>2023</v>
      </c>
      <c r="C1137" t="s">
        <v>377</v>
      </c>
      <c r="D1137" t="s">
        <v>26</v>
      </c>
      <c r="E1137" t="s">
        <v>279</v>
      </c>
      <c r="F1137" t="s">
        <v>459</v>
      </c>
      <c r="G1137" s="1" t="s">
        <v>452</v>
      </c>
      <c r="H1137" s="1" t="s">
        <v>453</v>
      </c>
      <c r="I1137" t="s">
        <v>31</v>
      </c>
      <c r="J1137" t="s">
        <v>32</v>
      </c>
      <c r="K1137" t="s">
        <v>203</v>
      </c>
      <c r="L1137" t="s">
        <v>34</v>
      </c>
      <c r="M1137" t="s">
        <v>206</v>
      </c>
      <c r="N1137">
        <v>73</v>
      </c>
      <c r="O1137" t="s">
        <v>57</v>
      </c>
      <c r="S1137" t="s">
        <v>58</v>
      </c>
    </row>
    <row r="1138" spans="1:19" x14ac:dyDescent="0.25">
      <c r="A1138">
        <v>112637</v>
      </c>
      <c r="B1138">
        <v>2023</v>
      </c>
      <c r="C1138" t="s">
        <v>377</v>
      </c>
      <c r="D1138" t="s">
        <v>26</v>
      </c>
      <c r="E1138" t="s">
        <v>279</v>
      </c>
      <c r="F1138" t="s">
        <v>459</v>
      </c>
      <c r="G1138" s="1" t="s">
        <v>452</v>
      </c>
      <c r="H1138" s="1" t="s">
        <v>453</v>
      </c>
      <c r="I1138" t="s">
        <v>31</v>
      </c>
      <c r="J1138" t="s">
        <v>32</v>
      </c>
      <c r="K1138" t="s">
        <v>203</v>
      </c>
      <c r="L1138" t="s">
        <v>34</v>
      </c>
      <c r="M1138" t="s">
        <v>206</v>
      </c>
      <c r="N1138">
        <v>74</v>
      </c>
      <c r="O1138" t="s">
        <v>57</v>
      </c>
      <c r="S1138" t="s">
        <v>58</v>
      </c>
    </row>
    <row r="1139" spans="1:19" x14ac:dyDescent="0.25">
      <c r="A1139">
        <v>112637</v>
      </c>
      <c r="B1139">
        <v>2023</v>
      </c>
      <c r="C1139" t="s">
        <v>377</v>
      </c>
      <c r="D1139" t="s">
        <v>26</v>
      </c>
      <c r="E1139" t="s">
        <v>279</v>
      </c>
      <c r="F1139" t="s">
        <v>459</v>
      </c>
      <c r="G1139" s="1" t="s">
        <v>452</v>
      </c>
      <c r="H1139" s="1" t="s">
        <v>453</v>
      </c>
      <c r="I1139" t="s">
        <v>31</v>
      </c>
      <c r="J1139" t="s">
        <v>32</v>
      </c>
      <c r="K1139" t="s">
        <v>203</v>
      </c>
      <c r="L1139" t="s">
        <v>34</v>
      </c>
      <c r="M1139" t="s">
        <v>206</v>
      </c>
      <c r="N1139">
        <v>75</v>
      </c>
      <c r="O1139" t="s">
        <v>63</v>
      </c>
      <c r="S1139" t="s">
        <v>64</v>
      </c>
    </row>
    <row r="1140" spans="1:19" x14ac:dyDescent="0.25">
      <c r="A1140">
        <v>112637</v>
      </c>
      <c r="B1140">
        <v>2023</v>
      </c>
      <c r="C1140" t="s">
        <v>377</v>
      </c>
      <c r="D1140" t="s">
        <v>26</v>
      </c>
      <c r="E1140" t="s">
        <v>279</v>
      </c>
      <c r="F1140" t="s">
        <v>459</v>
      </c>
      <c r="G1140" s="1" t="s">
        <v>452</v>
      </c>
      <c r="H1140" s="1" t="s">
        <v>453</v>
      </c>
      <c r="I1140" t="s">
        <v>31</v>
      </c>
      <c r="J1140" t="s">
        <v>32</v>
      </c>
      <c r="K1140" t="s">
        <v>203</v>
      </c>
      <c r="L1140" t="s">
        <v>34</v>
      </c>
      <c r="M1140" t="s">
        <v>206</v>
      </c>
      <c r="N1140">
        <v>76</v>
      </c>
      <c r="O1140" t="s">
        <v>57</v>
      </c>
      <c r="S1140" t="s">
        <v>58</v>
      </c>
    </row>
    <row r="1141" spans="1:19" x14ac:dyDescent="0.25">
      <c r="A1141">
        <v>112637</v>
      </c>
      <c r="B1141">
        <v>2023</v>
      </c>
      <c r="C1141" t="s">
        <v>377</v>
      </c>
      <c r="D1141" t="s">
        <v>26</v>
      </c>
      <c r="E1141" t="s">
        <v>279</v>
      </c>
      <c r="F1141" t="s">
        <v>459</v>
      </c>
      <c r="G1141" s="1" t="s">
        <v>452</v>
      </c>
      <c r="H1141" s="1" t="s">
        <v>453</v>
      </c>
      <c r="I1141" t="s">
        <v>31</v>
      </c>
      <c r="J1141" t="s">
        <v>32</v>
      </c>
      <c r="K1141" t="s">
        <v>203</v>
      </c>
      <c r="L1141" t="s">
        <v>34</v>
      </c>
      <c r="M1141" t="s">
        <v>206</v>
      </c>
      <c r="N1141">
        <v>77</v>
      </c>
      <c r="O1141" t="s">
        <v>57</v>
      </c>
      <c r="S1141" t="s">
        <v>58</v>
      </c>
    </row>
    <row r="1142" spans="1:19" x14ac:dyDescent="0.25">
      <c r="A1142">
        <v>112637</v>
      </c>
      <c r="B1142">
        <v>2023</v>
      </c>
      <c r="C1142" t="s">
        <v>377</v>
      </c>
      <c r="D1142" t="s">
        <v>26</v>
      </c>
      <c r="E1142" t="s">
        <v>279</v>
      </c>
      <c r="F1142" t="s">
        <v>459</v>
      </c>
      <c r="G1142" s="1" t="s">
        <v>452</v>
      </c>
      <c r="H1142" s="1" t="s">
        <v>453</v>
      </c>
      <c r="I1142" t="s">
        <v>31</v>
      </c>
      <c r="J1142" t="s">
        <v>32</v>
      </c>
      <c r="K1142" t="s">
        <v>203</v>
      </c>
      <c r="L1142" t="s">
        <v>34</v>
      </c>
      <c r="M1142" t="s">
        <v>206</v>
      </c>
      <c r="N1142">
        <v>78</v>
      </c>
      <c r="O1142" t="s">
        <v>197</v>
      </c>
      <c r="S1142" t="s">
        <v>198</v>
      </c>
    </row>
    <row r="1143" spans="1:19" x14ac:dyDescent="0.25">
      <c r="A1143">
        <v>112637</v>
      </c>
      <c r="B1143">
        <v>2023</v>
      </c>
      <c r="C1143" t="s">
        <v>377</v>
      </c>
      <c r="D1143" t="s">
        <v>26</v>
      </c>
      <c r="E1143" t="s">
        <v>279</v>
      </c>
      <c r="F1143" t="s">
        <v>459</v>
      </c>
      <c r="G1143" s="1" t="s">
        <v>452</v>
      </c>
      <c r="H1143" s="1" t="s">
        <v>453</v>
      </c>
      <c r="I1143" t="s">
        <v>31</v>
      </c>
      <c r="J1143" t="s">
        <v>32</v>
      </c>
      <c r="K1143" t="s">
        <v>203</v>
      </c>
      <c r="L1143" t="s">
        <v>34</v>
      </c>
      <c r="M1143" t="s">
        <v>206</v>
      </c>
      <c r="N1143">
        <v>79</v>
      </c>
      <c r="O1143" t="s">
        <v>68</v>
      </c>
      <c r="S1143" t="s">
        <v>69</v>
      </c>
    </row>
    <row r="1144" spans="1:19" x14ac:dyDescent="0.25">
      <c r="A1144">
        <v>112637</v>
      </c>
      <c r="B1144">
        <v>2023</v>
      </c>
      <c r="C1144" t="s">
        <v>377</v>
      </c>
      <c r="D1144" t="s">
        <v>26</v>
      </c>
      <c r="E1144" t="s">
        <v>279</v>
      </c>
      <c r="F1144" t="s">
        <v>459</v>
      </c>
      <c r="G1144" s="1" t="s">
        <v>452</v>
      </c>
      <c r="H1144" s="1" t="s">
        <v>453</v>
      </c>
      <c r="I1144" t="s">
        <v>31</v>
      </c>
      <c r="J1144" t="s">
        <v>32</v>
      </c>
      <c r="K1144" t="s">
        <v>203</v>
      </c>
      <c r="L1144" t="s">
        <v>34</v>
      </c>
      <c r="M1144" t="s">
        <v>206</v>
      </c>
      <c r="N1144">
        <v>80</v>
      </c>
      <c r="O1144" t="s">
        <v>57</v>
      </c>
      <c r="S1144" t="s">
        <v>58</v>
      </c>
    </row>
    <row r="1145" spans="1:19" x14ac:dyDescent="0.25">
      <c r="A1145">
        <v>112637</v>
      </c>
      <c r="B1145">
        <v>2023</v>
      </c>
      <c r="C1145" t="s">
        <v>377</v>
      </c>
      <c r="D1145" t="s">
        <v>26</v>
      </c>
      <c r="E1145" t="s">
        <v>279</v>
      </c>
      <c r="F1145" t="s">
        <v>459</v>
      </c>
      <c r="G1145" s="1" t="s">
        <v>452</v>
      </c>
      <c r="H1145" s="1" t="s">
        <v>453</v>
      </c>
      <c r="I1145" t="s">
        <v>31</v>
      </c>
      <c r="J1145" t="s">
        <v>32</v>
      </c>
      <c r="K1145" t="s">
        <v>203</v>
      </c>
      <c r="L1145" t="s">
        <v>34</v>
      </c>
      <c r="M1145" t="s">
        <v>206</v>
      </c>
      <c r="N1145">
        <v>81</v>
      </c>
      <c r="O1145" t="s">
        <v>57</v>
      </c>
      <c r="S1145" t="s">
        <v>58</v>
      </c>
    </row>
    <row r="1146" spans="1:19" x14ac:dyDescent="0.25">
      <c r="A1146">
        <v>112637</v>
      </c>
      <c r="B1146">
        <v>2023</v>
      </c>
      <c r="C1146" t="s">
        <v>377</v>
      </c>
      <c r="D1146" t="s">
        <v>26</v>
      </c>
      <c r="E1146" t="s">
        <v>279</v>
      </c>
      <c r="F1146" t="s">
        <v>459</v>
      </c>
      <c r="G1146" s="1" t="s">
        <v>452</v>
      </c>
      <c r="H1146" s="1" t="s">
        <v>453</v>
      </c>
      <c r="I1146" t="s">
        <v>31</v>
      </c>
      <c r="J1146" t="s">
        <v>32</v>
      </c>
      <c r="K1146" t="s">
        <v>203</v>
      </c>
      <c r="L1146" t="s">
        <v>34</v>
      </c>
      <c r="M1146" t="s">
        <v>206</v>
      </c>
      <c r="N1146">
        <v>82</v>
      </c>
      <c r="O1146" t="s">
        <v>197</v>
      </c>
      <c r="R1146" t="s">
        <v>190</v>
      </c>
      <c r="S1146" t="s">
        <v>198</v>
      </c>
    </row>
    <row r="1147" spans="1:19" x14ac:dyDescent="0.25">
      <c r="A1147">
        <v>112637</v>
      </c>
      <c r="B1147">
        <v>2023</v>
      </c>
      <c r="C1147" t="s">
        <v>377</v>
      </c>
      <c r="D1147" t="s">
        <v>26</v>
      </c>
      <c r="E1147" t="s">
        <v>279</v>
      </c>
      <c r="F1147" t="s">
        <v>459</v>
      </c>
      <c r="G1147" s="1" t="s">
        <v>452</v>
      </c>
      <c r="H1147" s="1" t="s">
        <v>453</v>
      </c>
      <c r="I1147" t="s">
        <v>31</v>
      </c>
      <c r="J1147" t="s">
        <v>32</v>
      </c>
      <c r="K1147" t="s">
        <v>203</v>
      </c>
      <c r="L1147" t="s">
        <v>34</v>
      </c>
      <c r="M1147" t="s">
        <v>206</v>
      </c>
      <c r="N1147">
        <v>83</v>
      </c>
      <c r="O1147" t="s">
        <v>68</v>
      </c>
      <c r="S1147" t="s">
        <v>69</v>
      </c>
    </row>
    <row r="1148" spans="1:19" x14ac:dyDescent="0.25">
      <c r="A1148">
        <v>112637</v>
      </c>
      <c r="B1148">
        <v>2023</v>
      </c>
      <c r="C1148" t="s">
        <v>377</v>
      </c>
      <c r="D1148" t="s">
        <v>26</v>
      </c>
      <c r="E1148" t="s">
        <v>279</v>
      </c>
      <c r="F1148" t="s">
        <v>459</v>
      </c>
      <c r="G1148" s="1" t="s">
        <v>452</v>
      </c>
      <c r="H1148" s="1" t="s">
        <v>453</v>
      </c>
      <c r="I1148" t="s">
        <v>31</v>
      </c>
      <c r="J1148" t="s">
        <v>32</v>
      </c>
      <c r="K1148" t="s">
        <v>203</v>
      </c>
      <c r="L1148" t="s">
        <v>34</v>
      </c>
      <c r="M1148" t="s">
        <v>206</v>
      </c>
      <c r="N1148">
        <v>84</v>
      </c>
      <c r="O1148" t="s">
        <v>57</v>
      </c>
      <c r="S1148" t="s">
        <v>58</v>
      </c>
    </row>
  </sheetData>
  <autoFilter ref="A1:S1" xr:uid="{00000000-0001-0000-0200-000000000000}"/>
  <pageMargins left="0.7" right="0.7" top="0.75" bottom="0.75" header="0.3" footer="0.3"/>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3"/>
  <sheetViews>
    <sheetView topLeftCell="A112" workbookViewId="0">
      <selection activeCell="O133" sqref="O133"/>
    </sheetView>
  </sheetViews>
  <sheetFormatPr defaultRowHeight="15" x14ac:dyDescent="0.25"/>
  <sheetData>
    <row r="1" spans="1:6" x14ac:dyDescent="0.25">
      <c r="A1" s="2" t="s">
        <v>0</v>
      </c>
      <c r="B1" s="2" t="s">
        <v>73</v>
      </c>
      <c r="C1" s="2" t="s">
        <v>74</v>
      </c>
      <c r="D1" s="2" t="s">
        <v>75</v>
      </c>
      <c r="E1" s="2" t="s">
        <v>76</v>
      </c>
      <c r="F1" s="2" t="s">
        <v>43</v>
      </c>
    </row>
    <row r="2" spans="1:6" x14ac:dyDescent="0.25">
      <c r="A2">
        <v>102061</v>
      </c>
      <c r="B2" t="s">
        <v>77</v>
      </c>
      <c r="C2" t="s">
        <v>78</v>
      </c>
      <c r="D2" t="s">
        <v>79</v>
      </c>
      <c r="E2" t="s">
        <v>80</v>
      </c>
      <c r="F2" t="s">
        <v>81</v>
      </c>
    </row>
    <row r="3" spans="1:6" x14ac:dyDescent="0.25">
      <c r="A3">
        <v>102061</v>
      </c>
      <c r="B3" t="s">
        <v>77</v>
      </c>
      <c r="C3" t="s">
        <v>78</v>
      </c>
      <c r="D3" t="s">
        <v>79</v>
      </c>
      <c r="E3" t="s">
        <v>80</v>
      </c>
      <c r="F3" t="s">
        <v>81</v>
      </c>
    </row>
    <row r="4" spans="1:6" x14ac:dyDescent="0.25">
      <c r="A4">
        <v>114303</v>
      </c>
      <c r="B4" t="s">
        <v>191</v>
      </c>
      <c r="C4" t="s">
        <v>78</v>
      </c>
      <c r="D4" t="s">
        <v>79</v>
      </c>
      <c r="E4" t="s">
        <v>63</v>
      </c>
      <c r="F4" t="s">
        <v>81</v>
      </c>
    </row>
    <row r="5" spans="1:6" x14ac:dyDescent="0.25">
      <c r="A5">
        <v>114303</v>
      </c>
      <c r="B5" t="s">
        <v>191</v>
      </c>
      <c r="C5" t="s">
        <v>78</v>
      </c>
      <c r="D5" t="s">
        <v>79</v>
      </c>
      <c r="E5" t="s">
        <v>63</v>
      </c>
      <c r="F5" t="s">
        <v>81</v>
      </c>
    </row>
    <row r="6" spans="1:6" x14ac:dyDescent="0.25">
      <c r="A6">
        <v>114303</v>
      </c>
      <c r="B6" t="s">
        <v>191</v>
      </c>
      <c r="C6" t="s">
        <v>78</v>
      </c>
      <c r="D6" t="s">
        <v>79</v>
      </c>
      <c r="E6" t="s">
        <v>63</v>
      </c>
      <c r="F6" t="s">
        <v>81</v>
      </c>
    </row>
    <row r="7" spans="1:6" x14ac:dyDescent="0.25">
      <c r="A7">
        <v>128623</v>
      </c>
      <c r="B7" t="s">
        <v>199</v>
      </c>
      <c r="C7" t="s">
        <v>78</v>
      </c>
      <c r="D7" t="s">
        <v>79</v>
      </c>
      <c r="E7" t="s">
        <v>57</v>
      </c>
      <c r="F7" t="s">
        <v>81</v>
      </c>
    </row>
    <row r="8" spans="1:6" x14ac:dyDescent="0.25">
      <c r="A8">
        <v>101623</v>
      </c>
      <c r="B8" t="s">
        <v>215</v>
      </c>
      <c r="C8" t="s">
        <v>216</v>
      </c>
      <c r="D8" t="s">
        <v>217</v>
      </c>
      <c r="E8" t="s">
        <v>101</v>
      </c>
      <c r="F8" t="s">
        <v>81</v>
      </c>
    </row>
    <row r="9" spans="1:6" x14ac:dyDescent="0.25">
      <c r="A9">
        <v>101623</v>
      </c>
      <c r="B9" t="s">
        <v>218</v>
      </c>
      <c r="C9" t="s">
        <v>216</v>
      </c>
      <c r="D9" t="s">
        <v>217</v>
      </c>
      <c r="E9" t="s">
        <v>101</v>
      </c>
      <c r="F9" t="s">
        <v>81</v>
      </c>
    </row>
    <row r="10" spans="1:6" x14ac:dyDescent="0.25">
      <c r="A10">
        <v>101623</v>
      </c>
      <c r="B10" t="s">
        <v>215</v>
      </c>
      <c r="C10" t="s">
        <v>216</v>
      </c>
      <c r="D10" t="s">
        <v>217</v>
      </c>
      <c r="E10" t="s">
        <v>101</v>
      </c>
      <c r="F10" t="s">
        <v>81</v>
      </c>
    </row>
    <row r="11" spans="1:6" x14ac:dyDescent="0.25">
      <c r="A11">
        <v>101623</v>
      </c>
      <c r="B11" t="s">
        <v>218</v>
      </c>
      <c r="C11" t="s">
        <v>216</v>
      </c>
      <c r="D11" t="s">
        <v>217</v>
      </c>
      <c r="E11" t="s">
        <v>101</v>
      </c>
      <c r="F11" t="s">
        <v>81</v>
      </c>
    </row>
    <row r="12" spans="1:6" x14ac:dyDescent="0.25">
      <c r="A12">
        <v>101625</v>
      </c>
      <c r="B12" t="s">
        <v>215</v>
      </c>
      <c r="C12" t="s">
        <v>216</v>
      </c>
      <c r="D12" t="s">
        <v>217</v>
      </c>
      <c r="E12" t="s">
        <v>101</v>
      </c>
      <c r="F12" t="s">
        <v>81</v>
      </c>
    </row>
    <row r="13" spans="1:6" x14ac:dyDescent="0.25">
      <c r="A13">
        <v>101625</v>
      </c>
      <c r="B13" t="s">
        <v>218</v>
      </c>
      <c r="C13" t="s">
        <v>216</v>
      </c>
      <c r="D13" t="s">
        <v>217</v>
      </c>
      <c r="E13" t="s">
        <v>101</v>
      </c>
      <c r="F13" t="s">
        <v>81</v>
      </c>
    </row>
    <row r="14" spans="1:6" x14ac:dyDescent="0.25">
      <c r="A14">
        <v>101625</v>
      </c>
      <c r="B14" t="s">
        <v>215</v>
      </c>
      <c r="C14" t="s">
        <v>216</v>
      </c>
      <c r="D14" t="s">
        <v>217</v>
      </c>
      <c r="E14" t="s">
        <v>101</v>
      </c>
      <c r="F14" t="s">
        <v>81</v>
      </c>
    </row>
    <row r="15" spans="1:6" x14ac:dyDescent="0.25">
      <c r="A15">
        <v>101625</v>
      </c>
      <c r="B15" t="s">
        <v>218</v>
      </c>
      <c r="C15" t="s">
        <v>216</v>
      </c>
      <c r="D15" t="s">
        <v>217</v>
      </c>
      <c r="E15" t="s">
        <v>101</v>
      </c>
      <c r="F15" t="s">
        <v>81</v>
      </c>
    </row>
    <row r="16" spans="1:6" x14ac:dyDescent="0.25">
      <c r="A16">
        <v>101625</v>
      </c>
      <c r="B16" t="s">
        <v>215</v>
      </c>
      <c r="C16" t="s">
        <v>216</v>
      </c>
      <c r="D16" t="s">
        <v>217</v>
      </c>
      <c r="E16" t="s">
        <v>101</v>
      </c>
      <c r="F16" t="s">
        <v>81</v>
      </c>
    </row>
    <row r="17" spans="1:6" x14ac:dyDescent="0.25">
      <c r="A17">
        <v>101625</v>
      </c>
      <c r="B17" t="s">
        <v>218</v>
      </c>
      <c r="C17" t="s">
        <v>216</v>
      </c>
      <c r="D17" t="s">
        <v>217</v>
      </c>
      <c r="E17" t="s">
        <v>101</v>
      </c>
      <c r="F17" t="s">
        <v>81</v>
      </c>
    </row>
    <row r="18" spans="1:6" x14ac:dyDescent="0.25">
      <c r="A18">
        <v>101629</v>
      </c>
      <c r="B18" t="s">
        <v>77</v>
      </c>
      <c r="C18" t="s">
        <v>78</v>
      </c>
      <c r="D18" t="s">
        <v>79</v>
      </c>
      <c r="E18" t="s">
        <v>80</v>
      </c>
      <c r="F18" t="s">
        <v>81</v>
      </c>
    </row>
    <row r="19" spans="1:6" x14ac:dyDescent="0.25">
      <c r="A19">
        <v>101629</v>
      </c>
      <c r="B19" t="s">
        <v>77</v>
      </c>
      <c r="C19" t="s">
        <v>78</v>
      </c>
      <c r="D19" t="s">
        <v>79</v>
      </c>
      <c r="E19" t="s">
        <v>80</v>
      </c>
      <c r="F19" t="s">
        <v>81</v>
      </c>
    </row>
    <row r="20" spans="1:6" x14ac:dyDescent="0.25">
      <c r="A20">
        <v>101629</v>
      </c>
      <c r="B20" t="s">
        <v>77</v>
      </c>
      <c r="C20" t="s">
        <v>78</v>
      </c>
      <c r="D20" t="s">
        <v>79</v>
      </c>
      <c r="E20" t="s">
        <v>80</v>
      </c>
      <c r="F20" t="s">
        <v>81</v>
      </c>
    </row>
    <row r="21" spans="1:6" x14ac:dyDescent="0.25">
      <c r="A21">
        <v>101631</v>
      </c>
      <c r="B21" t="s">
        <v>215</v>
      </c>
      <c r="C21" t="s">
        <v>216</v>
      </c>
      <c r="D21" t="s">
        <v>217</v>
      </c>
      <c r="E21" t="s">
        <v>101</v>
      </c>
      <c r="F21" t="s">
        <v>81</v>
      </c>
    </row>
    <row r="22" spans="1:6" x14ac:dyDescent="0.25">
      <c r="A22">
        <v>101631</v>
      </c>
      <c r="B22" t="s">
        <v>218</v>
      </c>
      <c r="C22" t="s">
        <v>216</v>
      </c>
      <c r="D22" t="s">
        <v>217</v>
      </c>
      <c r="E22" t="s">
        <v>101</v>
      </c>
      <c r="F22" t="s">
        <v>81</v>
      </c>
    </row>
    <row r="23" spans="1:6" x14ac:dyDescent="0.25">
      <c r="A23">
        <v>101631</v>
      </c>
      <c r="B23" t="s">
        <v>215</v>
      </c>
      <c r="C23" t="s">
        <v>216</v>
      </c>
      <c r="D23" t="s">
        <v>217</v>
      </c>
      <c r="E23" t="s">
        <v>101</v>
      </c>
      <c r="F23" t="s">
        <v>81</v>
      </c>
    </row>
    <row r="24" spans="1:6" x14ac:dyDescent="0.25">
      <c r="A24">
        <v>101631</v>
      </c>
      <c r="B24" t="s">
        <v>218</v>
      </c>
      <c r="C24" t="s">
        <v>216</v>
      </c>
      <c r="D24" t="s">
        <v>217</v>
      </c>
      <c r="E24" t="s">
        <v>101</v>
      </c>
      <c r="F24" t="s">
        <v>81</v>
      </c>
    </row>
    <row r="25" spans="1:6" x14ac:dyDescent="0.25">
      <c r="A25">
        <v>101633</v>
      </c>
      <c r="B25" t="s">
        <v>77</v>
      </c>
      <c r="C25" t="s">
        <v>78</v>
      </c>
      <c r="D25" t="s">
        <v>79</v>
      </c>
      <c r="E25" t="s">
        <v>80</v>
      </c>
      <c r="F25" t="s">
        <v>81</v>
      </c>
    </row>
    <row r="26" spans="1:6" x14ac:dyDescent="0.25">
      <c r="A26">
        <v>101633</v>
      </c>
      <c r="B26" t="s">
        <v>77</v>
      </c>
      <c r="C26" t="s">
        <v>78</v>
      </c>
      <c r="D26" t="s">
        <v>79</v>
      </c>
      <c r="E26" t="s">
        <v>80</v>
      </c>
      <c r="F26" t="s">
        <v>81</v>
      </c>
    </row>
    <row r="27" spans="1:6" x14ac:dyDescent="0.25">
      <c r="A27">
        <v>101635</v>
      </c>
      <c r="B27" t="s">
        <v>215</v>
      </c>
      <c r="C27" t="s">
        <v>216</v>
      </c>
      <c r="D27" t="s">
        <v>217</v>
      </c>
      <c r="E27" t="s">
        <v>101</v>
      </c>
      <c r="F27" t="s">
        <v>81</v>
      </c>
    </row>
    <row r="28" spans="1:6" x14ac:dyDescent="0.25">
      <c r="A28">
        <v>101635</v>
      </c>
      <c r="B28" t="s">
        <v>218</v>
      </c>
      <c r="C28" t="s">
        <v>216</v>
      </c>
      <c r="D28" t="s">
        <v>217</v>
      </c>
      <c r="E28" t="s">
        <v>101</v>
      </c>
      <c r="F28" t="s">
        <v>81</v>
      </c>
    </row>
    <row r="29" spans="1:6" x14ac:dyDescent="0.25">
      <c r="A29">
        <v>101635</v>
      </c>
      <c r="B29" t="s">
        <v>215</v>
      </c>
      <c r="C29" t="s">
        <v>216</v>
      </c>
      <c r="D29" t="s">
        <v>217</v>
      </c>
      <c r="E29" t="s">
        <v>101</v>
      </c>
      <c r="F29" t="s">
        <v>81</v>
      </c>
    </row>
    <row r="30" spans="1:6" x14ac:dyDescent="0.25">
      <c r="A30">
        <v>101635</v>
      </c>
      <c r="B30" t="s">
        <v>218</v>
      </c>
      <c r="C30" t="s">
        <v>216</v>
      </c>
      <c r="D30" t="s">
        <v>217</v>
      </c>
      <c r="E30" t="s">
        <v>101</v>
      </c>
      <c r="F30" t="s">
        <v>81</v>
      </c>
    </row>
    <row r="31" spans="1:6" x14ac:dyDescent="0.25">
      <c r="A31">
        <v>102641</v>
      </c>
      <c r="B31" t="s">
        <v>77</v>
      </c>
      <c r="C31" t="s">
        <v>78</v>
      </c>
      <c r="D31" t="s">
        <v>79</v>
      </c>
      <c r="E31" t="s">
        <v>80</v>
      </c>
      <c r="F31" t="s">
        <v>81</v>
      </c>
    </row>
    <row r="32" spans="1:6" x14ac:dyDescent="0.25">
      <c r="A32">
        <v>102641</v>
      </c>
      <c r="B32" t="s">
        <v>215</v>
      </c>
      <c r="C32" t="s">
        <v>216</v>
      </c>
      <c r="D32" t="s">
        <v>217</v>
      </c>
      <c r="E32" t="s">
        <v>101</v>
      </c>
      <c r="F32" t="s">
        <v>81</v>
      </c>
    </row>
    <row r="33" spans="1:6" x14ac:dyDescent="0.25">
      <c r="A33">
        <v>102641</v>
      </c>
      <c r="B33" t="s">
        <v>77</v>
      </c>
      <c r="C33" t="s">
        <v>78</v>
      </c>
      <c r="D33" t="s">
        <v>79</v>
      </c>
      <c r="E33" t="s">
        <v>80</v>
      </c>
      <c r="F33" t="s">
        <v>81</v>
      </c>
    </row>
    <row r="34" spans="1:6" x14ac:dyDescent="0.25">
      <c r="A34">
        <v>102641</v>
      </c>
      <c r="B34" t="s">
        <v>215</v>
      </c>
      <c r="C34" t="s">
        <v>216</v>
      </c>
      <c r="D34" t="s">
        <v>217</v>
      </c>
      <c r="E34" t="s">
        <v>101</v>
      </c>
      <c r="F34" t="s">
        <v>81</v>
      </c>
    </row>
    <row r="35" spans="1:6" x14ac:dyDescent="0.25">
      <c r="A35">
        <v>102641</v>
      </c>
      <c r="B35" t="s">
        <v>77</v>
      </c>
      <c r="C35" t="s">
        <v>78</v>
      </c>
      <c r="D35" t="s">
        <v>79</v>
      </c>
      <c r="E35" t="s">
        <v>80</v>
      </c>
      <c r="F35" t="s">
        <v>81</v>
      </c>
    </row>
    <row r="36" spans="1:6" x14ac:dyDescent="0.25">
      <c r="A36">
        <v>102641</v>
      </c>
      <c r="B36" t="s">
        <v>215</v>
      </c>
      <c r="C36" t="s">
        <v>216</v>
      </c>
      <c r="D36" t="s">
        <v>217</v>
      </c>
      <c r="E36" t="s">
        <v>101</v>
      </c>
      <c r="F36" t="s">
        <v>81</v>
      </c>
    </row>
    <row r="37" spans="1:6" x14ac:dyDescent="0.25">
      <c r="A37">
        <v>102641</v>
      </c>
      <c r="B37" t="s">
        <v>77</v>
      </c>
      <c r="C37" t="s">
        <v>78</v>
      </c>
      <c r="D37" t="s">
        <v>79</v>
      </c>
      <c r="E37" t="s">
        <v>80</v>
      </c>
      <c r="F37" t="s">
        <v>81</v>
      </c>
    </row>
    <row r="38" spans="1:6" x14ac:dyDescent="0.25">
      <c r="A38">
        <v>102641</v>
      </c>
      <c r="B38" t="s">
        <v>215</v>
      </c>
      <c r="C38" t="s">
        <v>216</v>
      </c>
      <c r="D38" t="s">
        <v>217</v>
      </c>
      <c r="E38" t="s">
        <v>101</v>
      </c>
      <c r="F38" t="s">
        <v>81</v>
      </c>
    </row>
    <row r="39" spans="1:6" x14ac:dyDescent="0.25">
      <c r="A39">
        <v>102661</v>
      </c>
      <c r="B39" t="s">
        <v>77</v>
      </c>
      <c r="C39" t="s">
        <v>78</v>
      </c>
      <c r="D39" t="s">
        <v>79</v>
      </c>
      <c r="E39" t="s">
        <v>80</v>
      </c>
      <c r="F39" t="s">
        <v>81</v>
      </c>
    </row>
    <row r="40" spans="1:6" x14ac:dyDescent="0.25">
      <c r="A40">
        <v>102661</v>
      </c>
      <c r="B40" t="s">
        <v>215</v>
      </c>
      <c r="C40" t="s">
        <v>216</v>
      </c>
      <c r="D40" t="s">
        <v>217</v>
      </c>
      <c r="E40" t="s">
        <v>101</v>
      </c>
      <c r="F40" t="s">
        <v>81</v>
      </c>
    </row>
    <row r="41" spans="1:6" x14ac:dyDescent="0.25">
      <c r="A41">
        <v>102661</v>
      </c>
      <c r="B41" t="s">
        <v>77</v>
      </c>
      <c r="C41" t="s">
        <v>78</v>
      </c>
      <c r="D41" t="s">
        <v>79</v>
      </c>
      <c r="E41" t="s">
        <v>80</v>
      </c>
      <c r="F41" t="s">
        <v>81</v>
      </c>
    </row>
    <row r="42" spans="1:6" x14ac:dyDescent="0.25">
      <c r="A42">
        <v>102661</v>
      </c>
      <c r="B42" t="s">
        <v>215</v>
      </c>
      <c r="C42" t="s">
        <v>216</v>
      </c>
      <c r="D42" t="s">
        <v>217</v>
      </c>
      <c r="E42" t="s">
        <v>101</v>
      </c>
      <c r="F42" t="s">
        <v>81</v>
      </c>
    </row>
    <row r="43" spans="1:6" x14ac:dyDescent="0.25">
      <c r="A43">
        <v>102661</v>
      </c>
      <c r="B43" t="s">
        <v>77</v>
      </c>
      <c r="C43" t="s">
        <v>78</v>
      </c>
      <c r="D43" t="s">
        <v>79</v>
      </c>
      <c r="E43" t="s">
        <v>80</v>
      </c>
      <c r="F43" t="s">
        <v>81</v>
      </c>
    </row>
    <row r="44" spans="1:6" x14ac:dyDescent="0.25">
      <c r="A44">
        <v>102661</v>
      </c>
      <c r="B44" t="s">
        <v>215</v>
      </c>
      <c r="C44" t="s">
        <v>216</v>
      </c>
      <c r="D44" t="s">
        <v>217</v>
      </c>
      <c r="E44" t="s">
        <v>101</v>
      </c>
      <c r="F44" t="s">
        <v>81</v>
      </c>
    </row>
    <row r="45" spans="1:6" x14ac:dyDescent="0.25">
      <c r="A45">
        <v>102661</v>
      </c>
      <c r="B45" t="s">
        <v>77</v>
      </c>
      <c r="C45" t="s">
        <v>78</v>
      </c>
      <c r="D45" t="s">
        <v>79</v>
      </c>
      <c r="E45" t="s">
        <v>80</v>
      </c>
      <c r="F45" t="s">
        <v>81</v>
      </c>
    </row>
    <row r="46" spans="1:6" x14ac:dyDescent="0.25">
      <c r="A46">
        <v>102661</v>
      </c>
      <c r="B46" t="s">
        <v>215</v>
      </c>
      <c r="C46" t="s">
        <v>216</v>
      </c>
      <c r="D46" t="s">
        <v>217</v>
      </c>
      <c r="E46" t="s">
        <v>101</v>
      </c>
      <c r="F46" t="s">
        <v>81</v>
      </c>
    </row>
    <row r="47" spans="1:6" x14ac:dyDescent="0.25">
      <c r="A47">
        <v>102661</v>
      </c>
      <c r="B47" t="s">
        <v>77</v>
      </c>
      <c r="C47" t="s">
        <v>78</v>
      </c>
      <c r="D47" t="s">
        <v>79</v>
      </c>
      <c r="E47" t="s">
        <v>80</v>
      </c>
      <c r="F47" t="s">
        <v>81</v>
      </c>
    </row>
    <row r="48" spans="1:6" x14ac:dyDescent="0.25">
      <c r="A48">
        <v>102661</v>
      </c>
      <c r="B48" t="s">
        <v>215</v>
      </c>
      <c r="C48" t="s">
        <v>216</v>
      </c>
      <c r="D48" t="s">
        <v>217</v>
      </c>
      <c r="E48" t="s">
        <v>101</v>
      </c>
      <c r="F48" t="s">
        <v>81</v>
      </c>
    </row>
    <row r="49" spans="1:6" x14ac:dyDescent="0.25">
      <c r="A49">
        <v>113245</v>
      </c>
      <c r="B49" t="s">
        <v>301</v>
      </c>
      <c r="C49" t="s">
        <v>78</v>
      </c>
      <c r="D49" t="s">
        <v>79</v>
      </c>
      <c r="E49" t="s">
        <v>63</v>
      </c>
      <c r="F49" t="s">
        <v>81</v>
      </c>
    </row>
    <row r="50" spans="1:6" x14ac:dyDescent="0.25">
      <c r="A50">
        <v>113245</v>
      </c>
      <c r="B50" t="s">
        <v>215</v>
      </c>
      <c r="C50" t="s">
        <v>216</v>
      </c>
      <c r="D50" t="s">
        <v>217</v>
      </c>
      <c r="E50" t="s">
        <v>101</v>
      </c>
      <c r="F50" t="s">
        <v>81</v>
      </c>
    </row>
    <row r="51" spans="1:6" x14ac:dyDescent="0.25">
      <c r="A51">
        <v>113245</v>
      </c>
      <c r="B51" t="s">
        <v>301</v>
      </c>
      <c r="C51" t="s">
        <v>78</v>
      </c>
      <c r="D51" t="s">
        <v>79</v>
      </c>
      <c r="E51" t="s">
        <v>63</v>
      </c>
      <c r="F51" t="s">
        <v>81</v>
      </c>
    </row>
    <row r="52" spans="1:6" x14ac:dyDescent="0.25">
      <c r="A52">
        <v>113245</v>
      </c>
      <c r="B52" t="s">
        <v>215</v>
      </c>
      <c r="C52" t="s">
        <v>216</v>
      </c>
      <c r="D52" t="s">
        <v>217</v>
      </c>
      <c r="E52" t="s">
        <v>101</v>
      </c>
      <c r="F52" t="s">
        <v>81</v>
      </c>
    </row>
    <row r="53" spans="1:6" x14ac:dyDescent="0.25">
      <c r="A53">
        <v>113253</v>
      </c>
      <c r="B53" t="s">
        <v>215</v>
      </c>
      <c r="C53" t="s">
        <v>216</v>
      </c>
      <c r="D53" t="s">
        <v>217</v>
      </c>
      <c r="E53" t="s">
        <v>101</v>
      </c>
      <c r="F53" t="s">
        <v>81</v>
      </c>
    </row>
    <row r="54" spans="1:6" x14ac:dyDescent="0.25">
      <c r="A54">
        <v>113281</v>
      </c>
      <c r="B54" t="s">
        <v>301</v>
      </c>
      <c r="C54" t="s">
        <v>78</v>
      </c>
      <c r="D54" t="s">
        <v>79</v>
      </c>
      <c r="E54" t="s">
        <v>63</v>
      </c>
      <c r="F54" t="s">
        <v>81</v>
      </c>
    </row>
    <row r="55" spans="1:6" x14ac:dyDescent="0.25">
      <c r="A55">
        <v>131261</v>
      </c>
      <c r="B55" t="s">
        <v>319</v>
      </c>
      <c r="C55" t="s">
        <v>216</v>
      </c>
      <c r="D55" t="s">
        <v>217</v>
      </c>
      <c r="E55" t="s">
        <v>101</v>
      </c>
      <c r="F55" t="s">
        <v>81</v>
      </c>
    </row>
    <row r="56" spans="1:6" x14ac:dyDescent="0.25">
      <c r="A56">
        <v>131261</v>
      </c>
      <c r="B56" t="s">
        <v>319</v>
      </c>
      <c r="C56" t="s">
        <v>216</v>
      </c>
      <c r="D56" t="s">
        <v>217</v>
      </c>
      <c r="E56" t="s">
        <v>101</v>
      </c>
      <c r="F56" t="s">
        <v>81</v>
      </c>
    </row>
    <row r="57" spans="1:6" x14ac:dyDescent="0.25">
      <c r="A57">
        <v>131261</v>
      </c>
      <c r="B57" t="s">
        <v>319</v>
      </c>
      <c r="C57" t="s">
        <v>216</v>
      </c>
      <c r="D57" t="s">
        <v>217</v>
      </c>
      <c r="E57" t="s">
        <v>101</v>
      </c>
      <c r="F57" t="s">
        <v>81</v>
      </c>
    </row>
    <row r="58" spans="1:6" x14ac:dyDescent="0.25">
      <c r="A58">
        <v>131281</v>
      </c>
      <c r="B58" t="s">
        <v>319</v>
      </c>
      <c r="C58" t="s">
        <v>216</v>
      </c>
      <c r="D58" t="s">
        <v>217</v>
      </c>
      <c r="E58" t="s">
        <v>101</v>
      </c>
      <c r="F58" t="s">
        <v>81</v>
      </c>
    </row>
    <row r="59" spans="1:6" x14ac:dyDescent="0.25">
      <c r="A59">
        <v>131283</v>
      </c>
      <c r="B59" t="s">
        <v>319</v>
      </c>
      <c r="C59" t="s">
        <v>216</v>
      </c>
      <c r="D59" t="s">
        <v>217</v>
      </c>
      <c r="E59" t="s">
        <v>101</v>
      </c>
      <c r="F59" t="s">
        <v>81</v>
      </c>
    </row>
    <row r="60" spans="1:6" x14ac:dyDescent="0.25">
      <c r="A60">
        <v>131285</v>
      </c>
      <c r="B60" t="s">
        <v>319</v>
      </c>
      <c r="C60" t="s">
        <v>216</v>
      </c>
      <c r="D60" t="s">
        <v>217</v>
      </c>
      <c r="E60" t="s">
        <v>101</v>
      </c>
      <c r="F60" t="s">
        <v>81</v>
      </c>
    </row>
    <row r="61" spans="1:6" x14ac:dyDescent="0.25">
      <c r="A61">
        <v>131285</v>
      </c>
      <c r="B61" t="s">
        <v>319</v>
      </c>
      <c r="C61" t="s">
        <v>216</v>
      </c>
      <c r="D61" t="s">
        <v>217</v>
      </c>
      <c r="E61" t="s">
        <v>101</v>
      </c>
      <c r="F61" t="s">
        <v>81</v>
      </c>
    </row>
    <row r="62" spans="1:6" x14ac:dyDescent="0.25">
      <c r="A62">
        <v>131285</v>
      </c>
      <c r="B62" t="s">
        <v>319</v>
      </c>
      <c r="C62" t="s">
        <v>216</v>
      </c>
      <c r="D62" t="s">
        <v>217</v>
      </c>
      <c r="E62" t="s">
        <v>101</v>
      </c>
      <c r="F62" t="s">
        <v>81</v>
      </c>
    </row>
    <row r="63" spans="1:6" x14ac:dyDescent="0.25">
      <c r="A63">
        <v>131285</v>
      </c>
      <c r="B63" t="s">
        <v>319</v>
      </c>
      <c r="C63" t="s">
        <v>216</v>
      </c>
      <c r="D63" t="s">
        <v>217</v>
      </c>
      <c r="E63" t="s">
        <v>101</v>
      </c>
      <c r="F63" t="s">
        <v>81</v>
      </c>
    </row>
    <row r="64" spans="1:6" x14ac:dyDescent="0.25">
      <c r="A64">
        <v>131287</v>
      </c>
      <c r="B64" t="s">
        <v>319</v>
      </c>
      <c r="C64" t="s">
        <v>216</v>
      </c>
      <c r="D64" t="s">
        <v>217</v>
      </c>
      <c r="E64" t="s">
        <v>101</v>
      </c>
      <c r="F64" t="s">
        <v>81</v>
      </c>
    </row>
    <row r="65" spans="1:6" x14ac:dyDescent="0.25">
      <c r="A65">
        <v>131287</v>
      </c>
      <c r="B65" t="s">
        <v>319</v>
      </c>
      <c r="C65" t="s">
        <v>216</v>
      </c>
      <c r="D65" t="s">
        <v>217</v>
      </c>
      <c r="E65" t="s">
        <v>101</v>
      </c>
      <c r="F65" t="s">
        <v>81</v>
      </c>
    </row>
    <row r="66" spans="1:6" x14ac:dyDescent="0.25">
      <c r="A66">
        <v>141539</v>
      </c>
      <c r="B66" t="s">
        <v>348</v>
      </c>
      <c r="C66" t="s">
        <v>216</v>
      </c>
      <c r="D66" t="s">
        <v>217</v>
      </c>
      <c r="E66" t="s">
        <v>101</v>
      </c>
      <c r="F66" t="s">
        <v>81</v>
      </c>
    </row>
    <row r="67" spans="1:6" x14ac:dyDescent="0.25">
      <c r="A67">
        <v>141539</v>
      </c>
      <c r="B67" t="s">
        <v>348</v>
      </c>
      <c r="C67" t="s">
        <v>216</v>
      </c>
      <c r="D67" t="s">
        <v>217</v>
      </c>
      <c r="E67" t="s">
        <v>101</v>
      </c>
      <c r="F67" t="s">
        <v>81</v>
      </c>
    </row>
    <row r="68" spans="1:6" x14ac:dyDescent="0.25">
      <c r="A68">
        <v>145267</v>
      </c>
      <c r="B68" t="s">
        <v>376</v>
      </c>
      <c r="C68" t="s">
        <v>216</v>
      </c>
      <c r="D68" t="s">
        <v>217</v>
      </c>
      <c r="E68" t="s">
        <v>101</v>
      </c>
      <c r="F68" t="s">
        <v>81</v>
      </c>
    </row>
    <row r="69" spans="1:6" x14ac:dyDescent="0.25">
      <c r="A69">
        <v>145267</v>
      </c>
      <c r="B69" t="s">
        <v>348</v>
      </c>
      <c r="C69" t="s">
        <v>78</v>
      </c>
      <c r="D69" t="s">
        <v>79</v>
      </c>
      <c r="E69" t="s">
        <v>57</v>
      </c>
      <c r="F69" t="s">
        <v>81</v>
      </c>
    </row>
    <row r="70" spans="1:6" x14ac:dyDescent="0.25">
      <c r="A70">
        <v>145267</v>
      </c>
      <c r="B70" t="s">
        <v>376</v>
      </c>
      <c r="C70" t="s">
        <v>216</v>
      </c>
      <c r="D70" t="s">
        <v>217</v>
      </c>
      <c r="E70" t="s">
        <v>101</v>
      </c>
      <c r="F70" t="s">
        <v>81</v>
      </c>
    </row>
    <row r="71" spans="1:6" x14ac:dyDescent="0.25">
      <c r="A71">
        <v>145267</v>
      </c>
      <c r="B71" t="s">
        <v>348</v>
      </c>
      <c r="C71" t="s">
        <v>78</v>
      </c>
      <c r="D71" t="s">
        <v>79</v>
      </c>
      <c r="E71" t="s">
        <v>57</v>
      </c>
      <c r="F71" t="s">
        <v>81</v>
      </c>
    </row>
    <row r="72" spans="1:6" x14ac:dyDescent="0.25">
      <c r="A72">
        <v>145267</v>
      </c>
      <c r="B72" t="s">
        <v>376</v>
      </c>
      <c r="C72" t="s">
        <v>216</v>
      </c>
      <c r="D72" t="s">
        <v>217</v>
      </c>
      <c r="E72" t="s">
        <v>101</v>
      </c>
      <c r="F72" t="s">
        <v>81</v>
      </c>
    </row>
    <row r="73" spans="1:6" x14ac:dyDescent="0.25">
      <c r="A73">
        <v>145267</v>
      </c>
      <c r="B73" t="s">
        <v>348</v>
      </c>
      <c r="C73" t="s">
        <v>78</v>
      </c>
      <c r="D73" t="s">
        <v>79</v>
      </c>
      <c r="E73" t="s">
        <v>57</v>
      </c>
      <c r="F73" t="s">
        <v>81</v>
      </c>
    </row>
    <row r="74" spans="1:6" x14ac:dyDescent="0.25">
      <c r="A74">
        <v>145267</v>
      </c>
      <c r="B74" t="s">
        <v>376</v>
      </c>
      <c r="C74" t="s">
        <v>216</v>
      </c>
      <c r="D74" t="s">
        <v>217</v>
      </c>
      <c r="E74" t="s">
        <v>101</v>
      </c>
      <c r="F74" t="s">
        <v>81</v>
      </c>
    </row>
    <row r="75" spans="1:6" x14ac:dyDescent="0.25">
      <c r="A75">
        <v>145267</v>
      </c>
      <c r="B75" t="s">
        <v>348</v>
      </c>
      <c r="C75" t="s">
        <v>78</v>
      </c>
      <c r="D75" t="s">
        <v>79</v>
      </c>
      <c r="E75" t="s">
        <v>57</v>
      </c>
      <c r="F75" t="s">
        <v>81</v>
      </c>
    </row>
    <row r="76" spans="1:6" x14ac:dyDescent="0.25">
      <c r="A76">
        <v>145267</v>
      </c>
      <c r="B76" t="s">
        <v>376</v>
      </c>
      <c r="C76" t="s">
        <v>216</v>
      </c>
      <c r="D76" t="s">
        <v>217</v>
      </c>
      <c r="E76" t="s">
        <v>101</v>
      </c>
      <c r="F76" t="s">
        <v>81</v>
      </c>
    </row>
    <row r="77" spans="1:6" x14ac:dyDescent="0.25">
      <c r="A77">
        <v>145267</v>
      </c>
      <c r="B77" t="s">
        <v>348</v>
      </c>
      <c r="C77" t="s">
        <v>78</v>
      </c>
      <c r="D77" t="s">
        <v>79</v>
      </c>
      <c r="E77" t="s">
        <v>57</v>
      </c>
      <c r="F77" t="s">
        <v>81</v>
      </c>
    </row>
    <row r="78" spans="1:6" x14ac:dyDescent="0.25">
      <c r="A78">
        <v>145267</v>
      </c>
      <c r="B78" t="s">
        <v>376</v>
      </c>
      <c r="C78" t="s">
        <v>216</v>
      </c>
      <c r="D78" t="s">
        <v>217</v>
      </c>
      <c r="E78" t="s">
        <v>101</v>
      </c>
      <c r="F78" t="s">
        <v>81</v>
      </c>
    </row>
    <row r="79" spans="1:6" x14ac:dyDescent="0.25">
      <c r="A79">
        <v>145267</v>
      </c>
      <c r="B79" t="s">
        <v>348</v>
      </c>
      <c r="C79" t="s">
        <v>78</v>
      </c>
      <c r="D79" t="s">
        <v>79</v>
      </c>
      <c r="E79" t="s">
        <v>57</v>
      </c>
      <c r="F79" t="s">
        <v>81</v>
      </c>
    </row>
    <row r="80" spans="1:6" x14ac:dyDescent="0.25">
      <c r="A80">
        <v>145267</v>
      </c>
      <c r="B80" t="s">
        <v>376</v>
      </c>
      <c r="C80" t="s">
        <v>216</v>
      </c>
      <c r="D80" t="s">
        <v>217</v>
      </c>
      <c r="E80" t="s">
        <v>101</v>
      </c>
      <c r="F80" t="s">
        <v>81</v>
      </c>
    </row>
    <row r="81" spans="1:6" x14ac:dyDescent="0.25">
      <c r="A81">
        <v>145267</v>
      </c>
      <c r="B81" t="s">
        <v>348</v>
      </c>
      <c r="C81" t="s">
        <v>78</v>
      </c>
      <c r="D81" t="s">
        <v>79</v>
      </c>
      <c r="E81" t="s">
        <v>57</v>
      </c>
      <c r="F81" t="s">
        <v>81</v>
      </c>
    </row>
    <row r="82" spans="1:6" x14ac:dyDescent="0.25">
      <c r="A82">
        <v>145267</v>
      </c>
      <c r="B82" t="s">
        <v>376</v>
      </c>
      <c r="C82" t="s">
        <v>216</v>
      </c>
      <c r="D82" t="s">
        <v>217</v>
      </c>
      <c r="E82" t="s">
        <v>101</v>
      </c>
      <c r="F82" t="s">
        <v>81</v>
      </c>
    </row>
    <row r="83" spans="1:6" x14ac:dyDescent="0.25">
      <c r="A83">
        <v>145267</v>
      </c>
      <c r="B83" t="s">
        <v>348</v>
      </c>
      <c r="C83" t="s">
        <v>78</v>
      </c>
      <c r="D83" t="s">
        <v>79</v>
      </c>
      <c r="E83" t="s">
        <v>57</v>
      </c>
      <c r="F83" t="s">
        <v>81</v>
      </c>
    </row>
    <row r="84" spans="1:6" x14ac:dyDescent="0.25">
      <c r="A84">
        <v>144793</v>
      </c>
      <c r="B84" t="s">
        <v>376</v>
      </c>
      <c r="C84" t="s">
        <v>216</v>
      </c>
      <c r="D84" t="s">
        <v>217</v>
      </c>
      <c r="E84" t="s">
        <v>101</v>
      </c>
      <c r="F84" t="s">
        <v>81</v>
      </c>
    </row>
    <row r="85" spans="1:6" x14ac:dyDescent="0.25">
      <c r="A85">
        <v>144793</v>
      </c>
      <c r="B85" t="s">
        <v>396</v>
      </c>
      <c r="C85" t="s">
        <v>78</v>
      </c>
      <c r="D85" t="s">
        <v>79</v>
      </c>
      <c r="E85" t="s">
        <v>57</v>
      </c>
      <c r="F85" t="s">
        <v>81</v>
      </c>
    </row>
    <row r="86" spans="1:6" x14ac:dyDescent="0.25">
      <c r="A86">
        <v>144793</v>
      </c>
      <c r="B86" t="s">
        <v>376</v>
      </c>
      <c r="C86" t="s">
        <v>216</v>
      </c>
      <c r="D86" t="s">
        <v>217</v>
      </c>
      <c r="E86" t="s">
        <v>101</v>
      </c>
      <c r="F86" t="s">
        <v>81</v>
      </c>
    </row>
    <row r="87" spans="1:6" x14ac:dyDescent="0.25">
      <c r="A87">
        <v>144793</v>
      </c>
      <c r="B87" t="s">
        <v>396</v>
      </c>
      <c r="C87" t="s">
        <v>78</v>
      </c>
      <c r="D87" t="s">
        <v>79</v>
      </c>
      <c r="E87" t="s">
        <v>57</v>
      </c>
      <c r="F87" t="s">
        <v>81</v>
      </c>
    </row>
    <row r="88" spans="1:6" x14ac:dyDescent="0.25">
      <c r="A88">
        <v>144793</v>
      </c>
      <c r="B88" t="s">
        <v>376</v>
      </c>
      <c r="C88" t="s">
        <v>216</v>
      </c>
      <c r="D88" t="s">
        <v>217</v>
      </c>
      <c r="E88" t="s">
        <v>101</v>
      </c>
      <c r="F88" t="s">
        <v>81</v>
      </c>
    </row>
    <row r="89" spans="1:6" x14ac:dyDescent="0.25">
      <c r="A89">
        <v>144793</v>
      </c>
      <c r="B89" t="s">
        <v>396</v>
      </c>
      <c r="C89" t="s">
        <v>78</v>
      </c>
      <c r="D89" t="s">
        <v>79</v>
      </c>
      <c r="E89" t="s">
        <v>57</v>
      </c>
      <c r="F89" t="s">
        <v>81</v>
      </c>
    </row>
    <row r="90" spans="1:6" x14ac:dyDescent="0.25">
      <c r="A90">
        <v>144793</v>
      </c>
      <c r="B90" t="s">
        <v>376</v>
      </c>
      <c r="C90" t="s">
        <v>216</v>
      </c>
      <c r="D90" t="s">
        <v>217</v>
      </c>
      <c r="E90" t="s">
        <v>101</v>
      </c>
      <c r="F90" t="s">
        <v>81</v>
      </c>
    </row>
    <row r="91" spans="1:6" x14ac:dyDescent="0.25">
      <c r="A91">
        <v>144793</v>
      </c>
      <c r="B91" t="s">
        <v>396</v>
      </c>
      <c r="C91" t="s">
        <v>78</v>
      </c>
      <c r="D91" t="s">
        <v>79</v>
      </c>
      <c r="E91" t="s">
        <v>57</v>
      </c>
      <c r="F91" t="s">
        <v>81</v>
      </c>
    </row>
    <row r="92" spans="1:6" x14ac:dyDescent="0.25">
      <c r="A92">
        <v>144793</v>
      </c>
      <c r="B92" t="s">
        <v>376</v>
      </c>
      <c r="C92" t="s">
        <v>216</v>
      </c>
      <c r="D92" t="s">
        <v>217</v>
      </c>
      <c r="E92" t="s">
        <v>101</v>
      </c>
      <c r="F92" t="s">
        <v>81</v>
      </c>
    </row>
    <row r="93" spans="1:6" x14ac:dyDescent="0.25">
      <c r="A93">
        <v>144793</v>
      </c>
      <c r="B93" t="s">
        <v>396</v>
      </c>
      <c r="C93" t="s">
        <v>78</v>
      </c>
      <c r="D93" t="s">
        <v>79</v>
      </c>
      <c r="E93" t="s">
        <v>57</v>
      </c>
      <c r="F93" t="s">
        <v>81</v>
      </c>
    </row>
    <row r="94" spans="1:6" x14ac:dyDescent="0.25">
      <c r="A94">
        <v>144793</v>
      </c>
      <c r="B94" t="s">
        <v>376</v>
      </c>
      <c r="C94" t="s">
        <v>216</v>
      </c>
      <c r="D94" t="s">
        <v>217</v>
      </c>
      <c r="E94" t="s">
        <v>101</v>
      </c>
      <c r="F94" t="s">
        <v>81</v>
      </c>
    </row>
    <row r="95" spans="1:6" x14ac:dyDescent="0.25">
      <c r="A95">
        <v>144793</v>
      </c>
      <c r="B95" t="s">
        <v>396</v>
      </c>
      <c r="C95" t="s">
        <v>78</v>
      </c>
      <c r="D95" t="s">
        <v>79</v>
      </c>
      <c r="E95" t="s">
        <v>57</v>
      </c>
      <c r="F95" t="s">
        <v>81</v>
      </c>
    </row>
    <row r="96" spans="1:6" x14ac:dyDescent="0.25">
      <c r="A96">
        <v>144793</v>
      </c>
      <c r="B96" t="s">
        <v>376</v>
      </c>
      <c r="C96" t="s">
        <v>216</v>
      </c>
      <c r="D96" t="s">
        <v>217</v>
      </c>
      <c r="E96" t="s">
        <v>101</v>
      </c>
      <c r="F96" t="s">
        <v>81</v>
      </c>
    </row>
    <row r="97" spans="1:6" x14ac:dyDescent="0.25">
      <c r="A97">
        <v>144793</v>
      </c>
      <c r="B97" t="s">
        <v>396</v>
      </c>
      <c r="C97" t="s">
        <v>78</v>
      </c>
      <c r="D97" t="s">
        <v>79</v>
      </c>
      <c r="E97" t="s">
        <v>57</v>
      </c>
      <c r="F97" t="s">
        <v>81</v>
      </c>
    </row>
    <row r="98" spans="1:6" x14ac:dyDescent="0.25">
      <c r="A98">
        <v>144793</v>
      </c>
      <c r="B98" t="s">
        <v>376</v>
      </c>
      <c r="C98" t="s">
        <v>216</v>
      </c>
      <c r="D98" t="s">
        <v>217</v>
      </c>
      <c r="E98" t="s">
        <v>101</v>
      </c>
      <c r="F98" t="s">
        <v>81</v>
      </c>
    </row>
    <row r="99" spans="1:6" x14ac:dyDescent="0.25">
      <c r="A99">
        <v>144793</v>
      </c>
      <c r="B99" t="s">
        <v>396</v>
      </c>
      <c r="C99" t="s">
        <v>78</v>
      </c>
      <c r="D99" t="s">
        <v>79</v>
      </c>
      <c r="E99" t="s">
        <v>57</v>
      </c>
      <c r="F99" t="s">
        <v>81</v>
      </c>
    </row>
    <row r="100" spans="1:6" x14ac:dyDescent="0.25">
      <c r="A100">
        <v>129185</v>
      </c>
      <c r="B100" t="s">
        <v>319</v>
      </c>
      <c r="C100" t="s">
        <v>216</v>
      </c>
      <c r="D100" t="s">
        <v>217</v>
      </c>
      <c r="E100" t="s">
        <v>101</v>
      </c>
      <c r="F100" t="s">
        <v>81</v>
      </c>
    </row>
    <row r="101" spans="1:6" x14ac:dyDescent="0.25">
      <c r="A101">
        <v>129185</v>
      </c>
      <c r="B101" t="s">
        <v>427</v>
      </c>
      <c r="C101" t="s">
        <v>216</v>
      </c>
      <c r="D101" t="s">
        <v>217</v>
      </c>
      <c r="E101" t="s">
        <v>101</v>
      </c>
      <c r="F101" t="s">
        <v>81</v>
      </c>
    </row>
    <row r="102" spans="1:6" x14ac:dyDescent="0.25">
      <c r="A102">
        <v>129185</v>
      </c>
      <c r="B102" t="s">
        <v>319</v>
      </c>
      <c r="C102" t="s">
        <v>216</v>
      </c>
      <c r="D102" t="s">
        <v>217</v>
      </c>
      <c r="E102" t="s">
        <v>101</v>
      </c>
      <c r="F102" t="s">
        <v>81</v>
      </c>
    </row>
    <row r="103" spans="1:6" x14ac:dyDescent="0.25">
      <c r="A103">
        <v>129185</v>
      </c>
      <c r="B103" t="s">
        <v>427</v>
      </c>
      <c r="C103" t="s">
        <v>216</v>
      </c>
      <c r="D103" t="s">
        <v>217</v>
      </c>
      <c r="E103" t="s">
        <v>101</v>
      </c>
      <c r="F103" t="s">
        <v>81</v>
      </c>
    </row>
    <row r="104" spans="1:6" x14ac:dyDescent="0.25">
      <c r="A104">
        <v>129185</v>
      </c>
      <c r="B104" t="s">
        <v>319</v>
      </c>
      <c r="C104" t="s">
        <v>216</v>
      </c>
      <c r="D104" t="s">
        <v>217</v>
      </c>
      <c r="E104" t="s">
        <v>101</v>
      </c>
      <c r="F104" t="s">
        <v>81</v>
      </c>
    </row>
    <row r="105" spans="1:6" x14ac:dyDescent="0.25">
      <c r="A105">
        <v>129185</v>
      </c>
      <c r="B105" t="s">
        <v>427</v>
      </c>
      <c r="C105" t="s">
        <v>216</v>
      </c>
      <c r="D105" t="s">
        <v>217</v>
      </c>
      <c r="E105" t="s">
        <v>101</v>
      </c>
      <c r="F105" t="s">
        <v>81</v>
      </c>
    </row>
    <row r="106" spans="1:6" x14ac:dyDescent="0.25">
      <c r="A106">
        <v>129185</v>
      </c>
      <c r="B106" t="s">
        <v>319</v>
      </c>
      <c r="C106" t="s">
        <v>216</v>
      </c>
      <c r="D106" t="s">
        <v>217</v>
      </c>
      <c r="E106" t="s">
        <v>101</v>
      </c>
      <c r="F106" t="s">
        <v>81</v>
      </c>
    </row>
    <row r="107" spans="1:6" x14ac:dyDescent="0.25">
      <c r="A107">
        <v>129185</v>
      </c>
      <c r="B107" t="s">
        <v>427</v>
      </c>
      <c r="C107" t="s">
        <v>216</v>
      </c>
      <c r="D107" t="s">
        <v>217</v>
      </c>
      <c r="E107" t="s">
        <v>101</v>
      </c>
      <c r="F107" t="s">
        <v>81</v>
      </c>
    </row>
    <row r="108" spans="1:6" x14ac:dyDescent="0.25">
      <c r="A108">
        <v>129185</v>
      </c>
      <c r="B108" t="s">
        <v>319</v>
      </c>
      <c r="C108" t="s">
        <v>216</v>
      </c>
      <c r="D108" t="s">
        <v>217</v>
      </c>
      <c r="E108" t="s">
        <v>101</v>
      </c>
      <c r="F108" t="s">
        <v>81</v>
      </c>
    </row>
    <row r="109" spans="1:6" x14ac:dyDescent="0.25">
      <c r="A109">
        <v>129185</v>
      </c>
      <c r="B109" t="s">
        <v>427</v>
      </c>
      <c r="C109" t="s">
        <v>216</v>
      </c>
      <c r="D109" t="s">
        <v>217</v>
      </c>
      <c r="E109" t="s">
        <v>101</v>
      </c>
      <c r="F109" t="s">
        <v>81</v>
      </c>
    </row>
    <row r="110" spans="1:6" x14ac:dyDescent="0.25">
      <c r="A110">
        <v>129185</v>
      </c>
      <c r="B110" t="s">
        <v>319</v>
      </c>
      <c r="C110" t="s">
        <v>216</v>
      </c>
      <c r="D110" t="s">
        <v>217</v>
      </c>
      <c r="E110" t="s">
        <v>101</v>
      </c>
      <c r="F110" t="s">
        <v>81</v>
      </c>
    </row>
    <row r="111" spans="1:6" x14ac:dyDescent="0.25">
      <c r="A111">
        <v>129185</v>
      </c>
      <c r="B111" t="s">
        <v>427</v>
      </c>
      <c r="C111" t="s">
        <v>216</v>
      </c>
      <c r="D111" t="s">
        <v>217</v>
      </c>
      <c r="E111" t="s">
        <v>101</v>
      </c>
      <c r="F111" t="s">
        <v>81</v>
      </c>
    </row>
    <row r="112" spans="1:6" x14ac:dyDescent="0.25">
      <c r="A112">
        <v>129185</v>
      </c>
      <c r="B112" t="s">
        <v>319</v>
      </c>
      <c r="C112" t="s">
        <v>216</v>
      </c>
      <c r="D112" t="s">
        <v>217</v>
      </c>
      <c r="E112" t="s">
        <v>101</v>
      </c>
      <c r="F112" t="s">
        <v>81</v>
      </c>
    </row>
    <row r="113" spans="1:6" x14ac:dyDescent="0.25">
      <c r="A113">
        <v>129185</v>
      </c>
      <c r="B113" t="s">
        <v>427</v>
      </c>
      <c r="C113" t="s">
        <v>216</v>
      </c>
      <c r="D113" t="s">
        <v>217</v>
      </c>
      <c r="E113" t="s">
        <v>101</v>
      </c>
      <c r="F113" t="s">
        <v>81</v>
      </c>
    </row>
    <row r="114" spans="1:6" x14ac:dyDescent="0.25">
      <c r="A114">
        <v>129185</v>
      </c>
      <c r="B114" t="s">
        <v>319</v>
      </c>
      <c r="C114" t="s">
        <v>216</v>
      </c>
      <c r="D114" t="s">
        <v>217</v>
      </c>
      <c r="E114" t="s">
        <v>101</v>
      </c>
      <c r="F114" t="s">
        <v>81</v>
      </c>
    </row>
    <row r="115" spans="1:6" x14ac:dyDescent="0.25">
      <c r="A115">
        <v>129185</v>
      </c>
      <c r="B115" t="s">
        <v>427</v>
      </c>
      <c r="C115" t="s">
        <v>216</v>
      </c>
      <c r="D115" t="s">
        <v>217</v>
      </c>
      <c r="E115" t="s">
        <v>101</v>
      </c>
      <c r="F115" t="s">
        <v>81</v>
      </c>
    </row>
    <row r="116" spans="1:6" x14ac:dyDescent="0.25">
      <c r="A116">
        <v>129201</v>
      </c>
      <c r="B116" t="s">
        <v>199</v>
      </c>
      <c r="C116" t="s">
        <v>78</v>
      </c>
      <c r="D116" t="s">
        <v>79</v>
      </c>
      <c r="E116" t="s">
        <v>57</v>
      </c>
      <c r="F116" t="s">
        <v>81</v>
      </c>
    </row>
    <row r="117" spans="1:6" x14ac:dyDescent="0.25">
      <c r="A117">
        <v>129201</v>
      </c>
      <c r="B117" t="s">
        <v>427</v>
      </c>
      <c r="C117" t="s">
        <v>216</v>
      </c>
      <c r="D117" t="s">
        <v>217</v>
      </c>
      <c r="E117" t="s">
        <v>101</v>
      </c>
      <c r="F117" t="s">
        <v>81</v>
      </c>
    </row>
    <row r="118" spans="1:6" x14ac:dyDescent="0.25">
      <c r="A118">
        <v>129201</v>
      </c>
      <c r="B118" t="s">
        <v>199</v>
      </c>
      <c r="C118" t="s">
        <v>78</v>
      </c>
      <c r="D118" t="s">
        <v>79</v>
      </c>
      <c r="E118" t="s">
        <v>57</v>
      </c>
      <c r="F118" t="s">
        <v>81</v>
      </c>
    </row>
    <row r="119" spans="1:6" x14ac:dyDescent="0.25">
      <c r="A119">
        <v>129201</v>
      </c>
      <c r="B119" t="s">
        <v>427</v>
      </c>
      <c r="C119" t="s">
        <v>216</v>
      </c>
      <c r="D119" t="s">
        <v>217</v>
      </c>
      <c r="E119" t="s">
        <v>101</v>
      </c>
      <c r="F119" t="s">
        <v>81</v>
      </c>
    </row>
    <row r="120" spans="1:6" x14ac:dyDescent="0.25">
      <c r="A120">
        <v>129201</v>
      </c>
      <c r="B120" t="s">
        <v>199</v>
      </c>
      <c r="C120" t="s">
        <v>78</v>
      </c>
      <c r="D120" t="s">
        <v>79</v>
      </c>
      <c r="E120" t="s">
        <v>57</v>
      </c>
      <c r="F120" t="s">
        <v>81</v>
      </c>
    </row>
    <row r="121" spans="1:6" x14ac:dyDescent="0.25">
      <c r="A121">
        <v>129201</v>
      </c>
      <c r="B121" t="s">
        <v>427</v>
      </c>
      <c r="C121" t="s">
        <v>216</v>
      </c>
      <c r="D121" t="s">
        <v>217</v>
      </c>
      <c r="E121" t="s">
        <v>101</v>
      </c>
      <c r="F121" t="s">
        <v>81</v>
      </c>
    </row>
    <row r="122" spans="1:6" x14ac:dyDescent="0.25">
      <c r="A122">
        <v>129201</v>
      </c>
      <c r="B122" t="s">
        <v>199</v>
      </c>
      <c r="C122" t="s">
        <v>78</v>
      </c>
      <c r="D122" t="s">
        <v>79</v>
      </c>
      <c r="E122" t="s">
        <v>57</v>
      </c>
      <c r="F122" t="s">
        <v>81</v>
      </c>
    </row>
    <row r="123" spans="1:6" x14ac:dyDescent="0.25">
      <c r="A123">
        <v>129201</v>
      </c>
      <c r="B123" t="s">
        <v>427</v>
      </c>
      <c r="C123" t="s">
        <v>216</v>
      </c>
      <c r="D123" t="s">
        <v>217</v>
      </c>
      <c r="E123" t="s">
        <v>101</v>
      </c>
      <c r="F123" t="s">
        <v>81</v>
      </c>
    </row>
    <row r="124" spans="1:6" x14ac:dyDescent="0.25">
      <c r="A124">
        <v>112649</v>
      </c>
      <c r="B124" t="s">
        <v>301</v>
      </c>
      <c r="C124" t="s">
        <v>78</v>
      </c>
      <c r="D124" t="s">
        <v>79</v>
      </c>
      <c r="E124" t="s">
        <v>63</v>
      </c>
      <c r="F124" t="s">
        <v>81</v>
      </c>
    </row>
    <row r="125" spans="1:6" x14ac:dyDescent="0.25">
      <c r="A125">
        <v>112649</v>
      </c>
      <c r="B125" t="s">
        <v>451</v>
      </c>
      <c r="C125" t="s">
        <v>216</v>
      </c>
      <c r="D125" t="s">
        <v>217</v>
      </c>
      <c r="E125" t="s">
        <v>101</v>
      </c>
      <c r="F125" t="s">
        <v>81</v>
      </c>
    </row>
    <row r="126" spans="1:6" x14ac:dyDescent="0.25">
      <c r="A126">
        <v>112649</v>
      </c>
      <c r="B126" t="s">
        <v>301</v>
      </c>
      <c r="C126" t="s">
        <v>78</v>
      </c>
      <c r="D126" t="s">
        <v>79</v>
      </c>
      <c r="E126" t="s">
        <v>63</v>
      </c>
      <c r="F126" t="s">
        <v>81</v>
      </c>
    </row>
    <row r="127" spans="1:6" x14ac:dyDescent="0.25">
      <c r="A127">
        <v>112649</v>
      </c>
      <c r="B127" t="s">
        <v>451</v>
      </c>
      <c r="C127" t="s">
        <v>216</v>
      </c>
      <c r="D127" t="s">
        <v>217</v>
      </c>
      <c r="E127" t="s">
        <v>101</v>
      </c>
      <c r="F127" t="s">
        <v>81</v>
      </c>
    </row>
    <row r="128" spans="1:6" x14ac:dyDescent="0.25">
      <c r="A128">
        <v>112649</v>
      </c>
      <c r="B128" t="s">
        <v>301</v>
      </c>
      <c r="C128" t="s">
        <v>78</v>
      </c>
      <c r="D128" t="s">
        <v>79</v>
      </c>
      <c r="E128" t="s">
        <v>63</v>
      </c>
      <c r="F128" t="s">
        <v>81</v>
      </c>
    </row>
    <row r="129" spans="1:6" x14ac:dyDescent="0.25">
      <c r="A129">
        <v>112649</v>
      </c>
      <c r="B129" t="s">
        <v>451</v>
      </c>
      <c r="C129" t="s">
        <v>216</v>
      </c>
      <c r="D129" t="s">
        <v>217</v>
      </c>
      <c r="E129" t="s">
        <v>101</v>
      </c>
      <c r="F129" t="s">
        <v>81</v>
      </c>
    </row>
    <row r="130" spans="1:6" x14ac:dyDescent="0.25">
      <c r="A130">
        <v>112649</v>
      </c>
      <c r="B130" t="s">
        <v>301</v>
      </c>
      <c r="C130" t="s">
        <v>78</v>
      </c>
      <c r="D130" t="s">
        <v>79</v>
      </c>
      <c r="E130" t="s">
        <v>63</v>
      </c>
      <c r="F130" t="s">
        <v>81</v>
      </c>
    </row>
    <row r="131" spans="1:6" x14ac:dyDescent="0.25">
      <c r="A131">
        <v>112649</v>
      </c>
      <c r="B131" t="s">
        <v>451</v>
      </c>
      <c r="C131" t="s">
        <v>216</v>
      </c>
      <c r="D131" t="s">
        <v>217</v>
      </c>
      <c r="E131" t="s">
        <v>101</v>
      </c>
      <c r="F131" t="s">
        <v>81</v>
      </c>
    </row>
    <row r="132" spans="1:6" x14ac:dyDescent="0.25">
      <c r="A132">
        <v>112649</v>
      </c>
      <c r="B132" t="s">
        <v>301</v>
      </c>
      <c r="C132" t="s">
        <v>78</v>
      </c>
      <c r="D132" t="s">
        <v>79</v>
      </c>
      <c r="E132" t="s">
        <v>63</v>
      </c>
      <c r="F132" t="s">
        <v>81</v>
      </c>
    </row>
    <row r="133" spans="1:6" x14ac:dyDescent="0.25">
      <c r="A133">
        <v>112649</v>
      </c>
      <c r="B133" t="s">
        <v>451</v>
      </c>
      <c r="C133" t="s">
        <v>216</v>
      </c>
      <c r="D133" t="s">
        <v>217</v>
      </c>
      <c r="E133" t="s">
        <v>101</v>
      </c>
      <c r="F133" t="s">
        <v>81</v>
      </c>
    </row>
    <row r="134" spans="1:6" x14ac:dyDescent="0.25">
      <c r="A134">
        <v>112637</v>
      </c>
      <c r="B134" t="s">
        <v>301</v>
      </c>
      <c r="C134" t="s">
        <v>78</v>
      </c>
      <c r="D134" t="s">
        <v>79</v>
      </c>
      <c r="E134" t="s">
        <v>63</v>
      </c>
      <c r="F134" t="s">
        <v>81</v>
      </c>
    </row>
    <row r="135" spans="1:6" x14ac:dyDescent="0.25">
      <c r="A135">
        <v>112637</v>
      </c>
      <c r="B135" t="s">
        <v>460</v>
      </c>
      <c r="C135" t="s">
        <v>216</v>
      </c>
      <c r="D135" t="s">
        <v>217</v>
      </c>
      <c r="E135" t="s">
        <v>101</v>
      </c>
      <c r="F135" t="s">
        <v>81</v>
      </c>
    </row>
    <row r="136" spans="1:6" x14ac:dyDescent="0.25">
      <c r="A136">
        <v>112637</v>
      </c>
      <c r="B136" t="s">
        <v>301</v>
      </c>
      <c r="C136" t="s">
        <v>78</v>
      </c>
      <c r="D136" t="s">
        <v>79</v>
      </c>
      <c r="E136" t="s">
        <v>63</v>
      </c>
      <c r="F136" t="s">
        <v>81</v>
      </c>
    </row>
    <row r="137" spans="1:6" x14ac:dyDescent="0.25">
      <c r="A137">
        <v>112637</v>
      </c>
      <c r="B137" t="s">
        <v>460</v>
      </c>
      <c r="C137" t="s">
        <v>216</v>
      </c>
      <c r="D137" t="s">
        <v>217</v>
      </c>
      <c r="E137" t="s">
        <v>101</v>
      </c>
      <c r="F137" t="s">
        <v>81</v>
      </c>
    </row>
    <row r="138" spans="1:6" x14ac:dyDescent="0.25">
      <c r="A138">
        <v>112637</v>
      </c>
      <c r="B138" t="s">
        <v>301</v>
      </c>
      <c r="C138" t="s">
        <v>78</v>
      </c>
      <c r="D138" t="s">
        <v>79</v>
      </c>
      <c r="E138" t="s">
        <v>63</v>
      </c>
      <c r="F138" t="s">
        <v>81</v>
      </c>
    </row>
    <row r="139" spans="1:6" x14ac:dyDescent="0.25">
      <c r="A139">
        <v>112637</v>
      </c>
      <c r="B139" t="s">
        <v>460</v>
      </c>
      <c r="C139" t="s">
        <v>216</v>
      </c>
      <c r="D139" t="s">
        <v>217</v>
      </c>
      <c r="E139" t="s">
        <v>101</v>
      </c>
      <c r="F139" t="s">
        <v>81</v>
      </c>
    </row>
    <row r="140" spans="1:6" x14ac:dyDescent="0.25">
      <c r="A140">
        <v>112637</v>
      </c>
      <c r="B140" t="s">
        <v>301</v>
      </c>
      <c r="C140" t="s">
        <v>78</v>
      </c>
      <c r="D140" t="s">
        <v>79</v>
      </c>
      <c r="E140" t="s">
        <v>63</v>
      </c>
      <c r="F140" t="s">
        <v>81</v>
      </c>
    </row>
    <row r="141" spans="1:6" x14ac:dyDescent="0.25">
      <c r="A141">
        <v>112637</v>
      </c>
      <c r="B141" t="s">
        <v>460</v>
      </c>
      <c r="C141" t="s">
        <v>216</v>
      </c>
      <c r="D141" t="s">
        <v>217</v>
      </c>
      <c r="E141" t="s">
        <v>101</v>
      </c>
      <c r="F141" t="s">
        <v>81</v>
      </c>
    </row>
    <row r="142" spans="1:6" x14ac:dyDescent="0.25">
      <c r="A142">
        <v>112637</v>
      </c>
      <c r="B142" t="s">
        <v>301</v>
      </c>
      <c r="C142" t="s">
        <v>78</v>
      </c>
      <c r="D142" t="s">
        <v>79</v>
      </c>
      <c r="E142" t="s">
        <v>63</v>
      </c>
      <c r="F142" t="s">
        <v>81</v>
      </c>
    </row>
    <row r="143" spans="1:6" x14ac:dyDescent="0.25">
      <c r="A143">
        <v>112637</v>
      </c>
      <c r="B143" t="s">
        <v>460</v>
      </c>
      <c r="C143" t="s">
        <v>216</v>
      </c>
      <c r="D143" t="s">
        <v>217</v>
      </c>
      <c r="E143" t="s">
        <v>101</v>
      </c>
      <c r="F143" t="s">
        <v>81</v>
      </c>
    </row>
  </sheetData>
  <pageMargins left="0.7" right="0.7" top="0.75" bottom="0.75" header="0.3" footer="0.3"/>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workbookViewId="0">
      <selection activeCell="D22" sqref="D22"/>
    </sheetView>
  </sheetViews>
  <sheetFormatPr defaultRowHeight="15" x14ac:dyDescent="0.25"/>
  <sheetData>
    <row r="1" spans="1:9" x14ac:dyDescent="0.25">
      <c r="A1" s="2" t="s">
        <v>0</v>
      </c>
      <c r="B1" s="2" t="s">
        <v>39</v>
      </c>
      <c r="C1" s="2" t="s">
        <v>82</v>
      </c>
      <c r="D1" s="2" t="s">
        <v>83</v>
      </c>
      <c r="E1" s="2" t="s">
        <v>84</v>
      </c>
      <c r="F1" s="2" t="s">
        <v>85</v>
      </c>
      <c r="G1" s="2" t="s">
        <v>86</v>
      </c>
      <c r="H1" s="2" t="s">
        <v>87</v>
      </c>
      <c r="I1" s="2" t="s">
        <v>88</v>
      </c>
    </row>
    <row r="2" spans="1:9" x14ac:dyDescent="0.25">
      <c r="A2">
        <v>144793</v>
      </c>
      <c r="B2" t="s">
        <v>383</v>
      </c>
      <c r="C2">
        <v>3082</v>
      </c>
      <c r="D2" t="s">
        <v>397</v>
      </c>
      <c r="E2" t="s">
        <v>398</v>
      </c>
      <c r="F2" t="s">
        <v>399</v>
      </c>
      <c r="G2">
        <v>46105.364138877318</v>
      </c>
      <c r="H2" s="1" t="s">
        <v>400</v>
      </c>
      <c r="I2" t="s">
        <v>401</v>
      </c>
    </row>
    <row r="3" spans="1:9" x14ac:dyDescent="0.25">
      <c r="A3">
        <v>144793</v>
      </c>
      <c r="B3" t="s">
        <v>385</v>
      </c>
      <c r="C3">
        <v>3082</v>
      </c>
      <c r="D3" t="s">
        <v>397</v>
      </c>
      <c r="E3" t="s">
        <v>398</v>
      </c>
      <c r="F3" t="s">
        <v>399</v>
      </c>
      <c r="G3">
        <v>46105.364138877318</v>
      </c>
      <c r="H3" s="1" t="s">
        <v>400</v>
      </c>
      <c r="I3" t="s">
        <v>401</v>
      </c>
    </row>
    <row r="4" spans="1:9" x14ac:dyDescent="0.25">
      <c r="A4">
        <v>144793</v>
      </c>
      <c r="B4" t="s">
        <v>387</v>
      </c>
      <c r="C4">
        <v>3082</v>
      </c>
      <c r="D4" t="s">
        <v>397</v>
      </c>
      <c r="E4" t="s">
        <v>398</v>
      </c>
      <c r="F4" t="s">
        <v>399</v>
      </c>
      <c r="G4">
        <v>46105.364138877318</v>
      </c>
      <c r="H4" s="1" t="s">
        <v>400</v>
      </c>
      <c r="I4" t="s">
        <v>401</v>
      </c>
    </row>
    <row r="5" spans="1:9" x14ac:dyDescent="0.25">
      <c r="A5">
        <v>144793</v>
      </c>
      <c r="B5" t="s">
        <v>388</v>
      </c>
      <c r="C5">
        <v>3082</v>
      </c>
      <c r="D5" t="s">
        <v>397</v>
      </c>
      <c r="E5" t="s">
        <v>398</v>
      </c>
      <c r="F5" t="s">
        <v>399</v>
      </c>
      <c r="G5">
        <v>46105.364138877318</v>
      </c>
      <c r="H5" s="1" t="s">
        <v>400</v>
      </c>
      <c r="I5" t="s">
        <v>401</v>
      </c>
    </row>
    <row r="6" spans="1:9" x14ac:dyDescent="0.25">
      <c r="A6">
        <v>144793</v>
      </c>
      <c r="B6" t="s">
        <v>389</v>
      </c>
      <c r="C6">
        <v>3082</v>
      </c>
      <c r="D6" t="s">
        <v>397</v>
      </c>
      <c r="E6" t="s">
        <v>398</v>
      </c>
      <c r="F6" t="s">
        <v>399</v>
      </c>
      <c r="G6">
        <v>46105.364138877318</v>
      </c>
      <c r="H6" s="1" t="s">
        <v>400</v>
      </c>
      <c r="I6" t="s">
        <v>401</v>
      </c>
    </row>
    <row r="7" spans="1:9" x14ac:dyDescent="0.25">
      <c r="A7">
        <v>144793</v>
      </c>
      <c r="B7" t="s">
        <v>391</v>
      </c>
      <c r="C7">
        <v>3082</v>
      </c>
      <c r="D7" t="s">
        <v>397</v>
      </c>
      <c r="E7" t="s">
        <v>398</v>
      </c>
      <c r="F7" t="s">
        <v>399</v>
      </c>
      <c r="G7">
        <v>46105.364138877318</v>
      </c>
      <c r="H7" s="1" t="s">
        <v>400</v>
      </c>
      <c r="I7" t="s">
        <v>401</v>
      </c>
    </row>
    <row r="8" spans="1:9" x14ac:dyDescent="0.25">
      <c r="A8">
        <v>144793</v>
      </c>
      <c r="B8" t="s">
        <v>392</v>
      </c>
      <c r="C8">
        <v>3082</v>
      </c>
      <c r="D8" t="s">
        <v>397</v>
      </c>
      <c r="E8" t="s">
        <v>398</v>
      </c>
      <c r="F8" t="s">
        <v>399</v>
      </c>
      <c r="G8">
        <v>46105.364138877318</v>
      </c>
      <c r="H8" s="1" t="s">
        <v>400</v>
      </c>
      <c r="I8" t="s">
        <v>401</v>
      </c>
    </row>
    <row r="9" spans="1:9" x14ac:dyDescent="0.25">
      <c r="A9">
        <v>144793</v>
      </c>
      <c r="B9" t="s">
        <v>393</v>
      </c>
      <c r="C9">
        <v>3082</v>
      </c>
      <c r="D9" t="s">
        <v>397</v>
      </c>
      <c r="E9" t="s">
        <v>398</v>
      </c>
      <c r="F9" t="s">
        <v>399</v>
      </c>
      <c r="G9">
        <v>46105.364138877318</v>
      </c>
      <c r="H9" s="1" t="s">
        <v>400</v>
      </c>
      <c r="I9" t="s">
        <v>401</v>
      </c>
    </row>
    <row r="10" spans="1:9" x14ac:dyDescent="0.25">
      <c r="A10">
        <v>129201</v>
      </c>
      <c r="B10" t="s">
        <v>430</v>
      </c>
      <c r="C10">
        <v>3122</v>
      </c>
      <c r="D10" t="s">
        <v>397</v>
      </c>
      <c r="E10" t="s">
        <v>398</v>
      </c>
      <c r="F10" t="s">
        <v>399</v>
      </c>
      <c r="G10">
        <v>46106.627824212963</v>
      </c>
      <c r="H10" s="1" t="s">
        <v>400</v>
      </c>
      <c r="I10" t="s">
        <v>438</v>
      </c>
    </row>
    <row r="11" spans="1:9" x14ac:dyDescent="0.25">
      <c r="A11">
        <v>129201</v>
      </c>
      <c r="B11" t="s">
        <v>430</v>
      </c>
      <c r="C11">
        <v>3142</v>
      </c>
      <c r="D11" t="s">
        <v>439</v>
      </c>
      <c r="E11" t="s">
        <v>440</v>
      </c>
      <c r="F11" t="s">
        <v>399</v>
      </c>
      <c r="G11">
        <v>46112.508668923612</v>
      </c>
      <c r="H11" s="1" t="s">
        <v>441</v>
      </c>
    </row>
    <row r="12" spans="1:9" x14ac:dyDescent="0.25">
      <c r="A12">
        <v>129201</v>
      </c>
      <c r="B12" t="s">
        <v>432</v>
      </c>
      <c r="C12">
        <v>3122</v>
      </c>
      <c r="D12" t="s">
        <v>397</v>
      </c>
      <c r="E12" t="s">
        <v>398</v>
      </c>
      <c r="F12" t="s">
        <v>399</v>
      </c>
      <c r="G12">
        <v>46106.627824212963</v>
      </c>
      <c r="H12" s="1" t="s">
        <v>400</v>
      </c>
      <c r="I12" t="s">
        <v>438</v>
      </c>
    </row>
    <row r="13" spans="1:9" x14ac:dyDescent="0.25">
      <c r="A13">
        <v>129201</v>
      </c>
      <c r="B13" t="s">
        <v>432</v>
      </c>
      <c r="C13">
        <v>3142</v>
      </c>
      <c r="D13" t="s">
        <v>439</v>
      </c>
      <c r="E13" t="s">
        <v>440</v>
      </c>
      <c r="F13" t="s">
        <v>399</v>
      </c>
      <c r="G13">
        <v>46112.508668923612</v>
      </c>
      <c r="H13" s="1" t="s">
        <v>441</v>
      </c>
    </row>
    <row r="14" spans="1:9" x14ac:dyDescent="0.25">
      <c r="A14">
        <v>129201</v>
      </c>
      <c r="B14" t="s">
        <v>434</v>
      </c>
      <c r="C14">
        <v>3142</v>
      </c>
      <c r="D14" t="s">
        <v>439</v>
      </c>
      <c r="E14" t="s">
        <v>440</v>
      </c>
      <c r="F14" t="s">
        <v>399</v>
      </c>
      <c r="G14">
        <v>46112.508668923612</v>
      </c>
      <c r="H14" s="1" t="s">
        <v>441</v>
      </c>
    </row>
    <row r="15" spans="1:9" x14ac:dyDescent="0.25">
      <c r="A15">
        <v>129201</v>
      </c>
      <c r="B15" t="s">
        <v>434</v>
      </c>
      <c r="C15">
        <v>3122</v>
      </c>
      <c r="D15" t="s">
        <v>397</v>
      </c>
      <c r="E15" t="s">
        <v>398</v>
      </c>
      <c r="F15" t="s">
        <v>399</v>
      </c>
      <c r="G15">
        <v>46106.627824212963</v>
      </c>
      <c r="H15" s="1" t="s">
        <v>400</v>
      </c>
      <c r="I15" t="s">
        <v>438</v>
      </c>
    </row>
    <row r="16" spans="1:9" x14ac:dyDescent="0.25">
      <c r="A16">
        <v>129201</v>
      </c>
      <c r="B16" t="s">
        <v>435</v>
      </c>
      <c r="C16">
        <v>3142</v>
      </c>
      <c r="D16" t="s">
        <v>439</v>
      </c>
      <c r="E16" t="s">
        <v>440</v>
      </c>
      <c r="F16" t="s">
        <v>399</v>
      </c>
      <c r="G16">
        <v>46112.508668923612</v>
      </c>
      <c r="H16" s="1" t="s">
        <v>441</v>
      </c>
    </row>
    <row r="17" spans="1:9" x14ac:dyDescent="0.25">
      <c r="A17">
        <v>129201</v>
      </c>
      <c r="B17" t="s">
        <v>435</v>
      </c>
      <c r="C17">
        <v>3122</v>
      </c>
      <c r="D17" t="s">
        <v>397</v>
      </c>
      <c r="E17" t="s">
        <v>398</v>
      </c>
      <c r="F17" t="s">
        <v>399</v>
      </c>
      <c r="G17">
        <v>46106.627824212963</v>
      </c>
      <c r="H17" s="1" t="s">
        <v>400</v>
      </c>
      <c r="I17" t="s">
        <v>438</v>
      </c>
    </row>
  </sheetData>
  <pageMargins left="0.7" right="0.7" top="0.75" bottom="0.75" header="0.3" footer="0.3"/>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B895-930E-4093-B0AF-3713AC11B200}">
  <dimension ref="A1:S41"/>
  <sheetViews>
    <sheetView topLeftCell="A16" workbookViewId="0"/>
  </sheetViews>
  <sheetFormatPr defaultRowHeight="15" x14ac:dyDescent="0.25"/>
  <cols>
    <col min="1" max="1" width="32.7109375" bestFit="1" customWidth="1"/>
    <col min="2" max="2" width="16.28515625" bestFit="1" customWidth="1"/>
    <col min="3" max="3" width="3" bestFit="1" customWidth="1"/>
    <col min="4" max="4" width="3.85546875" bestFit="1" customWidth="1"/>
    <col min="5" max="6" width="3" bestFit="1" customWidth="1"/>
    <col min="7" max="7" width="3.85546875" bestFit="1" customWidth="1"/>
    <col min="8" max="8" width="3" bestFit="1" customWidth="1"/>
    <col min="9" max="10" width="4" bestFit="1" customWidth="1"/>
    <col min="11" max="12" width="3" bestFit="1" customWidth="1"/>
    <col min="13" max="13" width="7.28515625" bestFit="1" customWidth="1"/>
    <col min="14" max="18" width="3" bestFit="1" customWidth="1"/>
    <col min="19" max="19" width="11.28515625" bestFit="1" customWidth="1"/>
    <col min="20" max="20" width="6.85546875" bestFit="1" customWidth="1"/>
    <col min="21" max="21" width="11.5703125" bestFit="1" customWidth="1"/>
    <col min="22" max="22" width="10.7109375" bestFit="1" customWidth="1"/>
    <col min="23" max="23" width="19.7109375" bestFit="1" customWidth="1"/>
    <col min="24" max="24" width="17.42578125" bestFit="1" customWidth="1"/>
    <col min="25" max="25" width="22.140625" bestFit="1" customWidth="1"/>
    <col min="26" max="26" width="15" bestFit="1" customWidth="1"/>
    <col min="27" max="27" width="19.7109375" bestFit="1" customWidth="1"/>
    <col min="28" max="28" width="17.42578125" bestFit="1" customWidth="1"/>
    <col min="29" max="29" width="22.140625" bestFit="1" customWidth="1"/>
    <col min="30" max="30" width="15" bestFit="1" customWidth="1"/>
    <col min="31" max="31" width="19.7109375" bestFit="1" customWidth="1"/>
    <col min="32" max="32" width="15" bestFit="1" customWidth="1"/>
    <col min="33" max="33" width="19.7109375" bestFit="1" customWidth="1"/>
    <col min="34" max="34" width="15" bestFit="1" customWidth="1"/>
    <col min="35" max="35" width="19.7109375" bestFit="1" customWidth="1"/>
    <col min="36" max="36" width="15" bestFit="1" customWidth="1"/>
    <col min="37" max="37" width="19.7109375" bestFit="1" customWidth="1"/>
    <col min="38" max="38" width="15" bestFit="1" customWidth="1"/>
    <col min="39" max="39" width="19.7109375" bestFit="1" customWidth="1"/>
    <col min="40" max="40" width="21.5703125" bestFit="1" customWidth="1"/>
    <col min="41" max="41" width="26.42578125" bestFit="1" customWidth="1"/>
    <col min="42" max="42" width="19.7109375" bestFit="1" customWidth="1"/>
    <col min="43" max="43" width="24.5703125" bestFit="1" customWidth="1"/>
  </cols>
  <sheetData>
    <row r="1" spans="1:19" x14ac:dyDescent="0.25">
      <c r="A1" s="7" t="s">
        <v>11</v>
      </c>
      <c r="B1" t="s">
        <v>31</v>
      </c>
    </row>
    <row r="3" spans="1:19" x14ac:dyDescent="0.25">
      <c r="A3" s="7" t="s">
        <v>339</v>
      </c>
      <c r="B3" s="7" t="s">
        <v>338</v>
      </c>
    </row>
    <row r="4" spans="1:19" x14ac:dyDescent="0.25">
      <c r="A4" s="7" t="s">
        <v>335</v>
      </c>
      <c r="B4" t="s">
        <v>96</v>
      </c>
      <c r="C4" t="s">
        <v>100</v>
      </c>
      <c r="D4" t="s">
        <v>61</v>
      </c>
      <c r="E4" t="s">
        <v>67</v>
      </c>
      <c r="F4" t="s">
        <v>64</v>
      </c>
      <c r="G4" t="s">
        <v>71</v>
      </c>
      <c r="H4" t="s">
        <v>198</v>
      </c>
      <c r="I4" t="s">
        <v>58</v>
      </c>
      <c r="J4" t="s">
        <v>69</v>
      </c>
      <c r="K4" t="s">
        <v>276</v>
      </c>
      <c r="L4" t="s">
        <v>278</v>
      </c>
      <c r="M4" t="s">
        <v>336</v>
      </c>
      <c r="N4" t="s">
        <v>374</v>
      </c>
      <c r="O4" t="s">
        <v>103</v>
      </c>
      <c r="P4" t="s">
        <v>275</v>
      </c>
      <c r="Q4" t="s">
        <v>395</v>
      </c>
      <c r="R4" t="s">
        <v>437</v>
      </c>
      <c r="S4" t="s">
        <v>337</v>
      </c>
    </row>
    <row r="5" spans="1:19" x14ac:dyDescent="0.25">
      <c r="A5" s="8" t="s">
        <v>200</v>
      </c>
      <c r="B5" s="12">
        <v>4</v>
      </c>
      <c r="C5" s="12">
        <v>38</v>
      </c>
      <c r="D5" s="12">
        <v>10</v>
      </c>
      <c r="E5" s="12">
        <v>23</v>
      </c>
      <c r="F5" s="12">
        <v>8</v>
      </c>
      <c r="G5" s="12">
        <v>3</v>
      </c>
      <c r="H5" s="12">
        <v>23</v>
      </c>
      <c r="I5" s="12">
        <v>275</v>
      </c>
      <c r="J5" s="12">
        <v>71</v>
      </c>
      <c r="K5" s="12">
        <v>15</v>
      </c>
      <c r="L5" s="12">
        <v>2</v>
      </c>
      <c r="M5" s="12"/>
      <c r="N5" s="12">
        <v>1</v>
      </c>
      <c r="O5" s="12">
        <v>1</v>
      </c>
      <c r="P5" s="12"/>
      <c r="Q5" s="12"/>
      <c r="R5" s="12"/>
      <c r="S5" s="12">
        <v>474</v>
      </c>
    </row>
    <row r="6" spans="1:19" x14ac:dyDescent="0.25">
      <c r="A6" s="9">
        <v>2022</v>
      </c>
      <c r="B6" s="12"/>
      <c r="C6" s="12">
        <v>21</v>
      </c>
      <c r="D6" s="12">
        <v>3</v>
      </c>
      <c r="E6" s="12"/>
      <c r="F6" s="12">
        <v>2</v>
      </c>
      <c r="G6" s="12"/>
      <c r="H6" s="12">
        <v>8</v>
      </c>
      <c r="I6" s="12">
        <v>162</v>
      </c>
      <c r="J6" s="12">
        <v>53</v>
      </c>
      <c r="K6" s="12">
        <v>3</v>
      </c>
      <c r="L6" s="12">
        <v>2</v>
      </c>
      <c r="M6" s="12"/>
      <c r="N6" s="12"/>
      <c r="O6" s="12"/>
      <c r="P6" s="12"/>
      <c r="Q6" s="12"/>
      <c r="R6" s="12"/>
      <c r="S6" s="12">
        <v>254</v>
      </c>
    </row>
    <row r="7" spans="1:19" x14ac:dyDescent="0.25">
      <c r="A7" s="10" t="s">
        <v>201</v>
      </c>
      <c r="B7" s="12"/>
      <c r="C7" s="12">
        <v>20</v>
      </c>
      <c r="D7" s="12">
        <v>2</v>
      </c>
      <c r="E7" s="12"/>
      <c r="F7" s="12">
        <v>1</v>
      </c>
      <c r="G7" s="12"/>
      <c r="H7" s="12">
        <v>1</v>
      </c>
      <c r="I7" s="12">
        <v>45</v>
      </c>
      <c r="J7" s="12">
        <v>14</v>
      </c>
      <c r="K7" s="12"/>
      <c r="L7" s="12"/>
      <c r="M7" s="12"/>
      <c r="N7" s="12"/>
      <c r="O7" s="12"/>
      <c r="P7" s="12"/>
      <c r="Q7" s="12"/>
      <c r="R7" s="12"/>
      <c r="S7" s="12">
        <v>83</v>
      </c>
    </row>
    <row r="8" spans="1:19" x14ac:dyDescent="0.25">
      <c r="A8" s="10" t="s">
        <v>265</v>
      </c>
      <c r="B8" s="12"/>
      <c r="C8" s="12">
        <v>1</v>
      </c>
      <c r="D8" s="12">
        <v>1</v>
      </c>
      <c r="E8" s="12"/>
      <c r="F8" s="12"/>
      <c r="G8" s="12"/>
      <c r="H8" s="12">
        <v>1</v>
      </c>
      <c r="I8" s="12">
        <v>53</v>
      </c>
      <c r="J8" s="12">
        <v>24</v>
      </c>
      <c r="K8" s="12">
        <v>3</v>
      </c>
      <c r="L8" s="12">
        <v>2</v>
      </c>
      <c r="M8" s="12"/>
      <c r="N8" s="12"/>
      <c r="O8" s="12"/>
      <c r="P8" s="12"/>
      <c r="Q8" s="12"/>
      <c r="R8" s="12"/>
      <c r="S8" s="12">
        <v>85</v>
      </c>
    </row>
    <row r="9" spans="1:19" x14ac:dyDescent="0.25">
      <c r="A9" s="10" t="s">
        <v>279</v>
      </c>
      <c r="B9" s="12"/>
      <c r="C9" s="12"/>
      <c r="D9" s="12"/>
      <c r="E9" s="12"/>
      <c r="F9" s="12">
        <v>1</v>
      </c>
      <c r="G9" s="12"/>
      <c r="H9" s="12">
        <v>6</v>
      </c>
      <c r="I9" s="12">
        <v>64</v>
      </c>
      <c r="J9" s="12">
        <v>15</v>
      </c>
      <c r="K9" s="12"/>
      <c r="L9" s="12"/>
      <c r="M9" s="12"/>
      <c r="N9" s="12"/>
      <c r="O9" s="12"/>
      <c r="P9" s="12"/>
      <c r="Q9" s="12"/>
      <c r="R9" s="12"/>
      <c r="S9" s="12">
        <v>86</v>
      </c>
    </row>
    <row r="10" spans="1:19" x14ac:dyDescent="0.25">
      <c r="A10" s="9">
        <v>2023</v>
      </c>
      <c r="B10" s="12"/>
      <c r="C10" s="12">
        <v>3</v>
      </c>
      <c r="D10" s="12"/>
      <c r="E10" s="12"/>
      <c r="F10" s="12">
        <v>2</v>
      </c>
      <c r="G10" s="12">
        <v>1</v>
      </c>
      <c r="H10" s="12"/>
      <c r="I10" s="12">
        <v>9</v>
      </c>
      <c r="J10" s="12">
        <v>10</v>
      </c>
      <c r="K10" s="12"/>
      <c r="L10" s="12"/>
      <c r="M10" s="12"/>
      <c r="N10" s="12"/>
      <c r="O10" s="12"/>
      <c r="P10" s="12"/>
      <c r="Q10" s="12"/>
      <c r="R10" s="12"/>
      <c r="S10" s="12">
        <v>25</v>
      </c>
    </row>
    <row r="11" spans="1:19" x14ac:dyDescent="0.25">
      <c r="A11" s="10" t="s">
        <v>290</v>
      </c>
      <c r="B11" s="12"/>
      <c r="C11" s="12"/>
      <c r="D11" s="12"/>
      <c r="E11" s="12"/>
      <c r="F11" s="12">
        <v>1</v>
      </c>
      <c r="G11" s="12"/>
      <c r="H11" s="12"/>
      <c r="I11" s="12">
        <v>2</v>
      </c>
      <c r="J11" s="12">
        <v>7</v>
      </c>
      <c r="K11" s="12"/>
      <c r="L11" s="12"/>
      <c r="M11" s="12"/>
      <c r="N11" s="12"/>
      <c r="O11" s="12"/>
      <c r="P11" s="12"/>
      <c r="Q11" s="12"/>
      <c r="R11" s="12"/>
      <c r="S11" s="12">
        <v>10</v>
      </c>
    </row>
    <row r="12" spans="1:19" x14ac:dyDescent="0.25">
      <c r="A12" s="10" t="s">
        <v>265</v>
      </c>
      <c r="B12" s="12"/>
      <c r="C12" s="12"/>
      <c r="D12" s="12"/>
      <c r="E12" s="12"/>
      <c r="F12" s="12"/>
      <c r="G12" s="12"/>
      <c r="H12" s="12"/>
      <c r="I12" s="12">
        <v>1</v>
      </c>
      <c r="J12" s="12"/>
      <c r="K12" s="12"/>
      <c r="L12" s="12"/>
      <c r="M12" s="12"/>
      <c r="N12" s="12"/>
      <c r="O12" s="12"/>
      <c r="P12" s="12"/>
      <c r="Q12" s="12"/>
      <c r="R12" s="12"/>
      <c r="S12" s="12">
        <v>1</v>
      </c>
    </row>
    <row r="13" spans="1:19" x14ac:dyDescent="0.25">
      <c r="A13" s="10" t="s">
        <v>305</v>
      </c>
      <c r="B13" s="12"/>
      <c r="C13" s="12">
        <v>3</v>
      </c>
      <c r="D13" s="12"/>
      <c r="E13" s="12"/>
      <c r="F13" s="12">
        <v>1</v>
      </c>
      <c r="G13" s="12">
        <v>1</v>
      </c>
      <c r="H13" s="12"/>
      <c r="I13" s="12">
        <v>6</v>
      </c>
      <c r="J13" s="12">
        <v>3</v>
      </c>
      <c r="K13" s="12"/>
      <c r="L13" s="12"/>
      <c r="M13" s="12"/>
      <c r="N13" s="12"/>
      <c r="O13" s="12"/>
      <c r="P13" s="12"/>
      <c r="Q13" s="12"/>
      <c r="R13" s="12"/>
      <c r="S13" s="12">
        <v>14</v>
      </c>
    </row>
    <row r="14" spans="1:19" x14ac:dyDescent="0.25">
      <c r="A14" s="9">
        <v>2024</v>
      </c>
      <c r="B14" s="12">
        <v>3</v>
      </c>
      <c r="C14" s="12">
        <v>8</v>
      </c>
      <c r="D14" s="12">
        <v>2</v>
      </c>
      <c r="E14" s="12">
        <v>7</v>
      </c>
      <c r="F14" s="12">
        <v>2</v>
      </c>
      <c r="G14" s="12"/>
      <c r="H14" s="12">
        <v>3</v>
      </c>
      <c r="I14" s="12">
        <v>30</v>
      </c>
      <c r="J14" s="12">
        <v>2</v>
      </c>
      <c r="K14" s="12"/>
      <c r="L14" s="12"/>
      <c r="M14" s="12"/>
      <c r="N14" s="12"/>
      <c r="O14" s="12"/>
      <c r="P14" s="12"/>
      <c r="Q14" s="12"/>
      <c r="R14" s="12"/>
      <c r="S14" s="12">
        <v>57</v>
      </c>
    </row>
    <row r="15" spans="1:19" x14ac:dyDescent="0.25">
      <c r="A15" s="10" t="s">
        <v>320</v>
      </c>
      <c r="B15" s="12"/>
      <c r="C15" s="12"/>
      <c r="D15" s="12"/>
      <c r="E15" s="12"/>
      <c r="F15" s="12">
        <v>1</v>
      </c>
      <c r="G15" s="12"/>
      <c r="H15" s="12"/>
      <c r="I15" s="12">
        <v>1</v>
      </c>
      <c r="J15" s="12"/>
      <c r="K15" s="12"/>
      <c r="L15" s="12"/>
      <c r="M15" s="12"/>
      <c r="N15" s="12"/>
      <c r="O15" s="12"/>
      <c r="P15" s="12"/>
      <c r="Q15" s="12"/>
      <c r="R15" s="12"/>
      <c r="S15" s="12">
        <v>2</v>
      </c>
    </row>
    <row r="16" spans="1:19" x14ac:dyDescent="0.25">
      <c r="A16" s="10" t="s">
        <v>265</v>
      </c>
      <c r="B16" s="12"/>
      <c r="C16" s="12"/>
      <c r="D16" s="12"/>
      <c r="E16" s="12"/>
      <c r="F16" s="12">
        <v>1</v>
      </c>
      <c r="G16" s="12"/>
      <c r="H16" s="12"/>
      <c r="I16" s="12">
        <v>1</v>
      </c>
      <c r="J16" s="12"/>
      <c r="K16" s="12"/>
      <c r="L16" s="12"/>
      <c r="M16" s="12"/>
      <c r="N16" s="12"/>
      <c r="O16" s="12"/>
      <c r="P16" s="12"/>
      <c r="Q16" s="12"/>
      <c r="R16" s="12"/>
      <c r="S16" s="12">
        <v>2</v>
      </c>
    </row>
    <row r="17" spans="1:19" x14ac:dyDescent="0.25">
      <c r="A17" s="10" t="s">
        <v>305</v>
      </c>
      <c r="B17" s="12"/>
      <c r="C17" s="12"/>
      <c r="D17" s="12"/>
      <c r="E17" s="12">
        <v>1</v>
      </c>
      <c r="F17" s="12"/>
      <c r="G17" s="12"/>
      <c r="H17" s="12">
        <v>1</v>
      </c>
      <c r="I17" s="12">
        <v>16</v>
      </c>
      <c r="J17" s="12"/>
      <c r="K17" s="12"/>
      <c r="L17" s="12"/>
      <c r="M17" s="12"/>
      <c r="N17" s="12"/>
      <c r="O17" s="12"/>
      <c r="P17" s="12"/>
      <c r="Q17" s="12"/>
      <c r="R17" s="12"/>
      <c r="S17" s="12">
        <v>18</v>
      </c>
    </row>
    <row r="18" spans="1:19" x14ac:dyDescent="0.25">
      <c r="A18" s="10" t="s">
        <v>330</v>
      </c>
      <c r="B18" s="12"/>
      <c r="C18" s="12"/>
      <c r="D18" s="12">
        <v>2</v>
      </c>
      <c r="E18" s="12">
        <v>2</v>
      </c>
      <c r="F18" s="12"/>
      <c r="G18" s="12"/>
      <c r="H18" s="12">
        <v>2</v>
      </c>
      <c r="I18" s="12"/>
      <c r="J18" s="12"/>
      <c r="K18" s="12"/>
      <c r="L18" s="12"/>
      <c r="M18" s="12"/>
      <c r="N18" s="12"/>
      <c r="O18" s="12"/>
      <c r="P18" s="12"/>
      <c r="Q18" s="12"/>
      <c r="R18" s="12"/>
      <c r="S18" s="12">
        <v>6</v>
      </c>
    </row>
    <row r="19" spans="1:19" x14ac:dyDescent="0.25">
      <c r="A19" s="10" t="s">
        <v>279</v>
      </c>
      <c r="B19" s="12">
        <v>3</v>
      </c>
      <c r="C19" s="12">
        <v>8</v>
      </c>
      <c r="D19" s="12"/>
      <c r="E19" s="12">
        <v>4</v>
      </c>
      <c r="F19" s="12"/>
      <c r="G19" s="12"/>
      <c r="H19" s="12"/>
      <c r="I19" s="12">
        <v>12</v>
      </c>
      <c r="J19" s="12">
        <v>2</v>
      </c>
      <c r="K19" s="12"/>
      <c r="L19" s="12"/>
      <c r="M19" s="12"/>
      <c r="N19" s="12"/>
      <c r="O19" s="12"/>
      <c r="P19" s="12"/>
      <c r="Q19" s="12"/>
      <c r="R19" s="12"/>
      <c r="S19" s="12">
        <v>29</v>
      </c>
    </row>
    <row r="20" spans="1:19" x14ac:dyDescent="0.25">
      <c r="A20" s="9">
        <v>2025</v>
      </c>
      <c r="B20" s="12">
        <v>1</v>
      </c>
      <c r="C20" s="12">
        <v>6</v>
      </c>
      <c r="D20" s="12">
        <v>5</v>
      </c>
      <c r="E20" s="12">
        <v>16</v>
      </c>
      <c r="F20" s="12">
        <v>2</v>
      </c>
      <c r="G20" s="12">
        <v>2</v>
      </c>
      <c r="H20" s="12">
        <v>12</v>
      </c>
      <c r="I20" s="12">
        <v>74</v>
      </c>
      <c r="J20" s="12">
        <v>6</v>
      </c>
      <c r="K20" s="12">
        <v>12</v>
      </c>
      <c r="L20" s="12"/>
      <c r="M20" s="12"/>
      <c r="N20" s="12">
        <v>1</v>
      </c>
      <c r="O20" s="12">
        <v>1</v>
      </c>
      <c r="P20" s="12"/>
      <c r="Q20" s="12"/>
      <c r="R20" s="12"/>
      <c r="S20" s="12">
        <v>138</v>
      </c>
    </row>
    <row r="21" spans="1:19" x14ac:dyDescent="0.25">
      <c r="A21" s="10" t="s">
        <v>201</v>
      </c>
      <c r="B21" s="12">
        <v>1</v>
      </c>
      <c r="C21" s="12">
        <v>6</v>
      </c>
      <c r="D21" s="12">
        <v>5</v>
      </c>
      <c r="E21" s="12">
        <v>16</v>
      </c>
      <c r="F21" s="12">
        <v>2</v>
      </c>
      <c r="G21" s="12">
        <v>2</v>
      </c>
      <c r="H21" s="12">
        <v>12</v>
      </c>
      <c r="I21" s="12">
        <v>74</v>
      </c>
      <c r="J21" s="12">
        <v>6</v>
      </c>
      <c r="K21" s="12">
        <v>12</v>
      </c>
      <c r="L21" s="12"/>
      <c r="M21" s="12"/>
      <c r="N21" s="12">
        <v>1</v>
      </c>
      <c r="O21" s="12">
        <v>1</v>
      </c>
      <c r="P21" s="12"/>
      <c r="Q21" s="12"/>
      <c r="R21" s="12"/>
      <c r="S21" s="12">
        <v>138</v>
      </c>
    </row>
    <row r="22" spans="1:19" x14ac:dyDescent="0.25">
      <c r="A22" s="8" t="s">
        <v>24</v>
      </c>
      <c r="B22" s="12"/>
      <c r="C22" s="12"/>
      <c r="D22" s="12">
        <v>10</v>
      </c>
      <c r="E22" s="12">
        <v>3</v>
      </c>
      <c r="F22" s="12"/>
      <c r="G22" s="12">
        <v>5</v>
      </c>
      <c r="H22" s="12">
        <v>5</v>
      </c>
      <c r="I22" s="12">
        <v>37</v>
      </c>
      <c r="J22" s="12">
        <v>14</v>
      </c>
      <c r="K22" s="12">
        <v>2</v>
      </c>
      <c r="L22" s="12"/>
      <c r="M22" s="12"/>
      <c r="N22" s="12"/>
      <c r="O22" s="12"/>
      <c r="P22" s="12"/>
      <c r="Q22" s="12"/>
      <c r="R22" s="12"/>
      <c r="S22" s="12">
        <v>76</v>
      </c>
    </row>
    <row r="23" spans="1:19" x14ac:dyDescent="0.25">
      <c r="A23" s="9">
        <v>2022</v>
      </c>
      <c r="B23" s="12"/>
      <c r="C23" s="12"/>
      <c r="D23" s="12">
        <v>3</v>
      </c>
      <c r="E23" s="12">
        <v>1</v>
      </c>
      <c r="F23" s="12"/>
      <c r="G23" s="12">
        <v>2</v>
      </c>
      <c r="H23" s="12"/>
      <c r="I23" s="12">
        <v>8</v>
      </c>
      <c r="J23" s="12">
        <v>2</v>
      </c>
      <c r="K23" s="12"/>
      <c r="L23" s="12"/>
      <c r="M23" s="12"/>
      <c r="N23" s="12"/>
      <c r="O23" s="12"/>
      <c r="P23" s="12"/>
      <c r="Q23" s="12"/>
      <c r="R23" s="12"/>
      <c r="S23" s="12">
        <v>16</v>
      </c>
    </row>
    <row r="24" spans="1:19" x14ac:dyDescent="0.25">
      <c r="A24" s="10" t="s">
        <v>27</v>
      </c>
      <c r="B24" s="12"/>
      <c r="C24" s="12"/>
      <c r="D24" s="12">
        <v>3</v>
      </c>
      <c r="E24" s="12">
        <v>1</v>
      </c>
      <c r="F24" s="12"/>
      <c r="G24" s="12">
        <v>2</v>
      </c>
      <c r="H24" s="12"/>
      <c r="I24" s="12">
        <v>8</v>
      </c>
      <c r="J24" s="12">
        <v>2</v>
      </c>
      <c r="K24" s="12"/>
      <c r="L24" s="12"/>
      <c r="M24" s="12"/>
      <c r="N24" s="12"/>
      <c r="O24" s="12"/>
      <c r="P24" s="12"/>
      <c r="Q24" s="12"/>
      <c r="R24" s="12"/>
      <c r="S24" s="12">
        <v>16</v>
      </c>
    </row>
    <row r="25" spans="1:19" x14ac:dyDescent="0.25">
      <c r="A25" s="9">
        <v>2023</v>
      </c>
      <c r="B25" s="12"/>
      <c r="C25" s="12"/>
      <c r="D25" s="12">
        <v>2</v>
      </c>
      <c r="E25" s="12"/>
      <c r="F25" s="12"/>
      <c r="G25" s="12">
        <v>2</v>
      </c>
      <c r="H25" s="12"/>
      <c r="I25" s="12">
        <v>6</v>
      </c>
      <c r="J25" s="12">
        <v>1</v>
      </c>
      <c r="K25" s="12"/>
      <c r="L25" s="12"/>
      <c r="M25" s="12"/>
      <c r="N25" s="12"/>
      <c r="O25" s="12"/>
      <c r="P25" s="12"/>
      <c r="Q25" s="12"/>
      <c r="R25" s="12"/>
      <c r="S25" s="12">
        <v>11</v>
      </c>
    </row>
    <row r="26" spans="1:19" x14ac:dyDescent="0.25">
      <c r="A26" s="10" t="s">
        <v>177</v>
      </c>
      <c r="B26" s="12"/>
      <c r="C26" s="12"/>
      <c r="D26" s="12">
        <v>2</v>
      </c>
      <c r="E26" s="12"/>
      <c r="F26" s="12"/>
      <c r="G26" s="12">
        <v>2</v>
      </c>
      <c r="H26" s="12"/>
      <c r="I26" s="12">
        <v>6</v>
      </c>
      <c r="J26" s="12">
        <v>1</v>
      </c>
      <c r="K26" s="12"/>
      <c r="L26" s="12"/>
      <c r="M26" s="12"/>
      <c r="N26" s="12"/>
      <c r="O26" s="12"/>
      <c r="P26" s="12"/>
      <c r="Q26" s="12"/>
      <c r="R26" s="12"/>
      <c r="S26" s="12">
        <v>11</v>
      </c>
    </row>
    <row r="27" spans="1:19" x14ac:dyDescent="0.25">
      <c r="A27" s="9">
        <v>2024</v>
      </c>
      <c r="B27" s="12"/>
      <c r="C27" s="12"/>
      <c r="D27" s="12"/>
      <c r="E27" s="12"/>
      <c r="F27" s="12"/>
      <c r="G27" s="12">
        <v>1</v>
      </c>
      <c r="H27" s="12">
        <v>2</v>
      </c>
      <c r="I27" s="12">
        <v>6</v>
      </c>
      <c r="J27" s="12">
        <v>1</v>
      </c>
      <c r="K27" s="12"/>
      <c r="L27" s="12"/>
      <c r="M27" s="12"/>
      <c r="N27" s="12"/>
      <c r="O27" s="12"/>
      <c r="P27" s="12"/>
      <c r="Q27" s="12"/>
      <c r="R27" s="12"/>
      <c r="S27" s="12">
        <v>10</v>
      </c>
    </row>
    <row r="28" spans="1:19" x14ac:dyDescent="0.25">
      <c r="A28" s="10" t="s">
        <v>177</v>
      </c>
      <c r="B28" s="12"/>
      <c r="C28" s="12"/>
      <c r="D28" s="12"/>
      <c r="E28" s="12"/>
      <c r="F28" s="12"/>
      <c r="G28" s="12">
        <v>1</v>
      </c>
      <c r="H28" s="12">
        <v>2</v>
      </c>
      <c r="I28" s="12">
        <v>6</v>
      </c>
      <c r="J28" s="12">
        <v>1</v>
      </c>
      <c r="K28" s="12"/>
      <c r="L28" s="12"/>
      <c r="M28" s="12"/>
      <c r="N28" s="12"/>
      <c r="O28" s="12"/>
      <c r="P28" s="12"/>
      <c r="Q28" s="12"/>
      <c r="R28" s="12"/>
      <c r="S28" s="12">
        <v>10</v>
      </c>
    </row>
    <row r="29" spans="1:19" x14ac:dyDescent="0.25">
      <c r="A29" s="9">
        <v>2025</v>
      </c>
      <c r="B29" s="12"/>
      <c r="C29" s="12"/>
      <c r="D29" s="12">
        <v>5</v>
      </c>
      <c r="E29" s="12">
        <v>2</v>
      </c>
      <c r="F29" s="12"/>
      <c r="G29" s="12"/>
      <c r="H29" s="12">
        <v>3</v>
      </c>
      <c r="I29" s="12">
        <v>17</v>
      </c>
      <c r="J29" s="12">
        <v>10</v>
      </c>
      <c r="K29" s="12">
        <v>2</v>
      </c>
      <c r="L29" s="12"/>
      <c r="M29" s="12"/>
      <c r="N29" s="12"/>
      <c r="O29" s="12"/>
      <c r="P29" s="12"/>
      <c r="Q29" s="12"/>
      <c r="R29" s="12"/>
      <c r="S29" s="12">
        <v>39</v>
      </c>
    </row>
    <row r="30" spans="1:19" x14ac:dyDescent="0.25">
      <c r="A30" s="10" t="s">
        <v>177</v>
      </c>
      <c r="B30" s="12"/>
      <c r="C30" s="12"/>
      <c r="D30" s="12">
        <v>5</v>
      </c>
      <c r="E30" s="12">
        <v>2</v>
      </c>
      <c r="F30" s="12"/>
      <c r="G30" s="12"/>
      <c r="H30" s="12">
        <v>3</v>
      </c>
      <c r="I30" s="12">
        <v>17</v>
      </c>
      <c r="J30" s="12">
        <v>10</v>
      </c>
      <c r="K30" s="12">
        <v>2</v>
      </c>
      <c r="L30" s="12"/>
      <c r="M30" s="12"/>
      <c r="N30" s="12"/>
      <c r="O30" s="12"/>
      <c r="P30" s="12"/>
      <c r="Q30" s="12"/>
      <c r="R30" s="12"/>
      <c r="S30" s="12">
        <v>39</v>
      </c>
    </row>
    <row r="31" spans="1:19" x14ac:dyDescent="0.25">
      <c r="A31" s="8" t="s">
        <v>377</v>
      </c>
      <c r="B31" s="12">
        <v>6</v>
      </c>
      <c r="C31" s="12">
        <v>15</v>
      </c>
      <c r="D31" s="12">
        <v>2</v>
      </c>
      <c r="E31" s="12">
        <v>20</v>
      </c>
      <c r="F31" s="12">
        <v>2</v>
      </c>
      <c r="G31" s="12">
        <v>1</v>
      </c>
      <c r="H31" s="12">
        <v>20</v>
      </c>
      <c r="I31" s="12">
        <v>367</v>
      </c>
      <c r="J31" s="12">
        <v>100</v>
      </c>
      <c r="K31" s="12">
        <v>7</v>
      </c>
      <c r="L31" s="12">
        <v>1</v>
      </c>
      <c r="M31" s="12"/>
      <c r="N31" s="12"/>
      <c r="O31" s="12">
        <v>1</v>
      </c>
      <c r="P31" s="12">
        <v>1</v>
      </c>
      <c r="Q31" s="12">
        <v>2</v>
      </c>
      <c r="R31" s="12">
        <v>1</v>
      </c>
      <c r="S31" s="12">
        <v>546</v>
      </c>
    </row>
    <row r="32" spans="1:19" x14ac:dyDescent="0.25">
      <c r="A32" s="9">
        <v>2023</v>
      </c>
      <c r="B32" s="12"/>
      <c r="C32" s="12">
        <v>2</v>
      </c>
      <c r="D32" s="12">
        <v>2</v>
      </c>
      <c r="E32" s="12"/>
      <c r="F32" s="12">
        <v>2</v>
      </c>
      <c r="G32" s="12">
        <v>1</v>
      </c>
      <c r="H32" s="12">
        <v>8</v>
      </c>
      <c r="I32" s="12">
        <v>104</v>
      </c>
      <c r="J32" s="12">
        <v>57</v>
      </c>
      <c r="K32" s="12">
        <v>3</v>
      </c>
      <c r="L32" s="12">
        <v>1</v>
      </c>
      <c r="M32" s="12"/>
      <c r="N32" s="12"/>
      <c r="O32" s="12"/>
      <c r="P32" s="12"/>
      <c r="Q32" s="12"/>
      <c r="R32" s="12"/>
      <c r="S32" s="12">
        <v>180</v>
      </c>
    </row>
    <row r="33" spans="1:19" x14ac:dyDescent="0.25">
      <c r="A33" s="10" t="s">
        <v>265</v>
      </c>
      <c r="B33" s="12"/>
      <c r="C33" s="12">
        <v>2</v>
      </c>
      <c r="D33" s="12">
        <v>1</v>
      </c>
      <c r="E33" s="12"/>
      <c r="F33" s="12"/>
      <c r="G33" s="12"/>
      <c r="H33" s="12">
        <v>5</v>
      </c>
      <c r="I33" s="12">
        <v>65</v>
      </c>
      <c r="J33" s="12">
        <v>20</v>
      </c>
      <c r="K33" s="12">
        <v>3</v>
      </c>
      <c r="L33" s="12">
        <v>1</v>
      </c>
      <c r="M33" s="12"/>
      <c r="N33" s="12"/>
      <c r="O33" s="12"/>
      <c r="P33" s="12"/>
      <c r="Q33" s="12"/>
      <c r="R33" s="12"/>
      <c r="S33" s="12">
        <v>97</v>
      </c>
    </row>
    <row r="34" spans="1:19" x14ac:dyDescent="0.25">
      <c r="A34" s="10" t="s">
        <v>279</v>
      </c>
      <c r="B34" s="12"/>
      <c r="C34" s="12"/>
      <c r="D34" s="12">
        <v>1</v>
      </c>
      <c r="E34" s="12"/>
      <c r="F34" s="12">
        <v>2</v>
      </c>
      <c r="G34" s="12">
        <v>1</v>
      </c>
      <c r="H34" s="12">
        <v>3</v>
      </c>
      <c r="I34" s="12">
        <v>39</v>
      </c>
      <c r="J34" s="12">
        <v>37</v>
      </c>
      <c r="K34" s="12"/>
      <c r="L34" s="12"/>
      <c r="M34" s="12"/>
      <c r="N34" s="12"/>
      <c r="O34" s="12"/>
      <c r="P34" s="12"/>
      <c r="Q34" s="12"/>
      <c r="R34" s="12"/>
      <c r="S34" s="12">
        <v>83</v>
      </c>
    </row>
    <row r="35" spans="1:19" x14ac:dyDescent="0.25">
      <c r="A35" s="9">
        <v>2024</v>
      </c>
      <c r="B35" s="12">
        <v>6</v>
      </c>
      <c r="C35" s="12">
        <v>12</v>
      </c>
      <c r="D35" s="12"/>
      <c r="E35" s="12">
        <v>5</v>
      </c>
      <c r="F35" s="12"/>
      <c r="G35" s="12"/>
      <c r="H35" s="12"/>
      <c r="I35" s="12">
        <v>104</v>
      </c>
      <c r="J35" s="12">
        <v>29</v>
      </c>
      <c r="K35" s="12">
        <v>2</v>
      </c>
      <c r="L35" s="12"/>
      <c r="M35" s="12"/>
      <c r="N35" s="12"/>
      <c r="O35" s="12"/>
      <c r="P35" s="12"/>
      <c r="Q35" s="12"/>
      <c r="R35" s="12">
        <v>1</v>
      </c>
      <c r="S35" s="12">
        <v>159</v>
      </c>
    </row>
    <row r="36" spans="1:19" x14ac:dyDescent="0.25">
      <c r="A36" s="10" t="s">
        <v>265</v>
      </c>
      <c r="B36" s="12"/>
      <c r="C36" s="12">
        <v>9</v>
      </c>
      <c r="D36" s="12"/>
      <c r="E36" s="12">
        <v>1</v>
      </c>
      <c r="F36" s="12"/>
      <c r="G36" s="12"/>
      <c r="H36" s="12"/>
      <c r="I36" s="12">
        <v>75</v>
      </c>
      <c r="J36" s="12">
        <v>23</v>
      </c>
      <c r="K36" s="12">
        <v>2</v>
      </c>
      <c r="L36" s="12"/>
      <c r="M36" s="12"/>
      <c r="N36" s="12"/>
      <c r="O36" s="12"/>
      <c r="P36" s="12"/>
      <c r="Q36" s="12"/>
      <c r="R36" s="12"/>
      <c r="S36" s="12">
        <v>110</v>
      </c>
    </row>
    <row r="37" spans="1:19" x14ac:dyDescent="0.25">
      <c r="A37" s="10" t="s">
        <v>279</v>
      </c>
      <c r="B37" s="12">
        <v>6</v>
      </c>
      <c r="C37" s="12">
        <v>3</v>
      </c>
      <c r="D37" s="12"/>
      <c r="E37" s="12">
        <v>4</v>
      </c>
      <c r="F37" s="12"/>
      <c r="G37" s="12"/>
      <c r="H37" s="12"/>
      <c r="I37" s="12">
        <v>29</v>
      </c>
      <c r="J37" s="12">
        <v>6</v>
      </c>
      <c r="K37" s="12"/>
      <c r="L37" s="12"/>
      <c r="M37" s="12"/>
      <c r="N37" s="12"/>
      <c r="O37" s="12"/>
      <c r="P37" s="12"/>
      <c r="Q37" s="12"/>
      <c r="R37" s="12">
        <v>1</v>
      </c>
      <c r="S37" s="12">
        <v>49</v>
      </c>
    </row>
    <row r="38" spans="1:19" x14ac:dyDescent="0.25">
      <c r="A38" s="9">
        <v>2025</v>
      </c>
      <c r="B38" s="12"/>
      <c r="C38" s="12">
        <v>1</v>
      </c>
      <c r="D38" s="12"/>
      <c r="E38" s="12">
        <v>15</v>
      </c>
      <c r="F38" s="12"/>
      <c r="G38" s="12"/>
      <c r="H38" s="12">
        <v>12</v>
      </c>
      <c r="I38" s="12">
        <v>159</v>
      </c>
      <c r="J38" s="12">
        <v>14</v>
      </c>
      <c r="K38" s="12">
        <v>2</v>
      </c>
      <c r="L38" s="12"/>
      <c r="M38" s="12"/>
      <c r="N38" s="12"/>
      <c r="O38" s="12">
        <v>1</v>
      </c>
      <c r="P38" s="12">
        <v>1</v>
      </c>
      <c r="Q38" s="12">
        <v>2</v>
      </c>
      <c r="R38" s="12"/>
      <c r="S38" s="12">
        <v>207</v>
      </c>
    </row>
    <row r="39" spans="1:19" x14ac:dyDescent="0.25">
      <c r="A39" s="10" t="s">
        <v>379</v>
      </c>
      <c r="B39" s="12"/>
      <c r="C39" s="12">
        <v>1</v>
      </c>
      <c r="D39" s="12"/>
      <c r="E39" s="12"/>
      <c r="F39" s="12"/>
      <c r="G39" s="12"/>
      <c r="H39" s="12"/>
      <c r="I39" s="12">
        <v>110</v>
      </c>
      <c r="J39" s="12">
        <v>7</v>
      </c>
      <c r="K39" s="12"/>
      <c r="L39" s="12"/>
      <c r="M39" s="12"/>
      <c r="N39" s="12"/>
      <c r="O39" s="12"/>
      <c r="P39" s="12">
        <v>1</v>
      </c>
      <c r="Q39" s="12">
        <v>2</v>
      </c>
      <c r="R39" s="12"/>
      <c r="S39" s="12">
        <v>121</v>
      </c>
    </row>
    <row r="40" spans="1:19" x14ac:dyDescent="0.25">
      <c r="A40" s="10" t="s">
        <v>403</v>
      </c>
      <c r="B40" s="12"/>
      <c r="C40" s="12"/>
      <c r="D40" s="12"/>
      <c r="E40" s="12">
        <v>15</v>
      </c>
      <c r="F40" s="12"/>
      <c r="G40" s="12"/>
      <c r="H40" s="12">
        <v>12</v>
      </c>
      <c r="I40" s="12">
        <v>49</v>
      </c>
      <c r="J40" s="12">
        <v>7</v>
      </c>
      <c r="K40" s="12">
        <v>2</v>
      </c>
      <c r="L40" s="12"/>
      <c r="M40" s="12"/>
      <c r="N40" s="12"/>
      <c r="O40" s="12">
        <v>1</v>
      </c>
      <c r="P40" s="12"/>
      <c r="Q40" s="12"/>
      <c r="R40" s="12"/>
      <c r="S40" s="12">
        <v>86</v>
      </c>
    </row>
    <row r="41" spans="1:19" x14ac:dyDescent="0.25">
      <c r="A41" s="8" t="s">
        <v>337</v>
      </c>
      <c r="B41" s="12">
        <v>10</v>
      </c>
      <c r="C41" s="12">
        <v>53</v>
      </c>
      <c r="D41" s="12">
        <v>22</v>
      </c>
      <c r="E41" s="12">
        <v>46</v>
      </c>
      <c r="F41" s="12">
        <v>10</v>
      </c>
      <c r="G41" s="12">
        <v>9</v>
      </c>
      <c r="H41" s="12">
        <v>48</v>
      </c>
      <c r="I41" s="12">
        <v>679</v>
      </c>
      <c r="J41" s="12">
        <v>185</v>
      </c>
      <c r="K41" s="12">
        <v>24</v>
      </c>
      <c r="L41" s="12">
        <v>3</v>
      </c>
      <c r="M41" s="12"/>
      <c r="N41" s="12">
        <v>1</v>
      </c>
      <c r="O41" s="12">
        <v>2</v>
      </c>
      <c r="P41" s="12">
        <v>1</v>
      </c>
      <c r="Q41" s="12">
        <v>2</v>
      </c>
      <c r="R41" s="12">
        <v>1</v>
      </c>
      <c r="S41" s="12">
        <v>1096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1AC7-0439-4F5B-9235-8C6F328FBEB5}">
  <dimension ref="A1:T10"/>
  <sheetViews>
    <sheetView workbookViewId="0">
      <selection activeCell="W24" sqref="W24"/>
    </sheetView>
  </sheetViews>
  <sheetFormatPr defaultRowHeight="15" x14ac:dyDescent="0.25"/>
  <cols>
    <col min="1" max="1" width="15.85546875" bestFit="1" customWidth="1"/>
    <col min="2" max="2" width="28.42578125" bestFit="1" customWidth="1"/>
    <col min="3" max="7" width="3" bestFit="1" customWidth="1"/>
    <col min="8" max="8" width="11.28515625" bestFit="1" customWidth="1"/>
    <col min="9" max="10" width="3" bestFit="1" customWidth="1"/>
    <col min="11" max="11" width="7.28515625" bestFit="1" customWidth="1"/>
    <col min="12" max="12" width="11.28515625" bestFit="1" customWidth="1"/>
    <col min="13" max="13" width="3" bestFit="1" customWidth="1"/>
    <col min="14" max="14" width="7.28515625" bestFit="1" customWidth="1"/>
    <col min="15" max="15" width="11.28515625" bestFit="1" customWidth="1"/>
  </cols>
  <sheetData>
    <row r="1" spans="1:20" x14ac:dyDescent="0.25">
      <c r="A1" s="7" t="s">
        <v>4</v>
      </c>
      <c r="B1" t="s">
        <v>24</v>
      </c>
    </row>
    <row r="2" spans="1:20" x14ac:dyDescent="0.25">
      <c r="A2" s="7" t="s">
        <v>7</v>
      </c>
      <c r="B2" t="s">
        <v>349</v>
      </c>
    </row>
    <row r="4" spans="1:20" x14ac:dyDescent="0.25">
      <c r="A4" s="7" t="s">
        <v>339</v>
      </c>
      <c r="B4" s="7" t="s">
        <v>338</v>
      </c>
    </row>
    <row r="5" spans="1:20" x14ac:dyDescent="0.25">
      <c r="A5" s="7" t="s">
        <v>335</v>
      </c>
      <c r="B5" t="s">
        <v>67</v>
      </c>
      <c r="C5" t="s">
        <v>64</v>
      </c>
      <c r="D5" t="s">
        <v>198</v>
      </c>
      <c r="E5" t="s">
        <v>58</v>
      </c>
      <c r="F5" t="s">
        <v>69</v>
      </c>
      <c r="G5" t="s">
        <v>276</v>
      </c>
      <c r="H5" t="s">
        <v>337</v>
      </c>
      <c r="O5">
        <v>2</v>
      </c>
      <c r="P5">
        <v>3</v>
      </c>
      <c r="Q5">
        <v>4</v>
      </c>
      <c r="R5">
        <v>5</v>
      </c>
      <c r="S5">
        <v>6</v>
      </c>
      <c r="T5" s="11" t="s">
        <v>350</v>
      </c>
    </row>
    <row r="6" spans="1:20" x14ac:dyDescent="0.25">
      <c r="A6" s="8">
        <v>2022</v>
      </c>
      <c r="B6" s="12">
        <v>1</v>
      </c>
      <c r="C6" s="12">
        <v>2</v>
      </c>
      <c r="D6" s="12"/>
      <c r="E6" s="12">
        <v>8</v>
      </c>
      <c r="F6" s="12">
        <v>2</v>
      </c>
      <c r="G6" s="12"/>
      <c r="H6" s="12">
        <v>13</v>
      </c>
      <c r="N6" s="8">
        <v>2022</v>
      </c>
      <c r="O6">
        <v>0</v>
      </c>
      <c r="P6">
        <f>SUM(B6:C6)</f>
        <v>3</v>
      </c>
      <c r="Q6">
        <f>SUM(D6:E6)</f>
        <v>8</v>
      </c>
      <c r="R6">
        <f>SUM(F6:G6)</f>
        <v>2</v>
      </c>
      <c r="S6">
        <v>0</v>
      </c>
      <c r="T6">
        <f>SUM(O6:S6)</f>
        <v>13</v>
      </c>
    </row>
    <row r="7" spans="1:20" x14ac:dyDescent="0.25">
      <c r="A7" s="8">
        <v>2023</v>
      </c>
      <c r="B7" s="12"/>
      <c r="C7" s="12"/>
      <c r="D7" s="12"/>
      <c r="E7" s="12">
        <v>6</v>
      </c>
      <c r="F7" s="12">
        <v>1</v>
      </c>
      <c r="G7" s="12"/>
      <c r="H7" s="12">
        <v>7</v>
      </c>
      <c r="N7" s="8">
        <v>2023</v>
      </c>
      <c r="O7">
        <v>0</v>
      </c>
      <c r="P7">
        <f t="shared" ref="P7:P9" si="0">SUM(B7:C7)</f>
        <v>0</v>
      </c>
      <c r="Q7">
        <f t="shared" ref="Q7:Q8" si="1">SUM(D7:E7)</f>
        <v>6</v>
      </c>
      <c r="R7">
        <f t="shared" ref="R7:R8" si="2">SUM(F7:G7)</f>
        <v>1</v>
      </c>
      <c r="S7">
        <v>0</v>
      </c>
      <c r="T7">
        <f t="shared" ref="T7:T9" si="3">SUM(O7:S7)</f>
        <v>7</v>
      </c>
    </row>
    <row r="8" spans="1:20" x14ac:dyDescent="0.25">
      <c r="A8" s="8">
        <v>2024</v>
      </c>
      <c r="B8" s="12"/>
      <c r="C8" s="12"/>
      <c r="D8" s="12">
        <v>2</v>
      </c>
      <c r="E8" s="12">
        <v>6</v>
      </c>
      <c r="F8" s="12">
        <v>1</v>
      </c>
      <c r="G8" s="12"/>
      <c r="H8" s="12">
        <v>9</v>
      </c>
      <c r="N8" s="8">
        <v>2024</v>
      </c>
      <c r="O8">
        <v>0</v>
      </c>
      <c r="P8">
        <f t="shared" si="0"/>
        <v>0</v>
      </c>
      <c r="Q8">
        <f t="shared" si="1"/>
        <v>8</v>
      </c>
      <c r="R8">
        <f t="shared" si="2"/>
        <v>1</v>
      </c>
      <c r="S8">
        <v>0</v>
      </c>
      <c r="T8">
        <f t="shared" si="3"/>
        <v>9</v>
      </c>
    </row>
    <row r="9" spans="1:20" x14ac:dyDescent="0.25">
      <c r="A9" s="8">
        <v>2025</v>
      </c>
      <c r="B9" s="12">
        <v>2</v>
      </c>
      <c r="C9" s="12"/>
      <c r="D9" s="12">
        <v>3</v>
      </c>
      <c r="E9" s="12">
        <v>17</v>
      </c>
      <c r="F9" s="12">
        <v>10</v>
      </c>
      <c r="G9" s="12">
        <v>2</v>
      </c>
      <c r="H9" s="12">
        <v>34</v>
      </c>
      <c r="N9" s="8">
        <v>2025</v>
      </c>
      <c r="O9">
        <v>0</v>
      </c>
      <c r="P9">
        <f t="shared" si="0"/>
        <v>2</v>
      </c>
      <c r="Q9">
        <f>SUM(D9:E9)</f>
        <v>20</v>
      </c>
      <c r="R9">
        <f>SUM(F9:G9)</f>
        <v>12</v>
      </c>
      <c r="S9">
        <v>0</v>
      </c>
      <c r="T9">
        <f t="shared" si="3"/>
        <v>34</v>
      </c>
    </row>
    <row r="10" spans="1:20" x14ac:dyDescent="0.25">
      <c r="A10" s="8" t="s">
        <v>337</v>
      </c>
      <c r="B10" s="12">
        <v>3</v>
      </c>
      <c r="C10" s="12">
        <v>2</v>
      </c>
      <c r="D10" s="12">
        <v>5</v>
      </c>
      <c r="E10" s="12">
        <v>37</v>
      </c>
      <c r="F10" s="12">
        <v>14</v>
      </c>
      <c r="G10" s="12">
        <v>2</v>
      </c>
      <c r="H10" s="12">
        <v>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930E-C322-4891-AE5F-5EE383ED1282}">
  <dimension ref="A2:U25"/>
  <sheetViews>
    <sheetView workbookViewId="0">
      <selection activeCell="N6" sqref="N6:U17"/>
    </sheetView>
  </sheetViews>
  <sheetFormatPr defaultRowHeight="15" x14ac:dyDescent="0.25"/>
  <cols>
    <col min="1" max="1" width="30.7109375" bestFit="1" customWidth="1"/>
    <col min="2" max="2" width="17.85546875" bestFit="1" customWidth="1"/>
    <col min="3" max="4" width="3" bestFit="1" customWidth="1"/>
    <col min="5" max="6" width="4" bestFit="1" customWidth="1"/>
    <col min="7" max="8" width="3" bestFit="1" customWidth="1"/>
    <col min="9" max="9" width="11.28515625" bestFit="1" customWidth="1"/>
    <col min="10" max="10" width="3" bestFit="1" customWidth="1"/>
    <col min="11" max="11" width="7.28515625" bestFit="1" customWidth="1"/>
    <col min="12" max="12" width="11.28515625" bestFit="1" customWidth="1"/>
    <col min="13" max="13" width="3" bestFit="1" customWidth="1"/>
    <col min="14" max="14" width="7.28515625" bestFit="1" customWidth="1"/>
    <col min="15" max="15" width="11.28515625" bestFit="1" customWidth="1"/>
  </cols>
  <sheetData>
    <row r="2" spans="1:21" x14ac:dyDescent="0.25">
      <c r="A2" s="7" t="s">
        <v>4</v>
      </c>
      <c r="B2" t="s">
        <v>349</v>
      </c>
    </row>
    <row r="4" spans="1:21" x14ac:dyDescent="0.25">
      <c r="A4" s="7" t="s">
        <v>339</v>
      </c>
      <c r="B4" s="7" t="s">
        <v>338</v>
      </c>
    </row>
    <row r="5" spans="1:21" x14ac:dyDescent="0.25">
      <c r="A5" s="7" t="s">
        <v>335</v>
      </c>
      <c r="B5" t="s">
        <v>67</v>
      </c>
      <c r="C5" t="s">
        <v>64</v>
      </c>
      <c r="D5" t="s">
        <v>198</v>
      </c>
      <c r="E5" t="s">
        <v>58</v>
      </c>
      <c r="F5" t="s">
        <v>69</v>
      </c>
      <c r="G5" t="s">
        <v>276</v>
      </c>
      <c r="H5" t="s">
        <v>278</v>
      </c>
      <c r="I5" t="s">
        <v>337</v>
      </c>
      <c r="O5">
        <v>2</v>
      </c>
      <c r="P5">
        <v>3</v>
      </c>
      <c r="Q5">
        <v>4</v>
      </c>
      <c r="R5">
        <v>5</v>
      </c>
      <c r="S5">
        <v>6</v>
      </c>
      <c r="T5" s="11"/>
    </row>
    <row r="6" spans="1:21" x14ac:dyDescent="0.25">
      <c r="A6" s="8">
        <v>2022</v>
      </c>
      <c r="B6" s="12"/>
      <c r="C6" s="12">
        <v>2</v>
      </c>
      <c r="D6" s="12">
        <v>8</v>
      </c>
      <c r="E6" s="12">
        <v>162</v>
      </c>
      <c r="F6" s="12">
        <v>53</v>
      </c>
      <c r="G6" s="12">
        <v>3</v>
      </c>
      <c r="H6" s="12">
        <v>2</v>
      </c>
      <c r="I6" s="12">
        <v>230</v>
      </c>
      <c r="N6">
        <v>2022</v>
      </c>
      <c r="O6">
        <v>0</v>
      </c>
      <c r="P6">
        <f>SUM(B7:C7)+SUM(B9:C9)</f>
        <v>2</v>
      </c>
      <c r="Q6">
        <f>SUM(D7:E7)+SUM(D9:E9)</f>
        <v>116</v>
      </c>
      <c r="R6">
        <f>SUM(F7:G7)+SUM(F9:G9)</f>
        <v>29</v>
      </c>
      <c r="S6">
        <v>0</v>
      </c>
      <c r="T6" s="9" t="s">
        <v>279</v>
      </c>
      <c r="U6" t="s">
        <v>461</v>
      </c>
    </row>
    <row r="7" spans="1:21" x14ac:dyDescent="0.25">
      <c r="A7" s="9" t="s">
        <v>201</v>
      </c>
      <c r="B7" s="12"/>
      <c r="C7" s="12">
        <v>1</v>
      </c>
      <c r="D7" s="12">
        <v>1</v>
      </c>
      <c r="E7" s="12">
        <v>45</v>
      </c>
      <c r="F7" s="12">
        <v>14</v>
      </c>
      <c r="G7" s="12"/>
      <c r="H7" s="12"/>
      <c r="I7" s="12">
        <v>61</v>
      </c>
      <c r="N7">
        <v>2022</v>
      </c>
      <c r="O7">
        <v>0</v>
      </c>
      <c r="P7">
        <f>SUM(B8:C8)</f>
        <v>0</v>
      </c>
      <c r="Q7">
        <f>SUM(D8:E8)</f>
        <v>54</v>
      </c>
      <c r="R7">
        <f>SUM(F8:G8)</f>
        <v>27</v>
      </c>
      <c r="S7">
        <v>2</v>
      </c>
      <c r="T7" s="9" t="s">
        <v>265</v>
      </c>
    </row>
    <row r="8" spans="1:21" x14ac:dyDescent="0.25">
      <c r="A8" s="9" t="s">
        <v>265</v>
      </c>
      <c r="B8" s="12"/>
      <c r="C8" s="12"/>
      <c r="D8" s="12">
        <v>1</v>
      </c>
      <c r="E8" s="12">
        <v>53</v>
      </c>
      <c r="F8" s="12">
        <v>24</v>
      </c>
      <c r="G8" s="12">
        <v>3</v>
      </c>
      <c r="H8" s="12">
        <v>2</v>
      </c>
      <c r="I8" s="12">
        <v>83</v>
      </c>
      <c r="N8">
        <v>2023</v>
      </c>
      <c r="O8">
        <v>0</v>
      </c>
      <c r="P8">
        <f>SUM(B11:C11)+SUM(B14:C14)</f>
        <v>3</v>
      </c>
      <c r="Q8">
        <f>SUM(D11:E11)+SUM(D14:E14)</f>
        <v>44</v>
      </c>
      <c r="R8">
        <f>SUM(F11:G11)+SUM(F14:G14)</f>
        <v>44</v>
      </c>
      <c r="S8">
        <v>0</v>
      </c>
      <c r="T8" s="9" t="s">
        <v>279</v>
      </c>
      <c r="U8" t="s">
        <v>462</v>
      </c>
    </row>
    <row r="9" spans="1:21" x14ac:dyDescent="0.25">
      <c r="A9" s="9" t="s">
        <v>279</v>
      </c>
      <c r="B9" s="12"/>
      <c r="C9" s="12">
        <v>1</v>
      </c>
      <c r="D9" s="12">
        <v>6</v>
      </c>
      <c r="E9" s="12">
        <v>64</v>
      </c>
      <c r="F9" s="12">
        <v>15</v>
      </c>
      <c r="G9" s="12"/>
      <c r="H9" s="12"/>
      <c r="I9" s="12">
        <v>86</v>
      </c>
      <c r="N9" s="8">
        <v>2023</v>
      </c>
      <c r="O9">
        <v>0</v>
      </c>
      <c r="P9">
        <f>SUM(B12:C12)</f>
        <v>0</v>
      </c>
      <c r="Q9">
        <f>SUM(D12:E12)</f>
        <v>71</v>
      </c>
      <c r="R9">
        <f>SUM(F12:G12)</f>
        <v>23</v>
      </c>
      <c r="S9">
        <v>1</v>
      </c>
      <c r="T9" s="9" t="s">
        <v>265</v>
      </c>
    </row>
    <row r="10" spans="1:21" x14ac:dyDescent="0.25">
      <c r="A10" s="8">
        <v>2023</v>
      </c>
      <c r="B10" s="12"/>
      <c r="C10" s="12">
        <v>4</v>
      </c>
      <c r="D10" s="12">
        <v>8</v>
      </c>
      <c r="E10" s="12">
        <v>113</v>
      </c>
      <c r="F10" s="12">
        <v>67</v>
      </c>
      <c r="G10" s="12">
        <v>3</v>
      </c>
      <c r="H10" s="12">
        <v>1</v>
      </c>
      <c r="I10" s="12">
        <v>196</v>
      </c>
      <c r="N10" s="8">
        <v>2023</v>
      </c>
      <c r="O10">
        <v>0</v>
      </c>
      <c r="P10">
        <f>SUM(B13:C13)</f>
        <v>1</v>
      </c>
      <c r="Q10">
        <f>SUM(D13:E13)</f>
        <v>6</v>
      </c>
      <c r="R10">
        <f>SUM(F13:G13)</f>
        <v>3</v>
      </c>
      <c r="S10">
        <v>0</v>
      </c>
      <c r="T10" s="9" t="s">
        <v>305</v>
      </c>
    </row>
    <row r="11" spans="1:21" x14ac:dyDescent="0.25">
      <c r="A11" s="9" t="s">
        <v>290</v>
      </c>
      <c r="B11" s="12"/>
      <c r="C11" s="12">
        <v>1</v>
      </c>
      <c r="D11" s="12"/>
      <c r="E11" s="12">
        <v>2</v>
      </c>
      <c r="F11" s="12">
        <v>7</v>
      </c>
      <c r="G11" s="12"/>
      <c r="H11" s="12"/>
      <c r="I11" s="12">
        <v>10</v>
      </c>
      <c r="N11" s="8">
        <v>2024</v>
      </c>
      <c r="O11">
        <v>0</v>
      </c>
      <c r="P11">
        <v>1</v>
      </c>
      <c r="Q11">
        <v>1</v>
      </c>
      <c r="R11">
        <v>0</v>
      </c>
      <c r="S11">
        <v>0</v>
      </c>
      <c r="T11" s="9" t="s">
        <v>320</v>
      </c>
    </row>
    <row r="12" spans="1:21" x14ac:dyDescent="0.25">
      <c r="A12" s="9" t="s">
        <v>265</v>
      </c>
      <c r="B12" s="12"/>
      <c r="C12" s="12"/>
      <c r="D12" s="12">
        <v>5</v>
      </c>
      <c r="E12" s="12">
        <v>66</v>
      </c>
      <c r="F12" s="12">
        <v>20</v>
      </c>
      <c r="G12" s="12">
        <v>3</v>
      </c>
      <c r="H12" s="12">
        <v>1</v>
      </c>
      <c r="I12" s="12">
        <v>95</v>
      </c>
      <c r="N12" s="8">
        <v>2024</v>
      </c>
      <c r="O12">
        <v>0</v>
      </c>
      <c r="P12">
        <v>2</v>
      </c>
      <c r="Q12">
        <v>76</v>
      </c>
      <c r="R12">
        <v>25</v>
      </c>
      <c r="S12">
        <v>2</v>
      </c>
      <c r="T12" s="9" t="s">
        <v>265</v>
      </c>
    </row>
    <row r="13" spans="1:21" x14ac:dyDescent="0.25">
      <c r="A13" s="9" t="s">
        <v>305</v>
      </c>
      <c r="B13" s="12"/>
      <c r="C13" s="12">
        <v>1</v>
      </c>
      <c r="D13" s="12"/>
      <c r="E13" s="12">
        <v>6</v>
      </c>
      <c r="F13" s="12">
        <v>3</v>
      </c>
      <c r="G13" s="12"/>
      <c r="H13" s="12"/>
      <c r="I13" s="12">
        <v>10</v>
      </c>
      <c r="N13" s="8">
        <v>2024</v>
      </c>
      <c r="O13">
        <v>0</v>
      </c>
      <c r="P13">
        <v>1</v>
      </c>
      <c r="Q13">
        <v>17</v>
      </c>
      <c r="R13">
        <v>0</v>
      </c>
      <c r="S13">
        <v>0</v>
      </c>
      <c r="T13" s="9" t="s">
        <v>305</v>
      </c>
    </row>
    <row r="14" spans="1:21" x14ac:dyDescent="0.25">
      <c r="A14" s="9" t="s">
        <v>279</v>
      </c>
      <c r="B14" s="12"/>
      <c r="C14" s="12">
        <v>2</v>
      </c>
      <c r="D14" s="12">
        <v>3</v>
      </c>
      <c r="E14" s="12">
        <v>39</v>
      </c>
      <c r="F14" s="12">
        <v>37</v>
      </c>
      <c r="G14" s="12"/>
      <c r="H14" s="12"/>
      <c r="I14" s="12">
        <v>81</v>
      </c>
      <c r="N14" s="8">
        <v>2024</v>
      </c>
      <c r="O14">
        <v>0</v>
      </c>
      <c r="P14">
        <v>2</v>
      </c>
      <c r="Q14">
        <v>2</v>
      </c>
      <c r="R14">
        <v>0</v>
      </c>
      <c r="S14">
        <v>0</v>
      </c>
      <c r="T14" s="9" t="s">
        <v>330</v>
      </c>
    </row>
    <row r="15" spans="1:21" x14ac:dyDescent="0.25">
      <c r="A15" s="8">
        <v>2024</v>
      </c>
      <c r="B15" s="12">
        <v>12</v>
      </c>
      <c r="C15" s="12">
        <v>2</v>
      </c>
      <c r="D15" s="12">
        <v>3</v>
      </c>
      <c r="E15" s="12">
        <v>134</v>
      </c>
      <c r="F15" s="12">
        <v>31</v>
      </c>
      <c r="G15" s="12">
        <v>2</v>
      </c>
      <c r="H15" s="12"/>
      <c r="I15" s="12">
        <v>184</v>
      </c>
      <c r="N15" s="8">
        <v>2024</v>
      </c>
      <c r="O15">
        <v>0</v>
      </c>
      <c r="P15">
        <v>8</v>
      </c>
      <c r="Q15">
        <v>41</v>
      </c>
      <c r="R15">
        <v>8</v>
      </c>
      <c r="S15">
        <v>0</v>
      </c>
      <c r="T15" s="9" t="s">
        <v>279</v>
      </c>
    </row>
    <row r="16" spans="1:21" x14ac:dyDescent="0.25">
      <c r="A16" s="9" t="s">
        <v>320</v>
      </c>
      <c r="B16" s="12"/>
      <c r="C16" s="12">
        <v>1</v>
      </c>
      <c r="D16" s="12"/>
      <c r="E16" s="12">
        <v>1</v>
      </c>
      <c r="F16" s="12"/>
      <c r="G16" s="12"/>
      <c r="H16" s="12"/>
      <c r="I16" s="12">
        <v>2</v>
      </c>
      <c r="N16" s="8">
        <v>2025</v>
      </c>
      <c r="O16">
        <v>0</v>
      </c>
      <c r="P16">
        <f>SUM(B23:C23)</f>
        <v>0</v>
      </c>
      <c r="Q16">
        <f>SUM(D23:E23)</f>
        <v>110</v>
      </c>
      <c r="R16">
        <f>SUM(F23:G23)</f>
        <v>7</v>
      </c>
      <c r="S16">
        <v>0</v>
      </c>
      <c r="T16" s="9" t="s">
        <v>379</v>
      </c>
    </row>
    <row r="17" spans="1:20" x14ac:dyDescent="0.25">
      <c r="A17" s="9" t="s">
        <v>265</v>
      </c>
      <c r="B17" s="12">
        <v>1</v>
      </c>
      <c r="C17" s="12">
        <v>1</v>
      </c>
      <c r="D17" s="12"/>
      <c r="E17" s="12">
        <v>76</v>
      </c>
      <c r="F17" s="12">
        <v>23</v>
      </c>
      <c r="G17" s="12">
        <v>2</v>
      </c>
      <c r="H17" s="12"/>
      <c r="I17" s="12">
        <v>103</v>
      </c>
      <c r="N17" s="8">
        <v>2025</v>
      </c>
      <c r="O17">
        <v>0</v>
      </c>
      <c r="P17">
        <f>SUM(B22:C22)+SUM(B24:C24)</f>
        <v>33</v>
      </c>
      <c r="Q17">
        <f>SUM(D22:E22)+SUM(D24:E24)</f>
        <v>147</v>
      </c>
      <c r="R17">
        <f>SUM(F22:G22)+SUM(F24:G24)</f>
        <v>27</v>
      </c>
      <c r="S17">
        <v>0</v>
      </c>
      <c r="T17" s="9" t="s">
        <v>403</v>
      </c>
    </row>
    <row r="18" spans="1:20" x14ac:dyDescent="0.25">
      <c r="A18" s="9" t="s">
        <v>305</v>
      </c>
      <c r="B18" s="12">
        <v>1</v>
      </c>
      <c r="C18" s="12"/>
      <c r="D18" s="12">
        <v>1</v>
      </c>
      <c r="E18" s="12">
        <v>16</v>
      </c>
      <c r="F18" s="12"/>
      <c r="G18" s="12"/>
      <c r="H18" s="12"/>
      <c r="I18" s="12">
        <v>18</v>
      </c>
      <c r="N18" s="8"/>
    </row>
    <row r="19" spans="1:20" x14ac:dyDescent="0.25">
      <c r="A19" s="9" t="s">
        <v>330</v>
      </c>
      <c r="B19" s="12">
        <v>2</v>
      </c>
      <c r="C19" s="12"/>
      <c r="D19" s="12">
        <v>2</v>
      </c>
      <c r="E19" s="12"/>
      <c r="F19" s="12"/>
      <c r="G19" s="12"/>
      <c r="H19" s="12"/>
      <c r="I19" s="12">
        <v>4</v>
      </c>
      <c r="N19" s="8"/>
    </row>
    <row r="20" spans="1:20" x14ac:dyDescent="0.25">
      <c r="A20" s="9" t="s">
        <v>279</v>
      </c>
      <c r="B20" s="12">
        <v>8</v>
      </c>
      <c r="C20" s="12"/>
      <c r="D20" s="12"/>
      <c r="E20" s="12">
        <v>41</v>
      </c>
      <c r="F20" s="12">
        <v>8</v>
      </c>
      <c r="G20" s="12"/>
      <c r="H20" s="12"/>
      <c r="I20" s="12">
        <v>57</v>
      </c>
      <c r="N20" s="8"/>
    </row>
    <row r="21" spans="1:20" x14ac:dyDescent="0.25">
      <c r="A21" s="8">
        <v>2025</v>
      </c>
      <c r="B21" s="12">
        <v>31</v>
      </c>
      <c r="C21" s="12">
        <v>2</v>
      </c>
      <c r="D21" s="12">
        <v>24</v>
      </c>
      <c r="E21" s="12">
        <v>233</v>
      </c>
      <c r="F21" s="12">
        <v>20</v>
      </c>
      <c r="G21" s="12">
        <v>14</v>
      </c>
      <c r="H21" s="12"/>
      <c r="I21" s="12">
        <v>324</v>
      </c>
      <c r="N21" s="8"/>
    </row>
    <row r="22" spans="1:20" x14ac:dyDescent="0.25">
      <c r="A22" s="9" t="s">
        <v>201</v>
      </c>
      <c r="B22" s="12">
        <v>16</v>
      </c>
      <c r="C22" s="12">
        <v>2</v>
      </c>
      <c r="D22" s="12">
        <v>12</v>
      </c>
      <c r="E22" s="12">
        <v>74</v>
      </c>
      <c r="F22" s="12">
        <v>6</v>
      </c>
      <c r="G22" s="12">
        <v>12</v>
      </c>
      <c r="H22" s="12"/>
      <c r="I22" s="12">
        <v>122</v>
      </c>
      <c r="N22" s="8"/>
    </row>
    <row r="23" spans="1:20" x14ac:dyDescent="0.25">
      <c r="A23" s="9" t="s">
        <v>379</v>
      </c>
      <c r="B23" s="12"/>
      <c r="C23" s="12"/>
      <c r="D23" s="12"/>
      <c r="E23" s="12">
        <v>110</v>
      </c>
      <c r="F23" s="12">
        <v>7</v>
      </c>
      <c r="G23" s="12"/>
      <c r="H23" s="12"/>
      <c r="I23" s="12">
        <v>117</v>
      </c>
      <c r="N23" s="8"/>
    </row>
    <row r="24" spans="1:20" x14ac:dyDescent="0.25">
      <c r="A24" s="9" t="s">
        <v>403</v>
      </c>
      <c r="B24" s="12">
        <v>15</v>
      </c>
      <c r="C24" s="12"/>
      <c r="D24" s="12">
        <v>12</v>
      </c>
      <c r="E24" s="12">
        <v>49</v>
      </c>
      <c r="F24" s="12">
        <v>7</v>
      </c>
      <c r="G24" s="12">
        <v>2</v>
      </c>
      <c r="H24" s="12"/>
      <c r="I24" s="12">
        <v>85</v>
      </c>
    </row>
    <row r="25" spans="1:20" x14ac:dyDescent="0.25">
      <c r="A25" s="8" t="s">
        <v>337</v>
      </c>
      <c r="B25" s="12">
        <v>43</v>
      </c>
      <c r="C25" s="12">
        <v>10</v>
      </c>
      <c r="D25" s="12">
        <v>43</v>
      </c>
      <c r="E25" s="12">
        <v>642</v>
      </c>
      <c r="F25" s="12">
        <v>171</v>
      </c>
      <c r="G25" s="12">
        <v>22</v>
      </c>
      <c r="H25" s="12">
        <v>3</v>
      </c>
      <c r="I25" s="12">
        <v>934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9"/>
  <sheetViews>
    <sheetView topLeftCell="A7" workbookViewId="0"/>
  </sheetViews>
  <sheetFormatPr defaultRowHeight="15" x14ac:dyDescent="0.25"/>
  <cols>
    <col min="2" max="2" width="50" customWidth="1"/>
  </cols>
  <sheetData>
    <row r="1" spans="1:4" x14ac:dyDescent="0.25">
      <c r="A1" s="2" t="s">
        <v>89</v>
      </c>
    </row>
    <row r="3" spans="1:4" x14ac:dyDescent="0.25">
      <c r="A3" s="2" t="s">
        <v>90</v>
      </c>
    </row>
    <row r="4" spans="1:4" x14ac:dyDescent="0.25">
      <c r="A4" s="4" t="s">
        <v>91</v>
      </c>
      <c r="B4" s="4" t="s">
        <v>92</v>
      </c>
      <c r="C4" s="4" t="s">
        <v>93</v>
      </c>
      <c r="D4" s="4" t="s">
        <v>94</v>
      </c>
    </row>
    <row r="5" spans="1:4" x14ac:dyDescent="0.25">
      <c r="A5" s="3" t="s">
        <v>95</v>
      </c>
      <c r="B5" s="3" t="s">
        <v>96</v>
      </c>
      <c r="C5" s="3" t="s">
        <v>97</v>
      </c>
      <c r="D5" s="3" t="s">
        <v>98</v>
      </c>
    </row>
    <row r="6" spans="1:4" x14ac:dyDescent="0.25">
      <c r="A6" s="3" t="s">
        <v>99</v>
      </c>
      <c r="B6" s="3" t="s">
        <v>100</v>
      </c>
      <c r="C6" s="3" t="s">
        <v>101</v>
      </c>
      <c r="D6" s="3" t="s">
        <v>98</v>
      </c>
    </row>
    <row r="7" spans="1:4" x14ac:dyDescent="0.25">
      <c r="A7" s="3" t="s">
        <v>102</v>
      </c>
      <c r="B7" s="3" t="s">
        <v>103</v>
      </c>
      <c r="C7" s="3" t="s">
        <v>104</v>
      </c>
      <c r="D7" s="3" t="s">
        <v>98</v>
      </c>
    </row>
    <row r="8" spans="1:4" x14ac:dyDescent="0.25">
      <c r="A8" s="3" t="s">
        <v>105</v>
      </c>
      <c r="B8" s="3" t="s">
        <v>106</v>
      </c>
      <c r="C8" s="3" t="s">
        <v>107</v>
      </c>
      <c r="D8" s="3" t="s">
        <v>98</v>
      </c>
    </row>
    <row r="9" spans="1:4" x14ac:dyDescent="0.25">
      <c r="A9" s="3" t="s">
        <v>108</v>
      </c>
      <c r="B9" s="3" t="s">
        <v>109</v>
      </c>
      <c r="C9" s="3" t="s">
        <v>110</v>
      </c>
      <c r="D9" s="3" t="s">
        <v>98</v>
      </c>
    </row>
    <row r="10" spans="1:4" x14ac:dyDescent="0.25">
      <c r="A10" s="3" t="s">
        <v>111</v>
      </c>
      <c r="B10" s="3" t="s">
        <v>112</v>
      </c>
      <c r="C10" s="3" t="s">
        <v>113</v>
      </c>
      <c r="D10" s="3" t="s">
        <v>98</v>
      </c>
    </row>
    <row r="11" spans="1:4" x14ac:dyDescent="0.25">
      <c r="A11" s="3" t="s">
        <v>114</v>
      </c>
      <c r="B11" s="3" t="s">
        <v>115</v>
      </c>
      <c r="C11" s="3" t="s">
        <v>98</v>
      </c>
      <c r="D11" s="3" t="s">
        <v>97</v>
      </c>
    </row>
    <row r="12" spans="1:4" x14ac:dyDescent="0.25">
      <c r="A12" s="3" t="s">
        <v>116</v>
      </c>
      <c r="B12" s="3" t="s">
        <v>117</v>
      </c>
      <c r="C12" s="3" t="s">
        <v>98</v>
      </c>
      <c r="D12" s="3" t="s">
        <v>101</v>
      </c>
    </row>
    <row r="13" spans="1:4" x14ac:dyDescent="0.25">
      <c r="A13" s="3" t="s">
        <v>60</v>
      </c>
      <c r="B13" s="3" t="s">
        <v>61</v>
      </c>
      <c r="C13" s="3" t="s">
        <v>98</v>
      </c>
      <c r="D13" s="3" t="s">
        <v>104</v>
      </c>
    </row>
    <row r="14" spans="1:4" x14ac:dyDescent="0.25">
      <c r="A14" s="3" t="s">
        <v>70</v>
      </c>
      <c r="B14" s="3" t="s">
        <v>71</v>
      </c>
      <c r="C14" s="3" t="s">
        <v>98</v>
      </c>
      <c r="D14" s="3" t="s">
        <v>107</v>
      </c>
    </row>
    <row r="15" spans="1:4" x14ac:dyDescent="0.25">
      <c r="A15" s="3" t="s">
        <v>118</v>
      </c>
      <c r="B15" s="3" t="s">
        <v>119</v>
      </c>
      <c r="C15" s="3" t="s">
        <v>98</v>
      </c>
      <c r="D15" s="3" t="s">
        <v>110</v>
      </c>
    </row>
    <row r="16" spans="1:4" x14ac:dyDescent="0.25">
      <c r="A16" s="3" t="s">
        <v>120</v>
      </c>
      <c r="B16" s="3" t="s">
        <v>121</v>
      </c>
      <c r="C16" s="3" t="s">
        <v>98</v>
      </c>
      <c r="D16" s="3" t="s">
        <v>113</v>
      </c>
    </row>
    <row r="18" spans="1:2" x14ac:dyDescent="0.25">
      <c r="A18" s="2" t="s">
        <v>122</v>
      </c>
    </row>
    <row r="19" spans="1:2" x14ac:dyDescent="0.25">
      <c r="A19" s="5" t="s">
        <v>123</v>
      </c>
      <c r="B19" s="5" t="s">
        <v>124</v>
      </c>
    </row>
    <row r="20" spans="1:2" x14ac:dyDescent="0.25">
      <c r="A20" s="6" t="s">
        <v>125</v>
      </c>
      <c r="B20" s="6" t="s">
        <v>59</v>
      </c>
    </row>
    <row r="21" spans="1:2" x14ac:dyDescent="0.25">
      <c r="A21" s="6" t="s">
        <v>125</v>
      </c>
      <c r="B21" s="6" t="s">
        <v>59</v>
      </c>
    </row>
    <row r="22" spans="1:2" x14ac:dyDescent="0.25">
      <c r="A22" s="6" t="s">
        <v>126</v>
      </c>
      <c r="B22" s="6" t="s">
        <v>65</v>
      </c>
    </row>
    <row r="23" spans="1:2" x14ac:dyDescent="0.25">
      <c r="A23" s="6" t="s">
        <v>127</v>
      </c>
      <c r="B23" s="6" t="s">
        <v>128</v>
      </c>
    </row>
    <row r="24" spans="1:2" x14ac:dyDescent="0.25">
      <c r="A24" s="6" t="s">
        <v>129</v>
      </c>
      <c r="B24" s="6" t="s">
        <v>130</v>
      </c>
    </row>
    <row r="25" spans="1:2" x14ac:dyDescent="0.25">
      <c r="A25" s="6" t="s">
        <v>131</v>
      </c>
      <c r="B25" s="6" t="s">
        <v>72</v>
      </c>
    </row>
    <row r="26" spans="1:2" x14ac:dyDescent="0.25">
      <c r="A26" s="6" t="s">
        <v>132</v>
      </c>
      <c r="B26" s="6" t="s">
        <v>133</v>
      </c>
    </row>
    <row r="27" spans="1:2" x14ac:dyDescent="0.25">
      <c r="A27" s="6" t="s">
        <v>134</v>
      </c>
      <c r="B27" s="6" t="s">
        <v>135</v>
      </c>
    </row>
    <row r="28" spans="1:2" x14ac:dyDescent="0.25">
      <c r="A28" s="6" t="s">
        <v>136</v>
      </c>
      <c r="B28" s="6" t="s">
        <v>137</v>
      </c>
    </row>
    <row r="29" spans="1:2" x14ac:dyDescent="0.25">
      <c r="A29" s="6" t="s">
        <v>138</v>
      </c>
      <c r="B29" s="6" t="s">
        <v>139</v>
      </c>
    </row>
    <row r="30" spans="1:2" x14ac:dyDescent="0.25">
      <c r="A30" s="6" t="s">
        <v>140</v>
      </c>
      <c r="B30" s="6" t="s">
        <v>141</v>
      </c>
    </row>
    <row r="31" spans="1:2" x14ac:dyDescent="0.25">
      <c r="A31" s="6" t="s">
        <v>142</v>
      </c>
      <c r="B31" s="6" t="s">
        <v>143</v>
      </c>
    </row>
    <row r="32" spans="1:2" x14ac:dyDescent="0.25">
      <c r="A32" s="6" t="s">
        <v>144</v>
      </c>
      <c r="B32" s="6" t="s">
        <v>145</v>
      </c>
    </row>
    <row r="33" spans="1:2" x14ac:dyDescent="0.25">
      <c r="A33" s="6" t="s">
        <v>146</v>
      </c>
      <c r="B33" s="6" t="s">
        <v>147</v>
      </c>
    </row>
    <row r="34" spans="1:2" x14ac:dyDescent="0.25">
      <c r="A34" s="6" t="s">
        <v>148</v>
      </c>
      <c r="B34" s="6" t="s">
        <v>149</v>
      </c>
    </row>
    <row r="35" spans="1:2" x14ac:dyDescent="0.25">
      <c r="A35" s="6" t="s">
        <v>150</v>
      </c>
      <c r="B35" s="6" t="s">
        <v>151</v>
      </c>
    </row>
    <row r="36" spans="1:2" x14ac:dyDescent="0.25">
      <c r="A36" s="6" t="s">
        <v>152</v>
      </c>
      <c r="B36" s="6" t="s">
        <v>153</v>
      </c>
    </row>
    <row r="37" spans="1:2" x14ac:dyDescent="0.25">
      <c r="A37" s="6" t="s">
        <v>154</v>
      </c>
      <c r="B37" s="6" t="s">
        <v>155</v>
      </c>
    </row>
    <row r="38" spans="1:2" x14ac:dyDescent="0.25">
      <c r="A38" s="6" t="s">
        <v>156</v>
      </c>
      <c r="B38" s="6" t="s">
        <v>157</v>
      </c>
    </row>
    <row r="39" spans="1:2" x14ac:dyDescent="0.25">
      <c r="A39" s="6" t="s">
        <v>158</v>
      </c>
      <c r="B39" s="6" t="s">
        <v>159</v>
      </c>
    </row>
    <row r="40" spans="1:2" x14ac:dyDescent="0.25">
      <c r="A40" s="6" t="s">
        <v>160</v>
      </c>
      <c r="B40" s="6" t="s">
        <v>161</v>
      </c>
    </row>
    <row r="41" spans="1:2" x14ac:dyDescent="0.25">
      <c r="A41" s="6" t="s">
        <v>162</v>
      </c>
      <c r="B41" s="6" t="s">
        <v>163</v>
      </c>
    </row>
    <row r="42" spans="1:2" x14ac:dyDescent="0.25">
      <c r="A42" s="6" t="s">
        <v>164</v>
      </c>
      <c r="B42" s="6" t="s">
        <v>165</v>
      </c>
    </row>
    <row r="43" spans="1:2" x14ac:dyDescent="0.25">
      <c r="A43" s="6" t="s">
        <v>166</v>
      </c>
      <c r="B43" s="6" t="s">
        <v>167</v>
      </c>
    </row>
    <row r="44" spans="1:2" ht="30" x14ac:dyDescent="0.25">
      <c r="A44" s="6" t="s">
        <v>168</v>
      </c>
      <c r="B44" s="6" t="s">
        <v>169</v>
      </c>
    </row>
    <row r="46" spans="1:2" x14ac:dyDescent="0.25">
      <c r="A46" s="2" t="s">
        <v>170</v>
      </c>
    </row>
    <row r="47" spans="1:2" x14ac:dyDescent="0.25">
      <c r="A47" s="5" t="s">
        <v>171</v>
      </c>
      <c r="B47" s="5" t="s">
        <v>172</v>
      </c>
    </row>
    <row r="48" spans="1:2" ht="90" x14ac:dyDescent="0.25">
      <c r="A48" s="6" t="s">
        <v>173</v>
      </c>
      <c r="B48" s="6" t="s">
        <v>174</v>
      </c>
    </row>
    <row r="49" spans="1:2" ht="75" x14ac:dyDescent="0.25">
      <c r="A49" s="6" t="s">
        <v>175</v>
      </c>
      <c r="B49" s="6" t="s">
        <v>176</v>
      </c>
    </row>
  </sheetData>
  <pageMargins left="0.7" right="0.7" top="0.75" bottom="0.75" header="0.3" footer="0.3"/>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Age Batch Details</vt:lpstr>
      <vt:lpstr>Age Batch Containers</vt:lpstr>
      <vt:lpstr>Age Scale Read</vt:lpstr>
      <vt:lpstr>Archive Bin</vt:lpstr>
      <vt:lpstr>Archive Transfer</vt:lpstr>
      <vt:lpstr>Pivot</vt:lpstr>
      <vt:lpstr>FSC_table</vt:lpstr>
      <vt:lpstr>escapement_table</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McGivney, Kate (she, her / elle, la) (DFO/MPO)</cp:lastModifiedBy>
  <dcterms:created xsi:type="dcterms:W3CDTF">2026-06-05T18:43:30Z</dcterms:created>
  <dcterms:modified xsi:type="dcterms:W3CDTF">2026-08-24T19:32:23Z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2026-02-16T18:54:53Z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f79588ef-5801-44ef-8d37-6be471f10a44</vt:lpwstr>
  </property>
  <property fmtid="{D5CDD505-2E9C-101B-9397-08002B2CF9AE}" pid="8" name="MSIP_Label_4e6cdb53-fd15-486d-84de-c510e3a62203_ContentBits">
    <vt:lpwstr>1</vt:lpwstr>
  </property>
  <property fmtid="{D5CDD505-2E9C-101B-9397-08002B2CF9AE}" pid="9" name="MSIP_Label_4e6cdb53-fd15-486d-84de-c510e3a62203_Tag">
    <vt:lpwstr>10, 3, 0, 1</vt:lpwstr>
  </property>
</Properties>
</file>