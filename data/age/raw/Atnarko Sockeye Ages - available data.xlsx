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00_GitHub\Atnarko-sockeye\data\age\raw\"/>
    </mc:Choice>
  </mc:AlternateContent>
  <xr:revisionPtr revIDLastSave="0" documentId="13_ncr:1_{86708BFA-E4F8-4FA2-A456-F18E65A405DA}" xr6:coauthVersionLast="47" xr6:coauthVersionMax="47" xr10:uidLastSave="{00000000-0000-0000-0000-000000000000}"/>
  <bookViews>
    <workbookView xWindow="29790" yWindow="1680" windowWidth="21600" windowHeight="11295" activeTab="1" xr2:uid="{9487ADB7-8D4D-4C49-84B4-E5F998CF54C5}"/>
  </bookViews>
  <sheets>
    <sheet name="Data Source Overview" sheetId="1" r:id="rId1"/>
    <sheet name="All age data Summary" sheetId="2" r:id="rId2"/>
    <sheet name="&quot;PADS&quot; Summary" sheetId="4" r:id="rId3"/>
    <sheet name="&quot;Age Readings Data&quot; Summary" sheetId="3" r:id="rId4"/>
    <sheet name="&quot;Age Batch Details&quot; Summary" sheetId="5" r:id="rId5"/>
    <sheet name="Biodata Overview" sheetId="6" r:id="rId6"/>
  </sheets>
  <calcPr calcId="191029"/>
  <pivotCaches>
    <pivotCache cacheId="10" r:id="rId7"/>
    <pivotCache cacheId="11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3" i="2" a="1"/>
  <c r="F3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3" i="2" a="1"/>
  <c r="E3" i="2" s="1"/>
  <c r="C4" i="2" a="1"/>
  <c r="C4" i="2" s="1"/>
  <c r="C5" i="2" a="1"/>
  <c r="C5" i="2" s="1"/>
  <c r="C6" i="2" a="1"/>
  <c r="C6" i="2" s="1"/>
  <c r="C7" i="2" a="1"/>
  <c r="C7" i="2" s="1"/>
  <c r="C8" i="2" a="1"/>
  <c r="C8" i="2" s="1"/>
  <c r="C9" i="2" a="1"/>
  <c r="C9" i="2" s="1"/>
  <c r="C10" i="2" a="1"/>
  <c r="C10" i="2" s="1"/>
  <c r="C11" i="2" a="1"/>
  <c r="C11" i="2" s="1"/>
  <c r="C12" i="2" a="1"/>
  <c r="C12" i="2" s="1"/>
  <c r="C13" i="2" a="1"/>
  <c r="C13" i="2" s="1"/>
  <c r="C14" i="2" a="1"/>
  <c r="C14" i="2" s="1"/>
  <c r="C15" i="2" a="1"/>
  <c r="C15" i="2" s="1"/>
  <c r="C16" i="2" a="1"/>
  <c r="C16" i="2" s="1"/>
  <c r="C17" i="2" a="1"/>
  <c r="C17" i="2" s="1"/>
  <c r="C18" i="2" a="1"/>
  <c r="C18" i="2" s="1"/>
  <c r="C19" i="2" a="1"/>
  <c r="C19" i="2" s="1"/>
  <c r="C20" i="2" a="1"/>
  <c r="C20" i="2" s="1"/>
  <c r="C21" i="2" a="1"/>
  <c r="C21" i="2" s="1"/>
  <c r="C22" i="2" a="1"/>
  <c r="C22" i="2" s="1"/>
  <c r="C23" i="2" a="1"/>
  <c r="C23" i="2" s="1"/>
  <c r="C24" i="2" a="1"/>
  <c r="C24" i="2" s="1"/>
  <c r="C25" i="2" a="1"/>
  <c r="C25" i="2" s="1"/>
  <c r="C26" i="2" a="1"/>
  <c r="C26" i="2" s="1"/>
  <c r="C27" i="2" a="1"/>
  <c r="C27" i="2"/>
  <c r="C28" i="2" a="1"/>
  <c r="C28" i="2" s="1"/>
  <c r="C29" i="2" a="1"/>
  <c r="C29" i="2" s="1"/>
  <c r="C30" i="2" a="1"/>
  <c r="C30" i="2" s="1"/>
  <c r="C31" i="2" a="1"/>
  <c r="C31" i="2" s="1"/>
  <c r="C32" i="2" a="1"/>
  <c r="C32" i="2" s="1"/>
  <c r="C33" i="2" a="1"/>
  <c r="C33" i="2" s="1"/>
  <c r="C34" i="2" a="1"/>
  <c r="C34" i="2" s="1"/>
  <c r="C35" i="2" a="1"/>
  <c r="C35" i="2" s="1"/>
  <c r="C36" i="2" a="1"/>
  <c r="C36" i="2" s="1"/>
  <c r="C37" i="2" a="1"/>
  <c r="C37" i="2" s="1"/>
  <c r="C38" i="2" a="1"/>
  <c r="C38" i="2" s="1"/>
  <c r="C39" i="2" a="1"/>
  <c r="C39" i="2" s="1"/>
  <c r="C3" i="2" a="1"/>
  <c r="C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3" i="2" a="1"/>
  <c r="B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<sst xmlns="http://schemas.openxmlformats.org/spreadsheetml/2006/main" count="208" uniqueCount="130">
  <si>
    <t>PADS data join Conservation Units Data</t>
  </si>
  <si>
    <t>NuSEDS Query</t>
  </si>
  <si>
    <t>Haven't looked all the way back…</t>
  </si>
  <si>
    <t>Y</t>
  </si>
  <si>
    <t>Age Batch List</t>
  </si>
  <si>
    <t>N</t>
  </si>
  <si>
    <t xml:space="preserve">Clip, location only. KM may have a copy of full biodata. </t>
  </si>
  <si>
    <t>Brood Biodata</t>
  </si>
  <si>
    <t>FSC Biodata*</t>
  </si>
  <si>
    <t>Escapement Biodata</t>
  </si>
  <si>
    <t>Year</t>
  </si>
  <si>
    <t>*Need to check with Jason about sharing/using FSC biosampling data.</t>
  </si>
  <si>
    <t xml:space="preserve">Date, sex, length. </t>
  </si>
  <si>
    <t>Date, sex, length, clip status, location</t>
  </si>
  <si>
    <t>Atnarko Sockeye Age data</t>
  </si>
  <si>
    <t>PADS</t>
  </si>
  <si>
    <t>AGE READINGS DATA</t>
  </si>
  <si>
    <t>Escapement</t>
  </si>
  <si>
    <t>FSC</t>
  </si>
  <si>
    <t>"Other"</t>
  </si>
  <si>
    <t>Count of EU Age</t>
  </si>
  <si>
    <t>Column Labels</t>
  </si>
  <si>
    <t>Row Labels</t>
  </si>
  <si>
    <t>01</t>
  </si>
  <si>
    <t>02</t>
  </si>
  <si>
    <t>03</t>
  </si>
  <si>
    <t>04</t>
  </si>
  <si>
    <t>0F</t>
  </si>
  <si>
    <t>10</t>
  </si>
  <si>
    <t>11</t>
  </si>
  <si>
    <t>12</t>
  </si>
  <si>
    <t>13</t>
  </si>
  <si>
    <t>14</t>
  </si>
  <si>
    <t>1F</t>
  </si>
  <si>
    <t>21</t>
  </si>
  <si>
    <t>22</t>
  </si>
  <si>
    <t>23</t>
  </si>
  <si>
    <t>2F</t>
  </si>
  <si>
    <t>M0</t>
  </si>
  <si>
    <t>M1</t>
  </si>
  <si>
    <t>M2</t>
  </si>
  <si>
    <t>M3</t>
  </si>
  <si>
    <t>(blank)</t>
  </si>
  <si>
    <t>Grand Total</t>
  </si>
  <si>
    <t>COMMERCIAL FISHERY</t>
  </si>
  <si>
    <t>ESCAPEMENT</t>
  </si>
  <si>
    <t>HATCHERY</t>
  </si>
  <si>
    <t>NATIVE FOOD FISHERY</t>
  </si>
  <si>
    <t>ATNARKO RIVER</t>
  </si>
  <si>
    <t>SPORT FISHERY</t>
  </si>
  <si>
    <t>BELLA COOLA RIVER</t>
  </si>
  <si>
    <t>PADS*</t>
  </si>
  <si>
    <t>Where "n" = number of age samples available</t>
  </si>
  <si>
    <t>Hatchery, 22</t>
  </si>
  <si>
    <t>Sport Fishery, 5</t>
  </si>
  <si>
    <t>Commercial, 131</t>
  </si>
  <si>
    <t>Commercial, 200</t>
  </si>
  <si>
    <t>Commercial, 5</t>
  </si>
  <si>
    <t>Commercial, 36</t>
  </si>
  <si>
    <t>Commercial, 50</t>
  </si>
  <si>
    <t>Age Batch Details</t>
  </si>
  <si>
    <t>Age Batch Details*</t>
  </si>
  <si>
    <t>*More specific location data available</t>
  </si>
  <si>
    <t>Not suggesting "Other" are used. Simply recording for completeness from searched databases.</t>
  </si>
  <si>
    <t>Includes partial Ages</t>
  </si>
  <si>
    <t>SPECIES</t>
  </si>
  <si>
    <t>Sockeye</t>
  </si>
  <si>
    <t>Count of GR AGE</t>
  </si>
  <si>
    <t>2M</t>
  </si>
  <si>
    <t>31</t>
  </si>
  <si>
    <t>32</t>
  </si>
  <si>
    <t>3M</t>
  </si>
  <si>
    <t>41</t>
  </si>
  <si>
    <t>42</t>
  </si>
  <si>
    <t>52</t>
  </si>
  <si>
    <t>53</t>
  </si>
  <si>
    <t>63</t>
  </si>
  <si>
    <t>Atnarko River Escapement</t>
  </si>
  <si>
    <t>Atnarko River</t>
  </si>
  <si>
    <t>S Atnarko R abv Lonesome Lk</t>
  </si>
  <si>
    <t>S Atnarko R bel Stillwater</t>
  </si>
  <si>
    <t>Atnarko River mainstem</t>
  </si>
  <si>
    <t>S Atnarko R abv Rainbow</t>
  </si>
  <si>
    <t>Atnarko R abv Tenas</t>
  </si>
  <si>
    <t>S Atnarko R abv Stillwater</t>
  </si>
  <si>
    <t>Bella Coola FN (in-river net)</t>
  </si>
  <si>
    <t>Lower Bella Coola River</t>
  </si>
  <si>
    <t>Bella Coola River</t>
  </si>
  <si>
    <t>Other</t>
  </si>
  <si>
    <t xml:space="preserve">Using Container ID (Scale Book #), and Specimen Number (Scale Cell #), can match biodata to ages. </t>
  </si>
  <si>
    <t>Summary of readily available bio-data to accompany ages.</t>
  </si>
  <si>
    <t>Species</t>
  </si>
  <si>
    <t>Waterbody Name</t>
  </si>
  <si>
    <t xml:space="preserve">File name: </t>
  </si>
  <si>
    <t>PADS Feb 2026 download</t>
  </si>
  <si>
    <t>Age Readings Data</t>
  </si>
  <si>
    <t>Project ID</t>
  </si>
  <si>
    <t>Atnarko - All</t>
  </si>
  <si>
    <t>Bella Coola - All</t>
  </si>
  <si>
    <t>File name:</t>
  </si>
  <si>
    <t>(Historical)</t>
  </si>
  <si>
    <t>2021 Appears to be the cutoff between Historical (PADS &amp; Age Readings Data), and Modern (Age Batch Lists) age data.</t>
  </si>
  <si>
    <t>For Historical, I compared PADS and Age Readings Data.</t>
  </si>
  <si>
    <t>Age Readings Data Feb 2026 download</t>
  </si>
  <si>
    <t xml:space="preserve">For 2022 forward, </t>
  </si>
  <si>
    <t xml:space="preserve">Species </t>
  </si>
  <si>
    <t>Atnarko</t>
  </si>
  <si>
    <t>Filter search</t>
  </si>
  <si>
    <t>Bella Coola</t>
  </si>
  <si>
    <t>Escapement Data</t>
  </si>
  <si>
    <t>FSC data</t>
  </si>
  <si>
    <t>Project</t>
  </si>
  <si>
    <t>Downloaded multiple files where necessary</t>
  </si>
  <si>
    <t xml:space="preserve">Please note, older data appears as an option, but no ages actually listed. </t>
  </si>
  <si>
    <t>Since species is filtered by project, ensure you remove stray coho from analysis. (AKA coho submitted accidentally in a sockeye project)</t>
  </si>
  <si>
    <t>Atnarko Sockeye sample bio-data</t>
  </si>
  <si>
    <t>These data have not been tidied for upload.</t>
  </si>
  <si>
    <t>Repeated for each fiscal year</t>
  </si>
  <si>
    <t>Sheet name:</t>
  </si>
  <si>
    <t>Data</t>
  </si>
  <si>
    <t xml:space="preserve">Sheet Name: </t>
  </si>
  <si>
    <t>Age Scale Read</t>
  </si>
  <si>
    <t xml:space="preserve">Three DFO databases were searched for Atnarko Sockeye Age data </t>
  </si>
  <si>
    <t>Filters used:</t>
  </si>
  <si>
    <t xml:space="preserve">Age Readings data appears to include all of PADS + more samples. </t>
  </si>
  <si>
    <t>I suggest using Age Readings data, unless someone is aware of ages being intentionally excluded from PADS. Column: Sample Source: filter for Escapement and Native Food Fishery.</t>
  </si>
  <si>
    <t>*FYI, there are an additional 11 samples from FSC in 1997 - filtered out by assumed error (location). Moot point if using AGE READINGS DATA.</t>
  </si>
  <si>
    <t xml:space="preserve">All 2022-2026 Escapement and FSC data have been compiled into one file. </t>
  </si>
  <si>
    <t>Age Batch Detail Aug 2026 (upto 2024 is Feb 2026 version)</t>
  </si>
  <si>
    <t>updated Aug 2026, Downloaded in Jan 2026 (other updates: June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</si>
</sst>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\ \t\t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3"/>
      <color theme="1"/>
      <name val="Aptos Narrow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5" fillId="0" borderId="0"/>
  </cellStyleXfs>
  <cellXfs count="46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5" borderId="0" xfId="0" applyFill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0" xfId="2"/>
    <xf numFmtId="0" fontId="3" fillId="0" borderId="0" xfId="2" applyAlignment="1">
      <alignment horizontal="left"/>
    </xf>
    <xf numFmtId="0" fontId="3" fillId="0" borderId="0" xfId="2" applyAlignment="1">
      <alignment horizontal="left" indent="1"/>
    </xf>
    <xf numFmtId="0" fontId="3" fillId="0" borderId="0" xfId="2" applyAlignment="1">
      <alignment horizontal="left" indent="2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3"/>
    <xf numFmtId="0" fontId="5" fillId="0" borderId="0" xfId="3" applyAlignment="1">
      <alignment horizontal="left"/>
    </xf>
    <xf numFmtId="0" fontId="5" fillId="0" borderId="0" xfId="3" applyAlignment="1">
      <alignment horizontal="left" indent="1"/>
    </xf>
    <xf numFmtId="0" fontId="5" fillId="0" borderId="0" xfId="3" applyAlignment="1">
      <alignment horizontal="left" indent="2"/>
    </xf>
    <xf numFmtId="0" fontId="1" fillId="0" borderId="3" xfId="1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1" applyBorder="1"/>
    <xf numFmtId="0" fontId="0" fillId="0" borderId="8" xfId="0" applyBorder="1"/>
    <xf numFmtId="0" fontId="2" fillId="0" borderId="2" xfId="0" applyFont="1" applyBorder="1"/>
    <xf numFmtId="0" fontId="0" fillId="0" borderId="9" xfId="0" applyBorder="1"/>
    <xf numFmtId="0" fontId="0" fillId="4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" xfId="2" xr:uid="{4CE2CC72-C207-4A13-B0C4-449F50FCA4CA}"/>
    <cellStyle name="Normal 3" xfId="3" xr:uid="{D55EA99D-4223-42C4-AEA3-EB811B45F5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tock%20Assessment\Strother\Atnarko%20Sockeye%20Ages\Age%20Readings%20Data%20Feb%202026%20downloa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tock%20Assessment\Strother\Atnarko%20Sockeye%20Ages\PADS%20Feb%202026%20downloa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tock%20Assessment\Strother\Atnarko%20Sockeye%20Ages\Escapement%20Ages\AgeBatchDetail_Combined_Esc+FSC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other, Ivy" refreshedDate="46069.372760416663" createdVersion="8" refreshedVersion="8" minRefreshableVersion="3" recordCount="5757" xr:uid="{CCA50284-A2AD-4AED-8F45-8A5DDA25B91A}">
  <cacheSource type="worksheet">
    <worksheetSource name="Data" r:id="rId2"/>
  </cacheSource>
  <cacheFields count="28">
    <cacheField name="Activity Id" numFmtId="1">
      <sharedItems containsString="0" containsBlank="1" containsNumber="1" containsInteger="1" minValue="-1006210629" maxValue="12275698"/>
    </cacheField>
    <cacheField name="Act_Act_Id" numFmtId="1">
      <sharedItems containsString="0" containsBlank="1" containsNumber="1" containsInteger="1" minValue="-1000027693" maxValue="2135900996"/>
    </cacheField>
    <cacheField name="Edge Code" numFmtId="49">
      <sharedItems containsBlank="1"/>
    </cacheField>
    <cacheField name="Part Age Code" numFmtId="49">
      <sharedItems containsBlank="1"/>
    </cacheField>
    <cacheField name="GR Age" numFmtId="49">
      <sharedItems containsBlank="1"/>
    </cacheField>
    <cacheField name="EU Age" numFmtId="49">
      <sharedItems containsBlank="1" count="21">
        <s v="13"/>
        <s v="03"/>
        <s v="12"/>
        <s v="M2"/>
        <s v="22"/>
        <s v="M3"/>
        <s v=""/>
        <s v="02"/>
        <s v="23"/>
        <s v="01"/>
        <s v="21"/>
        <s v="11"/>
        <s v="M0"/>
        <s v="14"/>
        <s v="M1"/>
        <s v="1F"/>
        <s v="0F"/>
        <s v="2F"/>
        <s v="10"/>
        <s v="04"/>
        <m/>
      </sharedItems>
    </cacheField>
    <cacheField name="Age Unit Of Measure" numFmtId="49">
      <sharedItems containsBlank="1"/>
    </cacheField>
    <cacheField name="Age" numFmtId="49">
      <sharedItems containsBlank="1"/>
    </cacheField>
    <cacheField name="Container Address" numFmtId="49">
      <sharedItems containsBlank="1"/>
    </cacheField>
    <cacheField name="Reading Method" numFmtId="49">
      <sharedItems containsBlank="1"/>
    </cacheField>
    <cacheField name="Structure" numFmtId="1">
      <sharedItems containsString="0" containsBlank="1" containsNumber="1" containsInteger="1" minValue="2126660001" maxValue="2126660003"/>
    </cacheField>
    <cacheField name="Format" numFmtId="49">
      <sharedItems containsBlank="1"/>
    </cacheField>
    <cacheField name="Project Id" numFmtId="1">
      <sharedItems containsString="0" containsBlank="1" containsNumber="1" containsInteger="1" minValue="-1000005644" maxValue="11707560"/>
    </cacheField>
    <cacheField name="Project" numFmtId="49">
      <sharedItems containsBlank="1"/>
    </cacheField>
    <cacheField name="Location Id" numFmtId="1">
      <sharedItems containsString="0" containsBlank="1" containsNumber="1" containsInteger="1" minValue="968" maxValue="63366"/>
    </cacheField>
    <cacheField name="Location" numFmtId="49">
      <sharedItems containsBlank="1"/>
    </cacheField>
    <cacheField name="Fiscal Year" numFmtId="1">
      <sharedItems containsString="0" containsBlank="1" containsNumber="1" containsInteger="1" minValue="1989" maxValue="2021" count="28">
        <n v="2006"/>
        <n v="1991"/>
        <n v="1997"/>
        <n v="1999"/>
        <n v="2010"/>
        <n v="2015"/>
        <n v="2012"/>
        <n v="2003"/>
        <n v="2009"/>
        <n v="2021"/>
        <n v="2000"/>
        <n v="2016"/>
        <n v="2018"/>
        <n v="2019"/>
        <n v="2007"/>
        <n v="2005"/>
        <n v="1990"/>
        <n v="1989"/>
        <n v="2011"/>
        <n v="2017"/>
        <n v="1992"/>
        <n v="2013"/>
        <n v="2020"/>
        <n v="2008"/>
        <n v="1998"/>
        <n v="2014"/>
        <n v="1993"/>
        <m/>
      </sharedItems>
    </cacheField>
    <cacheField name="Sample Number" numFmtId="49">
      <sharedItems containsBlank="1"/>
    </cacheField>
    <cacheField name="Species Id" numFmtId="1">
      <sharedItems containsString="0" containsBlank="1" containsNumber="1" containsInteger="1" minValue="1" maxValue="1"/>
    </cacheField>
    <cacheField name="Species" numFmtId="49">
      <sharedItems containsBlank="1"/>
    </cacheField>
    <cacheField name="Sample Source Id" numFmtId="1">
      <sharedItems containsString="0" containsBlank="1" containsNumber="1" containsInteger="1" minValue="2086090003" maxValue="2086090013"/>
    </cacheField>
    <cacheField name="Sample Source" numFmtId="49">
      <sharedItems containsBlank="1" count="5">
        <s v="NATIVE FOOD FISHERY"/>
        <s v="ESCAPEMENT"/>
        <s v="COMMERCIAL FISHERY"/>
        <s v="HATCHERY"/>
        <m/>
      </sharedItems>
    </cacheField>
    <cacheField name="Gear Code" numFmtId="1">
      <sharedItems containsString="0" containsBlank="1" containsNumber="1" containsInteger="1" minValue="8" maxValue="88"/>
    </cacheField>
    <cacheField name="Gear" numFmtId="49">
      <sharedItems containsBlank="1"/>
    </cacheField>
    <cacheField name="Life History Stage" numFmtId="49">
      <sharedItems containsBlank="1"/>
    </cacheField>
    <cacheField name="Sample Start Date" numFmtId="164">
      <sharedItems containsDate="1" containsBlank="1" containsMixedTypes="1" minDate="1989-06-20T00:00:00" maxDate="2021-10-05T00:00:00"/>
    </cacheField>
    <cacheField name="Sample End Date" numFmtId="164">
      <sharedItems containsDate="1" containsBlank="1" containsMixedTypes="1" minDate="1989-06-20T00:00:00" maxDate="2021-10-05T00:00:00"/>
    </cacheField>
    <cacheField name="Container Label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other, Ivy" refreshedDate="46069.361993171296" createdVersion="8" refreshedVersion="8" minRefreshableVersion="3" recordCount="4040" xr:uid="{5D0C736E-DBCE-41C3-992E-7BD2078A6301}">
  <cacheSource type="worksheet">
    <worksheetSource ref="A1:AG1048576" sheet="Data" r:id="rId2"/>
  </cacheSource>
  <cacheFields count="33">
    <cacheField name="Part Age Code" numFmtId="49">
      <sharedItems containsBlank="1"/>
    </cacheField>
    <cacheField name="Edge Code" numFmtId="49">
      <sharedItems containsBlank="1"/>
    </cacheField>
    <cacheField name="Age" numFmtId="49">
      <sharedItems containsBlank="1" count="18">
        <s v="13"/>
        <s v="03"/>
        <s v="12"/>
        <s v="2"/>
        <s v="22"/>
        <s v="3"/>
        <s v=""/>
        <s v="02"/>
        <s v="23"/>
        <s v="0"/>
        <s v="14"/>
        <s v="1"/>
        <s v="11"/>
        <s v="01"/>
        <s v="04"/>
        <s v="21"/>
        <s v="10"/>
        <m/>
      </sharedItems>
    </cacheField>
    <cacheField name="Age Unit Of Measure" numFmtId="49">
      <sharedItems containsBlank="1"/>
    </cacheField>
    <cacheField name="Reading Method" numFmtId="49">
      <sharedItems containsBlank="1"/>
    </cacheField>
    <cacheField name="MTP Id" numFmtId="1">
      <sharedItems containsString="0" containsBlank="1" containsNumber="1" containsInteger="1" minValue="2126660001" maxValue="2126660002"/>
    </cacheField>
    <cacheField name="Format" numFmtId="49">
      <sharedItems containsBlank="1"/>
    </cacheField>
    <cacheField name="GR Age" numFmtId="49">
      <sharedItems containsBlank="1"/>
    </cacheField>
    <cacheField name="EU Age" numFmtId="49">
      <sharedItems containsBlank="1" count="21">
        <s v="13"/>
        <s v="03"/>
        <s v="12"/>
        <s v="M2"/>
        <s v="22"/>
        <s v="M3"/>
        <s v=""/>
        <s v="02"/>
        <s v="23"/>
        <s v="M0"/>
        <s v="14"/>
        <s v="M1"/>
        <s v="11"/>
        <s v="0F"/>
        <s v="01"/>
        <s v="04"/>
        <s v="1F"/>
        <s v="21"/>
        <s v="2F"/>
        <s v="10"/>
        <m/>
      </sharedItems>
    </cacheField>
    <cacheField name="Container Address" numFmtId="49">
      <sharedItems containsBlank="1"/>
    </cacheField>
    <cacheField name="Conservation Unit Name" numFmtId="49">
      <sharedItems containsBlank="1"/>
    </cacheField>
    <cacheField name="Conservation Unit Index" numFmtId="49">
      <sharedItems containsBlank="1"/>
    </cacheField>
    <cacheField name="Area" numFmtId="49">
      <sharedItems containsBlank="1"/>
    </cacheField>
    <cacheField name="Waterbody Name" numFmtId="49">
      <sharedItems containsBlank="1" count="3">
        <s v="BELLA COOLA RIVER"/>
        <s v="ATNARKO RIVER"/>
        <m/>
      </sharedItems>
    </cacheField>
    <cacheField name="Species Qualified" numFmtId="49">
      <sharedItems containsBlank="1"/>
    </cacheField>
    <cacheField name="Population" numFmtId="49">
      <sharedItems containsBlank="1"/>
    </cacheField>
    <cacheField name="Project Id" numFmtId="1">
      <sharedItems containsString="0" containsBlank="1" containsNumber="1" containsInteger="1" minValue="-1000006987" maxValue="11707560"/>
    </cacheField>
    <cacheField name="Population Id" numFmtId="1">
      <sharedItems containsString="0" containsBlank="1" containsNumber="1" containsInteger="1" minValue="51765" maxValue="51780"/>
    </cacheField>
    <cacheField name="Project" numFmtId="49">
      <sharedItems containsBlank="1"/>
    </cacheField>
    <cacheField name="Location Id" numFmtId="1">
      <sharedItems containsString="0" containsBlank="1" containsNumber="1" containsInteger="1" minValue="968" maxValue="970"/>
    </cacheField>
    <cacheField name="Location" numFmtId="49">
      <sharedItems containsBlank="1"/>
    </cacheField>
    <cacheField name="Fiscal Year" numFmtId="1">
      <sharedItems containsString="0" containsBlank="1" containsNumber="1" containsInteger="1" minValue="1989" maxValue="2021" count="24">
        <n v="2006"/>
        <n v="1991"/>
        <n v="2003"/>
        <n v="2009"/>
        <n v="2021"/>
        <n v="2016"/>
        <n v="2018"/>
        <n v="2019"/>
        <n v="2005"/>
        <n v="1990"/>
        <n v="2010"/>
        <n v="1989"/>
        <n v="1992"/>
        <n v="2008"/>
        <n v="2012"/>
        <n v="2020"/>
        <n v="1993"/>
        <n v="2014"/>
        <n v="2011"/>
        <n v="1997"/>
        <n v="2015"/>
        <n v="2007"/>
        <n v="2013"/>
        <m/>
      </sharedItems>
    </cacheField>
    <cacheField name="Sample Number" numFmtId="49">
      <sharedItems containsBlank="1"/>
    </cacheField>
    <cacheField name="Species Id" numFmtId="1">
      <sharedItems containsString="0" containsBlank="1" containsNumber="1" containsInteger="1" minValue="1" maxValue="1"/>
    </cacheField>
    <cacheField name="Species" numFmtId="49">
      <sharedItems containsBlank="1"/>
    </cacheField>
    <cacheField name="Sample Source Id" numFmtId="1">
      <sharedItems containsString="0" containsBlank="1" containsNumber="1" containsInteger="1" minValue="2086090006" maxValue="2086090013"/>
    </cacheField>
    <cacheField name="Sample Source" numFmtId="49">
      <sharedItems containsBlank="1" count="5">
        <s v="NATIVE FOOD FISHERY"/>
        <s v="ESCAPEMENT"/>
        <s v="SPORT FISHERY"/>
        <s v="HATCHERY"/>
        <m/>
      </sharedItems>
    </cacheField>
    <cacheField name="Gear Code" numFmtId="1">
      <sharedItems containsString="0" containsBlank="1" containsNumber="1" containsInteger="1" minValue="7" maxValue="88"/>
    </cacheField>
    <cacheField name="Gear" numFmtId="49">
      <sharedItems containsBlank="1"/>
    </cacheField>
    <cacheField name="Life History Stage" numFmtId="49">
      <sharedItems containsBlank="1"/>
    </cacheField>
    <cacheField name="Sample Start Date" numFmtId="164">
      <sharedItems containsDate="1" containsBlank="1" containsMixedTypes="1" minDate="1989-06-20T00:00:00" maxDate="2021-07-21T00:00:00"/>
    </cacheField>
    <cacheField name="Sample End Date" numFmtId="164">
      <sharedItems containsDate="1" containsBlank="1" containsMixedTypes="1" minDate="1989-06-20T00:00:00" maxDate="2021-07-22T00:00:00"/>
    </cacheField>
    <cacheField name="Container Label" numFmtId="49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rother, Ivy" refreshedDate="46069.482243055558" createdVersion="8" refreshedVersion="8" minRefreshableVersion="3" recordCount="414" xr:uid="{943029A9-0DE9-4A1D-8AE2-0E11BB3BD63A}">
  <cacheSource type="worksheet">
    <worksheetSource ref="A1:S1048576" sheet="Age Scale Read" r:id="rId2"/>
  </cacheSource>
  <cacheFields count="19">
    <cacheField name="BATCH ID" numFmtId="0">
      <sharedItems containsString="0" containsBlank="1" containsNumber="1" containsInteger="1" minValue="101623" maxValue="131287"/>
    </cacheField>
    <cacheField name="SAMPLE YEAR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PROJECT" numFmtId="0">
      <sharedItems containsBlank="1" count="3">
        <s v="Bella Coola FN (in-river net)"/>
        <s v="Atnarko River Escapement"/>
        <m/>
      </sharedItems>
    </cacheField>
    <cacheField name="AREA" numFmtId="0">
      <sharedItems containsBlank="1"/>
    </cacheField>
    <cacheField name="LOCATION" numFmtId="0">
      <sharedItems containsBlank="1" count="10">
        <s v="Lower Bella Coola River"/>
        <s v="Bella Coola River"/>
        <s v="Atnarko River"/>
        <s v="S Atnarko R abv Lonesome Lk"/>
        <s v="S Atnarko R bel Stillwater"/>
        <s v="Atnarko River mainstem"/>
        <s v="S Atnarko R abv Rainbow"/>
        <s v="Atnarko R abv Tenas"/>
        <s v="S Atnarko R abv Stillwater"/>
        <m/>
      </sharedItems>
    </cacheField>
    <cacheField name="CONTAINER ID" numFmtId="0">
      <sharedItems containsBlank="1"/>
    </cacheField>
    <cacheField name="DATE SAMPLE START" numFmtId="0">
      <sharedItems containsBlank="1"/>
    </cacheField>
    <cacheField name="DATE SAMPLE END" numFmtId="0">
      <sharedItems containsBlank="1"/>
    </cacheField>
    <cacheField name="SPECIES" numFmtId="0">
      <sharedItems containsBlank="1" count="3">
        <s v="Sockeye"/>
        <s v="Coho"/>
        <m/>
      </sharedItems>
    </cacheField>
    <cacheField name="LIFE STAGE" numFmtId="0">
      <sharedItems containsBlank="1"/>
    </cacheField>
    <cacheField name="FISHERY" numFmtId="0">
      <sharedItems containsBlank="1"/>
    </cacheField>
    <cacheField name="GEAR" numFmtId="0">
      <sharedItems containsBlank="1"/>
    </cacheField>
    <cacheField name="SPECIMEN TYPE" numFmtId="0">
      <sharedItems containsBlank="1"/>
    </cacheField>
    <cacheField name="SPECIMEN NUMBER" numFmtId="0">
      <sharedItems containsString="0" containsBlank="1" containsNumber="1" containsInteger="1" minValue="1" maxValue="94"/>
    </cacheField>
    <cacheField name="EU AGE" numFmtId="0">
      <sharedItems containsBlank="1" count="8">
        <s v="12"/>
        <m/>
        <s v="11"/>
        <s v="02"/>
        <s v="13"/>
        <s v="03"/>
        <s v="22"/>
        <s v="23"/>
      </sharedItems>
    </cacheField>
    <cacheField name="PARTIAL AGE" numFmtId="0">
      <sharedItems containsBlank="1" count="5">
        <m/>
        <s v="M2"/>
        <s v="M3"/>
        <s v="F1"/>
        <s v="F0"/>
      </sharedItems>
    </cacheField>
    <cacheField name="SCALE CONDITION DESCRIPTION" numFmtId="0">
      <sharedItems containsBlank="1"/>
    </cacheField>
    <cacheField name="EDGE CODE" numFmtId="0">
      <sharedItems containsBlank="1"/>
    </cacheField>
    <cacheField name="GR AGE" numFmtId="0">
      <sharedItems containsBlank="1" count="12">
        <s v="42"/>
        <m/>
        <s v="2M"/>
        <s v="32"/>
        <s v="31"/>
        <s v="52"/>
        <s v="3M"/>
        <s v="41"/>
        <s v="1F"/>
        <s v="53"/>
        <s v="63"/>
        <s v="0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57">
  <r>
    <n v="3594251"/>
    <n v="421486345"/>
    <s v="0"/>
    <s v=""/>
    <s v="52"/>
    <x v="0"/>
    <s v="EU"/>
    <s v="13"/>
    <s v="1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341"/>
    <n v="421486345"/>
    <s v=""/>
    <s v=""/>
    <s v="41"/>
    <x v="1"/>
    <s v="EU"/>
    <s v="03"/>
    <s v="6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n v="3594128"/>
    <n v="421486345"/>
    <s v=""/>
    <s v=""/>
    <s v="42"/>
    <x v="2"/>
    <s v="EU"/>
    <s v="12"/>
    <s v="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n v="3594284"/>
    <n v="421486345"/>
    <s v=""/>
    <s v=""/>
    <s v="42"/>
    <x v="2"/>
    <s v="EU"/>
    <s v="12"/>
    <s v="1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85"/>
    <n v="421486345"/>
    <s v=""/>
    <s v=""/>
    <s v="42"/>
    <x v="2"/>
    <s v="EU"/>
    <s v="12"/>
    <s v="18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43"/>
    <n v="421486345"/>
    <s v=""/>
    <s v=""/>
    <s v="42"/>
    <x v="2"/>
    <s v="EU"/>
    <s v="12"/>
    <s v="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323"/>
    <n v="421486345"/>
    <s v=""/>
    <s v=""/>
    <s v="42"/>
    <x v="2"/>
    <s v="EU"/>
    <s v="12"/>
    <s v="2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70"/>
    <n v="421486345"/>
    <s v=""/>
    <s v=""/>
    <s v="42"/>
    <x v="2"/>
    <s v="EU"/>
    <s v="12"/>
    <s v="1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45"/>
    <n v="421486345"/>
    <s v="0"/>
    <s v="RG"/>
    <s v="2M"/>
    <x v="3"/>
    <s v="MY"/>
    <s v="2"/>
    <s v="1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60"/>
    <n v="421486345"/>
    <s v=""/>
    <s v=""/>
    <s v="42"/>
    <x v="2"/>
    <s v="EU"/>
    <s v="12"/>
    <s v="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58"/>
    <n v="421486345"/>
    <s v=""/>
    <s v=""/>
    <s v="42"/>
    <x v="2"/>
    <s v="EU"/>
    <s v="12"/>
    <s v="9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67"/>
    <n v="421486345"/>
    <s v="0"/>
    <s v=""/>
    <s v="42"/>
    <x v="2"/>
    <s v="EU"/>
    <s v="12"/>
    <s v="1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46"/>
    <n v="421486345"/>
    <s v=""/>
    <s v=""/>
    <s v="42"/>
    <x v="2"/>
    <s v="EU"/>
    <s v="12"/>
    <s v="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73"/>
    <n v="421486345"/>
    <s v=""/>
    <s v=""/>
    <s v="42"/>
    <x v="2"/>
    <s v="EU"/>
    <s v="12"/>
    <s v="1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94"/>
    <n v="421486345"/>
    <s v=""/>
    <s v=""/>
    <s v="42"/>
    <x v="2"/>
    <s v="EU"/>
    <s v="12"/>
    <s v="2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55"/>
    <n v="421486345"/>
    <s v=""/>
    <s v=""/>
    <s v="52"/>
    <x v="0"/>
    <s v="EU"/>
    <s v="13"/>
    <s v="8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326"/>
    <n v="421486345"/>
    <s v=""/>
    <s v=""/>
    <s v="42"/>
    <x v="2"/>
    <s v="EU"/>
    <s v="12"/>
    <s v="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n v="3594335"/>
    <n v="421486345"/>
    <s v=""/>
    <s v="RG"/>
    <s v="2M"/>
    <x v="3"/>
    <s v="MY"/>
    <s v="2"/>
    <s v="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n v="3594338"/>
    <n v="421486345"/>
    <s v=""/>
    <s v=""/>
    <s v="42"/>
    <x v="2"/>
    <s v="EU"/>
    <s v="12"/>
    <s v="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n v="3594131"/>
    <n v="421486345"/>
    <s v=""/>
    <s v=""/>
    <s v="41"/>
    <x v="1"/>
    <s v="EU"/>
    <s v="03"/>
    <s v="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n v="3594278"/>
    <n v="421486345"/>
    <s v=""/>
    <s v=""/>
    <s v="53"/>
    <x v="4"/>
    <s v="EU"/>
    <s v="22"/>
    <s v="9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27"/>
    <n v="421486345"/>
    <s v="0"/>
    <s v=""/>
    <s v="42"/>
    <x v="2"/>
    <s v="EU"/>
    <s v="12"/>
    <s v="7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332"/>
    <n v="421486345"/>
    <s v=""/>
    <s v=""/>
    <s v="52"/>
    <x v="0"/>
    <s v="EU"/>
    <s v="13"/>
    <s v="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n v="3594218"/>
    <n v="421486345"/>
    <s v="0"/>
    <s v=""/>
    <s v="42"/>
    <x v="2"/>
    <s v="EU"/>
    <s v="12"/>
    <s v="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137"/>
    <n v="421486345"/>
    <s v="0"/>
    <s v=""/>
    <s v="42"/>
    <x v="2"/>
    <s v="EU"/>
    <s v="12"/>
    <s v="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320"/>
    <n v="421486345"/>
    <s v=""/>
    <s v=""/>
    <s v="42"/>
    <x v="2"/>
    <s v="EU"/>
    <s v="12"/>
    <s v="2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317"/>
    <n v="421486345"/>
    <s v=""/>
    <s v=""/>
    <s v="53"/>
    <x v="4"/>
    <s v="EU"/>
    <s v="22"/>
    <s v="2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40"/>
    <n v="421486345"/>
    <s v="0"/>
    <s v="RG"/>
    <s v="2M"/>
    <x v="3"/>
    <s v="MY"/>
    <s v="2"/>
    <s v="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57"/>
    <n v="421486345"/>
    <s v="0"/>
    <s v=""/>
    <s v="52"/>
    <x v="0"/>
    <s v="EU"/>
    <s v="13"/>
    <s v="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311"/>
    <n v="421486345"/>
    <s v=""/>
    <s v=""/>
    <s v="42"/>
    <x v="2"/>
    <s v="EU"/>
    <s v="12"/>
    <s v="20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33"/>
    <n v="421486345"/>
    <s v=""/>
    <s v=""/>
    <s v="53"/>
    <x v="4"/>
    <s v="EU"/>
    <s v="22"/>
    <s v="9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302"/>
    <n v="421486345"/>
    <s v=""/>
    <s v="RG"/>
    <s v="2M"/>
    <x v="3"/>
    <s v="MY"/>
    <s v="2"/>
    <s v="17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305"/>
    <n v="421486345"/>
    <s v=""/>
    <s v=""/>
    <s v="41"/>
    <x v="1"/>
    <s v="EU"/>
    <s v="03"/>
    <s v="18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308"/>
    <n v="421486345"/>
    <s v=""/>
    <s v=""/>
    <s v="53"/>
    <x v="4"/>
    <s v="EU"/>
    <s v="22"/>
    <s v="19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314"/>
    <n v="421486345"/>
    <s v=""/>
    <s v=""/>
    <s v="42"/>
    <x v="2"/>
    <s v="EU"/>
    <s v="12"/>
    <s v="2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97"/>
    <n v="421486345"/>
    <s v=""/>
    <s v=""/>
    <s v="41"/>
    <x v="1"/>
    <s v="EU"/>
    <s v="03"/>
    <s v="2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12"/>
    <n v="421486345"/>
    <s v=""/>
    <s v="RG"/>
    <s v="2M"/>
    <x v="3"/>
    <s v="MY"/>
    <s v="2"/>
    <s v="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81"/>
    <n v="421486345"/>
    <s v=""/>
    <s v=""/>
    <s v="42"/>
    <x v="2"/>
    <s v="EU"/>
    <s v="12"/>
    <s v="10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88"/>
    <n v="421486345"/>
    <s v=""/>
    <s v="UF"/>
    <s v="3M"/>
    <x v="5"/>
    <s v="MY"/>
    <s v="3"/>
    <s v="19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91"/>
    <n v="421486345"/>
    <s v=""/>
    <s v="UD"/>
    <s v=""/>
    <x v="6"/>
    <s v="EU"/>
    <s v=""/>
    <s v="20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30"/>
    <n v="421486345"/>
    <s v=""/>
    <s v="RG"/>
    <s v="2M"/>
    <x v="3"/>
    <s v="MY"/>
    <s v="2"/>
    <s v="8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66"/>
    <n v="421486345"/>
    <s v=""/>
    <s v=""/>
    <s v="42"/>
    <x v="2"/>
    <s v="EU"/>
    <s v="12"/>
    <s v="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179"/>
    <n v="421486345"/>
    <s v=""/>
    <s v=""/>
    <s v="42"/>
    <x v="2"/>
    <s v="EU"/>
    <s v="12"/>
    <s v="16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64"/>
    <n v="421486345"/>
    <s v=""/>
    <s v=""/>
    <s v="42"/>
    <x v="2"/>
    <s v="EU"/>
    <s v="12"/>
    <s v="1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22"/>
    <n v="421486345"/>
    <s v="0"/>
    <s v=""/>
    <s v="42"/>
    <x v="2"/>
    <s v="EU"/>
    <s v="12"/>
    <s v="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n v="3594125"/>
    <n v="421486345"/>
    <s v=""/>
    <s v=""/>
    <s v="52"/>
    <x v="0"/>
    <s v="EU"/>
    <s v="13"/>
    <s v="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n v="3594134"/>
    <n v="421486345"/>
    <s v=""/>
    <s v=""/>
    <s v="41"/>
    <x v="1"/>
    <s v="EU"/>
    <s v="03"/>
    <s v="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49"/>
    <n v="421486345"/>
    <s v=""/>
    <s v="RG"/>
    <s v="2M"/>
    <x v="3"/>
    <s v="MY"/>
    <s v="2"/>
    <s v="6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52"/>
    <n v="421486345"/>
    <s v=""/>
    <s v=""/>
    <s v="52"/>
    <x v="0"/>
    <s v="EU"/>
    <s v="13"/>
    <s v="7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76"/>
    <n v="421486345"/>
    <s v=""/>
    <s v=""/>
    <s v="42"/>
    <x v="2"/>
    <s v="EU"/>
    <s v="12"/>
    <s v="1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182"/>
    <n v="421486345"/>
    <s v=""/>
    <s v=""/>
    <s v="42"/>
    <x v="2"/>
    <s v="EU"/>
    <s v="12"/>
    <s v="17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00"/>
    <n v="421486345"/>
    <s v="0"/>
    <s v="RG"/>
    <s v="2M"/>
    <x v="3"/>
    <s v="MY"/>
    <s v="2"/>
    <s v="2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03"/>
    <n v="421486345"/>
    <s v="0"/>
    <s v="RG"/>
    <s v="2M"/>
    <x v="3"/>
    <s v="MY"/>
    <s v="2"/>
    <s v="2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06"/>
    <n v="421486345"/>
    <s v=""/>
    <s v=""/>
    <s v="42"/>
    <x v="2"/>
    <s v="EU"/>
    <s v="12"/>
    <s v="2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09"/>
    <n v="421486345"/>
    <s v=""/>
    <s v="RG"/>
    <s v="3M"/>
    <x v="5"/>
    <s v="MY"/>
    <s v="3"/>
    <s v="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15"/>
    <n v="421486345"/>
    <s v="0"/>
    <s v=""/>
    <s v="31"/>
    <x v="7"/>
    <s v="EU"/>
    <s v="02"/>
    <s v="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21"/>
    <n v="421486345"/>
    <s v=""/>
    <s v="NS"/>
    <s v=""/>
    <x v="6"/>
    <s v="EU"/>
    <s v=""/>
    <s v="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24"/>
    <n v="421486345"/>
    <s v=""/>
    <s v=""/>
    <s v="42"/>
    <x v="2"/>
    <s v="EU"/>
    <s v="12"/>
    <s v="6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36"/>
    <n v="421486345"/>
    <s v=""/>
    <s v=""/>
    <s v="41"/>
    <x v="1"/>
    <s v="EU"/>
    <s v="03"/>
    <s v="10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39"/>
    <n v="421486345"/>
    <s v=""/>
    <s v=""/>
    <s v="63"/>
    <x v="8"/>
    <s v="EU"/>
    <s v="23"/>
    <s v="1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42"/>
    <n v="421486345"/>
    <s v="0"/>
    <s v="RG"/>
    <s v="3M"/>
    <x v="5"/>
    <s v="MY"/>
    <s v="3"/>
    <s v="1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48"/>
    <n v="421486345"/>
    <s v="0"/>
    <s v=""/>
    <s v="42"/>
    <x v="2"/>
    <s v="EU"/>
    <s v="12"/>
    <s v="1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n v="3594254"/>
    <n v="421486345"/>
    <s v="0"/>
    <s v="RG"/>
    <s v="3M"/>
    <x v="5"/>
    <s v="MY"/>
    <s v="3"/>
    <s v="1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63"/>
    <n v="421486345"/>
    <s v=""/>
    <s v=""/>
    <s v="42"/>
    <x v="2"/>
    <s v="EU"/>
    <s v="12"/>
    <s v="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69"/>
    <n v="421486345"/>
    <s v="0"/>
    <s v=""/>
    <s v="42"/>
    <x v="2"/>
    <s v="EU"/>
    <s v="12"/>
    <s v="6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72"/>
    <n v="421486345"/>
    <s v="0"/>
    <s v=""/>
    <s v="42"/>
    <x v="2"/>
    <s v="EU"/>
    <s v="12"/>
    <s v="7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75"/>
    <n v="421486345"/>
    <s v=""/>
    <s v=""/>
    <s v="42"/>
    <x v="2"/>
    <s v="EU"/>
    <s v="12"/>
    <s v="8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90"/>
    <n v="421486345"/>
    <s v=""/>
    <s v="UD"/>
    <s v=""/>
    <x v="6"/>
    <s v="EU"/>
    <s v=""/>
    <s v="13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99"/>
    <n v="421486345"/>
    <s v=""/>
    <s v=""/>
    <s v="42"/>
    <x v="2"/>
    <s v="EU"/>
    <s v="12"/>
    <s v="16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96"/>
    <n v="421486345"/>
    <s v=""/>
    <s v=""/>
    <s v="52"/>
    <x v="0"/>
    <s v="EU"/>
    <s v="13"/>
    <s v="15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329"/>
    <n v="421486345"/>
    <s v=""/>
    <s v=""/>
    <s v="42"/>
    <x v="2"/>
    <s v="EU"/>
    <s v="12"/>
    <s v="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n v="3594161"/>
    <n v="421486345"/>
    <s v=""/>
    <s v=""/>
    <s v="42"/>
    <x v="2"/>
    <s v="EU"/>
    <s v="12"/>
    <s v="10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n v="3594287"/>
    <n v="421486345"/>
    <s v=""/>
    <s v=""/>
    <s v="42"/>
    <x v="2"/>
    <s v="EU"/>
    <s v="12"/>
    <s v="12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3594293"/>
    <n v="421486345"/>
    <s v=""/>
    <s v="RG"/>
    <s v="2M"/>
    <x v="3"/>
    <s v="MY"/>
    <s v="2"/>
    <s v="14"/>
    <s v="Scales"/>
    <n v="2126660001"/>
    <s v="2 SCALES ACROSS PER FISH"/>
    <n v="3095062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n v="-1004095333"/>
    <n v="-1000013301"/>
    <s v=""/>
    <s v="RG"/>
    <s v=""/>
    <x v="6"/>
    <s v=""/>
    <s v=""/>
    <s v="21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39"/>
    <n v="-1000013301"/>
    <s v=""/>
    <s v=""/>
    <s v="2M"/>
    <x v="3"/>
    <s v="MY"/>
    <s v="2"/>
    <s v="24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41"/>
    <n v="-1000013301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43"/>
    <n v="-1000013301"/>
    <s v=""/>
    <s v=""/>
    <s v="52"/>
    <x v="0"/>
    <s v="EU"/>
    <s v="13"/>
    <s v="1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53"/>
    <n v="-1000013301"/>
    <s v=""/>
    <s v=""/>
    <s v="52"/>
    <x v="0"/>
    <s v="EU"/>
    <s v="13"/>
    <s v="6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67"/>
    <n v="-1000013301"/>
    <s v=""/>
    <s v=""/>
    <s v="2M"/>
    <x v="3"/>
    <s v="MY"/>
    <s v="2"/>
    <s v="13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69"/>
    <n v="-1000013301"/>
    <s v=""/>
    <s v=""/>
    <s v="41"/>
    <x v="1"/>
    <s v="EU"/>
    <s v="03"/>
    <s v="14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75"/>
    <n v="-1000013301"/>
    <s v=""/>
    <s v=""/>
    <s v="3M"/>
    <x v="5"/>
    <s v="MY"/>
    <s v="3"/>
    <s v="17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89"/>
    <n v="-1000013301"/>
    <s v=""/>
    <s v=""/>
    <s v="31"/>
    <x v="7"/>
    <s v="EU"/>
    <s v="02"/>
    <s v="24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91"/>
    <n v="-1000013301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435"/>
    <n v="-1000013305"/>
    <s v=""/>
    <s v="MF"/>
    <s v=""/>
    <x v="6"/>
    <s v=""/>
    <s v="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37"/>
    <n v="-1000013305"/>
    <s v=""/>
    <s v="MF"/>
    <s v=""/>
    <x v="6"/>
    <s v=""/>
    <s v="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763"/>
    <n v="-1000013305"/>
    <s v=""/>
    <s v=""/>
    <s v="41"/>
    <x v="1"/>
    <s v="EU"/>
    <s v="03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641"/>
    <n v="-1000013305"/>
    <s v=""/>
    <s v=""/>
    <s v="3M"/>
    <x v="5"/>
    <s v="MY"/>
    <s v="3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9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616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897"/>
    <n v="-1000013305"/>
    <s v=""/>
    <s v=""/>
    <s v="31"/>
    <x v="7"/>
    <s v="EU"/>
    <s v="0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6029"/>
    <n v="-1000013305"/>
    <s v=""/>
    <s v="RG"/>
    <s v=""/>
    <x v="6"/>
    <s v=""/>
    <s v="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7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8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60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27"/>
    <n v="-1000013305"/>
    <s v=""/>
    <s v=""/>
    <s v="3M"/>
    <x v="5"/>
    <s v="MY"/>
    <s v="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6099"/>
    <n v="-1000013305"/>
    <s v=""/>
    <s v="RG"/>
    <s v=""/>
    <x v="6"/>
    <s v=""/>
    <s v="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8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4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513"/>
    <n v="-1000013305"/>
    <s v=""/>
    <s v=""/>
    <s v="3M"/>
    <x v="5"/>
    <s v="MY"/>
    <s v="3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365"/>
    <n v="-1000013301"/>
    <s v=""/>
    <s v=""/>
    <s v="3M"/>
    <x v="5"/>
    <s v="MY"/>
    <s v="3"/>
    <s v="12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383"/>
    <n v="-1000013301"/>
    <s v=""/>
    <s v=""/>
    <s v="52"/>
    <x v="0"/>
    <s v="EU"/>
    <s v="13"/>
    <s v="21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54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307"/>
    <n v="-1000013301"/>
    <s v=""/>
    <s v=""/>
    <s v="3M"/>
    <x v="5"/>
    <s v="MY"/>
    <s v="3"/>
    <s v="8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159"/>
    <n v="-1000013305"/>
    <s v=""/>
    <s v="RG"/>
    <s v=""/>
    <x v="6"/>
    <s v=""/>
    <s v="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2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69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612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6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8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297"/>
    <n v="-1000013301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84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606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87"/>
    <n v="-1000013305"/>
    <s v=""/>
    <s v="RG"/>
    <s v=""/>
    <x v="6"/>
    <s v=""/>
    <s v="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5515045"/>
    <n v="-1000023131"/>
    <s v=""/>
    <s v=""/>
    <s v="42"/>
    <x v="2"/>
    <s v="EU"/>
    <s v="12"/>
    <s v="5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4095445"/>
    <n v="-1000013305"/>
    <s v=""/>
    <s v=""/>
    <s v="52"/>
    <x v="0"/>
    <s v="EU"/>
    <s v="13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3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57"/>
    <n v="-1000013305"/>
    <s v=""/>
    <s v=""/>
    <s v="41"/>
    <x v="1"/>
    <s v="EU"/>
    <s v="03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5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6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65"/>
    <n v="-1000013305"/>
    <s v=""/>
    <s v=""/>
    <s v="31"/>
    <x v="7"/>
    <s v="EU"/>
    <s v="0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7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81"/>
    <n v="-1000013305"/>
    <s v=""/>
    <s v="NA"/>
    <s v=""/>
    <x v="6"/>
    <s v=""/>
    <s v="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9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49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497"/>
    <n v="-1000013305"/>
    <s v=""/>
    <s v=""/>
    <s v="53"/>
    <x v="4"/>
    <s v="EU"/>
    <s v="2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0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09"/>
    <n v="-1000013305"/>
    <s v=""/>
    <s v=""/>
    <s v="2M"/>
    <x v="3"/>
    <s v="MY"/>
    <s v="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1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2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25"/>
    <n v="-1000013305"/>
    <s v=""/>
    <s v=""/>
    <s v="52"/>
    <x v="0"/>
    <s v="EU"/>
    <s v="13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29"/>
    <n v="-1000013305"/>
    <s v=""/>
    <s v=""/>
    <s v="41"/>
    <x v="1"/>
    <s v="EU"/>
    <s v="03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4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73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43"/>
    <n v="-1000013305"/>
    <s v=""/>
    <s v=""/>
    <s v="2M"/>
    <x v="3"/>
    <s v="MY"/>
    <s v="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47"/>
    <n v="-1000013305"/>
    <s v=""/>
    <s v=""/>
    <s v="42"/>
    <x v="2"/>
    <s v="EU"/>
    <s v="1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49"/>
    <n v="-1000013305"/>
    <s v=""/>
    <s v=""/>
    <s v="41"/>
    <x v="1"/>
    <s v="EU"/>
    <s v="03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5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65"/>
    <n v="-1000013305"/>
    <s v=""/>
    <s v="RG"/>
    <s v=""/>
    <x v="6"/>
    <s v=""/>
    <s v="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73"/>
    <n v="-1000013305"/>
    <s v=""/>
    <s v=""/>
    <s v="52"/>
    <x v="0"/>
    <s v="EU"/>
    <s v="13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8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789"/>
    <n v="-1000013305"/>
    <s v=""/>
    <s v=""/>
    <s v="52"/>
    <x v="0"/>
    <s v="EU"/>
    <s v="13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79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5515059"/>
    <n v="-1000023133"/>
    <s v=""/>
    <s v=""/>
    <s v="52"/>
    <x v="0"/>
    <s v="EU"/>
    <s v="13"/>
    <s v="2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71"/>
    <n v="-1000023133"/>
    <s v=""/>
    <s v=""/>
    <s v="52"/>
    <x v="0"/>
    <s v="EU"/>
    <s v="13"/>
    <s v="17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75"/>
    <n v="-1000023133"/>
    <s v=""/>
    <s v=""/>
    <s v="41"/>
    <x v="1"/>
    <s v="EU"/>
    <s v="03"/>
    <s v="15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77"/>
    <n v="-1000023133"/>
    <s v=""/>
    <s v=""/>
    <s v="42"/>
    <x v="2"/>
    <s v="EU"/>
    <s v="12"/>
    <s v="14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83"/>
    <n v="-1000023133"/>
    <s v=""/>
    <s v=""/>
    <s v="41"/>
    <x v="1"/>
    <s v="EU"/>
    <s v="03"/>
    <s v="1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87"/>
    <n v="-1000023133"/>
    <s v=""/>
    <s v=""/>
    <s v="52"/>
    <x v="0"/>
    <s v="EU"/>
    <s v="13"/>
    <s v="9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89"/>
    <n v="-1000023133"/>
    <s v=""/>
    <s v=""/>
    <s v="42"/>
    <x v="2"/>
    <s v="EU"/>
    <s v="12"/>
    <s v="8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93"/>
    <n v="-1000023133"/>
    <s v=""/>
    <s v=""/>
    <s v="52"/>
    <x v="0"/>
    <s v="EU"/>
    <s v="13"/>
    <s v="6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99"/>
    <n v="-1000023133"/>
    <s v=""/>
    <s v=""/>
    <s v="42"/>
    <x v="2"/>
    <s v="EU"/>
    <s v="12"/>
    <s v="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101"/>
    <n v="-1000023133"/>
    <s v=""/>
    <s v=""/>
    <s v="41"/>
    <x v="1"/>
    <s v="EU"/>
    <s v="03"/>
    <s v="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107"/>
    <n v="-1000023133"/>
    <s v=""/>
    <s v=""/>
    <s v="42"/>
    <x v="2"/>
    <s v="EU"/>
    <s v="12"/>
    <s v="24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27"/>
    <n v="-1000023133"/>
    <s v=""/>
    <s v=""/>
    <s v="52"/>
    <x v="0"/>
    <s v="EU"/>
    <s v="13"/>
    <s v="14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29"/>
    <n v="-1000023133"/>
    <s v=""/>
    <s v=""/>
    <s v="42"/>
    <x v="2"/>
    <s v="EU"/>
    <s v="12"/>
    <s v="1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871"/>
    <n v="-1000023129"/>
    <s v=""/>
    <s v=""/>
    <s v="42"/>
    <x v="2"/>
    <s v="EU"/>
    <s v="12"/>
    <s v="4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4875"/>
    <n v="-1000023129"/>
    <s v=""/>
    <s v=""/>
    <s v="42"/>
    <x v="2"/>
    <s v="EU"/>
    <s v="12"/>
    <s v="2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4887"/>
    <n v="-1000023129"/>
    <s v=""/>
    <s v=""/>
    <s v="31"/>
    <x v="7"/>
    <s v="EU"/>
    <s v="02"/>
    <s v="22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03"/>
    <n v="-1000023129"/>
    <s v=""/>
    <s v=""/>
    <s v="31"/>
    <x v="7"/>
    <s v="EU"/>
    <s v="02"/>
    <s v="14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05"/>
    <n v="-1000023129"/>
    <s v=""/>
    <s v=""/>
    <s v="31"/>
    <x v="7"/>
    <s v="EU"/>
    <s v="02"/>
    <s v="13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15"/>
    <n v="-1000023129"/>
    <s v=""/>
    <s v=""/>
    <s v="31"/>
    <x v="7"/>
    <s v="EU"/>
    <s v="02"/>
    <s v="8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23"/>
    <n v="-1000023129"/>
    <s v=""/>
    <s v=""/>
    <s v="31"/>
    <x v="7"/>
    <s v="EU"/>
    <s v="02"/>
    <s v="4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27"/>
    <n v="-1000023129"/>
    <s v=""/>
    <s v=""/>
    <s v="31"/>
    <x v="7"/>
    <s v="EU"/>
    <s v="02"/>
    <s v="2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33"/>
    <n v="-1000023129"/>
    <s v=""/>
    <s v="NS"/>
    <s v=""/>
    <x v="6"/>
    <s v=""/>
    <s v=""/>
    <s v="17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35"/>
    <n v="-1000023129"/>
    <s v=""/>
    <s v="NS"/>
    <s v=""/>
    <x v="6"/>
    <s v=""/>
    <s v=""/>
    <s v="16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51"/>
    <n v="-1000023129"/>
    <s v=""/>
    <s v=""/>
    <s v="31"/>
    <x v="7"/>
    <s v="EU"/>
    <s v="02"/>
    <s v="8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55"/>
    <n v="-1000023129"/>
    <s v=""/>
    <s v=""/>
    <s v="41"/>
    <x v="1"/>
    <s v="EU"/>
    <s v="03"/>
    <s v="6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57"/>
    <n v="-1000023129"/>
    <s v=""/>
    <s v=""/>
    <s v="41"/>
    <x v="1"/>
    <s v="EU"/>
    <s v="03"/>
    <s v="5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59"/>
    <n v="-1000023129"/>
    <s v=""/>
    <s v=""/>
    <s v="52"/>
    <x v="0"/>
    <s v="EU"/>
    <s v="13"/>
    <s v="4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73"/>
    <n v="-1000023131"/>
    <s v=""/>
    <s v=""/>
    <s v="42"/>
    <x v="2"/>
    <s v="EU"/>
    <s v="12"/>
    <s v="41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77"/>
    <n v="-1000023131"/>
    <s v=""/>
    <s v=""/>
    <s v="42"/>
    <x v="2"/>
    <s v="EU"/>
    <s v="12"/>
    <s v="39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81"/>
    <n v="-1000023131"/>
    <s v=""/>
    <s v=""/>
    <s v="42"/>
    <x v="2"/>
    <s v="EU"/>
    <s v="12"/>
    <s v="37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85"/>
    <n v="-1000023131"/>
    <s v=""/>
    <s v=""/>
    <s v="31"/>
    <x v="7"/>
    <s v="EU"/>
    <s v="02"/>
    <s v="35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91"/>
    <n v="-1000023131"/>
    <s v=""/>
    <s v=""/>
    <s v="41"/>
    <x v="1"/>
    <s v="EU"/>
    <s v="03"/>
    <s v="32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4095793"/>
    <n v="-1000013305"/>
    <s v=""/>
    <s v=""/>
    <s v="52"/>
    <x v="0"/>
    <s v="EU"/>
    <s v="13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803"/>
    <n v="-1000013305"/>
    <s v=""/>
    <s v=""/>
    <s v="31"/>
    <x v="7"/>
    <s v="EU"/>
    <s v="0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8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81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825"/>
    <n v="-1000013305"/>
    <s v=""/>
    <s v=""/>
    <s v="41"/>
    <x v="1"/>
    <s v="EU"/>
    <s v="03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58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591"/>
    <n v="-1000013305"/>
    <s v=""/>
    <s v=""/>
    <s v="52"/>
    <x v="0"/>
    <s v="EU"/>
    <s v="13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597"/>
    <n v="-1000013305"/>
    <s v=""/>
    <s v=""/>
    <s v="42"/>
    <x v="2"/>
    <s v="EU"/>
    <s v="1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0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2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23"/>
    <n v="-1000013305"/>
    <s v=""/>
    <s v=""/>
    <s v="41"/>
    <x v="1"/>
    <s v="EU"/>
    <s v="03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25"/>
    <n v="-1000013305"/>
    <s v=""/>
    <s v=""/>
    <s v="52"/>
    <x v="0"/>
    <s v="EU"/>
    <s v="13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3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3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47"/>
    <n v="-1000013305"/>
    <s v=""/>
    <s v=""/>
    <s v="42"/>
    <x v="2"/>
    <s v="EU"/>
    <s v="1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49"/>
    <n v="-1000013305"/>
    <s v=""/>
    <s v=""/>
    <s v="31"/>
    <x v="7"/>
    <s v="EU"/>
    <s v="0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5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6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81"/>
    <n v="-1000013305"/>
    <s v=""/>
    <s v=""/>
    <s v="3M"/>
    <x v="5"/>
    <s v="MY"/>
    <s v="3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685"/>
    <n v="-1000013305"/>
    <s v=""/>
    <s v=""/>
    <s v="2M"/>
    <x v="3"/>
    <s v="MY"/>
    <s v="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68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69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0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03"/>
    <n v="-1000013305"/>
    <s v=""/>
    <s v="RG"/>
    <s v=""/>
    <x v="6"/>
    <s v=""/>
    <s v="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0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5514997"/>
    <n v="-1000023131"/>
    <s v=""/>
    <s v=""/>
    <s v="52"/>
    <x v="0"/>
    <s v="EU"/>
    <s v="13"/>
    <s v="29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95"/>
    <n v="-1000023131"/>
    <s v=""/>
    <s v=""/>
    <s v="41"/>
    <x v="1"/>
    <s v="EU"/>
    <s v="03"/>
    <s v="30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31"/>
    <n v="-1000023131"/>
    <s v=""/>
    <s v=""/>
    <s v="31"/>
    <x v="7"/>
    <s v="EU"/>
    <s v="02"/>
    <s v="12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35"/>
    <n v="-1000023131"/>
    <s v=""/>
    <s v=""/>
    <s v="21"/>
    <x v="9"/>
    <s v="EU"/>
    <s v="01"/>
    <s v="10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43"/>
    <n v="-1000023133"/>
    <s v=""/>
    <s v=""/>
    <s v="42"/>
    <x v="2"/>
    <s v="EU"/>
    <s v="12"/>
    <s v="6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45"/>
    <n v="-1000023133"/>
    <s v=""/>
    <s v=""/>
    <s v="42"/>
    <x v="2"/>
    <s v="EU"/>
    <s v="12"/>
    <s v="5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47"/>
    <n v="-1000023133"/>
    <s v=""/>
    <s v=""/>
    <s v="42"/>
    <x v="2"/>
    <s v="EU"/>
    <s v="12"/>
    <s v="4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001"/>
    <n v="-1000023131"/>
    <s v=""/>
    <s v=""/>
    <s v="42"/>
    <x v="2"/>
    <s v="EU"/>
    <s v="12"/>
    <s v="27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13"/>
    <n v="-1000023131"/>
    <s v=""/>
    <s v=""/>
    <s v="31"/>
    <x v="7"/>
    <s v="EU"/>
    <s v="02"/>
    <s v="21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37"/>
    <n v="-1000023133"/>
    <s v=""/>
    <s v=""/>
    <s v="42"/>
    <x v="2"/>
    <s v="EU"/>
    <s v="12"/>
    <s v="9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59"/>
    <n v="-1000023133"/>
    <s v=""/>
    <s v=""/>
    <s v="52"/>
    <x v="0"/>
    <s v="EU"/>
    <s v="13"/>
    <s v="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s v=""/>
    <s v=""/>
    <s v="1997310041740967"/>
  </r>
  <r>
    <n v="-1005514879"/>
    <n v="-1000023129"/>
    <s v=""/>
    <s v=""/>
    <s v="31"/>
    <x v="7"/>
    <s v="EU"/>
    <s v="02"/>
    <s v="26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095"/>
    <n v="-1000023133"/>
    <s v=""/>
    <s v=""/>
    <s v="52"/>
    <x v="0"/>
    <s v="EU"/>
    <s v="13"/>
    <s v="5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877"/>
    <n v="-1000023129"/>
    <s v=""/>
    <s v=""/>
    <s v="42"/>
    <x v="2"/>
    <s v="EU"/>
    <s v="12"/>
    <s v="1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4901"/>
    <n v="-1000023129"/>
    <s v=""/>
    <s v=""/>
    <s v="31"/>
    <x v="7"/>
    <s v="EU"/>
    <s v="02"/>
    <s v="15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057"/>
    <n v="-1000023133"/>
    <s v=""/>
    <s v=""/>
    <s v="42"/>
    <x v="2"/>
    <s v="EU"/>
    <s v="12"/>
    <s v="24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25"/>
    <n v="-1000023131"/>
    <s v=""/>
    <s v=""/>
    <s v="31"/>
    <x v="7"/>
    <s v="EU"/>
    <s v="02"/>
    <s v="15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43"/>
    <n v="-1000023129"/>
    <s v=""/>
    <s v="NS"/>
    <s v=""/>
    <x v="6"/>
    <s v=""/>
    <s v=""/>
    <s v="12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71"/>
    <n v="-1000023131"/>
    <s v=""/>
    <s v=""/>
    <s v="52"/>
    <x v="0"/>
    <s v="EU"/>
    <s v="13"/>
    <s v="42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69"/>
    <n v="-1000023133"/>
    <s v=""/>
    <s v=""/>
    <s v="42"/>
    <x v="2"/>
    <s v="EU"/>
    <s v="12"/>
    <s v="18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963"/>
    <n v="-1000023129"/>
    <s v=""/>
    <s v=""/>
    <s v="42"/>
    <x v="2"/>
    <s v="EU"/>
    <s v="12"/>
    <s v="2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5023"/>
    <n v="-1000023131"/>
    <s v=""/>
    <s v=""/>
    <s v="31"/>
    <x v="7"/>
    <s v="EU"/>
    <s v="02"/>
    <s v="16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97"/>
    <n v="-1000023133"/>
    <s v=""/>
    <s v=""/>
    <s v="42"/>
    <x v="2"/>
    <s v="EU"/>
    <s v="12"/>
    <s v="4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937"/>
    <n v="-1000023129"/>
    <s v=""/>
    <s v="NS"/>
    <s v=""/>
    <x v="6"/>
    <s v=""/>
    <s v=""/>
    <s v="15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5131"/>
    <n v="-1000023133"/>
    <s v=""/>
    <s v=""/>
    <s v="42"/>
    <x v="2"/>
    <s v="EU"/>
    <s v="12"/>
    <s v="1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011"/>
    <n v="-1000023131"/>
    <s v=""/>
    <s v=""/>
    <s v="31"/>
    <x v="7"/>
    <s v="EU"/>
    <s v="02"/>
    <s v="22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51"/>
    <n v="-1000023133"/>
    <s v=""/>
    <s v=""/>
    <s v="52"/>
    <x v="0"/>
    <s v="EU"/>
    <s v="13"/>
    <s v="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891"/>
    <n v="-1000023129"/>
    <s v=""/>
    <s v=""/>
    <s v="41"/>
    <x v="1"/>
    <s v="EU"/>
    <s v="03"/>
    <s v="20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105"/>
    <n v="-1000023133"/>
    <s v=""/>
    <s v=""/>
    <s v="42"/>
    <x v="2"/>
    <s v="EU"/>
    <s v="12"/>
    <s v="25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949"/>
    <n v="-1000023129"/>
    <s v=""/>
    <s v=""/>
    <s v="31"/>
    <x v="7"/>
    <s v="EU"/>
    <s v="02"/>
    <s v="9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79"/>
    <n v="-1000023131"/>
    <s v=""/>
    <s v=""/>
    <s v="42"/>
    <x v="2"/>
    <s v="EU"/>
    <s v="12"/>
    <s v="38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19"/>
    <n v="-1000023131"/>
    <s v=""/>
    <s v=""/>
    <s v="31"/>
    <x v="7"/>
    <s v="EU"/>
    <s v="02"/>
    <s v="18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4095725"/>
    <n v="-1000013305"/>
    <s v=""/>
    <s v=""/>
    <s v="31"/>
    <x v="7"/>
    <s v="EU"/>
    <s v="0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17"/>
    <n v="-1000013305"/>
    <s v=""/>
    <s v=""/>
    <s v="31"/>
    <x v="7"/>
    <s v="EU"/>
    <s v="0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2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37"/>
    <n v="-1000013305"/>
    <s v=""/>
    <s v=""/>
    <s v="41"/>
    <x v="1"/>
    <s v="EU"/>
    <s v="03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545"/>
    <n v="-1000013305"/>
    <s v=""/>
    <s v=""/>
    <s v="52"/>
    <x v="0"/>
    <s v="EU"/>
    <s v="13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547"/>
    <n v="-1000013305"/>
    <s v=""/>
    <s v=""/>
    <s v="42"/>
    <x v="2"/>
    <s v="EU"/>
    <s v="1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5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55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5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573"/>
    <n v="-1000013305"/>
    <s v=""/>
    <s v=""/>
    <s v="41"/>
    <x v="1"/>
    <s v="EU"/>
    <s v="03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293"/>
    <n v="-1000013301"/>
    <s v=""/>
    <s v=""/>
    <s v="41"/>
    <x v="1"/>
    <s v="EU"/>
    <s v="03"/>
    <s v="1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295"/>
    <n v="-1000013301"/>
    <s v=""/>
    <s v=""/>
    <s v="41"/>
    <x v="1"/>
    <s v="EU"/>
    <s v="03"/>
    <s v="2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299"/>
    <n v="-1000013301"/>
    <s v=""/>
    <s v=""/>
    <s v="41"/>
    <x v="1"/>
    <s v="EU"/>
    <s v="03"/>
    <s v="4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11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125"/>
    <n v="-1000013305"/>
    <s v=""/>
    <s v=""/>
    <s v="3M"/>
    <x v="5"/>
    <s v="MY"/>
    <s v="3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13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13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4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7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77"/>
    <n v="-1000013305"/>
    <s v=""/>
    <s v=""/>
    <s v="31"/>
    <x v="7"/>
    <s v="EU"/>
    <s v="0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85"/>
    <n v="-1000013305"/>
    <s v=""/>
    <s v=""/>
    <s v="2M"/>
    <x v="3"/>
    <s v="MY"/>
    <s v="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193"/>
    <n v="-1000013305"/>
    <s v=""/>
    <s v=""/>
    <s v="2M"/>
    <x v="3"/>
    <s v="MY"/>
    <s v="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195"/>
    <n v="-1000013305"/>
    <s v=""/>
    <s v="RG"/>
    <s v=""/>
    <x v="6"/>
    <s v=""/>
    <s v="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19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09"/>
    <n v="-1000013305"/>
    <s v=""/>
    <s v=""/>
    <s v="31"/>
    <x v="7"/>
    <s v="EU"/>
    <s v="0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1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21"/>
    <n v="-1000013305"/>
    <s v=""/>
    <s v=""/>
    <s v="41"/>
    <x v="1"/>
    <s v="EU"/>
    <s v="03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5515153"/>
    <n v="-1000023133"/>
    <s v=""/>
    <s v=""/>
    <s v="42"/>
    <x v="2"/>
    <s v="EU"/>
    <s v="12"/>
    <s v="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55"/>
    <n v="-1000023133"/>
    <s v=""/>
    <s v=""/>
    <s v="42"/>
    <x v="2"/>
    <s v="EU"/>
    <s v="12"/>
    <s v="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s v=""/>
    <s v=""/>
    <s v="1997310041740967"/>
  </r>
  <r>
    <n v="-1005515027"/>
    <n v="-1000023131"/>
    <s v=""/>
    <s v=""/>
    <s v="31"/>
    <x v="7"/>
    <s v="EU"/>
    <s v="02"/>
    <s v="14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41"/>
    <n v="-1000023133"/>
    <s v=""/>
    <s v=""/>
    <s v="52"/>
    <x v="0"/>
    <s v="EU"/>
    <s v="13"/>
    <s v="7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969"/>
    <n v="-1000023131"/>
    <s v=""/>
    <s v=""/>
    <s v="42"/>
    <x v="2"/>
    <s v="EU"/>
    <s v="12"/>
    <s v="43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61"/>
    <n v="-1000023129"/>
    <s v=""/>
    <s v=""/>
    <s v="31"/>
    <x v="7"/>
    <s v="EU"/>
    <s v="02"/>
    <s v="3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5085"/>
    <n v="-1000023133"/>
    <s v=""/>
    <s v=""/>
    <s v="52"/>
    <x v="0"/>
    <s v="EU"/>
    <s v="13"/>
    <s v="10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931"/>
    <n v="-1000023129"/>
    <s v=""/>
    <s v="NS"/>
    <s v=""/>
    <x v="6"/>
    <s v=""/>
    <s v=""/>
    <s v="18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5009"/>
    <n v="-1000023131"/>
    <s v=""/>
    <s v=""/>
    <s v="42"/>
    <x v="2"/>
    <s v="EU"/>
    <s v="12"/>
    <s v="23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25"/>
    <n v="-1000023129"/>
    <s v=""/>
    <s v=""/>
    <s v="31"/>
    <x v="7"/>
    <s v="EU"/>
    <s v="02"/>
    <s v="3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19"/>
    <n v="-1000023129"/>
    <s v=""/>
    <s v=""/>
    <s v="31"/>
    <x v="7"/>
    <s v="EU"/>
    <s v="02"/>
    <s v="6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897"/>
    <n v="-1000023129"/>
    <s v=""/>
    <s v=""/>
    <s v="31"/>
    <x v="7"/>
    <s v="EU"/>
    <s v="02"/>
    <s v="17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21"/>
    <n v="-1000023129"/>
    <s v=""/>
    <s v=""/>
    <s v="42"/>
    <x v="2"/>
    <s v="EU"/>
    <s v="12"/>
    <s v="5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003"/>
    <n v="-1000023131"/>
    <s v=""/>
    <s v=""/>
    <s v="42"/>
    <x v="2"/>
    <s v="EU"/>
    <s v="12"/>
    <s v="26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55"/>
    <n v="-1000023133"/>
    <s v=""/>
    <s v=""/>
    <s v="42"/>
    <x v="2"/>
    <s v="EU"/>
    <s v="12"/>
    <s v="25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07"/>
    <n v="-1000023131"/>
    <s v=""/>
    <s v=""/>
    <s v="21"/>
    <x v="9"/>
    <s v="EU"/>
    <s v="01"/>
    <s v="24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15"/>
    <n v="-1000023133"/>
    <s v=""/>
    <s v=""/>
    <s v="42"/>
    <x v="2"/>
    <s v="EU"/>
    <s v="12"/>
    <s v="20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57"/>
    <n v="-1000023133"/>
    <s v=""/>
    <s v=""/>
    <s v="52"/>
    <x v="0"/>
    <s v="EU"/>
    <s v="13"/>
    <s v="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s v=""/>
    <s v=""/>
    <s v="1997310041740967"/>
  </r>
  <r>
    <n v="-1005515061"/>
    <n v="-1000023133"/>
    <s v=""/>
    <s v=""/>
    <s v="42"/>
    <x v="2"/>
    <s v="EU"/>
    <s v="12"/>
    <s v="2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43"/>
    <n v="-1000023131"/>
    <s v=""/>
    <s v=""/>
    <s v="31"/>
    <x v="7"/>
    <s v="EU"/>
    <s v="02"/>
    <s v="6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51"/>
    <n v="-1000023131"/>
    <s v=""/>
    <s v=""/>
    <s v="31"/>
    <x v="7"/>
    <s v="EU"/>
    <s v="02"/>
    <s v="2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83"/>
    <n v="-1000023131"/>
    <s v=""/>
    <s v=""/>
    <s v="31"/>
    <x v="7"/>
    <s v="EU"/>
    <s v="02"/>
    <s v="36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17"/>
    <n v="-1000023131"/>
    <s v=""/>
    <s v=""/>
    <s v="42"/>
    <x v="2"/>
    <s v="EU"/>
    <s v="12"/>
    <s v="19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81"/>
    <n v="-1000023133"/>
    <s v=""/>
    <s v=""/>
    <s v="42"/>
    <x v="2"/>
    <s v="EU"/>
    <s v="12"/>
    <s v="1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987"/>
    <n v="-1000023131"/>
    <s v=""/>
    <s v=""/>
    <s v="31"/>
    <x v="7"/>
    <s v="EU"/>
    <s v="02"/>
    <s v="34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883"/>
    <n v="-1000023129"/>
    <s v=""/>
    <s v=""/>
    <s v="21"/>
    <x v="9"/>
    <s v="EU"/>
    <s v="01"/>
    <s v="24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091"/>
    <n v="-1000023133"/>
    <s v=""/>
    <s v=""/>
    <s v="42"/>
    <x v="2"/>
    <s v="EU"/>
    <s v="12"/>
    <s v="7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873"/>
    <n v="-1000023129"/>
    <s v=""/>
    <s v=""/>
    <s v="42"/>
    <x v="2"/>
    <s v="EU"/>
    <s v="12"/>
    <s v="3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5037"/>
    <n v="-1000023131"/>
    <s v=""/>
    <s v=""/>
    <s v="31"/>
    <x v="7"/>
    <s v="EU"/>
    <s v="02"/>
    <s v="9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21"/>
    <n v="-1000023133"/>
    <s v=""/>
    <s v=""/>
    <s v="42"/>
    <x v="2"/>
    <s v="EU"/>
    <s v="12"/>
    <s v="17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965"/>
    <n v="-1000023129"/>
    <s v=""/>
    <s v=""/>
    <s v="42"/>
    <x v="2"/>
    <s v="EU"/>
    <s v="12"/>
    <s v="1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5135"/>
    <n v="-1000023133"/>
    <s v=""/>
    <s v=""/>
    <s v="42"/>
    <x v="2"/>
    <s v="EU"/>
    <s v="12"/>
    <s v="10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409623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41"/>
    <n v="-1000013305"/>
    <s v=""/>
    <s v="RG"/>
    <s v=""/>
    <x v="6"/>
    <s v=""/>
    <s v="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6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73"/>
    <n v="-1000013305"/>
    <s v=""/>
    <s v=""/>
    <s v="41"/>
    <x v="1"/>
    <s v="EU"/>
    <s v="03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77"/>
    <n v="-1000013305"/>
    <s v=""/>
    <s v=""/>
    <s v="31"/>
    <x v="7"/>
    <s v="EU"/>
    <s v="0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81"/>
    <n v="-1000013305"/>
    <s v=""/>
    <s v=""/>
    <s v="52"/>
    <x v="0"/>
    <s v="EU"/>
    <s v="13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84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5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81"/>
    <n v="-1000013305"/>
    <s v=""/>
    <s v=""/>
    <s v="41"/>
    <x v="1"/>
    <s v="EU"/>
    <s v="03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8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885"/>
    <n v="-1000013305"/>
    <s v=""/>
    <s v=""/>
    <s v="31"/>
    <x v="7"/>
    <s v="EU"/>
    <s v="0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88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89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29"/>
    <n v="-1000013305"/>
    <s v=""/>
    <s v="RG"/>
    <s v=""/>
    <x v="6"/>
    <s v=""/>
    <s v="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3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4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53"/>
    <n v="-1000013305"/>
    <s v=""/>
    <s v=""/>
    <s v="31"/>
    <x v="7"/>
    <s v="EU"/>
    <s v="0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77"/>
    <n v="-1000013305"/>
    <s v=""/>
    <s v=""/>
    <s v="41"/>
    <x v="1"/>
    <s v="EU"/>
    <s v="0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93"/>
    <n v="-1000013305"/>
    <s v=""/>
    <s v=""/>
    <s v="52"/>
    <x v="0"/>
    <s v="EU"/>
    <s v="13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997"/>
    <n v="-1000013305"/>
    <s v=""/>
    <s v=""/>
    <s v="31"/>
    <x v="7"/>
    <s v="EU"/>
    <s v="0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0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0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1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2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5515065"/>
    <n v="-1000023133"/>
    <s v=""/>
    <s v=""/>
    <s v="42"/>
    <x v="2"/>
    <s v="EU"/>
    <s v="12"/>
    <s v="20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867"/>
    <n v="-1000023129"/>
    <s v=""/>
    <s v=""/>
    <s v="52"/>
    <x v="0"/>
    <s v="EU"/>
    <s v="13"/>
    <s v="6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5041"/>
    <n v="-1000023131"/>
    <s v=""/>
    <s v=""/>
    <s v="31"/>
    <x v="7"/>
    <s v="EU"/>
    <s v="02"/>
    <s v="7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63"/>
    <n v="-1000023133"/>
    <s v=""/>
    <s v=""/>
    <s v="42"/>
    <x v="2"/>
    <s v="EU"/>
    <s v="12"/>
    <s v="2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895"/>
    <n v="-1000023129"/>
    <s v=""/>
    <s v=""/>
    <s v="31"/>
    <x v="7"/>
    <s v="EU"/>
    <s v="02"/>
    <s v="18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029"/>
    <n v="-1000023131"/>
    <s v=""/>
    <s v=""/>
    <s v="31"/>
    <x v="7"/>
    <s v="EU"/>
    <s v="02"/>
    <s v="13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09"/>
    <n v="-1000023133"/>
    <s v=""/>
    <s v=""/>
    <s v="42"/>
    <x v="2"/>
    <s v="EU"/>
    <s v="12"/>
    <s v="2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865"/>
    <n v="-1000023129"/>
    <s v=""/>
    <s v=""/>
    <s v="42"/>
    <x v="2"/>
    <s v="EU"/>
    <s v="12"/>
    <s v="7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4947"/>
    <n v="-1000023129"/>
    <s v=""/>
    <s v=""/>
    <s v="31"/>
    <x v="7"/>
    <s v="EU"/>
    <s v="02"/>
    <s v="10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5005"/>
    <n v="-1000023131"/>
    <s v=""/>
    <s v=""/>
    <s v="31"/>
    <x v="7"/>
    <s v="EU"/>
    <s v="02"/>
    <s v="25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39"/>
    <n v="-1000023131"/>
    <s v=""/>
    <s v=""/>
    <s v="31"/>
    <x v="7"/>
    <s v="EU"/>
    <s v="02"/>
    <s v="8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39"/>
    <n v="-1000023129"/>
    <s v=""/>
    <s v="NS"/>
    <s v=""/>
    <x v="6"/>
    <s v=""/>
    <s v=""/>
    <s v="14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899"/>
    <n v="-1000023129"/>
    <s v=""/>
    <s v=""/>
    <s v="31"/>
    <x v="7"/>
    <s v="EU"/>
    <s v="02"/>
    <s v="16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17"/>
    <n v="-1000023129"/>
    <s v=""/>
    <s v=""/>
    <s v="31"/>
    <x v="7"/>
    <s v="EU"/>
    <s v="02"/>
    <s v="7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67"/>
    <n v="-1000023131"/>
    <s v=""/>
    <s v=""/>
    <s v="31"/>
    <x v="7"/>
    <s v="EU"/>
    <s v="02"/>
    <s v="44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33"/>
    <n v="-1000023131"/>
    <s v=""/>
    <s v=""/>
    <s v="31"/>
    <x v="7"/>
    <s v="EU"/>
    <s v="02"/>
    <s v="11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49"/>
    <n v="-1000023133"/>
    <s v=""/>
    <s v=""/>
    <s v="52"/>
    <x v="0"/>
    <s v="EU"/>
    <s v="13"/>
    <s v="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911"/>
    <n v="-1000023129"/>
    <s v=""/>
    <s v=""/>
    <s v="21"/>
    <x v="9"/>
    <s v="EU"/>
    <s v="01"/>
    <s v="10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123"/>
    <n v="-1000023133"/>
    <s v=""/>
    <s v=""/>
    <s v="42"/>
    <x v="2"/>
    <s v="EU"/>
    <s v="12"/>
    <s v="16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33"/>
    <n v="-1000023133"/>
    <s v=""/>
    <s v=""/>
    <s v="52"/>
    <x v="0"/>
    <s v="EU"/>
    <s v="13"/>
    <s v="1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015"/>
    <n v="-1000023131"/>
    <s v=""/>
    <s v=""/>
    <s v="41"/>
    <x v="1"/>
    <s v="EU"/>
    <s v="03"/>
    <s v="20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21"/>
    <n v="-1000023131"/>
    <s v=""/>
    <s v=""/>
    <s v="31"/>
    <x v="7"/>
    <s v="EU"/>
    <s v="02"/>
    <s v="17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111"/>
    <n v="-1000023133"/>
    <s v=""/>
    <s v=""/>
    <s v="42"/>
    <x v="2"/>
    <s v="EU"/>
    <s v="12"/>
    <s v="22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945"/>
    <n v="-1000023129"/>
    <s v=""/>
    <s v=""/>
    <s v="31"/>
    <x v="7"/>
    <s v="EU"/>
    <s v="02"/>
    <s v="11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89"/>
    <n v="-1000023131"/>
    <s v=""/>
    <s v=""/>
    <s v="31"/>
    <x v="7"/>
    <s v="EU"/>
    <s v="02"/>
    <s v="33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885"/>
    <n v="-1000023129"/>
    <s v=""/>
    <s v=""/>
    <s v="42"/>
    <x v="2"/>
    <s v="EU"/>
    <s v="12"/>
    <s v="23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049"/>
    <n v="-1000023131"/>
    <s v=""/>
    <s v=""/>
    <s v="31"/>
    <x v="7"/>
    <s v="EU"/>
    <s v="02"/>
    <s v="3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13"/>
    <n v="-1000023129"/>
    <s v=""/>
    <s v=""/>
    <s v="31"/>
    <x v="7"/>
    <s v="EU"/>
    <s v="02"/>
    <s v="9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125"/>
    <n v="-1000023133"/>
    <s v=""/>
    <s v=""/>
    <s v="42"/>
    <x v="2"/>
    <s v="EU"/>
    <s v="12"/>
    <s v="15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889"/>
    <n v="-1000023129"/>
    <s v=""/>
    <s v=""/>
    <s v="31"/>
    <x v="7"/>
    <s v="EU"/>
    <s v="02"/>
    <s v="21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119"/>
    <n v="-1000023133"/>
    <s v=""/>
    <s v=""/>
    <s v="42"/>
    <x v="2"/>
    <s v="EU"/>
    <s v="12"/>
    <s v="18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047"/>
    <n v="-1000023131"/>
    <s v=""/>
    <s v=""/>
    <s v="31"/>
    <x v="7"/>
    <s v="EU"/>
    <s v="02"/>
    <s v="4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40960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2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3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4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47"/>
    <n v="-1000013305"/>
    <s v=""/>
    <s v=""/>
    <s v="41"/>
    <x v="1"/>
    <s v="EU"/>
    <s v="03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5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59"/>
    <n v="-1000013305"/>
    <s v=""/>
    <s v=""/>
    <s v="31"/>
    <x v="7"/>
    <s v="EU"/>
    <s v="0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61"/>
    <n v="-1000013305"/>
    <s v=""/>
    <s v=""/>
    <s v="31"/>
    <x v="7"/>
    <s v="EU"/>
    <s v="0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73"/>
    <n v="-1000013305"/>
    <s v=""/>
    <s v=""/>
    <s v="2M"/>
    <x v="3"/>
    <s v="MY"/>
    <s v="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7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8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8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301"/>
    <n v="-1000013301"/>
    <s v=""/>
    <s v="RG"/>
    <s v=""/>
    <x v="6"/>
    <s v=""/>
    <s v=""/>
    <s v="5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45"/>
    <n v="-1000013301"/>
    <s v=""/>
    <s v=""/>
    <s v="2M"/>
    <x v="3"/>
    <s v="MY"/>
    <s v="2"/>
    <s v="2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4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77"/>
    <n v="-1000013305"/>
    <s v=""/>
    <s v=""/>
    <s v="52"/>
    <x v="0"/>
    <s v="EU"/>
    <s v="1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56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5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609"/>
    <n v="-1000013305"/>
    <s v=""/>
    <s v=""/>
    <s v="41"/>
    <x v="1"/>
    <s v="EU"/>
    <s v="03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97"/>
    <n v="-1000013305"/>
    <s v=""/>
    <s v=""/>
    <s v="42"/>
    <x v="2"/>
    <s v="EU"/>
    <s v="1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19"/>
    <n v="-1000013305"/>
    <s v=""/>
    <s v=""/>
    <s v="41"/>
    <x v="1"/>
    <s v="EU"/>
    <s v="03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839"/>
    <n v="-1000013305"/>
    <s v=""/>
    <s v=""/>
    <s v="41"/>
    <x v="1"/>
    <s v="EU"/>
    <s v="03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63"/>
    <n v="-1000013305"/>
    <s v=""/>
    <s v="RG"/>
    <s v=""/>
    <x v="6"/>
    <s v=""/>
    <s v="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6005"/>
    <n v="-1000013305"/>
    <s v=""/>
    <s v="RG"/>
    <s v=""/>
    <x v="6"/>
    <s v=""/>
    <s v="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13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2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5515117"/>
    <n v="-1000023133"/>
    <s v=""/>
    <s v=""/>
    <s v="42"/>
    <x v="2"/>
    <s v="EU"/>
    <s v="12"/>
    <s v="19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4869"/>
    <n v="-1000023129"/>
    <s v=""/>
    <s v=""/>
    <s v="42"/>
    <x v="2"/>
    <s v="EU"/>
    <s v="12"/>
    <s v="5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4T00:00:00"/>
    <d v="1997-09-24T00:00:00"/>
    <s v="1997310041514411"/>
  </r>
  <r>
    <n v="-1005515079"/>
    <n v="-1000023133"/>
    <s v=""/>
    <s v=""/>
    <s v="42"/>
    <x v="2"/>
    <s v="EU"/>
    <s v="12"/>
    <s v="13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073"/>
    <n v="-1000023133"/>
    <s v=""/>
    <s v=""/>
    <s v="52"/>
    <x v="0"/>
    <s v="EU"/>
    <s v="13"/>
    <s v="16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929"/>
    <n v="-1000023129"/>
    <s v=""/>
    <s v=""/>
    <s v="31"/>
    <x v="7"/>
    <s v="EU"/>
    <s v="02"/>
    <s v="1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5139"/>
    <n v="-1000023133"/>
    <s v=""/>
    <s v=""/>
    <s v="42"/>
    <x v="2"/>
    <s v="EU"/>
    <s v="12"/>
    <s v="8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103"/>
    <n v="-1000023133"/>
    <s v=""/>
    <s v="NS"/>
    <s v=""/>
    <x v="6"/>
    <s v=""/>
    <s v=""/>
    <s v="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5113"/>
    <n v="-1000023133"/>
    <s v=""/>
    <s v=""/>
    <s v="42"/>
    <x v="2"/>
    <s v="EU"/>
    <s v="12"/>
    <s v="21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2"/>
  </r>
  <r>
    <n v="-1005515053"/>
    <n v="-1000023131"/>
    <s v=""/>
    <s v=""/>
    <s v="31"/>
    <x v="7"/>
    <s v="EU"/>
    <s v="02"/>
    <s v="1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5067"/>
    <n v="-1000023133"/>
    <s v=""/>
    <s v=""/>
    <s v="42"/>
    <x v="2"/>
    <s v="EU"/>
    <s v="12"/>
    <s v="19"/>
    <s v="Scales"/>
    <n v="2126660001"/>
    <s v="1 SCALE ACROSS PER FISH"/>
    <n v="-1000005644"/>
    <s v="ATNARKO ESCAPEMENT-1997"/>
    <n v="970"/>
    <s v="ATNARKO RIVER"/>
    <x v="2"/>
    <s v="417"/>
    <n v="1"/>
    <s v="SOCKEYE SALMON"/>
    <n v="2086090012"/>
    <x v="1"/>
    <n v="70"/>
    <s v="Beach Seine"/>
    <s v="Adult"/>
    <d v="1997-09-23T00:00:00"/>
    <d v="1997-09-23T00:00:00"/>
    <s v="1997310041740961"/>
  </r>
  <r>
    <n v="-1005514993"/>
    <n v="-1000023131"/>
    <s v=""/>
    <s v=""/>
    <s v="41"/>
    <x v="1"/>
    <s v="EU"/>
    <s v="03"/>
    <s v="31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99"/>
    <n v="-1000023131"/>
    <s v=""/>
    <s v=""/>
    <s v="31"/>
    <x v="7"/>
    <s v="EU"/>
    <s v="02"/>
    <s v="28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953"/>
    <n v="-1000023129"/>
    <s v=""/>
    <s v=""/>
    <s v="41"/>
    <x v="1"/>
    <s v="EU"/>
    <s v="03"/>
    <s v="7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893"/>
    <n v="-1000023129"/>
    <s v=""/>
    <s v=""/>
    <s v="42"/>
    <x v="2"/>
    <s v="EU"/>
    <s v="12"/>
    <s v="19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07"/>
    <n v="-1000023129"/>
    <s v=""/>
    <s v=""/>
    <s v="31"/>
    <x v="7"/>
    <s v="EU"/>
    <s v="02"/>
    <s v="12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09"/>
    <n v="-1000023129"/>
    <s v=""/>
    <s v=""/>
    <s v="31"/>
    <x v="7"/>
    <s v="EU"/>
    <s v="02"/>
    <s v="11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5514941"/>
    <n v="-1000023129"/>
    <s v=""/>
    <s v="NS"/>
    <s v=""/>
    <x v="6"/>
    <s v=""/>
    <s v=""/>
    <s v="13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8"/>
  </r>
  <r>
    <n v="-1005514975"/>
    <n v="-1000023131"/>
    <s v=""/>
    <s v=""/>
    <s v="42"/>
    <x v="2"/>
    <s v="EU"/>
    <s v="12"/>
    <s v="40"/>
    <s v="Scales"/>
    <n v="2126660001"/>
    <s v="1 SCALE ACROSS PER FISH"/>
    <n v="-1000005644"/>
    <s v="ATNARKO ESCAPEMENT-1997"/>
    <n v="970"/>
    <s v="ATNARKO RIVER"/>
    <x v="2"/>
    <s v="416"/>
    <n v="1"/>
    <s v="SOCKEYE SALMON"/>
    <n v="2086090012"/>
    <x v="1"/>
    <n v="70"/>
    <s v="Beach Seine"/>
    <s v="Adult"/>
    <d v="1997-09-23T00:00:00"/>
    <d v="1997-09-23T00:00:00"/>
    <s v="1997310041680025"/>
  </r>
  <r>
    <n v="-1005514881"/>
    <n v="-1000023129"/>
    <s v=""/>
    <s v=""/>
    <s v="31"/>
    <x v="7"/>
    <s v="EU"/>
    <s v="02"/>
    <s v="25"/>
    <s v="Scales"/>
    <n v="2126660001"/>
    <s v="1 SCALE ACROSS PER FISH"/>
    <n v="-1000005644"/>
    <s v="ATNARKO ESCAPEMENT-1997"/>
    <n v="970"/>
    <s v="ATNARKO RIVER"/>
    <x v="2"/>
    <s v="415"/>
    <n v="1"/>
    <s v="SOCKEYE SALMON"/>
    <n v="2086090012"/>
    <x v="1"/>
    <n v="70"/>
    <s v="Beach Seine"/>
    <s v="Adult"/>
    <d v="1997-09-23T00:00:00"/>
    <d v="1997-09-23T00:00:00"/>
    <s v="1997310041540963"/>
  </r>
  <r>
    <n v="-1004096141"/>
    <n v="-1000013305"/>
    <s v=""/>
    <s v=""/>
    <s v="52"/>
    <x v="0"/>
    <s v="EU"/>
    <s v="13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745"/>
    <n v="-1000013305"/>
    <s v=""/>
    <s v=""/>
    <s v="2M"/>
    <x v="3"/>
    <s v="MY"/>
    <s v="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443"/>
    <n v="-1000013305"/>
    <s v=""/>
    <s v="RG"/>
    <s v=""/>
    <x v="6"/>
    <s v=""/>
    <s v="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59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81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82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83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5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1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50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661"/>
    <n v="-1000013305"/>
    <s v=""/>
    <s v="RG"/>
    <s v=""/>
    <x v="6"/>
    <s v=""/>
    <s v="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7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61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055"/>
    <n v="-1000013305"/>
    <s v=""/>
    <s v="RG"/>
    <s v=""/>
    <x v="6"/>
    <s v=""/>
    <s v="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635"/>
    <n v="-1000013305"/>
    <s v=""/>
    <s v="UD"/>
    <s v=""/>
    <x v="6"/>
    <s v=""/>
    <s v="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620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3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091"/>
    <n v="-1000013305"/>
    <s v=""/>
    <s v=""/>
    <s v="31"/>
    <x v="7"/>
    <s v="EU"/>
    <s v="0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543"/>
    <n v="-1000013305"/>
    <s v=""/>
    <s v="RG"/>
    <s v=""/>
    <x v="6"/>
    <s v=""/>
    <s v="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2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2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90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8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73"/>
    <n v="-1000013305"/>
    <s v=""/>
    <s v=""/>
    <s v="41"/>
    <x v="1"/>
    <s v="EU"/>
    <s v="03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933"/>
    <n v="-1000013305"/>
    <s v=""/>
    <s v=""/>
    <s v="52"/>
    <x v="0"/>
    <s v="EU"/>
    <s v="13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589"/>
    <n v="-1000013305"/>
    <s v=""/>
    <s v=""/>
    <s v="41"/>
    <x v="1"/>
    <s v="EU"/>
    <s v="03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62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89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331"/>
    <n v="-1000013301"/>
    <s v=""/>
    <s v=""/>
    <s v="52"/>
    <x v="0"/>
    <s v="EU"/>
    <s v="13"/>
    <s v="20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49"/>
    <n v="-1000013301"/>
    <s v=""/>
    <s v=""/>
    <s v="52"/>
    <x v="0"/>
    <s v="EU"/>
    <s v="13"/>
    <s v="4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92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48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618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6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855"/>
    <n v="-1000013305"/>
    <s v=""/>
    <s v=""/>
    <s v="52"/>
    <x v="0"/>
    <s v="EU"/>
    <s v="13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899"/>
    <n v="-1000013305"/>
    <s v=""/>
    <s v="RG"/>
    <s v=""/>
    <x v="6"/>
    <s v=""/>
    <s v="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7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4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581"/>
    <n v="-1000013305"/>
    <s v=""/>
    <s v=""/>
    <s v="31"/>
    <x v="7"/>
    <s v="EU"/>
    <s v="0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063"/>
    <n v="-1000013305"/>
    <s v=""/>
    <s v=""/>
    <s v="31"/>
    <x v="7"/>
    <s v="EU"/>
    <s v="0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4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86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449"/>
    <n v="-1000013305"/>
    <s v=""/>
    <s v=""/>
    <s v="31"/>
    <x v="7"/>
    <s v="EU"/>
    <s v="0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7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6097"/>
    <n v="-1000013305"/>
    <s v=""/>
    <s v=""/>
    <s v="2M"/>
    <x v="3"/>
    <s v="MY"/>
    <s v="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94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7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587"/>
    <n v="-1000013305"/>
    <s v=""/>
    <s v=""/>
    <s v="41"/>
    <x v="1"/>
    <s v="EU"/>
    <s v="03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381"/>
    <n v="-1000013301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83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6105"/>
    <n v="-1000013305"/>
    <s v=""/>
    <s v="RG"/>
    <s v=""/>
    <x v="6"/>
    <s v=""/>
    <s v="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92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608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357"/>
    <n v="-1000013301"/>
    <s v=""/>
    <s v=""/>
    <s v="52"/>
    <x v="0"/>
    <s v="EU"/>
    <s v="13"/>
    <s v="8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615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53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271"/>
    <n v="-1000013305"/>
    <s v=""/>
    <s v=""/>
    <s v="31"/>
    <x v="7"/>
    <s v="EU"/>
    <s v="0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379"/>
    <n v="-1000013301"/>
    <s v=""/>
    <s v=""/>
    <s v="31"/>
    <x v="7"/>
    <s v="EU"/>
    <s v="02"/>
    <s v="19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939"/>
    <n v="-1000013305"/>
    <s v=""/>
    <s v=""/>
    <s v="31"/>
    <x v="7"/>
    <s v="EU"/>
    <s v="0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8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8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895"/>
    <n v="-1000013305"/>
    <s v=""/>
    <s v=""/>
    <s v="3M"/>
    <x v="5"/>
    <s v="MY"/>
    <s v="3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79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9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8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247"/>
    <n v="-1000013305"/>
    <s v=""/>
    <s v=""/>
    <s v="41"/>
    <x v="1"/>
    <s v="EU"/>
    <s v="03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04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471"/>
    <n v="-1000013305"/>
    <s v=""/>
    <s v=""/>
    <s v="41"/>
    <x v="1"/>
    <s v="EU"/>
    <s v="03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8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691"/>
    <n v="-1000013305"/>
    <s v=""/>
    <s v=""/>
    <s v="2M"/>
    <x v="3"/>
    <s v="MY"/>
    <s v="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56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18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873"/>
    <n v="-1000013305"/>
    <s v=""/>
    <s v=""/>
    <s v="31"/>
    <x v="7"/>
    <s v="EU"/>
    <s v="0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983"/>
    <n v="-1000013305"/>
    <s v=""/>
    <s v=""/>
    <s v="41"/>
    <x v="1"/>
    <s v="EU"/>
    <s v="03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96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49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325"/>
    <n v="-1000013301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867"/>
    <n v="-1000013305"/>
    <s v=""/>
    <s v=""/>
    <s v="31"/>
    <x v="7"/>
    <s v="EU"/>
    <s v="0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74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51"/>
    <n v="-1000013305"/>
    <s v=""/>
    <s v=""/>
    <s v="52"/>
    <x v="0"/>
    <s v="EU"/>
    <s v="13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81"/>
    <n v="-1000013305"/>
    <s v=""/>
    <s v=""/>
    <s v="31"/>
    <x v="7"/>
    <s v="EU"/>
    <s v="0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8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31"/>
    <n v="-1000013305"/>
    <s v=""/>
    <s v=""/>
    <s v="52"/>
    <x v="0"/>
    <s v="EU"/>
    <s v="13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671"/>
    <n v="-1000013305"/>
    <s v=""/>
    <s v=""/>
    <s v="41"/>
    <x v="1"/>
    <s v="EU"/>
    <s v="03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6121"/>
    <n v="-1000013305"/>
    <s v=""/>
    <s v=""/>
    <s v="2M"/>
    <x v="3"/>
    <s v="MY"/>
    <s v="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96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87"/>
    <n v="-1000013305"/>
    <s v=""/>
    <s v="RG"/>
    <s v=""/>
    <x v="6"/>
    <s v=""/>
    <s v="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99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95"/>
    <n v="-1000013305"/>
    <s v=""/>
    <s v=""/>
    <s v="2M"/>
    <x v="3"/>
    <s v="MY"/>
    <s v="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243"/>
    <n v="-1000013305"/>
    <s v=""/>
    <s v=""/>
    <s v="31"/>
    <x v="7"/>
    <s v="EU"/>
    <s v="0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80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7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73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99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147"/>
    <n v="-1000013305"/>
    <s v=""/>
    <s v=""/>
    <s v="42"/>
    <x v="2"/>
    <s v="EU"/>
    <s v="1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371"/>
    <n v="-1000013301"/>
    <s v=""/>
    <s v=""/>
    <s v="41"/>
    <x v="1"/>
    <s v="EU"/>
    <s v="03"/>
    <s v="15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45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79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11"/>
    <n v="-1000013305"/>
    <s v=""/>
    <s v=""/>
    <s v="2M"/>
    <x v="3"/>
    <s v="MY"/>
    <s v="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319"/>
    <n v="-1000013301"/>
    <s v=""/>
    <s v=""/>
    <s v="3M"/>
    <x v="5"/>
    <s v="MY"/>
    <s v="3"/>
    <s v="14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1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877"/>
    <n v="-1000013305"/>
    <s v=""/>
    <s v=""/>
    <s v="52"/>
    <x v="0"/>
    <s v="EU"/>
    <s v="1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665"/>
    <n v="-1000013305"/>
    <s v=""/>
    <s v=""/>
    <s v="31"/>
    <x v="7"/>
    <s v="EU"/>
    <s v="0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355"/>
    <n v="-1000013301"/>
    <s v=""/>
    <s v=""/>
    <s v="52"/>
    <x v="0"/>
    <s v="EU"/>
    <s v="13"/>
    <s v="7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51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7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8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313"/>
    <n v="-1000013301"/>
    <s v=""/>
    <s v=""/>
    <s v="52"/>
    <x v="0"/>
    <s v="EU"/>
    <s v="13"/>
    <s v="11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237"/>
    <n v="-1000013305"/>
    <s v=""/>
    <s v="RG"/>
    <s v=""/>
    <x v="6"/>
    <s v=""/>
    <s v="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9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6035"/>
    <n v="-1000013305"/>
    <s v=""/>
    <s v=""/>
    <s v="3M"/>
    <x v="5"/>
    <s v="MY"/>
    <s v="3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7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335"/>
    <n v="-1000013301"/>
    <s v=""/>
    <s v=""/>
    <s v="52"/>
    <x v="0"/>
    <s v="EU"/>
    <s v="13"/>
    <s v="22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63"/>
    <n v="-1000013301"/>
    <s v=""/>
    <s v=""/>
    <s v="41"/>
    <x v="1"/>
    <s v="EU"/>
    <s v="03"/>
    <s v="11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620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103"/>
    <n v="-1000013305"/>
    <s v=""/>
    <s v=""/>
    <s v="31"/>
    <x v="7"/>
    <s v="EU"/>
    <s v="0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48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0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3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6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6251"/>
    <n v="-1000013305"/>
    <s v=""/>
    <s v=""/>
    <s v="31"/>
    <x v="7"/>
    <s v="EU"/>
    <s v="0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05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329"/>
    <n v="-1000013301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98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22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447"/>
    <n v="-1000013305"/>
    <s v=""/>
    <s v=""/>
    <s v="53"/>
    <x v="4"/>
    <s v="EU"/>
    <s v="2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8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779"/>
    <n v="-1000013305"/>
    <s v=""/>
    <s v=""/>
    <s v="41"/>
    <x v="1"/>
    <s v="EU"/>
    <s v="03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659"/>
    <n v="-1000013305"/>
    <s v=""/>
    <s v=""/>
    <s v="31"/>
    <x v="7"/>
    <s v="EU"/>
    <s v="0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561"/>
    <n v="-1000013305"/>
    <s v=""/>
    <s v=""/>
    <s v="52"/>
    <x v="0"/>
    <s v="EU"/>
    <s v="13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107"/>
    <n v="-1000013305"/>
    <s v=""/>
    <s v=""/>
    <s v="31"/>
    <x v="7"/>
    <s v="EU"/>
    <s v="0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21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0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12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56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61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959"/>
    <n v="-1000013305"/>
    <s v=""/>
    <s v=""/>
    <s v="52"/>
    <x v="0"/>
    <s v="EU"/>
    <s v="13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377"/>
    <n v="-1000013301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59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845"/>
    <n v="-1000013305"/>
    <s v=""/>
    <s v=""/>
    <s v="2M"/>
    <x v="3"/>
    <s v="MY"/>
    <s v="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6017"/>
    <n v="-1000013305"/>
    <s v=""/>
    <s v=""/>
    <s v="42"/>
    <x v="2"/>
    <s v="EU"/>
    <s v="1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44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87"/>
    <n v="-1000013305"/>
    <s v=""/>
    <s v=""/>
    <s v="2M"/>
    <x v="3"/>
    <s v="MY"/>
    <s v="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82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6123"/>
    <n v="-1000013305"/>
    <s v=""/>
    <s v=""/>
    <s v="52"/>
    <x v="0"/>
    <s v="EU"/>
    <s v="13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253"/>
    <n v="-1000013305"/>
    <s v=""/>
    <s v="RG"/>
    <s v=""/>
    <x v="6"/>
    <s v=""/>
    <s v="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039"/>
    <n v="-1000013305"/>
    <s v=""/>
    <s v=""/>
    <s v="31"/>
    <x v="7"/>
    <s v="EU"/>
    <s v="0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93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65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385"/>
    <n v="-1000013301"/>
    <s v=""/>
    <s v=""/>
    <s v="41"/>
    <x v="1"/>
    <s v="EU"/>
    <s v="03"/>
    <s v="22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9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600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85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937"/>
    <n v="-1000013305"/>
    <s v=""/>
    <s v=""/>
    <s v="2M"/>
    <x v="3"/>
    <s v="MY"/>
    <s v="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55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903"/>
    <n v="-1000013305"/>
    <s v=""/>
    <s v=""/>
    <s v="42"/>
    <x v="2"/>
    <s v="EU"/>
    <s v="1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60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337"/>
    <n v="-1000013301"/>
    <s v=""/>
    <s v=""/>
    <s v="41"/>
    <x v="1"/>
    <s v="EU"/>
    <s v="03"/>
    <s v="23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47"/>
    <n v="-1000013301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787"/>
    <n v="-1000013305"/>
    <s v=""/>
    <s v=""/>
    <s v="41"/>
    <x v="1"/>
    <s v="EU"/>
    <s v="03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7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624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9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8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6115"/>
    <n v="-1000013305"/>
    <s v=""/>
    <s v=""/>
    <s v="3M"/>
    <x v="5"/>
    <s v="MY"/>
    <s v="3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311"/>
    <n v="-1000013301"/>
    <s v=""/>
    <s v=""/>
    <s v="41"/>
    <x v="1"/>
    <s v="EU"/>
    <s v="03"/>
    <s v="10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23"/>
    <n v="-1000013301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6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4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75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847"/>
    <n v="-1000013305"/>
    <s v=""/>
    <s v=""/>
    <s v="3M"/>
    <x v="5"/>
    <s v="MY"/>
    <s v="3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6049"/>
    <n v="-1000013305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60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86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327"/>
    <n v="-1000013301"/>
    <s v=""/>
    <s v=""/>
    <s v="52"/>
    <x v="0"/>
    <s v="EU"/>
    <s v="13"/>
    <s v="18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359"/>
    <n v="-1000013301"/>
    <s v=""/>
    <s v=""/>
    <s v="41"/>
    <x v="1"/>
    <s v="EU"/>
    <s v="03"/>
    <s v="9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519"/>
    <n v="-1000013305"/>
    <s v=""/>
    <s v=""/>
    <s v="42"/>
    <x v="2"/>
    <s v="EU"/>
    <s v="12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72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321"/>
    <n v="-1000013301"/>
    <s v=""/>
    <s v=""/>
    <s v="31"/>
    <x v="7"/>
    <s v="EU"/>
    <s v="02"/>
    <s v="15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229"/>
    <n v="-1000013305"/>
    <s v=""/>
    <s v="RG"/>
    <s v=""/>
    <x v="6"/>
    <s v=""/>
    <s v="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94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8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45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361"/>
    <n v="-1000013301"/>
    <s v=""/>
    <s v=""/>
    <s v="41"/>
    <x v="1"/>
    <s v="EU"/>
    <s v="03"/>
    <s v="10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827"/>
    <n v="-1000013305"/>
    <s v=""/>
    <s v=""/>
    <s v="52"/>
    <x v="0"/>
    <s v="EU"/>
    <s v="1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2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711"/>
    <n v="-1000013305"/>
    <s v=""/>
    <s v=""/>
    <s v="41"/>
    <x v="1"/>
    <s v="EU"/>
    <s v="03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9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9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6027"/>
    <n v="-1000013305"/>
    <s v=""/>
    <s v=""/>
    <s v="3M"/>
    <x v="5"/>
    <s v="MY"/>
    <s v="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971"/>
    <n v="-1000013305"/>
    <s v=""/>
    <s v=""/>
    <s v="41"/>
    <x v="1"/>
    <s v="EU"/>
    <s v="03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17"/>
    <n v="-1000013305"/>
    <s v=""/>
    <s v=""/>
    <s v="31"/>
    <x v="7"/>
    <s v="EU"/>
    <s v="02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461"/>
    <n v="-1000013305"/>
    <s v=""/>
    <s v="RG"/>
    <s v=""/>
    <x v="6"/>
    <s v=""/>
    <s v="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80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70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5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031"/>
    <n v="-1000013305"/>
    <s v=""/>
    <s v=""/>
    <s v="52"/>
    <x v="0"/>
    <s v="EU"/>
    <s v="13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387"/>
    <n v="-1000013301"/>
    <s v=""/>
    <s v=""/>
    <s v="41"/>
    <x v="1"/>
    <s v="EU"/>
    <s v="03"/>
    <s v="23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6109"/>
    <n v="-1000013305"/>
    <s v=""/>
    <s v=""/>
    <s v="42"/>
    <x v="2"/>
    <s v="EU"/>
    <s v="1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143"/>
    <n v="-1000013305"/>
    <s v=""/>
    <s v=""/>
    <s v="31"/>
    <x v="7"/>
    <s v="EU"/>
    <s v="0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87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6235"/>
    <n v="-1000013305"/>
    <s v=""/>
    <s v="RG"/>
    <s v=""/>
    <x v="6"/>
    <s v=""/>
    <s v="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643"/>
    <n v="-1000013305"/>
    <s v=""/>
    <s v="RG"/>
    <s v=""/>
    <x v="6"/>
    <s v=""/>
    <s v="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5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835"/>
    <n v="-1000013305"/>
    <s v=""/>
    <s v=""/>
    <s v="31"/>
    <x v="7"/>
    <s v="EU"/>
    <s v="0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5315"/>
    <n v="-1000013301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117"/>
    <n v="-1000013305"/>
    <s v=""/>
    <s v="RG"/>
    <s v=""/>
    <x v="6"/>
    <s v=""/>
    <s v="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6227"/>
    <n v="-1000013305"/>
    <s v=""/>
    <s v="RG"/>
    <s v=""/>
    <x v="6"/>
    <s v=""/>
    <s v="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887"/>
    <n v="-1000013305"/>
    <s v=""/>
    <s v=""/>
    <s v="42"/>
    <x v="2"/>
    <s v="EU"/>
    <s v="12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01"/>
    <n v="-1000013305"/>
    <s v=""/>
    <s v=""/>
    <s v="3M"/>
    <x v="5"/>
    <s v="MY"/>
    <s v="3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6187"/>
    <n v="-1000013305"/>
    <s v=""/>
    <s v=""/>
    <s v="3M"/>
    <x v="5"/>
    <s v="MY"/>
    <s v="3"/>
    <s v="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59"/>
    <n v="-1000013305"/>
    <s v=""/>
    <s v=""/>
    <s v="2M"/>
    <x v="3"/>
    <s v="MY"/>
    <s v="2"/>
    <s v="1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373"/>
    <n v="-1000013301"/>
    <s v=""/>
    <s v=""/>
    <s v="52"/>
    <x v="0"/>
    <s v="EU"/>
    <s v="13"/>
    <s v="16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6145"/>
    <n v="-1000013305"/>
    <s v=""/>
    <s v=""/>
    <s v="42"/>
    <x v="2"/>
    <s v="EU"/>
    <s v="1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26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467"/>
    <n v="-1000013305"/>
    <s v=""/>
    <s v=""/>
    <s v="41"/>
    <x v="1"/>
    <s v="EU"/>
    <s v="03"/>
    <s v="1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n v="-100409549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35"/>
    <n v="-1000013305"/>
    <s v=""/>
    <s v=""/>
    <s v="42"/>
    <x v="2"/>
    <s v="EU"/>
    <s v="12"/>
    <s v="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797"/>
    <n v="-1000013305"/>
    <s v=""/>
    <s v=""/>
    <s v="31"/>
    <x v="7"/>
    <s v="EU"/>
    <s v="0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65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4095303"/>
    <n v="-1000013301"/>
    <s v=""/>
    <s v=""/>
    <s v="52"/>
    <x v="0"/>
    <s v="EU"/>
    <s v="13"/>
    <s v="6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1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6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205"/>
    <n v="-1000013305"/>
    <s v=""/>
    <s v=""/>
    <s v="2M"/>
    <x v="3"/>
    <s v="MY"/>
    <s v="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90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4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61"/>
    <n v="-1000013305"/>
    <s v=""/>
    <s v=""/>
    <s v="31"/>
    <x v="7"/>
    <s v="EU"/>
    <s v="0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61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351"/>
    <n v="-1000013301"/>
    <s v=""/>
    <s v=""/>
    <s v="31"/>
    <x v="7"/>
    <s v="EU"/>
    <s v="02"/>
    <s v="5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n v="-10040957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6133"/>
    <n v="-1000013305"/>
    <s v=""/>
    <s v=""/>
    <s v="42"/>
    <x v="2"/>
    <s v="EU"/>
    <s v="12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51"/>
    <n v="-1000013305"/>
    <s v=""/>
    <s v=""/>
    <s v="52"/>
    <x v="0"/>
    <s v="EU"/>
    <s v="13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82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604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n v="-100409561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52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7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5317"/>
    <n v="-1000013301"/>
    <s v=""/>
    <s v="RG"/>
    <s v=""/>
    <x v="6"/>
    <s v=""/>
    <s v=""/>
    <s v="13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6197"/>
    <n v="-1000013305"/>
    <s v=""/>
    <s v=""/>
    <s v="31"/>
    <x v="7"/>
    <s v="EU"/>
    <s v="0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07"/>
    <n v="-1000013305"/>
    <s v=""/>
    <s v=""/>
    <s v="42"/>
    <x v="2"/>
    <s v="EU"/>
    <s v="1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592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2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5951"/>
    <n v="-1000013305"/>
    <s v=""/>
    <s v=""/>
    <s v="42"/>
    <x v="2"/>
    <s v="EU"/>
    <s v="1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6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979"/>
    <n v="-1000013305"/>
    <s v=""/>
    <s v=""/>
    <s v="2M"/>
    <x v="3"/>
    <s v="MY"/>
    <s v="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575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52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593"/>
    <n v="-1000013305"/>
    <s v=""/>
    <s v=""/>
    <s v="42"/>
    <x v="2"/>
    <s v="EU"/>
    <s v="12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613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947"/>
    <n v="-1000013305"/>
    <s v=""/>
    <s v=""/>
    <s v="2M"/>
    <x v="3"/>
    <s v="MY"/>
    <s v="2"/>
    <s v="8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n v="-100409617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093"/>
    <n v="-1000013305"/>
    <s v=""/>
    <s v="RG"/>
    <s v=""/>
    <x v="6"/>
    <s v=""/>
    <s v=""/>
    <s v="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53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76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5805"/>
    <n v="-1000013305"/>
    <s v=""/>
    <s v=""/>
    <s v="42"/>
    <x v="2"/>
    <s v="EU"/>
    <s v="12"/>
    <s v="1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n v="-1004095583"/>
    <n v="-1000013305"/>
    <s v=""/>
    <s v=""/>
    <s v="41"/>
    <x v="1"/>
    <s v="EU"/>
    <s v="03"/>
    <s v="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305"/>
    <n v="-1000013301"/>
    <s v=""/>
    <s v=""/>
    <s v="52"/>
    <x v="0"/>
    <s v="EU"/>
    <s v="13"/>
    <s v="7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603"/>
    <n v="-1000013305"/>
    <s v=""/>
    <s v=""/>
    <s v="52"/>
    <x v="0"/>
    <s v="EU"/>
    <s v="13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5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n v="-1004095727"/>
    <n v="-1000013305"/>
    <s v=""/>
    <s v=""/>
    <s v="42"/>
    <x v="2"/>
    <s v="EU"/>
    <s v="12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57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n v="-1004096101"/>
    <n v="-1000013305"/>
    <s v=""/>
    <s v=""/>
    <s v="2M"/>
    <x v="3"/>
    <s v="MY"/>
    <s v="2"/>
    <s v="1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309"/>
    <n v="-1000013301"/>
    <s v=""/>
    <s v=""/>
    <s v="42"/>
    <x v="2"/>
    <s v="EU"/>
    <s v="12"/>
    <s v="9"/>
    <s v="Scales"/>
    <n v="2126660001"/>
    <s v="2 SCALES ACROSS PER FISH"/>
    <n v="-1000005626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n v="-1004095777"/>
    <n v="-1000013305"/>
    <s v=""/>
    <s v=""/>
    <s v="52"/>
    <x v="0"/>
    <s v="EU"/>
    <s v="13"/>
    <s v="2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6179"/>
    <n v="-1000013305"/>
    <s v=""/>
    <s v=""/>
    <s v="42"/>
    <x v="2"/>
    <s v="EU"/>
    <s v="12"/>
    <s v="2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191"/>
    <n v="-1000013305"/>
    <s v=""/>
    <s v=""/>
    <s v="42"/>
    <x v="2"/>
    <s v="EU"/>
    <s v="12"/>
    <s v="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n v="-1004096249"/>
    <n v="-1000013305"/>
    <s v=""/>
    <s v=""/>
    <s v="31"/>
    <x v="7"/>
    <s v="EU"/>
    <s v="02"/>
    <s v="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5911"/>
    <n v="-1000013305"/>
    <s v=""/>
    <s v=""/>
    <s v="42"/>
    <x v="2"/>
    <s v="EU"/>
    <s v="12"/>
    <s v="1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n v="-1004096089"/>
    <n v="-1000013305"/>
    <s v=""/>
    <s v=""/>
    <s v="42"/>
    <x v="2"/>
    <s v="EU"/>
    <s v="12"/>
    <s v="4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n v="-1004095731"/>
    <n v="-1000013305"/>
    <s v=""/>
    <s v=""/>
    <s v="31"/>
    <x v="7"/>
    <s v="EU"/>
    <s v="0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5771"/>
    <n v="-1000013305"/>
    <s v=""/>
    <s v=""/>
    <s v="42"/>
    <x v="2"/>
    <s v="EU"/>
    <s v="12"/>
    <s v="20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n v="-1004096169"/>
    <n v="-1000013305"/>
    <s v=""/>
    <s v=""/>
    <s v="41"/>
    <x v="1"/>
    <s v="EU"/>
    <s v="03"/>
    <s v="19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723"/>
    <n v="-1000013305"/>
    <s v=""/>
    <s v=""/>
    <s v="42"/>
    <x v="2"/>
    <s v="EU"/>
    <s v="12"/>
    <s v="2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n v="-1004096181"/>
    <n v="-1000013305"/>
    <s v=""/>
    <s v=""/>
    <s v="42"/>
    <x v="2"/>
    <s v="EU"/>
    <s v="12"/>
    <s v="25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6257"/>
    <n v="-1000013305"/>
    <s v=""/>
    <s v=""/>
    <s v="31"/>
    <x v="7"/>
    <s v="EU"/>
    <s v="02"/>
    <s v="13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27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n v="-1004096025"/>
    <n v="-1000013305"/>
    <s v=""/>
    <s v=""/>
    <s v="42"/>
    <x v="2"/>
    <s v="EU"/>
    <s v="12"/>
    <s v="22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n v="-1004095615"/>
    <n v="-1000013305"/>
    <s v=""/>
    <s v=""/>
    <s v="42"/>
    <x v="2"/>
    <s v="EU"/>
    <s v="12"/>
    <s v="1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n v="-1004095853"/>
    <n v="-1000013305"/>
    <s v=""/>
    <s v=""/>
    <s v="31"/>
    <x v="7"/>
    <s v="EU"/>
    <s v="02"/>
    <s v="11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n v="-1004096163"/>
    <n v="-1000013305"/>
    <s v=""/>
    <s v=""/>
    <s v="42"/>
    <x v="2"/>
    <s v="EU"/>
    <s v="12"/>
    <s v="16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n v="-1004095645"/>
    <n v="-1000013305"/>
    <s v=""/>
    <s v=""/>
    <s v="31"/>
    <x v="7"/>
    <s v="EU"/>
    <s v="02"/>
    <s v="7"/>
    <s v="Scales"/>
    <n v="2126660001"/>
    <s v="2 SCALES ACROSS PER FISH"/>
    <n v="-1000005626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n v="-1006019297"/>
    <n v="-1000026513"/>
    <s v=""/>
    <s v=""/>
    <s v="52"/>
    <x v="0"/>
    <s v="EU"/>
    <s v="1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299"/>
    <n v="-1000026513"/>
    <s v=""/>
    <s v=""/>
    <s v="41"/>
    <x v="1"/>
    <s v="EU"/>
    <s v="0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307"/>
    <n v="-1000026513"/>
    <s v=""/>
    <s v=""/>
    <s v="42"/>
    <x v="2"/>
    <s v="EU"/>
    <s v="12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309"/>
    <n v="-1000026513"/>
    <s v=""/>
    <s v=""/>
    <s v="41"/>
    <x v="1"/>
    <s v="EU"/>
    <s v="03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311"/>
    <n v="-1000026513"/>
    <s v=""/>
    <s v=""/>
    <s v="52"/>
    <x v="0"/>
    <s v="EU"/>
    <s v="1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313"/>
    <n v="-1000026513"/>
    <s v=""/>
    <s v=""/>
    <s v="52"/>
    <x v="0"/>
    <s v="EU"/>
    <s v="1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319"/>
    <n v="-1000026513"/>
    <s v=""/>
    <s v=""/>
    <s v="41"/>
    <x v="1"/>
    <s v="EU"/>
    <s v="0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29"/>
    <n v="-1000026513"/>
    <s v=""/>
    <s v=""/>
    <s v="42"/>
    <x v="2"/>
    <s v="EU"/>
    <s v="1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31"/>
    <n v="-1000026513"/>
    <s v=""/>
    <s v=""/>
    <s v="52"/>
    <x v="0"/>
    <s v="EU"/>
    <s v="1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35"/>
    <n v="-1000026513"/>
    <s v=""/>
    <s v=""/>
    <s v="31"/>
    <x v="7"/>
    <s v="EU"/>
    <s v="0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343"/>
    <n v="-1000026513"/>
    <s v=""/>
    <s v=""/>
    <s v="41"/>
    <x v="1"/>
    <s v="EU"/>
    <s v="0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511"/>
    <n v="-1000026513"/>
    <s v=""/>
    <s v=""/>
    <s v="2M"/>
    <x v="3"/>
    <s v="MY"/>
    <s v="2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513"/>
    <n v="-1000026513"/>
    <s v=""/>
    <s v=""/>
    <s v="31"/>
    <x v="7"/>
    <s v="EU"/>
    <s v="0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523"/>
    <n v="-1000026513"/>
    <s v=""/>
    <s v=""/>
    <s v="42"/>
    <x v="2"/>
    <s v="EU"/>
    <s v="12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519"/>
    <n v="-1000026513"/>
    <s v=""/>
    <s v=""/>
    <s v="3M"/>
    <x v="5"/>
    <s v="MY"/>
    <s v="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527"/>
    <n v="-1000026513"/>
    <s v=""/>
    <s v=""/>
    <s v="41"/>
    <x v="1"/>
    <s v="EU"/>
    <s v="03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529"/>
    <n v="-1000026513"/>
    <s v=""/>
    <s v=""/>
    <s v="41"/>
    <x v="1"/>
    <s v="EU"/>
    <s v="0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531"/>
    <n v="-1000026513"/>
    <s v=""/>
    <s v=""/>
    <s v="41"/>
    <x v="1"/>
    <s v="EU"/>
    <s v="0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349"/>
    <n v="-1000026513"/>
    <s v=""/>
    <s v=""/>
    <s v="52"/>
    <x v="0"/>
    <s v="EU"/>
    <s v="13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351"/>
    <n v="-1000026513"/>
    <s v=""/>
    <s v=""/>
    <s v="31"/>
    <x v="7"/>
    <s v="EU"/>
    <s v="02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355"/>
    <n v="-1000026513"/>
    <s v=""/>
    <s v=""/>
    <s v="42"/>
    <x v="2"/>
    <s v="EU"/>
    <s v="1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59"/>
    <n v="-1000026513"/>
    <s v=""/>
    <s v=""/>
    <s v="41"/>
    <x v="1"/>
    <s v="EU"/>
    <s v="0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69"/>
    <n v="-1000026513"/>
    <s v=""/>
    <s v=""/>
    <s v="41"/>
    <x v="1"/>
    <s v="EU"/>
    <s v="03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71"/>
    <n v="-1000026513"/>
    <s v=""/>
    <s v=""/>
    <s v="31"/>
    <x v="7"/>
    <s v="EU"/>
    <s v="02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73"/>
    <n v="-1000026513"/>
    <s v=""/>
    <s v=""/>
    <s v="52"/>
    <x v="0"/>
    <s v="EU"/>
    <s v="1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75"/>
    <n v="-1000026513"/>
    <s v=""/>
    <s v=""/>
    <s v="53"/>
    <x v="4"/>
    <s v="EU"/>
    <s v="2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377"/>
    <n v="-1000026513"/>
    <s v=""/>
    <s v=""/>
    <s v="42"/>
    <x v="2"/>
    <s v="EU"/>
    <s v="12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383"/>
    <n v="-1000026513"/>
    <s v=""/>
    <s v=""/>
    <s v="31"/>
    <x v="7"/>
    <s v="EU"/>
    <s v="02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385"/>
    <n v="-1000026513"/>
    <s v=""/>
    <s v=""/>
    <s v="41"/>
    <x v="1"/>
    <s v="EU"/>
    <s v="0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389"/>
    <n v="-1000026513"/>
    <s v=""/>
    <s v=""/>
    <s v="41"/>
    <x v="1"/>
    <s v="EU"/>
    <s v="03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393"/>
    <n v="-1000026513"/>
    <s v=""/>
    <s v=""/>
    <s v="42"/>
    <x v="2"/>
    <s v="EU"/>
    <s v="12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401"/>
    <n v="-1000026513"/>
    <s v=""/>
    <s v=""/>
    <s v="31"/>
    <x v="7"/>
    <s v="EU"/>
    <s v="02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405"/>
    <n v="-1000026513"/>
    <s v=""/>
    <s v=""/>
    <s v="41"/>
    <x v="1"/>
    <s v="EU"/>
    <s v="0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419"/>
    <n v="-1000026513"/>
    <s v=""/>
    <s v=""/>
    <s v="52"/>
    <x v="0"/>
    <s v="EU"/>
    <s v="1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21"/>
    <n v="-1000026513"/>
    <s v=""/>
    <s v=""/>
    <s v="52"/>
    <x v="0"/>
    <s v="EU"/>
    <s v="1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23"/>
    <n v="-1000026513"/>
    <s v=""/>
    <s v=""/>
    <s v="52"/>
    <x v="0"/>
    <s v="EU"/>
    <s v="1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25"/>
    <n v="-1000026513"/>
    <s v=""/>
    <s v=""/>
    <s v="52"/>
    <x v="0"/>
    <s v="EU"/>
    <s v="1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29"/>
    <n v="-1000026513"/>
    <s v=""/>
    <s v=""/>
    <s v="31"/>
    <x v="7"/>
    <s v="EU"/>
    <s v="0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31"/>
    <n v="-1000026513"/>
    <s v=""/>
    <s v=""/>
    <s v="41"/>
    <x v="1"/>
    <s v="EU"/>
    <s v="0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39"/>
    <n v="-1000026513"/>
    <s v=""/>
    <s v=""/>
    <s v="42"/>
    <x v="2"/>
    <s v="EU"/>
    <s v="12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35"/>
    <n v="-1000026513"/>
    <s v=""/>
    <s v=""/>
    <s v="42"/>
    <x v="2"/>
    <s v="EU"/>
    <s v="1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47"/>
    <n v="-1000026513"/>
    <s v=""/>
    <s v=""/>
    <s v="41"/>
    <x v="1"/>
    <s v="EU"/>
    <s v="03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49"/>
    <n v="-1000026513"/>
    <s v=""/>
    <s v=""/>
    <s v="42"/>
    <x v="2"/>
    <s v="EU"/>
    <s v="1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53"/>
    <n v="-1000026513"/>
    <s v=""/>
    <s v=""/>
    <s v="2M"/>
    <x v="3"/>
    <s v="MY"/>
    <s v="2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61"/>
    <n v="-1000026513"/>
    <s v=""/>
    <s v=""/>
    <s v="52"/>
    <x v="0"/>
    <s v="EU"/>
    <s v="1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473"/>
    <n v="-1000026513"/>
    <s v=""/>
    <s v=""/>
    <s v="31"/>
    <x v="7"/>
    <s v="EU"/>
    <s v="0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483"/>
    <n v="-1000026513"/>
    <s v=""/>
    <s v=""/>
    <s v="52"/>
    <x v="0"/>
    <s v="EU"/>
    <s v="1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487"/>
    <n v="-1000026513"/>
    <s v=""/>
    <s v=""/>
    <s v="31"/>
    <x v="7"/>
    <s v="EU"/>
    <s v="0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495"/>
    <n v="-1000026513"/>
    <s v=""/>
    <s v=""/>
    <s v="31"/>
    <x v="7"/>
    <s v="EU"/>
    <s v="02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497"/>
    <n v="-1000026513"/>
    <s v=""/>
    <s v=""/>
    <s v="41"/>
    <x v="1"/>
    <s v="EU"/>
    <s v="0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507"/>
    <n v="-1000026513"/>
    <s v=""/>
    <s v=""/>
    <s v="31"/>
    <x v="7"/>
    <s v="EU"/>
    <s v="0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509"/>
    <n v="-1000026513"/>
    <s v=""/>
    <s v=""/>
    <s v="41"/>
    <x v="1"/>
    <s v="EU"/>
    <s v="0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455"/>
    <n v="-1000026513"/>
    <s v=""/>
    <s v=""/>
    <s v="42"/>
    <x v="2"/>
    <s v="EU"/>
    <s v="12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499"/>
    <n v="-1000026513"/>
    <s v=""/>
    <s v=""/>
    <s v="31"/>
    <x v="7"/>
    <s v="EU"/>
    <s v="02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481"/>
    <n v="-1000026513"/>
    <s v=""/>
    <s v=""/>
    <s v="41"/>
    <x v="1"/>
    <s v="EU"/>
    <s v="0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515"/>
    <n v="-1000026513"/>
    <s v=""/>
    <s v=""/>
    <s v="41"/>
    <x v="1"/>
    <s v="EU"/>
    <s v="0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491"/>
    <n v="-1000026513"/>
    <s v=""/>
    <s v=""/>
    <s v="41"/>
    <x v="1"/>
    <s v="EU"/>
    <s v="0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395"/>
    <n v="-1000026513"/>
    <s v=""/>
    <s v=""/>
    <s v="42"/>
    <x v="2"/>
    <s v="EU"/>
    <s v="1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479"/>
    <n v="-1000026513"/>
    <s v=""/>
    <s v=""/>
    <s v="41"/>
    <x v="1"/>
    <s v="EU"/>
    <s v="0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471"/>
    <n v="-1000026513"/>
    <s v=""/>
    <s v=""/>
    <s v="52"/>
    <x v="0"/>
    <s v="EU"/>
    <s v="1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323"/>
    <n v="-1000026513"/>
    <s v=""/>
    <s v=""/>
    <s v="41"/>
    <x v="1"/>
    <s v="EU"/>
    <s v="0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05"/>
    <n v="-1000026513"/>
    <s v=""/>
    <s v=""/>
    <s v="3M"/>
    <x v="5"/>
    <s v="MY"/>
    <s v="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315"/>
    <n v="-1000026513"/>
    <s v=""/>
    <s v=""/>
    <s v="41"/>
    <x v="1"/>
    <s v="EU"/>
    <s v="03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65"/>
    <n v="-1000026513"/>
    <s v=""/>
    <s v=""/>
    <s v="2M"/>
    <x v="3"/>
    <s v="MY"/>
    <s v="2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97"/>
    <n v="-1000026513"/>
    <s v=""/>
    <s v=""/>
    <s v="41"/>
    <x v="1"/>
    <s v="EU"/>
    <s v="0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337"/>
    <n v="-1000026513"/>
    <s v=""/>
    <s v=""/>
    <s v="31"/>
    <x v="7"/>
    <s v="EU"/>
    <s v="02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525"/>
    <n v="-1000026513"/>
    <s v=""/>
    <s v=""/>
    <s v="31"/>
    <x v="7"/>
    <s v="EU"/>
    <s v="02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347"/>
    <n v="-1000026513"/>
    <s v=""/>
    <s v=""/>
    <s v="41"/>
    <x v="1"/>
    <s v="EU"/>
    <s v="03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399"/>
    <n v="-1000026513"/>
    <s v=""/>
    <s v=""/>
    <s v="31"/>
    <x v="7"/>
    <s v="EU"/>
    <s v="02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295"/>
    <n v="-1000026513"/>
    <s v=""/>
    <s v=""/>
    <s v="52"/>
    <x v="0"/>
    <s v="EU"/>
    <s v="13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521"/>
    <n v="-1000026513"/>
    <s v=""/>
    <s v=""/>
    <s v="2M"/>
    <x v="3"/>
    <s v="MY"/>
    <s v="2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345"/>
    <n v="-1000026513"/>
    <s v=""/>
    <s v=""/>
    <s v="3M"/>
    <x v="5"/>
    <s v="MY"/>
    <s v="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367"/>
    <n v="-1000026513"/>
    <s v=""/>
    <s v=""/>
    <s v="31"/>
    <x v="7"/>
    <s v="EU"/>
    <s v="02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415"/>
    <n v="-1000026513"/>
    <s v=""/>
    <s v=""/>
    <s v="42"/>
    <x v="2"/>
    <s v="EU"/>
    <s v="1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341"/>
    <n v="-1000026513"/>
    <s v=""/>
    <s v=""/>
    <s v="42"/>
    <x v="2"/>
    <s v="EU"/>
    <s v="12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445"/>
    <n v="-1000026513"/>
    <s v=""/>
    <s v=""/>
    <s v="41"/>
    <x v="1"/>
    <s v="EU"/>
    <s v="03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07"/>
    <n v="-1000026513"/>
    <s v=""/>
    <s v=""/>
    <s v="31"/>
    <x v="7"/>
    <s v="EU"/>
    <s v="02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325"/>
    <n v="-1000026513"/>
    <s v=""/>
    <s v=""/>
    <s v="42"/>
    <x v="2"/>
    <s v="EU"/>
    <s v="12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467"/>
    <n v="-1000026513"/>
    <s v=""/>
    <s v=""/>
    <s v="31"/>
    <x v="7"/>
    <s v="EU"/>
    <s v="0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517"/>
    <n v="-1000026513"/>
    <s v=""/>
    <s v=""/>
    <s v="31"/>
    <x v="7"/>
    <s v="EU"/>
    <s v="02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90"/>
  </r>
  <r>
    <n v="-1006019433"/>
    <n v="-1000026513"/>
    <s v=""/>
    <s v=""/>
    <s v="52"/>
    <x v="0"/>
    <s v="EU"/>
    <s v="1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41"/>
    <n v="-1000026513"/>
    <s v=""/>
    <s v=""/>
    <s v="41"/>
    <x v="1"/>
    <s v="EU"/>
    <s v="0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51"/>
    <n v="-1000026513"/>
    <s v=""/>
    <s v=""/>
    <s v="42"/>
    <x v="2"/>
    <s v="EU"/>
    <s v="12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333"/>
    <n v="-1000026513"/>
    <s v=""/>
    <s v=""/>
    <s v="3M"/>
    <x v="5"/>
    <s v="MY"/>
    <s v="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03"/>
    <n v="-1000026513"/>
    <s v=""/>
    <s v=""/>
    <s v="42"/>
    <x v="2"/>
    <s v="EU"/>
    <s v="12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427"/>
    <n v="-1000026513"/>
    <s v=""/>
    <s v=""/>
    <s v="42"/>
    <x v="2"/>
    <s v="EU"/>
    <s v="12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411"/>
    <n v="-1000026513"/>
    <s v=""/>
    <s v=""/>
    <s v="3M"/>
    <x v="5"/>
    <s v="MY"/>
    <s v="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503"/>
    <n v="-1000026513"/>
    <s v=""/>
    <s v=""/>
    <s v="31"/>
    <x v="7"/>
    <s v="EU"/>
    <s v="02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357"/>
    <n v="-1000026513"/>
    <s v=""/>
    <s v=""/>
    <s v="31"/>
    <x v="7"/>
    <s v="EU"/>
    <s v="02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459"/>
    <n v="-1000026513"/>
    <s v=""/>
    <s v=""/>
    <s v="41"/>
    <x v="1"/>
    <s v="EU"/>
    <s v="0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381"/>
    <n v="-1000026513"/>
    <s v=""/>
    <s v=""/>
    <s v="31"/>
    <x v="7"/>
    <s v="EU"/>
    <s v="02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409"/>
    <n v="-1000026513"/>
    <s v=""/>
    <s v=""/>
    <s v="31"/>
    <x v="7"/>
    <s v="EU"/>
    <s v="02"/>
    <s v="3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437"/>
    <n v="-1000026513"/>
    <s v=""/>
    <s v=""/>
    <s v="41"/>
    <x v="1"/>
    <s v="EU"/>
    <s v="0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379"/>
    <n v="-1000026513"/>
    <s v=""/>
    <s v=""/>
    <s v="52"/>
    <x v="0"/>
    <s v="EU"/>
    <s v="1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505"/>
    <n v="-1000026513"/>
    <s v=""/>
    <s v="RG"/>
    <s v=""/>
    <x v="6"/>
    <s v="EU"/>
    <s v="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489"/>
    <n v="-1000026513"/>
    <s v=""/>
    <s v=""/>
    <s v="41"/>
    <x v="1"/>
    <s v="EU"/>
    <s v="03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501"/>
    <n v="-1000026513"/>
    <s v=""/>
    <s v=""/>
    <s v="41"/>
    <x v="1"/>
    <s v="EU"/>
    <s v="0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463"/>
    <n v="-1000026513"/>
    <s v=""/>
    <s v=""/>
    <s v="42"/>
    <x v="2"/>
    <s v="EU"/>
    <s v="12"/>
    <s v="5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475"/>
    <n v="-1000026513"/>
    <s v=""/>
    <s v=""/>
    <s v="41"/>
    <x v="1"/>
    <s v="EU"/>
    <s v="0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321"/>
    <n v="-1000026513"/>
    <s v=""/>
    <s v=""/>
    <s v="31"/>
    <x v="7"/>
    <s v="EU"/>
    <s v="02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469"/>
    <n v="-1000026513"/>
    <s v=""/>
    <s v=""/>
    <s v="42"/>
    <x v="2"/>
    <s v="EU"/>
    <s v="12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387"/>
    <n v="-1000026513"/>
    <s v=""/>
    <s v=""/>
    <s v="41"/>
    <x v="1"/>
    <s v="EU"/>
    <s v="03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317"/>
    <n v="-1000026513"/>
    <s v=""/>
    <s v=""/>
    <s v="41"/>
    <x v="1"/>
    <s v="EU"/>
    <s v="0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63"/>
    <n v="-1000026513"/>
    <s v=""/>
    <s v=""/>
    <s v="41"/>
    <x v="1"/>
    <s v="EU"/>
    <s v="0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417"/>
    <n v="-1000026513"/>
    <s v=""/>
    <s v=""/>
    <s v="41"/>
    <x v="1"/>
    <s v="EU"/>
    <s v="03"/>
    <s v="9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7"/>
  </r>
  <r>
    <n v="-1006019353"/>
    <n v="-1000026513"/>
    <s v=""/>
    <s v=""/>
    <s v="41"/>
    <x v="1"/>
    <s v="EU"/>
    <s v="03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19T00:00:00"/>
    <d v="1999-07-20T00:00:00"/>
    <s v="1999310162474173"/>
  </r>
  <r>
    <n v="-1006019485"/>
    <n v="-1000026513"/>
    <s v=""/>
    <s v="MF"/>
    <s v=""/>
    <x v="6"/>
    <s v=""/>
    <s v="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477"/>
    <n v="-1000026513"/>
    <s v=""/>
    <s v=""/>
    <s v="41"/>
    <x v="1"/>
    <s v="EU"/>
    <s v="03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6"/>
  </r>
  <r>
    <n v="-1006019327"/>
    <n v="-1000026513"/>
    <s v=""/>
    <s v=""/>
    <s v="41"/>
    <x v="1"/>
    <s v="EU"/>
    <s v="03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2T00:00:00"/>
    <s v="1999310162474172"/>
  </r>
  <r>
    <n v="-1006019361"/>
    <n v="-1000026513"/>
    <s v=""/>
    <s v=""/>
    <s v="41"/>
    <x v="1"/>
    <s v="EU"/>
    <s v="0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3T00:00:00"/>
    <d v="1999-07-23T00:00:00"/>
    <s v="1999310162474174"/>
  </r>
  <r>
    <n v="-1006019391"/>
    <n v="-1000026513"/>
    <s v=""/>
    <s v=""/>
    <s v="42"/>
    <x v="2"/>
    <s v="EU"/>
    <s v="12"/>
    <s v="2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7T00:00:00"/>
    <d v="1999-07-27T00:00:00"/>
    <s v="1999310162474175"/>
  </r>
  <r>
    <n v="-1006019403"/>
    <n v="-1000026513"/>
    <s v=""/>
    <s v=""/>
    <s v="31"/>
    <x v="7"/>
    <s v="EU"/>
    <s v="02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-1006019493"/>
    <n v="-1000026513"/>
    <s v=""/>
    <s v=""/>
    <s v="31"/>
    <x v="7"/>
    <s v="EU"/>
    <s v="02"/>
    <s v="10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8-04T00:00:00"/>
    <d v="1999-08-04T00:00:00"/>
    <s v="1999310162474187"/>
  </r>
  <r>
    <n v="-1006019301"/>
    <n v="-1000026513"/>
    <s v=""/>
    <s v=""/>
    <s v="41"/>
    <x v="1"/>
    <s v="EU"/>
    <s v="03"/>
    <s v="7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01T00:00:00"/>
    <d v="1999-07-01T00:00:00"/>
    <s v="1999310162474171"/>
  </r>
  <r>
    <n v="-1006019465"/>
    <n v="-1000026513"/>
    <s v=""/>
    <s v=""/>
    <s v="42"/>
    <x v="2"/>
    <s v="EU"/>
    <s v="12"/>
    <s v="4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-1006019443"/>
    <n v="-1000026513"/>
    <s v=""/>
    <s v=""/>
    <s v="41"/>
    <x v="1"/>
    <s v="EU"/>
    <s v="03"/>
    <s v="6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8"/>
  </r>
  <r>
    <n v="-1006019457"/>
    <n v="-1000026513"/>
    <s v=""/>
    <s v=""/>
    <s v="42"/>
    <x v="2"/>
    <s v="EU"/>
    <s v="12"/>
    <s v="8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30T00:00:00"/>
    <d v="1999-07-30T00:00:00"/>
    <s v="1999310162474185"/>
  </r>
  <r>
    <n v="6198154"/>
    <n v="1127252963"/>
    <s v=""/>
    <s v=""/>
    <s v="42"/>
    <x v="2"/>
    <s v="EU"/>
    <s v="12"/>
    <s v="11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-1006019413"/>
    <n v="-1000026513"/>
    <s v=""/>
    <s v=""/>
    <s v="31"/>
    <x v="7"/>
    <s v="EU"/>
    <s v="02"/>
    <s v="1"/>
    <s v="Scales"/>
    <n v="2126660001"/>
    <s v="5 SCALES DOWN PER FISH"/>
    <n v="-1000004779"/>
    <s v="BELLA COOLA/ATNARKO INDIAN FOOD FISHERY(IFF)-1999"/>
    <n v="3402"/>
    <s v="BELLA COOLA R LOWER"/>
    <x v="3"/>
    <s v="624"/>
    <n v="1"/>
    <s v="SOCKEYE SALMON"/>
    <n v="2086090006"/>
    <x v="0"/>
    <n v="11"/>
    <s v="Other Gillnet/Set Net"/>
    <s v="Adult"/>
    <d v="1999-07-28T00:00:00"/>
    <d v="1999-07-28T00:00:00"/>
    <s v="1999310162474176"/>
  </r>
  <r>
    <n v="6198157"/>
    <n v="1127252963"/>
    <s v=""/>
    <s v=""/>
    <s v="42"/>
    <x v="2"/>
    <s v="EU"/>
    <s v="12"/>
    <s v="12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63"/>
    <n v="1127252963"/>
    <s v=""/>
    <s v=""/>
    <s v="41"/>
    <x v="1"/>
    <s v="EU"/>
    <s v="03"/>
    <s v="14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78"/>
    <n v="1127252963"/>
    <s v=""/>
    <s v=""/>
    <s v="42"/>
    <x v="2"/>
    <s v="EU"/>
    <s v="12"/>
    <s v="19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90"/>
    <n v="1127252963"/>
    <s v=""/>
    <s v=""/>
    <s v="42"/>
    <x v="2"/>
    <s v="EU"/>
    <s v="12"/>
    <s v="23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96"/>
    <n v="1127252963"/>
    <s v=""/>
    <s v=""/>
    <s v="42"/>
    <x v="2"/>
    <s v="EU"/>
    <s v="12"/>
    <s v="25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05"/>
    <n v="1127252963"/>
    <s v=""/>
    <s v=""/>
    <s v="42"/>
    <x v="2"/>
    <s v="EU"/>
    <s v="12"/>
    <s v="28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14"/>
    <n v="1127252963"/>
    <s v=""/>
    <s v=""/>
    <s v="53"/>
    <x v="4"/>
    <s v="EU"/>
    <s v="22"/>
    <s v="31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23"/>
    <n v="1127252963"/>
    <s v=""/>
    <s v=""/>
    <s v="42"/>
    <x v="2"/>
    <s v="EU"/>
    <s v="12"/>
    <s v="34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44"/>
    <n v="1127252963"/>
    <s v=""/>
    <s v=""/>
    <s v="42"/>
    <x v="2"/>
    <s v="EU"/>
    <s v="12"/>
    <s v="41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56"/>
    <n v="1127252963"/>
    <s v=""/>
    <s v=""/>
    <s v="52"/>
    <x v="0"/>
    <s v="EU"/>
    <s v="13"/>
    <s v="45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59"/>
    <n v="1127252963"/>
    <s v=""/>
    <s v=""/>
    <s v="52"/>
    <x v="0"/>
    <s v="EU"/>
    <s v="13"/>
    <s v="46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62"/>
    <n v="1127252963"/>
    <s v=""/>
    <s v=""/>
    <s v="63"/>
    <x v="8"/>
    <s v="EU"/>
    <s v="23"/>
    <s v="47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74"/>
    <n v="1127252963"/>
    <s v=""/>
    <s v=""/>
    <s v="42"/>
    <x v="2"/>
    <s v="EU"/>
    <s v="12"/>
    <s v="51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71"/>
    <n v="1127252963"/>
    <s v=""/>
    <s v=""/>
    <s v="52"/>
    <x v="0"/>
    <s v="EU"/>
    <s v="13"/>
    <s v="50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77"/>
    <n v="1127252963"/>
    <s v=""/>
    <s v=""/>
    <s v="42"/>
    <x v="2"/>
    <s v="EU"/>
    <s v="12"/>
    <s v="52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08"/>
    <n v="1127252963"/>
    <s v=""/>
    <s v=""/>
    <s v="31"/>
    <x v="7"/>
    <s v="EU"/>
    <s v="02"/>
    <s v="29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72"/>
    <n v="1127252963"/>
    <s v=""/>
    <s v=""/>
    <s v="52"/>
    <x v="0"/>
    <s v="EU"/>
    <s v="13"/>
    <s v="17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38"/>
    <n v="1127252963"/>
    <s v=""/>
    <s v=""/>
    <s v="53"/>
    <x v="4"/>
    <s v="EU"/>
    <s v="22"/>
    <s v="39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30"/>
    <n v="1127252963"/>
    <s v=""/>
    <s v=""/>
    <s v="42"/>
    <x v="2"/>
    <s v="EU"/>
    <s v="12"/>
    <s v="3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45"/>
    <n v="1127252963"/>
    <s v=""/>
    <s v=""/>
    <s v="52"/>
    <x v="0"/>
    <s v="EU"/>
    <s v="13"/>
    <s v="8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69"/>
    <n v="1127252963"/>
    <s v=""/>
    <s v=""/>
    <s v="52"/>
    <x v="0"/>
    <s v="EU"/>
    <s v="13"/>
    <s v="16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02"/>
    <n v="1127252963"/>
    <s v=""/>
    <s v=""/>
    <s v="42"/>
    <x v="2"/>
    <s v="EU"/>
    <s v="12"/>
    <s v="27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41"/>
    <n v="1127252963"/>
    <s v=""/>
    <s v=""/>
    <s v="42"/>
    <x v="2"/>
    <s v="EU"/>
    <s v="12"/>
    <s v="40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75"/>
    <n v="1127252963"/>
    <s v=""/>
    <s v=""/>
    <s v="42"/>
    <x v="2"/>
    <s v="EU"/>
    <s v="12"/>
    <s v="18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39"/>
    <n v="1127252963"/>
    <s v=""/>
    <s v=""/>
    <s v="52"/>
    <x v="0"/>
    <s v="EU"/>
    <s v="13"/>
    <s v="6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60"/>
    <n v="1127252963"/>
    <s v=""/>
    <s v=""/>
    <s v="52"/>
    <x v="0"/>
    <s v="EU"/>
    <s v="13"/>
    <s v="13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66"/>
    <n v="1127252963"/>
    <s v=""/>
    <s v=""/>
    <s v="42"/>
    <x v="2"/>
    <s v="EU"/>
    <s v="12"/>
    <s v="15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42"/>
    <n v="1127252963"/>
    <s v=""/>
    <s v=""/>
    <s v="52"/>
    <x v="0"/>
    <s v="EU"/>
    <s v="13"/>
    <s v="7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53"/>
    <n v="1127252963"/>
    <s v=""/>
    <s v=""/>
    <s v="42"/>
    <x v="2"/>
    <s v="EU"/>
    <s v="12"/>
    <s v="44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47"/>
    <n v="1127252963"/>
    <s v=""/>
    <s v=""/>
    <s v="42"/>
    <x v="2"/>
    <s v="EU"/>
    <s v="12"/>
    <s v="42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80"/>
    <n v="1127252963"/>
    <s v=""/>
    <s v=""/>
    <s v="52"/>
    <x v="0"/>
    <s v="EU"/>
    <s v="13"/>
    <s v="53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26"/>
    <n v="1127252963"/>
    <s v=""/>
    <s v=""/>
    <s v="42"/>
    <x v="2"/>
    <s v="EU"/>
    <s v="12"/>
    <s v="35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93"/>
    <n v="1127252963"/>
    <s v=""/>
    <s v=""/>
    <s v="52"/>
    <x v="0"/>
    <s v="EU"/>
    <s v="13"/>
    <s v="24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29"/>
    <n v="1127252963"/>
    <s v=""/>
    <s v=""/>
    <s v="42"/>
    <x v="2"/>
    <s v="EU"/>
    <s v="12"/>
    <s v="36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24"/>
    <n v="1127252963"/>
    <s v=""/>
    <s v=""/>
    <s v="52"/>
    <x v="0"/>
    <s v="EU"/>
    <s v="13"/>
    <s v="1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81"/>
    <n v="1127252963"/>
    <s v=""/>
    <s v=""/>
    <s v="31"/>
    <x v="7"/>
    <s v="EU"/>
    <s v="02"/>
    <s v="20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35"/>
    <n v="1127252963"/>
    <s v=""/>
    <s v=""/>
    <s v="42"/>
    <x v="2"/>
    <s v="EU"/>
    <s v="12"/>
    <s v="38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68"/>
    <n v="1127252963"/>
    <s v=""/>
    <s v=""/>
    <s v="42"/>
    <x v="2"/>
    <s v="EU"/>
    <s v="12"/>
    <s v="49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33"/>
    <n v="1127252963"/>
    <s v=""/>
    <s v=""/>
    <s v="41"/>
    <x v="1"/>
    <s v="EU"/>
    <s v="03"/>
    <s v="4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51"/>
    <n v="1127252963"/>
    <s v=""/>
    <s v=""/>
    <s v="52"/>
    <x v="0"/>
    <s v="EU"/>
    <s v="13"/>
    <s v="10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65"/>
    <n v="1127252963"/>
    <s v=""/>
    <s v=""/>
    <s v="42"/>
    <x v="2"/>
    <s v="EU"/>
    <s v="12"/>
    <s v="48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36"/>
    <n v="1127252963"/>
    <s v=""/>
    <s v=""/>
    <s v="52"/>
    <x v="0"/>
    <s v="EU"/>
    <s v="13"/>
    <s v="5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50"/>
    <n v="1127252963"/>
    <s v=""/>
    <s v=""/>
    <s v="52"/>
    <x v="0"/>
    <s v="EU"/>
    <s v="13"/>
    <s v="43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99"/>
    <n v="1127252963"/>
    <s v=""/>
    <s v=""/>
    <s v="42"/>
    <x v="2"/>
    <s v="EU"/>
    <s v="12"/>
    <s v="26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84"/>
    <n v="1127252963"/>
    <s v=""/>
    <s v=""/>
    <s v="52"/>
    <x v="0"/>
    <s v="EU"/>
    <s v="13"/>
    <s v="21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83"/>
    <n v="1127252963"/>
    <s v=""/>
    <s v=""/>
    <s v="42"/>
    <x v="2"/>
    <s v="EU"/>
    <s v="12"/>
    <s v="54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87"/>
    <n v="1127252963"/>
    <s v=""/>
    <s v=""/>
    <s v="52"/>
    <x v="0"/>
    <s v="EU"/>
    <s v="13"/>
    <s v="22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27"/>
    <n v="1127252963"/>
    <s v=""/>
    <s v=""/>
    <s v="42"/>
    <x v="2"/>
    <s v="EU"/>
    <s v="12"/>
    <s v="2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20"/>
    <n v="1127252963"/>
    <s v=""/>
    <s v=""/>
    <s v="41"/>
    <x v="1"/>
    <s v="EU"/>
    <s v="03"/>
    <s v="33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148"/>
    <n v="1127252963"/>
    <s v=""/>
    <s v=""/>
    <s v="52"/>
    <x v="0"/>
    <s v="EU"/>
    <s v="13"/>
    <s v="9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17"/>
    <n v="1127252963"/>
    <s v=""/>
    <s v=""/>
    <s v="42"/>
    <x v="2"/>
    <s v="EU"/>
    <s v="12"/>
    <s v="32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11"/>
    <n v="1127252963"/>
    <s v=""/>
    <s v=""/>
    <s v="42"/>
    <x v="2"/>
    <s v="EU"/>
    <s v="12"/>
    <s v="30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6198232"/>
    <n v="1127252963"/>
    <s v=""/>
    <s v=""/>
    <s v="52"/>
    <x v="0"/>
    <s v="EU"/>
    <s v="13"/>
    <s v="37"/>
    <s v="Otolith - Surface"/>
    <n v="2126660002"/>
    <s v="1 OTOLITH ACROSS (TRAY)"/>
    <n v="5546088"/>
    <s v="ATNARKO ESCAPEMENT - 2010"/>
    <n v="970"/>
    <s v="ATNARKO RIVER"/>
    <x v="4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n v="9240347"/>
    <n v="37963962"/>
    <s v=""/>
    <s v=""/>
    <s v="41"/>
    <x v="1"/>
    <s v="EU"/>
    <s v="03"/>
    <s v="5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01"/>
    <n v="37963962"/>
    <s v=""/>
    <s v=""/>
    <s v="42"/>
    <x v="2"/>
    <s v="EU"/>
    <s v="12"/>
    <s v="7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19"/>
    <n v="37963962"/>
    <s v=""/>
    <s v=""/>
    <s v="42"/>
    <x v="2"/>
    <s v="EU"/>
    <s v="12"/>
    <s v="7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99"/>
    <n v="37963962"/>
    <s v=""/>
    <s v=""/>
    <s v="41"/>
    <x v="1"/>
    <s v="EU"/>
    <s v="03"/>
    <s v="3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29"/>
    <n v="37963962"/>
    <s v=""/>
    <s v=""/>
    <s v="42"/>
    <x v="2"/>
    <s v="EU"/>
    <s v="12"/>
    <s v="4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53"/>
    <n v="37963962"/>
    <s v=""/>
    <s v=""/>
    <s v="42"/>
    <x v="2"/>
    <s v="EU"/>
    <s v="12"/>
    <s v="5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30"/>
    <n v="37963962"/>
    <s v=""/>
    <s v=""/>
    <s v="42"/>
    <x v="2"/>
    <s v="EU"/>
    <s v="12"/>
    <s v="1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191"/>
    <n v="37963962"/>
    <s v=""/>
    <s v=""/>
    <s v="42"/>
    <x v="2"/>
    <s v="EU"/>
    <s v="12"/>
    <s v="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194"/>
    <n v="37963962"/>
    <s v=""/>
    <s v=""/>
    <s v="42"/>
    <x v="2"/>
    <s v="EU"/>
    <s v="12"/>
    <s v="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63"/>
    <n v="37963962"/>
    <s v=""/>
    <s v=""/>
    <s v="52"/>
    <x v="0"/>
    <s v="EU"/>
    <s v="13"/>
    <s v="2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60"/>
    <n v="37963962"/>
    <s v=""/>
    <s v=""/>
    <s v="41"/>
    <x v="1"/>
    <s v="EU"/>
    <s v="03"/>
    <s v="2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90"/>
    <n v="37963962"/>
    <s v=""/>
    <s v=""/>
    <s v="42"/>
    <x v="2"/>
    <s v="EU"/>
    <s v="12"/>
    <s v="3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07"/>
    <n v="37963962"/>
    <s v=""/>
    <s v=""/>
    <s v="42"/>
    <x v="2"/>
    <s v="EU"/>
    <s v="12"/>
    <s v="7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03"/>
    <n v="37963962"/>
    <s v=""/>
    <s v=""/>
    <s v="52"/>
    <x v="0"/>
    <s v="EU"/>
    <s v="13"/>
    <s v="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65"/>
    <n v="37963962"/>
    <s v=""/>
    <s v=""/>
    <s v="42"/>
    <x v="2"/>
    <s v="EU"/>
    <s v="12"/>
    <s v="5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35"/>
    <n v="37963962"/>
    <s v=""/>
    <s v=""/>
    <s v="42"/>
    <x v="2"/>
    <s v="EU"/>
    <s v="12"/>
    <s v="4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37"/>
    <n v="37963962"/>
    <s v=""/>
    <s v=""/>
    <s v="41"/>
    <x v="1"/>
    <s v="EU"/>
    <s v="03"/>
    <s v="8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13"/>
    <n v="37963962"/>
    <s v=""/>
    <s v=""/>
    <s v="42"/>
    <x v="2"/>
    <s v="EU"/>
    <s v="12"/>
    <s v="7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73"/>
    <n v="37963962"/>
    <s v=""/>
    <s v=""/>
    <s v="42"/>
    <x v="2"/>
    <s v="EU"/>
    <s v="12"/>
    <s v="9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77"/>
    <n v="37963962"/>
    <s v=""/>
    <s v=""/>
    <s v="42"/>
    <x v="2"/>
    <s v="EU"/>
    <s v="12"/>
    <s v="6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34"/>
    <n v="37963962"/>
    <s v=""/>
    <s v=""/>
    <s v="42"/>
    <x v="2"/>
    <s v="EU"/>
    <s v="12"/>
    <s v="8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40"/>
    <n v="37963962"/>
    <s v=""/>
    <s v=""/>
    <s v="42"/>
    <x v="2"/>
    <s v="EU"/>
    <s v="12"/>
    <s v="8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89"/>
    <n v="37963962"/>
    <s v=""/>
    <s v=""/>
    <s v="42"/>
    <x v="2"/>
    <s v="EU"/>
    <s v="12"/>
    <s v="6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69"/>
    <n v="37963962"/>
    <s v=""/>
    <s v=""/>
    <s v="41"/>
    <x v="1"/>
    <s v="EU"/>
    <s v="03"/>
    <s v="2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16"/>
    <n v="37963962"/>
    <s v=""/>
    <s v=""/>
    <s v="42"/>
    <x v="2"/>
    <s v="EU"/>
    <s v="12"/>
    <s v="7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44"/>
    <n v="37963962"/>
    <s v=""/>
    <s v=""/>
    <s v="42"/>
    <x v="2"/>
    <s v="EU"/>
    <s v="12"/>
    <s v="5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33"/>
    <n v="37963962"/>
    <s v=""/>
    <s v=""/>
    <s v="42"/>
    <x v="2"/>
    <s v="EU"/>
    <s v="12"/>
    <s v="1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98"/>
    <n v="37963962"/>
    <s v=""/>
    <s v=""/>
    <s v="42"/>
    <x v="2"/>
    <s v="EU"/>
    <s v="12"/>
    <s v="7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51"/>
    <n v="37963962"/>
    <s v=""/>
    <s v=""/>
    <s v="52"/>
    <x v="0"/>
    <s v="EU"/>
    <s v="13"/>
    <s v="2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71"/>
    <n v="37963962"/>
    <s v=""/>
    <s v=""/>
    <s v="42"/>
    <x v="2"/>
    <s v="EU"/>
    <s v="12"/>
    <s v="6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52"/>
    <n v="37963962"/>
    <s v=""/>
    <s v=""/>
    <s v="41"/>
    <x v="1"/>
    <s v="EU"/>
    <s v="03"/>
    <s v="8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06"/>
    <n v="37963962"/>
    <s v=""/>
    <s v=""/>
    <s v="42"/>
    <x v="2"/>
    <s v="EU"/>
    <s v="12"/>
    <s v="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92"/>
    <n v="37963962"/>
    <s v=""/>
    <s v=""/>
    <s v="42"/>
    <x v="2"/>
    <s v="EU"/>
    <s v="12"/>
    <s v="6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95"/>
    <n v="37963962"/>
    <s v=""/>
    <s v=""/>
    <s v="42"/>
    <x v="2"/>
    <s v="EU"/>
    <s v="12"/>
    <s v="6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25"/>
    <n v="37963962"/>
    <s v=""/>
    <s v=""/>
    <s v="42"/>
    <x v="2"/>
    <s v="EU"/>
    <s v="12"/>
    <s v="7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28"/>
    <n v="37963962"/>
    <s v=""/>
    <s v=""/>
    <s v="42"/>
    <x v="2"/>
    <s v="EU"/>
    <s v="12"/>
    <s v="8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31"/>
    <n v="37963962"/>
    <s v=""/>
    <s v=""/>
    <s v="42"/>
    <x v="2"/>
    <s v="EU"/>
    <s v="12"/>
    <s v="8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43"/>
    <n v="37963962"/>
    <s v=""/>
    <s v=""/>
    <s v="42"/>
    <x v="2"/>
    <s v="EU"/>
    <s v="12"/>
    <s v="8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55"/>
    <n v="37963962"/>
    <s v=""/>
    <s v=""/>
    <s v="42"/>
    <x v="2"/>
    <s v="EU"/>
    <s v="12"/>
    <s v="8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64"/>
    <n v="37963962"/>
    <s v=""/>
    <s v=""/>
    <s v="42"/>
    <x v="2"/>
    <s v="EU"/>
    <s v="12"/>
    <s v="9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67"/>
    <n v="37963962"/>
    <s v=""/>
    <s v=""/>
    <s v="41"/>
    <x v="1"/>
    <s v="EU"/>
    <s v="03"/>
    <s v="9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70"/>
    <n v="37963962"/>
    <s v=""/>
    <s v=""/>
    <s v="52"/>
    <x v="0"/>
    <s v="EU"/>
    <s v="13"/>
    <s v="9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09"/>
    <n v="37963962"/>
    <s v=""/>
    <s v=""/>
    <s v="52"/>
    <x v="0"/>
    <s v="EU"/>
    <s v="13"/>
    <s v="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68"/>
    <n v="37963962"/>
    <s v=""/>
    <s v=""/>
    <s v="42"/>
    <x v="2"/>
    <s v="EU"/>
    <s v="12"/>
    <s v="6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74"/>
    <n v="37963962"/>
    <s v=""/>
    <s v=""/>
    <s v="42"/>
    <x v="2"/>
    <s v="EU"/>
    <s v="12"/>
    <s v="6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80"/>
    <n v="37963962"/>
    <s v=""/>
    <s v=""/>
    <s v="42"/>
    <x v="2"/>
    <s v="EU"/>
    <s v="12"/>
    <s v="6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18"/>
    <n v="37963962"/>
    <s v=""/>
    <s v=""/>
    <s v="42"/>
    <x v="2"/>
    <s v="EU"/>
    <s v="12"/>
    <s v="1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21"/>
    <n v="37963962"/>
    <s v=""/>
    <s v=""/>
    <s v="31"/>
    <x v="7"/>
    <s v="EU"/>
    <s v="02"/>
    <s v="1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27"/>
    <n v="37963962"/>
    <s v=""/>
    <s v=""/>
    <s v="42"/>
    <x v="2"/>
    <s v="EU"/>
    <s v="12"/>
    <s v="1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36"/>
    <n v="37963962"/>
    <s v=""/>
    <s v=""/>
    <s v="42"/>
    <x v="2"/>
    <s v="EU"/>
    <s v="12"/>
    <s v="1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42"/>
    <n v="37963962"/>
    <s v=""/>
    <s v=""/>
    <s v="42"/>
    <x v="2"/>
    <s v="EU"/>
    <s v="12"/>
    <s v="1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54"/>
    <n v="37963962"/>
    <s v=""/>
    <s v=""/>
    <s v="42"/>
    <x v="2"/>
    <s v="EU"/>
    <s v="12"/>
    <s v="2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66"/>
    <n v="37963962"/>
    <s v=""/>
    <s v=""/>
    <s v="42"/>
    <x v="2"/>
    <s v="EU"/>
    <s v="12"/>
    <s v="2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78"/>
    <n v="37963962"/>
    <s v=""/>
    <s v=""/>
    <s v="42"/>
    <x v="2"/>
    <s v="EU"/>
    <s v="12"/>
    <s v="3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84"/>
    <n v="37963962"/>
    <s v=""/>
    <s v=""/>
    <s v="42"/>
    <x v="2"/>
    <s v="EU"/>
    <s v="12"/>
    <s v="3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87"/>
    <n v="37963962"/>
    <s v=""/>
    <s v=""/>
    <s v="42"/>
    <x v="2"/>
    <s v="EU"/>
    <s v="12"/>
    <s v="3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93"/>
    <n v="37963962"/>
    <s v=""/>
    <s v=""/>
    <s v="42"/>
    <x v="2"/>
    <s v="EU"/>
    <s v="12"/>
    <s v="3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02"/>
    <n v="37963962"/>
    <s v=""/>
    <s v=""/>
    <s v="41"/>
    <x v="1"/>
    <s v="EU"/>
    <s v="03"/>
    <s v="3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05"/>
    <n v="37963962"/>
    <s v=""/>
    <s v=""/>
    <s v="42"/>
    <x v="2"/>
    <s v="EU"/>
    <s v="12"/>
    <s v="3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08"/>
    <n v="37963962"/>
    <s v=""/>
    <s v=""/>
    <s v="31"/>
    <x v="7"/>
    <s v="EU"/>
    <s v="02"/>
    <s v="4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11"/>
    <n v="37963962"/>
    <s v=""/>
    <s v=""/>
    <s v="42"/>
    <x v="2"/>
    <s v="EU"/>
    <s v="12"/>
    <s v="4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17"/>
    <n v="37963962"/>
    <s v=""/>
    <s v=""/>
    <s v="42"/>
    <x v="2"/>
    <s v="EU"/>
    <s v="12"/>
    <s v="4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20"/>
    <n v="37963962"/>
    <s v=""/>
    <s v=""/>
    <s v="52"/>
    <x v="0"/>
    <s v="EU"/>
    <s v="13"/>
    <s v="4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23"/>
    <n v="37963962"/>
    <s v=""/>
    <s v=""/>
    <s v="42"/>
    <x v="2"/>
    <s v="EU"/>
    <s v="12"/>
    <s v="4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26"/>
    <n v="37963962"/>
    <s v=""/>
    <s v=""/>
    <s v="42"/>
    <x v="2"/>
    <s v="EU"/>
    <s v="12"/>
    <s v="4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32"/>
    <n v="37963962"/>
    <s v=""/>
    <s v=""/>
    <s v="42"/>
    <x v="2"/>
    <s v="EU"/>
    <s v="12"/>
    <s v="4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38"/>
    <n v="37963962"/>
    <s v=""/>
    <s v=""/>
    <s v="42"/>
    <x v="2"/>
    <s v="EU"/>
    <s v="12"/>
    <s v="5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41"/>
    <n v="37963962"/>
    <s v=""/>
    <s v=""/>
    <s v="42"/>
    <x v="2"/>
    <s v="EU"/>
    <s v="12"/>
    <s v="5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50"/>
    <n v="37963962"/>
    <s v=""/>
    <s v=""/>
    <s v="42"/>
    <x v="2"/>
    <s v="EU"/>
    <s v="12"/>
    <s v="5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56"/>
    <n v="37963962"/>
    <s v=""/>
    <s v=""/>
    <s v="42"/>
    <x v="2"/>
    <s v="EU"/>
    <s v="12"/>
    <s v="5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00"/>
    <n v="37963962"/>
    <s v=""/>
    <s v=""/>
    <s v="42"/>
    <x v="2"/>
    <s v="EU"/>
    <s v="12"/>
    <s v="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15"/>
    <n v="37963962"/>
    <s v=""/>
    <s v=""/>
    <s v="42"/>
    <x v="2"/>
    <s v="EU"/>
    <s v="12"/>
    <s v="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04"/>
    <n v="37963962"/>
    <s v=""/>
    <s v=""/>
    <s v="42"/>
    <x v="2"/>
    <s v="EU"/>
    <s v="12"/>
    <s v="7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86"/>
    <n v="37963962"/>
    <s v=""/>
    <s v=""/>
    <s v="42"/>
    <x v="2"/>
    <s v="EU"/>
    <s v="12"/>
    <s v="6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76"/>
    <n v="37963962"/>
    <s v=""/>
    <s v=""/>
    <s v="42"/>
    <x v="2"/>
    <s v="EU"/>
    <s v="12"/>
    <s v="9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83"/>
    <n v="37963962"/>
    <s v=""/>
    <s v=""/>
    <s v="42"/>
    <x v="2"/>
    <s v="EU"/>
    <s v="12"/>
    <s v="65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61"/>
    <n v="37963962"/>
    <s v=""/>
    <s v=""/>
    <s v="42"/>
    <x v="2"/>
    <s v="EU"/>
    <s v="12"/>
    <s v="9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96"/>
    <n v="37963962"/>
    <s v=""/>
    <s v=""/>
    <s v="41"/>
    <x v="1"/>
    <s v="EU"/>
    <s v="03"/>
    <s v="3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45"/>
    <n v="37963962"/>
    <s v=""/>
    <s v=""/>
    <s v="41"/>
    <x v="1"/>
    <s v="EU"/>
    <s v="03"/>
    <s v="1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58"/>
    <n v="37963962"/>
    <s v=""/>
    <s v=""/>
    <s v="42"/>
    <x v="2"/>
    <s v="EU"/>
    <s v="12"/>
    <s v="9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88"/>
    <n v="37963962"/>
    <s v=""/>
    <s v=""/>
    <s v="42"/>
    <x v="2"/>
    <s v="EU"/>
    <s v="12"/>
    <s v="10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59"/>
    <n v="37963962"/>
    <s v=""/>
    <s v=""/>
    <s v="42"/>
    <x v="2"/>
    <s v="EU"/>
    <s v="12"/>
    <s v="5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48"/>
    <n v="37963962"/>
    <s v=""/>
    <s v=""/>
    <s v="42"/>
    <x v="2"/>
    <s v="EU"/>
    <s v="12"/>
    <s v="20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49"/>
    <n v="37963962"/>
    <s v=""/>
    <s v=""/>
    <s v="42"/>
    <x v="2"/>
    <s v="EU"/>
    <s v="12"/>
    <s v="8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197"/>
    <n v="37963962"/>
    <s v=""/>
    <s v=""/>
    <s v="42"/>
    <x v="2"/>
    <s v="EU"/>
    <s v="12"/>
    <s v="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10"/>
    <n v="37963962"/>
    <s v=""/>
    <s v=""/>
    <s v="42"/>
    <x v="2"/>
    <s v="EU"/>
    <s v="12"/>
    <s v="74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57"/>
    <n v="37963962"/>
    <s v=""/>
    <s v=""/>
    <s v="41"/>
    <x v="1"/>
    <s v="EU"/>
    <s v="03"/>
    <s v="23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14"/>
    <n v="37963962"/>
    <s v=""/>
    <s v=""/>
    <s v="42"/>
    <x v="2"/>
    <s v="EU"/>
    <s v="12"/>
    <s v="4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46"/>
    <n v="37963962"/>
    <s v=""/>
    <s v=""/>
    <s v="42"/>
    <x v="2"/>
    <s v="EU"/>
    <s v="12"/>
    <s v="86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22"/>
    <n v="37963962"/>
    <s v=""/>
    <s v=""/>
    <s v="42"/>
    <x v="2"/>
    <s v="EU"/>
    <s v="12"/>
    <s v="7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362"/>
    <n v="37963962"/>
    <s v=""/>
    <s v=""/>
    <s v="42"/>
    <x v="2"/>
    <s v="EU"/>
    <s v="12"/>
    <s v="5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39"/>
    <n v="37963962"/>
    <s v=""/>
    <s v=""/>
    <s v="42"/>
    <x v="2"/>
    <s v="EU"/>
    <s v="12"/>
    <s v="1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85"/>
    <n v="37963962"/>
    <s v=""/>
    <s v=""/>
    <s v="41"/>
    <x v="1"/>
    <s v="EU"/>
    <s v="03"/>
    <s v="9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79"/>
    <n v="37963962"/>
    <s v=""/>
    <s v=""/>
    <s v="42"/>
    <x v="2"/>
    <s v="EU"/>
    <s v="12"/>
    <s v="97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72"/>
    <n v="37963962"/>
    <s v=""/>
    <s v=""/>
    <s v="42"/>
    <x v="2"/>
    <s v="EU"/>
    <s v="12"/>
    <s v="2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75"/>
    <n v="37963962"/>
    <s v=""/>
    <s v=""/>
    <s v="42"/>
    <x v="2"/>
    <s v="EU"/>
    <s v="12"/>
    <s v="29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12"/>
    <n v="37963962"/>
    <s v=""/>
    <s v=""/>
    <s v="42"/>
    <x v="2"/>
    <s v="EU"/>
    <s v="12"/>
    <s v="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81"/>
    <n v="37963962"/>
    <s v=""/>
    <s v=""/>
    <s v="42"/>
    <x v="2"/>
    <s v="EU"/>
    <s v="12"/>
    <s v="31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482"/>
    <n v="37963962"/>
    <s v=""/>
    <s v=""/>
    <s v="42"/>
    <x v="2"/>
    <s v="EU"/>
    <s v="12"/>
    <s v="98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9240224"/>
    <n v="37963962"/>
    <s v=""/>
    <s v=""/>
    <s v="42"/>
    <x v="2"/>
    <s v="EU"/>
    <s v="12"/>
    <s v="12"/>
    <s v="Otolith - Surface"/>
    <n v="2126660002"/>
    <s v="1 OTOLITH ACROSS (TRAY)"/>
    <n v="8665297"/>
    <s v="ATNARKO ESCAPEMENT - 2015"/>
    <n v="970"/>
    <s v="ATNARKO RIVER"/>
    <x v="5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n v="7626040"/>
    <n v="2032629646"/>
    <s v=""/>
    <s v=""/>
    <s v="42"/>
    <x v="2"/>
    <s v="EU"/>
    <s v="12"/>
    <s v="39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46"/>
    <n v="2032629646"/>
    <s v=""/>
    <s v=""/>
    <s v="42"/>
    <x v="2"/>
    <s v="EU"/>
    <s v="12"/>
    <s v="4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52"/>
    <n v="2032629646"/>
    <s v=""/>
    <s v=""/>
    <s v="52"/>
    <x v="0"/>
    <s v="EU"/>
    <s v="13"/>
    <s v="4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64"/>
    <n v="2032629646"/>
    <s v=""/>
    <s v=""/>
    <s v="43"/>
    <x v="10"/>
    <s v="EU"/>
    <s v="21"/>
    <s v="47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67"/>
    <n v="2032629646"/>
    <s v=""/>
    <s v=""/>
    <s v="42"/>
    <x v="2"/>
    <s v="EU"/>
    <s v="12"/>
    <s v="48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73"/>
    <n v="2032629646"/>
    <s v=""/>
    <s v=""/>
    <s v="52"/>
    <x v="0"/>
    <s v="EU"/>
    <s v="13"/>
    <s v="50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88"/>
    <n v="2032629646"/>
    <s v=""/>
    <s v=""/>
    <s v="52"/>
    <x v="0"/>
    <s v="EU"/>
    <s v="13"/>
    <s v="55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91"/>
    <n v="2032629646"/>
    <s v=""/>
    <s v=""/>
    <s v="42"/>
    <x v="2"/>
    <s v="EU"/>
    <s v="12"/>
    <s v="56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94"/>
    <n v="2032629646"/>
    <s v=""/>
    <s v=""/>
    <s v="42"/>
    <x v="2"/>
    <s v="EU"/>
    <s v="12"/>
    <s v="57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100"/>
    <n v="2032629646"/>
    <s v=""/>
    <s v=""/>
    <s v="42"/>
    <x v="2"/>
    <s v="EU"/>
    <s v="12"/>
    <s v="59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103"/>
    <n v="2032629646"/>
    <s v=""/>
    <s v=""/>
    <s v="52"/>
    <x v="0"/>
    <s v="EU"/>
    <s v="13"/>
    <s v="60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13"/>
    <n v="2032629646"/>
    <s v=""/>
    <s v=""/>
    <s v="32"/>
    <x v="11"/>
    <s v="EU"/>
    <s v="11"/>
    <s v="30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509"/>
    <n v="1473057103"/>
    <s v=""/>
    <s v=""/>
    <s v="42"/>
    <x v="2"/>
    <s v="EU"/>
    <s v="12"/>
    <s v="6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079"/>
    <n v="2032629646"/>
    <s v=""/>
    <s v=""/>
    <s v="42"/>
    <x v="2"/>
    <s v="EU"/>
    <s v="12"/>
    <s v="5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41"/>
    <n v="1473057103"/>
    <s v=""/>
    <s v=""/>
    <s v="52"/>
    <x v="0"/>
    <s v="EU"/>
    <s v="13"/>
    <s v="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10"/>
    <n v="1473057103"/>
    <s v=""/>
    <s v=""/>
    <s v="42"/>
    <x v="2"/>
    <s v="EU"/>
    <s v="12"/>
    <s v="2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18"/>
    <n v="1473057103"/>
    <s v=""/>
    <s v=""/>
    <s v="42"/>
    <x v="2"/>
    <s v="EU"/>
    <s v="12"/>
    <s v="6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6049"/>
    <n v="2032629646"/>
    <s v=""/>
    <s v=""/>
    <s v="42"/>
    <x v="2"/>
    <s v="EU"/>
    <s v="12"/>
    <s v="4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73"/>
    <n v="1473057103"/>
    <s v=""/>
    <s v=""/>
    <s v="42"/>
    <x v="2"/>
    <s v="EU"/>
    <s v="12"/>
    <s v="5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109"/>
    <n v="2032629646"/>
    <s v=""/>
    <s v=""/>
    <s v="52"/>
    <x v="0"/>
    <s v="EU"/>
    <s v="13"/>
    <s v="6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07"/>
    <n v="2032629646"/>
    <s v=""/>
    <s v=""/>
    <s v="42"/>
    <x v="2"/>
    <s v="EU"/>
    <s v="12"/>
    <s v="28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10"/>
    <n v="2032629646"/>
    <s v=""/>
    <s v=""/>
    <s v="42"/>
    <x v="2"/>
    <s v="EU"/>
    <s v="12"/>
    <s v="29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626"/>
    <n v="1473057103"/>
    <s v=""/>
    <s v=""/>
    <s v="42"/>
    <x v="2"/>
    <s v="EU"/>
    <s v="12"/>
    <s v="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83"/>
    <n v="2032629646"/>
    <s v=""/>
    <s v=""/>
    <s v="52"/>
    <x v="0"/>
    <s v="EU"/>
    <s v="13"/>
    <s v="20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851"/>
    <n v="1473057103"/>
    <s v=""/>
    <s v=""/>
    <s v="42"/>
    <x v="2"/>
    <s v="EU"/>
    <s v="12"/>
    <s v="7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74"/>
    <n v="1473057103"/>
    <s v=""/>
    <s v=""/>
    <s v="42"/>
    <x v="2"/>
    <s v="EU"/>
    <s v="12"/>
    <s v="1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96"/>
    <n v="1473057103"/>
    <s v=""/>
    <s v=""/>
    <s v="42"/>
    <x v="2"/>
    <s v="EU"/>
    <s v="12"/>
    <s v="9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23"/>
    <n v="1473057103"/>
    <s v=""/>
    <s v=""/>
    <s v="42"/>
    <x v="2"/>
    <s v="EU"/>
    <s v="12"/>
    <s v="10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39"/>
    <n v="1473057103"/>
    <s v=""/>
    <s v=""/>
    <s v="42"/>
    <x v="2"/>
    <s v="EU"/>
    <s v="12"/>
    <s v="7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43"/>
    <n v="1473057103"/>
    <s v=""/>
    <s v=""/>
    <s v="42"/>
    <x v="2"/>
    <s v="EU"/>
    <s v="12"/>
    <s v="4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62"/>
    <n v="1473057103"/>
    <s v=""/>
    <s v=""/>
    <s v="42"/>
    <x v="2"/>
    <s v="EU"/>
    <s v="12"/>
    <s v="1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05"/>
    <n v="1473057103"/>
    <s v=""/>
    <s v=""/>
    <s v="42"/>
    <x v="2"/>
    <s v="EU"/>
    <s v="12"/>
    <s v="9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59"/>
    <n v="2032629646"/>
    <s v=""/>
    <s v=""/>
    <s v="42"/>
    <x v="2"/>
    <s v="EU"/>
    <s v="12"/>
    <s v="1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869"/>
    <n v="1473057103"/>
    <s v=""/>
    <s v=""/>
    <s v="42"/>
    <x v="2"/>
    <s v="EU"/>
    <s v="12"/>
    <s v="8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491"/>
    <n v="1473057103"/>
    <s v=""/>
    <s v=""/>
    <s v="52"/>
    <x v="0"/>
    <s v="EU"/>
    <s v="13"/>
    <s v="5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48"/>
    <n v="1473057103"/>
    <s v=""/>
    <s v=""/>
    <s v="52"/>
    <x v="0"/>
    <s v="EU"/>
    <s v="13"/>
    <s v="7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66"/>
    <n v="1473057103"/>
    <s v=""/>
    <s v=""/>
    <s v="42"/>
    <x v="2"/>
    <s v="EU"/>
    <s v="12"/>
    <s v="8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15"/>
    <n v="1473057103"/>
    <s v=""/>
    <s v=""/>
    <s v="52"/>
    <x v="0"/>
    <s v="EU"/>
    <s v="13"/>
    <s v="6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80"/>
    <n v="2032629646"/>
    <s v=""/>
    <s v=""/>
    <s v="42"/>
    <x v="2"/>
    <s v="EU"/>
    <s v="12"/>
    <s v="19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13"/>
    <n v="1473057103"/>
    <s v=""/>
    <s v=""/>
    <s v="42"/>
    <x v="2"/>
    <s v="EU"/>
    <s v="12"/>
    <s v="3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82"/>
    <n v="1473057103"/>
    <s v=""/>
    <s v=""/>
    <s v="42"/>
    <x v="2"/>
    <s v="EU"/>
    <s v="12"/>
    <s v="5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6112"/>
    <n v="2032629646"/>
    <s v=""/>
    <s v=""/>
    <s v="52"/>
    <x v="0"/>
    <s v="EU"/>
    <s v="13"/>
    <s v="6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29"/>
    <n v="1473057103"/>
    <s v=""/>
    <s v=""/>
    <s v="42"/>
    <x v="2"/>
    <s v="EU"/>
    <s v="12"/>
    <s v="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03"/>
    <n v="1473057103"/>
    <s v=""/>
    <s v=""/>
    <s v="52"/>
    <x v="0"/>
    <s v="EU"/>
    <s v="13"/>
    <s v="6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20"/>
    <n v="1473057103"/>
    <s v=""/>
    <s v=""/>
    <s v="42"/>
    <x v="2"/>
    <s v="EU"/>
    <s v="12"/>
    <s v="9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37"/>
    <n v="1473057103"/>
    <s v=""/>
    <s v=""/>
    <s v="31"/>
    <x v="7"/>
    <s v="EU"/>
    <s v="02"/>
    <s v="3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11"/>
    <n v="1473057103"/>
    <s v=""/>
    <s v=""/>
    <s v="42"/>
    <x v="2"/>
    <s v="EU"/>
    <s v="12"/>
    <s v="9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6097"/>
    <n v="2032629646"/>
    <s v=""/>
    <s v=""/>
    <s v="42"/>
    <x v="2"/>
    <s v="EU"/>
    <s v="12"/>
    <s v="58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848"/>
    <n v="1473057103"/>
    <s v=""/>
    <s v=""/>
    <s v="53"/>
    <x v="4"/>
    <s v="EU"/>
    <s v="22"/>
    <s v="7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63"/>
    <n v="1473057103"/>
    <s v=""/>
    <s v=""/>
    <s v="42"/>
    <x v="2"/>
    <s v="EU"/>
    <s v="12"/>
    <s v="8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75"/>
    <n v="1473057103"/>
    <s v=""/>
    <s v=""/>
    <s v="42"/>
    <x v="2"/>
    <s v="EU"/>
    <s v="12"/>
    <s v="8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49"/>
    <n v="1473057103"/>
    <s v=""/>
    <s v=""/>
    <s v="42"/>
    <x v="2"/>
    <s v="EU"/>
    <s v="12"/>
    <s v="4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6037"/>
    <n v="2032629646"/>
    <s v=""/>
    <s v=""/>
    <s v="42"/>
    <x v="2"/>
    <s v="EU"/>
    <s v="12"/>
    <s v="38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43"/>
    <n v="2032629646"/>
    <s v=""/>
    <s v=""/>
    <s v="42"/>
    <x v="2"/>
    <s v="EU"/>
    <s v="12"/>
    <s v="40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01"/>
    <n v="2032629646"/>
    <s v=""/>
    <s v=""/>
    <s v="42"/>
    <x v="2"/>
    <s v="EU"/>
    <s v="12"/>
    <s v="26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83"/>
    <n v="1473057103"/>
    <s v=""/>
    <s v=""/>
    <s v="42"/>
    <x v="2"/>
    <s v="EU"/>
    <s v="12"/>
    <s v="2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84"/>
    <n v="1473057103"/>
    <s v=""/>
    <s v=""/>
    <s v="42"/>
    <x v="2"/>
    <s v="EU"/>
    <s v="12"/>
    <s v="8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00"/>
    <n v="1473057103"/>
    <s v=""/>
    <s v=""/>
    <s v="42"/>
    <x v="2"/>
    <s v="EU"/>
    <s v="12"/>
    <s v="5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60"/>
    <n v="1473057103"/>
    <s v=""/>
    <s v=""/>
    <s v="42"/>
    <x v="2"/>
    <s v="EU"/>
    <s v="12"/>
    <s v="7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54"/>
    <n v="1473057103"/>
    <s v=""/>
    <s v=""/>
    <s v="42"/>
    <x v="2"/>
    <s v="EU"/>
    <s v="12"/>
    <s v="7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004"/>
    <n v="2032629646"/>
    <s v=""/>
    <s v=""/>
    <s v="31"/>
    <x v="7"/>
    <s v="EU"/>
    <s v="02"/>
    <s v="27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49"/>
    <n v="1473057103"/>
    <s v=""/>
    <s v=""/>
    <s v="42"/>
    <x v="2"/>
    <s v="EU"/>
    <s v="12"/>
    <s v="4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16"/>
    <n v="1473057103"/>
    <s v=""/>
    <s v=""/>
    <s v="31"/>
    <x v="7"/>
    <s v="EU"/>
    <s v="02"/>
    <s v="3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73"/>
    <n v="1473057103"/>
    <s v=""/>
    <s v=""/>
    <s v="42"/>
    <x v="2"/>
    <s v="EU"/>
    <s v="12"/>
    <s v="5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99"/>
    <n v="1473057103"/>
    <s v=""/>
    <s v=""/>
    <s v="42"/>
    <x v="2"/>
    <s v="EU"/>
    <s v="12"/>
    <s v="9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68"/>
    <n v="2032629646"/>
    <s v=""/>
    <s v=""/>
    <s v="42"/>
    <x v="2"/>
    <s v="EU"/>
    <s v="12"/>
    <s v="15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98"/>
    <n v="2032629646"/>
    <s v=""/>
    <s v=""/>
    <s v="42"/>
    <x v="2"/>
    <s v="EU"/>
    <s v="12"/>
    <s v="25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713"/>
    <n v="1473057103"/>
    <s v=""/>
    <s v=""/>
    <s v="42"/>
    <x v="2"/>
    <s v="EU"/>
    <s v="12"/>
    <s v="3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15"/>
    <n v="1473057103"/>
    <s v=""/>
    <s v=""/>
    <s v="42"/>
    <x v="2"/>
    <s v="EU"/>
    <s v="12"/>
    <s v="6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72"/>
    <n v="1473057103"/>
    <s v=""/>
    <s v=""/>
    <s v="41"/>
    <x v="1"/>
    <s v="EU"/>
    <s v="03"/>
    <s v="8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47"/>
    <n v="1473057103"/>
    <s v=""/>
    <s v=""/>
    <s v="42"/>
    <x v="2"/>
    <s v="EU"/>
    <s v="12"/>
    <s v="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47"/>
    <n v="1473057103"/>
    <s v=""/>
    <s v=""/>
    <s v="42"/>
    <x v="2"/>
    <s v="EU"/>
    <s v="12"/>
    <s v="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27"/>
    <n v="1473057103"/>
    <s v=""/>
    <s v=""/>
    <s v="42"/>
    <x v="2"/>
    <s v="EU"/>
    <s v="12"/>
    <s v="6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88"/>
    <n v="1473057103"/>
    <s v=""/>
    <s v=""/>
    <s v="42"/>
    <x v="2"/>
    <s v="EU"/>
    <s v="12"/>
    <s v="5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79"/>
    <n v="1473057103"/>
    <s v=""/>
    <s v=""/>
    <s v="42"/>
    <x v="2"/>
    <s v="EU"/>
    <s v="12"/>
    <s v="5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33"/>
    <n v="1473057103"/>
    <s v=""/>
    <s v=""/>
    <s v="52"/>
    <x v="0"/>
    <s v="EU"/>
    <s v="13"/>
    <s v="7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055"/>
    <n v="2032629646"/>
    <s v=""/>
    <s v=""/>
    <s v="42"/>
    <x v="2"/>
    <s v="EU"/>
    <s v="12"/>
    <s v="44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80"/>
    <n v="1473057103"/>
    <s v=""/>
    <s v=""/>
    <s v="42"/>
    <x v="2"/>
    <s v="EU"/>
    <s v="12"/>
    <s v="1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74"/>
    <n v="1473057103"/>
    <s v=""/>
    <s v=""/>
    <s v="42"/>
    <x v="2"/>
    <s v="EU"/>
    <s v="12"/>
    <s v="1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51"/>
    <n v="1473057103"/>
    <s v=""/>
    <s v=""/>
    <s v="42"/>
    <x v="2"/>
    <s v="EU"/>
    <s v="12"/>
    <s v="7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19"/>
    <n v="1473057103"/>
    <s v=""/>
    <s v=""/>
    <s v="52"/>
    <x v="0"/>
    <s v="EU"/>
    <s v="13"/>
    <s v="3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11"/>
    <n v="1473057103"/>
    <s v=""/>
    <s v=""/>
    <s v="42"/>
    <x v="2"/>
    <s v="EU"/>
    <s v="12"/>
    <s v="9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43"/>
    <n v="1473057103"/>
    <s v=""/>
    <s v=""/>
    <s v="42"/>
    <x v="2"/>
    <s v="EU"/>
    <s v="12"/>
    <s v="4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106"/>
    <n v="2032629646"/>
    <s v=""/>
    <s v=""/>
    <s v="52"/>
    <x v="0"/>
    <s v="EU"/>
    <s v="13"/>
    <s v="6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16"/>
    <n v="2032629646"/>
    <s v=""/>
    <s v=""/>
    <s v="42"/>
    <x v="2"/>
    <s v="EU"/>
    <s v="12"/>
    <s v="3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53"/>
    <n v="1473057103"/>
    <s v=""/>
    <s v=""/>
    <s v="42"/>
    <x v="2"/>
    <s v="EU"/>
    <s v="12"/>
    <s v="1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07"/>
    <n v="1473057103"/>
    <s v=""/>
    <s v=""/>
    <s v="42"/>
    <x v="2"/>
    <s v="EU"/>
    <s v="12"/>
    <s v="2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12"/>
    <n v="1473057103"/>
    <s v=""/>
    <s v=""/>
    <s v="42"/>
    <x v="2"/>
    <s v="EU"/>
    <s v="12"/>
    <s v="6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46"/>
    <n v="1473057103"/>
    <s v=""/>
    <s v=""/>
    <s v="42"/>
    <x v="2"/>
    <s v="EU"/>
    <s v="12"/>
    <s v="4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90"/>
    <n v="1473057103"/>
    <s v=""/>
    <s v=""/>
    <s v="42"/>
    <x v="2"/>
    <s v="EU"/>
    <s v="12"/>
    <s v="8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17"/>
    <n v="1473057103"/>
    <s v=""/>
    <s v=""/>
    <s v="42"/>
    <x v="2"/>
    <s v="EU"/>
    <s v="12"/>
    <s v="9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94"/>
    <n v="1473057103"/>
    <s v=""/>
    <s v=""/>
    <s v="42"/>
    <x v="2"/>
    <s v="EU"/>
    <s v="12"/>
    <s v="5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52"/>
    <n v="1473057103"/>
    <s v=""/>
    <s v=""/>
    <s v="42"/>
    <x v="2"/>
    <s v="EU"/>
    <s v="12"/>
    <s v="4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42"/>
    <n v="1473057103"/>
    <s v=""/>
    <s v=""/>
    <s v="42"/>
    <x v="2"/>
    <s v="EU"/>
    <s v="12"/>
    <s v="7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56"/>
    <n v="1473057103"/>
    <s v=""/>
    <s v=""/>
    <s v="42"/>
    <x v="2"/>
    <s v="EU"/>
    <s v="12"/>
    <s v="1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89"/>
    <n v="1473057103"/>
    <s v=""/>
    <s v=""/>
    <s v="42"/>
    <x v="2"/>
    <s v="EU"/>
    <s v="12"/>
    <s v="2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27"/>
    <n v="1473057103"/>
    <s v=""/>
    <s v=""/>
    <s v="42"/>
    <x v="2"/>
    <s v="EU"/>
    <s v="12"/>
    <s v="6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47"/>
    <n v="2032629646"/>
    <s v=""/>
    <s v=""/>
    <s v="42"/>
    <x v="2"/>
    <s v="EU"/>
    <s v="12"/>
    <s v="8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34"/>
    <n v="2032629646"/>
    <s v=""/>
    <s v=""/>
    <s v="42"/>
    <x v="2"/>
    <s v="EU"/>
    <s v="12"/>
    <s v="37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76"/>
    <n v="2032629646"/>
    <s v=""/>
    <s v=""/>
    <s v="32"/>
    <x v="11"/>
    <s v="EU"/>
    <s v="11"/>
    <s v="5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893"/>
    <n v="1473057103"/>
    <s v=""/>
    <s v=""/>
    <s v="42"/>
    <x v="2"/>
    <s v="EU"/>
    <s v="12"/>
    <s v="9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77"/>
    <n v="1473057103"/>
    <s v=""/>
    <s v=""/>
    <s v="42"/>
    <x v="2"/>
    <s v="EU"/>
    <s v="12"/>
    <s v="1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86"/>
    <n v="1473057103"/>
    <s v=""/>
    <s v=""/>
    <s v="42"/>
    <x v="2"/>
    <s v="EU"/>
    <s v="12"/>
    <s v="2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6082"/>
    <n v="2032629646"/>
    <s v=""/>
    <s v=""/>
    <s v="52"/>
    <x v="0"/>
    <s v="EU"/>
    <s v="13"/>
    <s v="5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32"/>
    <n v="1473057103"/>
    <s v=""/>
    <s v=""/>
    <s v="31"/>
    <x v="7"/>
    <s v="EU"/>
    <s v="02"/>
    <s v="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65"/>
    <n v="1473057103"/>
    <s v=""/>
    <s v=""/>
    <s v="42"/>
    <x v="2"/>
    <s v="EU"/>
    <s v="12"/>
    <s v="1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407"/>
    <n v="1473057103"/>
    <s v=""/>
    <s v=""/>
    <s v="42"/>
    <x v="2"/>
    <s v="EU"/>
    <s v="12"/>
    <s v="2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68"/>
    <n v="1473057103"/>
    <s v=""/>
    <s v=""/>
    <s v="42"/>
    <x v="2"/>
    <s v="EU"/>
    <s v="12"/>
    <s v="1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29"/>
    <n v="1473057103"/>
    <s v=""/>
    <s v=""/>
    <s v="42"/>
    <x v="2"/>
    <s v="EU"/>
    <s v="12"/>
    <s v="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77"/>
    <n v="2032629646"/>
    <s v=""/>
    <s v=""/>
    <s v="42"/>
    <x v="2"/>
    <s v="EU"/>
    <s v="12"/>
    <s v="18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04"/>
    <n v="1473057103"/>
    <s v=""/>
    <s v=""/>
    <s v="31"/>
    <x v="7"/>
    <s v="EU"/>
    <s v="02"/>
    <s v="2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05"/>
    <n v="1473057103"/>
    <s v=""/>
    <s v=""/>
    <s v="52"/>
    <x v="0"/>
    <s v="EU"/>
    <s v="13"/>
    <s v="9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61"/>
    <n v="1473057103"/>
    <s v=""/>
    <s v=""/>
    <s v="42"/>
    <x v="2"/>
    <s v="EU"/>
    <s v="12"/>
    <s v="4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97"/>
    <n v="1473057103"/>
    <s v=""/>
    <s v=""/>
    <s v="42"/>
    <x v="2"/>
    <s v="EU"/>
    <s v="12"/>
    <s v="5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061"/>
    <n v="2032629646"/>
    <s v=""/>
    <s v=""/>
    <s v="53"/>
    <x v="4"/>
    <s v="EU"/>
    <s v="22"/>
    <s v="46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59"/>
    <n v="1473057103"/>
    <s v=""/>
    <s v=""/>
    <s v="42"/>
    <x v="2"/>
    <s v="EU"/>
    <s v="12"/>
    <s v="1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20"/>
    <n v="1473057103"/>
    <s v=""/>
    <s v=""/>
    <s v="42"/>
    <x v="2"/>
    <s v="EU"/>
    <s v="12"/>
    <s v="9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35"/>
    <n v="2032629646"/>
    <s v=""/>
    <s v=""/>
    <s v="42"/>
    <x v="2"/>
    <s v="EU"/>
    <s v="12"/>
    <s v="4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58"/>
    <n v="2032629646"/>
    <s v=""/>
    <s v=""/>
    <s v="52"/>
    <x v="0"/>
    <s v="EU"/>
    <s v="13"/>
    <s v="45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575"/>
    <n v="1473057103"/>
    <s v=""/>
    <s v=""/>
    <s v="42"/>
    <x v="2"/>
    <s v="EU"/>
    <s v="12"/>
    <s v="8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88"/>
    <n v="1473057103"/>
    <s v=""/>
    <s v=""/>
    <s v="42"/>
    <x v="2"/>
    <s v="EU"/>
    <s v="12"/>
    <s v="5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26"/>
    <n v="1473057103"/>
    <s v=""/>
    <s v=""/>
    <s v="52"/>
    <x v="0"/>
    <s v="EU"/>
    <s v="13"/>
    <s v="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84"/>
    <n v="1473057103"/>
    <s v=""/>
    <s v=""/>
    <s v="42"/>
    <x v="2"/>
    <s v="EU"/>
    <s v="12"/>
    <s v="8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93"/>
    <n v="1473057103"/>
    <s v=""/>
    <s v=""/>
    <s v="42"/>
    <x v="2"/>
    <s v="EU"/>
    <s v="12"/>
    <s v="9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02"/>
    <n v="1473057103"/>
    <s v=""/>
    <s v=""/>
    <s v="42"/>
    <x v="2"/>
    <s v="EU"/>
    <s v="12"/>
    <s v="9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92"/>
    <n v="1473057103"/>
    <s v=""/>
    <s v=""/>
    <s v="42"/>
    <x v="2"/>
    <s v="EU"/>
    <s v="12"/>
    <s v="2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60"/>
    <n v="1473057103"/>
    <s v=""/>
    <s v=""/>
    <s v="42"/>
    <x v="2"/>
    <s v="EU"/>
    <s v="12"/>
    <s v="7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35"/>
    <n v="1473057103"/>
    <s v=""/>
    <s v=""/>
    <s v="42"/>
    <x v="2"/>
    <s v="EU"/>
    <s v="12"/>
    <s v="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62"/>
    <n v="1473057103"/>
    <s v=""/>
    <s v=""/>
    <s v="42"/>
    <x v="2"/>
    <s v="EU"/>
    <s v="12"/>
    <s v="1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76"/>
    <n v="1473057103"/>
    <s v=""/>
    <s v=""/>
    <s v="42"/>
    <x v="2"/>
    <s v="EU"/>
    <s v="12"/>
    <s v="5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09"/>
    <n v="1473057103"/>
    <s v=""/>
    <s v=""/>
    <s v="42"/>
    <x v="2"/>
    <s v="EU"/>
    <s v="12"/>
    <s v="6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96"/>
    <n v="1473057103"/>
    <s v=""/>
    <s v=""/>
    <s v="42"/>
    <x v="2"/>
    <s v="EU"/>
    <s v="12"/>
    <s v="9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6025"/>
    <n v="2032629646"/>
    <s v=""/>
    <s v=""/>
    <s v="42"/>
    <x v="2"/>
    <s v="EU"/>
    <s v="12"/>
    <s v="34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85"/>
    <n v="2032629646"/>
    <s v=""/>
    <s v=""/>
    <s v="42"/>
    <x v="2"/>
    <s v="EU"/>
    <s v="12"/>
    <s v="54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70"/>
    <n v="2032629646"/>
    <s v=""/>
    <s v=""/>
    <s v="42"/>
    <x v="2"/>
    <s v="EU"/>
    <s v="12"/>
    <s v="49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38"/>
    <n v="1473057103"/>
    <s v=""/>
    <s v=""/>
    <s v="42"/>
    <x v="2"/>
    <s v="EU"/>
    <s v="12"/>
    <s v="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34"/>
    <n v="1473057103"/>
    <s v=""/>
    <s v=""/>
    <s v="42"/>
    <x v="2"/>
    <s v="EU"/>
    <s v="12"/>
    <s v="3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25"/>
    <n v="1473057103"/>
    <s v=""/>
    <s v=""/>
    <s v="42"/>
    <x v="2"/>
    <s v="EU"/>
    <s v="12"/>
    <s v="3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95"/>
    <n v="1473057103"/>
    <s v=""/>
    <s v=""/>
    <s v="42"/>
    <x v="2"/>
    <s v="EU"/>
    <s v="12"/>
    <s v="2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53"/>
    <n v="1473057103"/>
    <s v=""/>
    <s v=""/>
    <s v="42"/>
    <x v="2"/>
    <s v="EU"/>
    <s v="12"/>
    <s v="1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71"/>
    <n v="2032629646"/>
    <s v=""/>
    <s v=""/>
    <s v="42"/>
    <x v="2"/>
    <s v="EU"/>
    <s v="12"/>
    <s v="16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74"/>
    <n v="2032629646"/>
    <s v=""/>
    <s v=""/>
    <s v="42"/>
    <x v="2"/>
    <s v="EU"/>
    <s v="12"/>
    <s v="17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557"/>
    <n v="1473057103"/>
    <s v=""/>
    <s v=""/>
    <s v="42"/>
    <x v="2"/>
    <s v="EU"/>
    <s v="12"/>
    <s v="7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87"/>
    <n v="1473057103"/>
    <s v=""/>
    <s v=""/>
    <s v="42"/>
    <x v="2"/>
    <s v="EU"/>
    <s v="12"/>
    <s v="8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38"/>
    <n v="2032629646"/>
    <s v=""/>
    <s v=""/>
    <s v="52"/>
    <x v="0"/>
    <s v="EU"/>
    <s v="13"/>
    <s v="5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77"/>
    <n v="1473057103"/>
    <s v=""/>
    <s v=""/>
    <s v="42"/>
    <x v="2"/>
    <s v="EU"/>
    <s v="12"/>
    <s v="1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6019"/>
    <n v="2032629646"/>
    <s v=""/>
    <s v=""/>
    <s v="42"/>
    <x v="2"/>
    <s v="EU"/>
    <s v="12"/>
    <s v="3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22"/>
    <n v="1473057103"/>
    <s v=""/>
    <s v=""/>
    <s v="42"/>
    <x v="2"/>
    <s v="EU"/>
    <s v="12"/>
    <s v="3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92"/>
    <n v="1473057103"/>
    <s v=""/>
    <s v=""/>
    <s v="42"/>
    <x v="2"/>
    <s v="EU"/>
    <s v="12"/>
    <s v="2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90"/>
    <n v="1473057103"/>
    <s v=""/>
    <s v=""/>
    <s v="42"/>
    <x v="2"/>
    <s v="EU"/>
    <s v="12"/>
    <s v="8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99"/>
    <n v="1473057103"/>
    <s v=""/>
    <s v=""/>
    <s v="42"/>
    <x v="2"/>
    <s v="EU"/>
    <s v="12"/>
    <s v="9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26"/>
    <n v="2032629646"/>
    <s v=""/>
    <s v=""/>
    <s v="52"/>
    <x v="0"/>
    <s v="EU"/>
    <s v="13"/>
    <s v="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833"/>
    <n v="1473057103"/>
    <s v=""/>
    <s v=""/>
    <s v="42"/>
    <x v="2"/>
    <s v="EU"/>
    <s v="12"/>
    <s v="7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50"/>
    <n v="2032629646"/>
    <s v=""/>
    <s v=""/>
    <s v="42"/>
    <x v="2"/>
    <s v="EU"/>
    <s v="12"/>
    <s v="9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350"/>
    <n v="1473057103"/>
    <s v=""/>
    <s v=""/>
    <s v="42"/>
    <x v="2"/>
    <s v="EU"/>
    <s v="12"/>
    <s v="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40"/>
    <n v="1473057103"/>
    <s v=""/>
    <s v=""/>
    <s v="42"/>
    <x v="2"/>
    <s v="EU"/>
    <s v="12"/>
    <s v="3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56"/>
    <n v="2032629646"/>
    <s v=""/>
    <s v=""/>
    <s v="52"/>
    <x v="0"/>
    <s v="EU"/>
    <s v="13"/>
    <s v="1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67"/>
    <n v="1473057103"/>
    <s v=""/>
    <s v=""/>
    <s v="42"/>
    <x v="2"/>
    <s v="EU"/>
    <s v="12"/>
    <s v="4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41"/>
    <n v="2032629646"/>
    <s v=""/>
    <s v=""/>
    <s v="42"/>
    <x v="2"/>
    <s v="EU"/>
    <s v="12"/>
    <s v="6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644"/>
    <n v="1473057103"/>
    <s v=""/>
    <s v=""/>
    <s v="42"/>
    <x v="2"/>
    <s v="EU"/>
    <s v="12"/>
    <s v="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97"/>
    <n v="1473057103"/>
    <s v=""/>
    <s v=""/>
    <s v="52"/>
    <x v="0"/>
    <s v="EU"/>
    <s v="13"/>
    <s v="5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76"/>
    <n v="1473057103"/>
    <s v=""/>
    <s v=""/>
    <s v="42"/>
    <x v="2"/>
    <s v="EU"/>
    <s v="12"/>
    <s v="5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89"/>
    <n v="1473057103"/>
    <s v=""/>
    <s v=""/>
    <s v="42"/>
    <x v="2"/>
    <s v="EU"/>
    <s v="12"/>
    <s v="2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54"/>
    <n v="1473057103"/>
    <s v=""/>
    <s v=""/>
    <s v="42"/>
    <x v="2"/>
    <s v="EU"/>
    <s v="12"/>
    <s v="7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65"/>
    <n v="1473057103"/>
    <s v=""/>
    <s v=""/>
    <s v="42"/>
    <x v="2"/>
    <s v="EU"/>
    <s v="12"/>
    <s v="1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00"/>
    <n v="1473057103"/>
    <s v=""/>
    <s v=""/>
    <s v="42"/>
    <x v="2"/>
    <s v="EU"/>
    <s v="12"/>
    <s v="5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18"/>
    <n v="1473057103"/>
    <s v=""/>
    <s v=""/>
    <s v="42"/>
    <x v="2"/>
    <s v="EU"/>
    <s v="12"/>
    <s v="6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371"/>
    <n v="1473057103"/>
    <s v=""/>
    <s v=""/>
    <s v="52"/>
    <x v="0"/>
    <s v="EU"/>
    <s v="13"/>
    <s v="1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767"/>
    <n v="1473057103"/>
    <s v=""/>
    <s v=""/>
    <s v="42"/>
    <x v="2"/>
    <s v="EU"/>
    <s v="12"/>
    <s v="4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482"/>
    <n v="1473057103"/>
    <s v=""/>
    <s v=""/>
    <s v="63"/>
    <x v="8"/>
    <s v="EU"/>
    <s v="23"/>
    <s v="5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59"/>
    <n v="1473057103"/>
    <s v=""/>
    <s v=""/>
    <s v="42"/>
    <x v="2"/>
    <s v="EU"/>
    <s v="12"/>
    <s v="1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431"/>
    <n v="1473057103"/>
    <s v=""/>
    <s v=""/>
    <s v="42"/>
    <x v="2"/>
    <s v="EU"/>
    <s v="12"/>
    <s v="3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45"/>
    <n v="1473057103"/>
    <s v=""/>
    <s v=""/>
    <s v="42"/>
    <x v="2"/>
    <s v="EU"/>
    <s v="12"/>
    <s v="7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63"/>
    <n v="1473057103"/>
    <s v=""/>
    <s v=""/>
    <s v="52"/>
    <x v="0"/>
    <s v="EU"/>
    <s v="13"/>
    <s v="8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08"/>
    <n v="1473057103"/>
    <s v=""/>
    <s v=""/>
    <s v="42"/>
    <x v="2"/>
    <s v="EU"/>
    <s v="12"/>
    <s v="9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914"/>
    <n v="1473057103"/>
    <s v=""/>
    <s v=""/>
    <s v="42"/>
    <x v="2"/>
    <s v="EU"/>
    <s v="12"/>
    <s v="9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95"/>
    <n v="2032629646"/>
    <s v=""/>
    <s v=""/>
    <s v="42"/>
    <x v="2"/>
    <s v="EU"/>
    <s v="12"/>
    <s v="24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479"/>
    <n v="1473057103"/>
    <s v=""/>
    <s v=""/>
    <s v="42"/>
    <x v="2"/>
    <s v="EU"/>
    <s v="12"/>
    <s v="5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836"/>
    <n v="1473057103"/>
    <s v=""/>
    <s v=""/>
    <s v="42"/>
    <x v="2"/>
    <s v="EU"/>
    <s v="12"/>
    <s v="7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42"/>
    <n v="1473057103"/>
    <s v=""/>
    <s v=""/>
    <s v="42"/>
    <x v="2"/>
    <s v="EU"/>
    <s v="12"/>
    <s v="7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45"/>
    <n v="1473057103"/>
    <s v=""/>
    <s v=""/>
    <s v="42"/>
    <x v="2"/>
    <s v="EU"/>
    <s v="12"/>
    <s v="7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57"/>
    <n v="1473057103"/>
    <s v=""/>
    <s v=""/>
    <s v="42"/>
    <x v="2"/>
    <s v="EU"/>
    <s v="12"/>
    <s v="7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78"/>
    <n v="1473057103"/>
    <s v=""/>
    <s v=""/>
    <s v="42"/>
    <x v="2"/>
    <s v="EU"/>
    <s v="12"/>
    <s v="8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81"/>
    <n v="1473057103"/>
    <s v=""/>
    <s v=""/>
    <s v="42"/>
    <x v="2"/>
    <s v="EU"/>
    <s v="12"/>
    <s v="8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87"/>
    <n v="1473057103"/>
    <s v=""/>
    <s v=""/>
    <s v="42"/>
    <x v="2"/>
    <s v="EU"/>
    <s v="12"/>
    <s v="8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335"/>
    <n v="1473057103"/>
    <s v=""/>
    <s v=""/>
    <s v="52"/>
    <x v="0"/>
    <s v="EU"/>
    <s v="13"/>
    <s v="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344"/>
    <n v="1473057103"/>
    <s v=""/>
    <s v=""/>
    <s v="42"/>
    <x v="2"/>
    <s v="EU"/>
    <s v="12"/>
    <s v="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356"/>
    <n v="1473057103"/>
    <s v=""/>
    <s v=""/>
    <s v="42"/>
    <x v="2"/>
    <s v="EU"/>
    <s v="12"/>
    <s v="1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368"/>
    <n v="1473057103"/>
    <s v=""/>
    <s v=""/>
    <s v="42"/>
    <x v="2"/>
    <s v="EU"/>
    <s v="12"/>
    <s v="1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386"/>
    <n v="1473057103"/>
    <s v=""/>
    <s v=""/>
    <s v="42"/>
    <x v="2"/>
    <s v="EU"/>
    <s v="12"/>
    <s v="2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398"/>
    <n v="1473057103"/>
    <s v=""/>
    <s v=""/>
    <s v="42"/>
    <x v="2"/>
    <s v="EU"/>
    <s v="12"/>
    <s v="2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01"/>
    <n v="1473057103"/>
    <s v=""/>
    <s v=""/>
    <s v="42"/>
    <x v="2"/>
    <s v="EU"/>
    <s v="12"/>
    <s v="2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10"/>
    <n v="1473057103"/>
    <s v=""/>
    <s v=""/>
    <s v="52"/>
    <x v="0"/>
    <s v="EU"/>
    <s v="13"/>
    <s v="2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16"/>
    <n v="1473057103"/>
    <s v=""/>
    <s v=""/>
    <s v="42"/>
    <x v="2"/>
    <s v="EU"/>
    <s v="12"/>
    <s v="3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25"/>
    <n v="1473057103"/>
    <s v=""/>
    <s v=""/>
    <s v="42"/>
    <x v="2"/>
    <s v="EU"/>
    <s v="12"/>
    <s v="3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28"/>
    <n v="1473057103"/>
    <s v=""/>
    <s v=""/>
    <s v="42"/>
    <x v="2"/>
    <s v="EU"/>
    <s v="12"/>
    <s v="3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37"/>
    <n v="1473057103"/>
    <s v=""/>
    <s v=""/>
    <s v="42"/>
    <x v="2"/>
    <s v="EU"/>
    <s v="12"/>
    <s v="3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40"/>
    <n v="1473057103"/>
    <s v=""/>
    <s v=""/>
    <s v="42"/>
    <x v="2"/>
    <s v="EU"/>
    <s v="12"/>
    <s v="3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46"/>
    <n v="1473057103"/>
    <s v=""/>
    <s v=""/>
    <s v="42"/>
    <x v="2"/>
    <s v="EU"/>
    <s v="12"/>
    <s v="4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52"/>
    <n v="1473057103"/>
    <s v=""/>
    <s v=""/>
    <s v="42"/>
    <x v="2"/>
    <s v="EU"/>
    <s v="12"/>
    <s v="4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55"/>
    <n v="1473057103"/>
    <s v=""/>
    <s v=""/>
    <s v="42"/>
    <x v="2"/>
    <s v="EU"/>
    <s v="12"/>
    <s v="4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58"/>
    <n v="1473057103"/>
    <s v=""/>
    <s v=""/>
    <s v="42"/>
    <x v="2"/>
    <s v="EU"/>
    <s v="12"/>
    <s v="4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64"/>
    <n v="1473057103"/>
    <s v=""/>
    <s v=""/>
    <s v="42"/>
    <x v="2"/>
    <s v="EU"/>
    <s v="12"/>
    <s v="4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70"/>
    <n v="1473057103"/>
    <s v=""/>
    <s v=""/>
    <s v="53"/>
    <x v="4"/>
    <s v="EU"/>
    <s v="22"/>
    <s v="4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485"/>
    <n v="1473057103"/>
    <s v=""/>
    <s v=""/>
    <s v="42"/>
    <x v="2"/>
    <s v="EU"/>
    <s v="12"/>
    <s v="5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06"/>
    <n v="1473057103"/>
    <s v=""/>
    <s v=""/>
    <s v="42"/>
    <x v="2"/>
    <s v="EU"/>
    <s v="12"/>
    <s v="6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03"/>
    <n v="1473057103"/>
    <s v=""/>
    <s v=""/>
    <s v="42"/>
    <x v="2"/>
    <s v="EU"/>
    <s v="12"/>
    <s v="6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50"/>
    <n v="1473057103"/>
    <s v=""/>
    <s v=""/>
    <s v="42"/>
    <x v="2"/>
    <s v="EU"/>
    <s v="12"/>
    <s v="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71"/>
    <n v="1473057103"/>
    <s v=""/>
    <s v=""/>
    <s v="42"/>
    <x v="2"/>
    <s v="EU"/>
    <s v="12"/>
    <s v="1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80"/>
    <n v="1473057103"/>
    <s v=""/>
    <s v=""/>
    <s v="42"/>
    <x v="2"/>
    <s v="EU"/>
    <s v="12"/>
    <s v="1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83"/>
    <n v="1473057103"/>
    <s v=""/>
    <s v=""/>
    <s v="42"/>
    <x v="2"/>
    <s v="EU"/>
    <s v="12"/>
    <s v="2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95"/>
    <n v="1473057103"/>
    <s v=""/>
    <s v=""/>
    <s v="42"/>
    <x v="2"/>
    <s v="EU"/>
    <s v="12"/>
    <s v="2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98"/>
    <n v="1473057103"/>
    <s v=""/>
    <s v=""/>
    <s v="42"/>
    <x v="2"/>
    <s v="EU"/>
    <s v="12"/>
    <s v="2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01"/>
    <n v="1473057103"/>
    <s v=""/>
    <s v=""/>
    <s v="42"/>
    <x v="2"/>
    <s v="EU"/>
    <s v="12"/>
    <s v="2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04"/>
    <n v="1473057103"/>
    <s v=""/>
    <s v=""/>
    <s v="42"/>
    <x v="2"/>
    <s v="EU"/>
    <s v="12"/>
    <s v="2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19"/>
    <n v="1473057103"/>
    <s v=""/>
    <s v=""/>
    <s v="42"/>
    <x v="2"/>
    <s v="EU"/>
    <s v="12"/>
    <s v="3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22"/>
    <n v="1473057103"/>
    <s v=""/>
    <s v=""/>
    <s v="42"/>
    <x v="2"/>
    <s v="EU"/>
    <s v="12"/>
    <s v="3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28"/>
    <n v="1473057103"/>
    <s v=""/>
    <s v=""/>
    <s v="42"/>
    <x v="2"/>
    <s v="EU"/>
    <s v="12"/>
    <s v="3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31"/>
    <n v="1473057103"/>
    <s v=""/>
    <s v=""/>
    <s v="42"/>
    <x v="2"/>
    <s v="EU"/>
    <s v="12"/>
    <s v="3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34"/>
    <n v="1473057103"/>
    <s v=""/>
    <s v=""/>
    <s v="42"/>
    <x v="2"/>
    <s v="EU"/>
    <s v="12"/>
    <s v="3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55"/>
    <n v="1473057103"/>
    <s v=""/>
    <s v=""/>
    <s v="42"/>
    <x v="2"/>
    <s v="EU"/>
    <s v="12"/>
    <s v="4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58"/>
    <n v="1473057103"/>
    <s v=""/>
    <s v=""/>
    <s v="42"/>
    <x v="2"/>
    <s v="EU"/>
    <s v="12"/>
    <s v="4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61"/>
    <n v="1473057103"/>
    <s v=""/>
    <s v=""/>
    <s v="42"/>
    <x v="2"/>
    <s v="EU"/>
    <s v="12"/>
    <s v="4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64"/>
    <n v="1473057103"/>
    <s v=""/>
    <s v=""/>
    <s v="42"/>
    <x v="2"/>
    <s v="EU"/>
    <s v="12"/>
    <s v="4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70"/>
    <n v="1473057103"/>
    <s v=""/>
    <s v=""/>
    <s v="42"/>
    <x v="2"/>
    <s v="EU"/>
    <s v="12"/>
    <s v="4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85"/>
    <n v="1473057103"/>
    <s v=""/>
    <s v=""/>
    <s v="42"/>
    <x v="2"/>
    <s v="EU"/>
    <s v="12"/>
    <s v="54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91"/>
    <n v="1473057103"/>
    <s v=""/>
    <s v=""/>
    <s v="52"/>
    <x v="0"/>
    <s v="EU"/>
    <s v="13"/>
    <s v="5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794"/>
    <n v="1473057103"/>
    <s v=""/>
    <s v=""/>
    <s v="42"/>
    <x v="2"/>
    <s v="EU"/>
    <s v="12"/>
    <s v="5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06"/>
    <n v="1473057103"/>
    <s v=""/>
    <s v=""/>
    <s v="42"/>
    <x v="2"/>
    <s v="EU"/>
    <s v="12"/>
    <s v="6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21"/>
    <n v="1473057103"/>
    <s v=""/>
    <s v=""/>
    <s v="42"/>
    <x v="2"/>
    <s v="EU"/>
    <s v="12"/>
    <s v="6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24"/>
    <n v="1473057103"/>
    <s v=""/>
    <s v=""/>
    <s v="42"/>
    <x v="2"/>
    <s v="EU"/>
    <s v="12"/>
    <s v="6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830"/>
    <n v="1473057103"/>
    <s v=""/>
    <s v=""/>
    <s v="42"/>
    <x v="2"/>
    <s v="EU"/>
    <s v="12"/>
    <s v="6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512"/>
    <n v="1473057103"/>
    <s v=""/>
    <s v=""/>
    <s v="31"/>
    <x v="7"/>
    <s v="EU"/>
    <s v="02"/>
    <s v="6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21"/>
    <n v="1473057103"/>
    <s v=""/>
    <s v=""/>
    <s v="52"/>
    <x v="0"/>
    <s v="EU"/>
    <s v="13"/>
    <s v="6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24"/>
    <n v="1473057103"/>
    <s v=""/>
    <s v=""/>
    <s v="42"/>
    <x v="2"/>
    <s v="EU"/>
    <s v="12"/>
    <s v="6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30"/>
    <n v="1473057103"/>
    <s v=""/>
    <s v=""/>
    <s v="42"/>
    <x v="2"/>
    <s v="EU"/>
    <s v="12"/>
    <s v="69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36"/>
    <n v="1473057103"/>
    <s v=""/>
    <s v=""/>
    <s v="53"/>
    <x v="4"/>
    <s v="EU"/>
    <s v="22"/>
    <s v="7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39"/>
    <n v="1473057103"/>
    <s v=""/>
    <s v=""/>
    <s v="42"/>
    <x v="2"/>
    <s v="EU"/>
    <s v="12"/>
    <s v="7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66"/>
    <n v="1473057103"/>
    <s v=""/>
    <s v=""/>
    <s v="42"/>
    <x v="2"/>
    <s v="EU"/>
    <s v="12"/>
    <s v="81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69"/>
    <n v="1473057103"/>
    <s v=""/>
    <s v=""/>
    <s v="42"/>
    <x v="2"/>
    <s v="EU"/>
    <s v="12"/>
    <s v="82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72"/>
    <n v="1473057103"/>
    <s v=""/>
    <s v=""/>
    <s v="42"/>
    <x v="2"/>
    <s v="EU"/>
    <s v="12"/>
    <s v="8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78"/>
    <n v="1473057103"/>
    <s v=""/>
    <s v=""/>
    <s v="63"/>
    <x v="8"/>
    <s v="EU"/>
    <s v="23"/>
    <s v="8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581"/>
    <n v="1473057103"/>
    <s v=""/>
    <s v=""/>
    <s v="52"/>
    <x v="0"/>
    <s v="EU"/>
    <s v="13"/>
    <s v="8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02"/>
    <n v="1473057103"/>
    <s v=""/>
    <s v=""/>
    <s v="42"/>
    <x v="2"/>
    <s v="EU"/>
    <s v="12"/>
    <s v="9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14"/>
    <n v="1473057103"/>
    <s v=""/>
    <s v=""/>
    <s v="42"/>
    <x v="2"/>
    <s v="EU"/>
    <s v="12"/>
    <s v="97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n v="7625632"/>
    <n v="1473057103"/>
    <s v=""/>
    <s v=""/>
    <s v="42"/>
    <x v="2"/>
    <s v="EU"/>
    <s v="12"/>
    <s v="3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38"/>
    <n v="1473057103"/>
    <s v=""/>
    <s v=""/>
    <s v="42"/>
    <x v="2"/>
    <s v="EU"/>
    <s v="12"/>
    <s v="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641"/>
    <n v="1473057103"/>
    <s v=""/>
    <s v=""/>
    <s v="42"/>
    <x v="2"/>
    <s v="EU"/>
    <s v="12"/>
    <s v="6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08"/>
    <n v="1473057103"/>
    <s v=""/>
    <s v=""/>
    <s v="42"/>
    <x v="2"/>
    <s v="EU"/>
    <s v="12"/>
    <s v="95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17"/>
    <n v="1473057103"/>
    <s v=""/>
    <s v=""/>
    <s v="42"/>
    <x v="2"/>
    <s v="EU"/>
    <s v="12"/>
    <s v="98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23"/>
    <n v="1473057103"/>
    <s v=""/>
    <s v=""/>
    <s v="42"/>
    <x v="2"/>
    <s v="EU"/>
    <s v="12"/>
    <s v="100"/>
    <s v="Otolith - Surface"/>
    <n v="2126660002"/>
    <s v="1 OTOLITH ACROSS (TRAY)"/>
    <n v="6968367"/>
    <s v="ATNARKO ESCAPEMENT - 2012"/>
    <n v="970"/>
    <s v="ATNARKO RIVER"/>
    <x v="6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n v="7625929"/>
    <n v="2032629646"/>
    <s v=""/>
    <s v=""/>
    <s v="52"/>
    <x v="0"/>
    <s v="EU"/>
    <s v="13"/>
    <s v="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32"/>
    <n v="2032629646"/>
    <s v=""/>
    <s v=""/>
    <s v="52"/>
    <x v="0"/>
    <s v="EU"/>
    <s v="13"/>
    <s v="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44"/>
    <n v="2032629646"/>
    <s v=""/>
    <s v=""/>
    <s v="42"/>
    <x v="2"/>
    <s v="EU"/>
    <s v="12"/>
    <s v="7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53"/>
    <n v="2032629646"/>
    <s v=""/>
    <s v=""/>
    <s v="42"/>
    <x v="2"/>
    <s v="EU"/>
    <s v="12"/>
    <s v="10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62"/>
    <n v="2032629646"/>
    <s v=""/>
    <s v=""/>
    <s v="42"/>
    <x v="2"/>
    <s v="EU"/>
    <s v="12"/>
    <s v="1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65"/>
    <n v="2032629646"/>
    <s v=""/>
    <s v=""/>
    <s v="31"/>
    <x v="7"/>
    <s v="EU"/>
    <s v="02"/>
    <s v="14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86"/>
    <n v="2032629646"/>
    <s v=""/>
    <s v=""/>
    <s v="42"/>
    <x v="2"/>
    <s v="EU"/>
    <s v="12"/>
    <s v="21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89"/>
    <n v="2032629646"/>
    <s v=""/>
    <s v=""/>
    <s v="42"/>
    <x v="2"/>
    <s v="EU"/>
    <s v="12"/>
    <s v="22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5992"/>
    <n v="2032629646"/>
    <s v=""/>
    <s v=""/>
    <s v="42"/>
    <x v="2"/>
    <s v="EU"/>
    <s v="12"/>
    <s v="2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22"/>
    <n v="2032629646"/>
    <s v=""/>
    <s v=""/>
    <s v="42"/>
    <x v="2"/>
    <s v="EU"/>
    <s v="12"/>
    <s v="33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28"/>
    <n v="2032629646"/>
    <s v=""/>
    <s v=""/>
    <s v="42"/>
    <x v="2"/>
    <s v="EU"/>
    <s v="12"/>
    <s v="35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7626031"/>
    <n v="2032629646"/>
    <s v=""/>
    <s v=""/>
    <s v="52"/>
    <x v="0"/>
    <s v="EU"/>
    <s v="13"/>
    <s v="36"/>
    <s v="Otolith - Surface"/>
    <n v="2126660002"/>
    <s v="1 OTOLITH ACROSS (TRAY)"/>
    <n v="6968367"/>
    <s v="ATNARKO ESCAPEMENT - 2012"/>
    <n v="970"/>
    <s v="ATNARKO RIVER"/>
    <x v="6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n v="1115131"/>
    <n v="1763765880"/>
    <s v=""/>
    <s v=""/>
    <s v="31"/>
    <x v="7"/>
    <s v="EU"/>
    <s v="02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5119"/>
    <n v="1763765880"/>
    <s v=""/>
    <s v=""/>
    <s v="31"/>
    <x v="7"/>
    <s v="EU"/>
    <s v="02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537"/>
    <n v="1763765880"/>
    <s v=""/>
    <s v="RG"/>
    <s v="2M"/>
    <x v="3"/>
    <s v="MY"/>
    <s v="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726"/>
    <n v="1763765880"/>
    <s v=""/>
    <s v=""/>
    <s v="52"/>
    <x v="0"/>
    <s v="EU"/>
    <s v="13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933"/>
    <n v="1763765880"/>
    <s v="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056"/>
    <n v="1763765880"/>
    <s v=""/>
    <s v=""/>
    <s v="42"/>
    <x v="2"/>
    <s v="EU"/>
    <s v="12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77"/>
    <n v="1763765880"/>
    <s v=""/>
    <s v=""/>
    <s v="42"/>
    <x v="2"/>
    <s v="EU"/>
    <s v="12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588"/>
    <n v="1763765880"/>
    <s v=""/>
    <s v="UD"/>
    <s v=""/>
    <x v="6"/>
    <s v="EU"/>
    <s v="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21"/>
    <n v="1763765880"/>
    <s v=""/>
    <s v=""/>
    <s v="52"/>
    <x v="0"/>
    <s v="EU"/>
    <s v="13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945"/>
    <n v="1763765880"/>
    <s v=""/>
    <s v=""/>
    <s v="42"/>
    <x v="2"/>
    <s v="EU"/>
    <s v="12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125"/>
    <n v="1763765880"/>
    <s v=""/>
    <s v=""/>
    <s v="52"/>
    <x v="0"/>
    <s v="EU"/>
    <s v="13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89"/>
    <n v="1763765880"/>
    <s v=""/>
    <s v=""/>
    <s v="42"/>
    <x v="2"/>
    <s v="EU"/>
    <s v="12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531"/>
    <n v="1763765880"/>
    <s v=""/>
    <s v=""/>
    <s v="42"/>
    <x v="2"/>
    <s v="EU"/>
    <s v="12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696"/>
    <n v="1763765880"/>
    <s v=""/>
    <s v=""/>
    <s v="42"/>
    <x v="2"/>
    <s v="EU"/>
    <s v="12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576"/>
    <n v="1763765880"/>
    <s v="0"/>
    <s v=""/>
    <s v="42"/>
    <x v="2"/>
    <s v="EU"/>
    <s v="1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5029"/>
    <n v="1763765880"/>
    <s v=""/>
    <s v=""/>
    <s v="52"/>
    <x v="0"/>
    <s v="EU"/>
    <s v="13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654"/>
    <n v="1763765880"/>
    <s v=""/>
    <s v="RG"/>
    <s v="2M"/>
    <x v="3"/>
    <s v="MY"/>
    <s v="2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666"/>
    <n v="1763765880"/>
    <s v=""/>
    <s v=""/>
    <s v="42"/>
    <x v="2"/>
    <s v="EU"/>
    <s v="12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828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67"/>
    <n v="1763765880"/>
    <s v=""/>
    <s v=""/>
    <s v="42"/>
    <x v="2"/>
    <s v="EU"/>
    <s v="12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990"/>
    <n v="1763765880"/>
    <s v=""/>
    <s v=""/>
    <s v="52"/>
    <x v="0"/>
    <s v="EU"/>
    <s v="13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53"/>
    <n v="1763765880"/>
    <s v="0"/>
    <s v=""/>
    <s v="42"/>
    <x v="2"/>
    <s v="EU"/>
    <s v="1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83"/>
    <n v="1763765880"/>
    <s v=""/>
    <s v=""/>
    <s v="42"/>
    <x v="2"/>
    <s v="EU"/>
    <s v="12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510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978"/>
    <n v="1763765880"/>
    <s v=""/>
    <s v=""/>
    <s v="42"/>
    <x v="2"/>
    <s v="EU"/>
    <s v="12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909"/>
    <n v="1763765880"/>
    <s v=""/>
    <s v=""/>
    <s v="52"/>
    <x v="0"/>
    <s v="EU"/>
    <s v="13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648"/>
    <n v="1763765880"/>
    <s v=""/>
    <s v=""/>
    <s v="52"/>
    <x v="0"/>
    <s v="EU"/>
    <s v="13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756"/>
    <n v="1763765880"/>
    <s v=""/>
    <s v=""/>
    <s v="42"/>
    <x v="2"/>
    <s v="EU"/>
    <s v="12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516"/>
    <n v="1763765880"/>
    <s v=""/>
    <s v=""/>
    <s v="52"/>
    <x v="0"/>
    <s v="EU"/>
    <s v="13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5005"/>
    <n v="1763765880"/>
    <s v=""/>
    <s v=""/>
    <s v="42"/>
    <x v="2"/>
    <s v="EU"/>
    <s v="12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807"/>
    <n v="1763765880"/>
    <s v=""/>
    <s v="RG"/>
    <s v="0M"/>
    <x v="12"/>
    <s v="MY"/>
    <s v="0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591"/>
    <n v="1763765880"/>
    <s v=""/>
    <s v=""/>
    <s v="52"/>
    <x v="0"/>
    <s v="EU"/>
    <s v="13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5068"/>
    <n v="1763765880"/>
    <s v=""/>
    <s v=""/>
    <s v="42"/>
    <x v="2"/>
    <s v="EU"/>
    <s v="12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65"/>
    <n v="1763765880"/>
    <s v=""/>
    <s v=""/>
    <s v="42"/>
    <x v="2"/>
    <s v="EU"/>
    <s v="12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672"/>
    <n v="1763765880"/>
    <s v=""/>
    <s v=""/>
    <s v="42"/>
    <x v="2"/>
    <s v="EU"/>
    <s v="12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534"/>
    <n v="1763765880"/>
    <s v="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603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30"/>
    <n v="1763765880"/>
    <s v=""/>
    <s v=""/>
    <s v="42"/>
    <x v="2"/>
    <s v="EU"/>
    <s v="12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936"/>
    <n v="1763765880"/>
    <s v=""/>
    <s v=""/>
    <s v="52"/>
    <x v="0"/>
    <s v="EU"/>
    <s v="13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48"/>
    <n v="1763765880"/>
    <s v=""/>
    <s v=""/>
    <s v="42"/>
    <x v="2"/>
    <s v="EU"/>
    <s v="12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84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660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5101"/>
    <n v="1763765880"/>
    <s v=""/>
    <s v=""/>
    <s v="42"/>
    <x v="2"/>
    <s v="EU"/>
    <s v="12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43"/>
    <n v="1763765880"/>
    <s v="0"/>
    <s v=""/>
    <s v="62"/>
    <x v="13"/>
    <s v="EU"/>
    <s v="14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714"/>
    <n v="1763765880"/>
    <s v=""/>
    <s v=""/>
    <s v="42"/>
    <x v="2"/>
    <s v="EU"/>
    <s v="12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846"/>
    <n v="1763765880"/>
    <s v=""/>
    <s v=""/>
    <s v="42"/>
    <x v="2"/>
    <s v="EU"/>
    <s v="12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924"/>
    <n v="1763765880"/>
    <s v=""/>
    <s v=""/>
    <s v="42"/>
    <x v="2"/>
    <s v="EU"/>
    <s v="12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549"/>
    <n v="1763765880"/>
    <s v=""/>
    <s v="UD"/>
    <s v=""/>
    <x v="6"/>
    <s v="EU"/>
    <s v="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636"/>
    <n v="1763765880"/>
    <s v=""/>
    <s v=""/>
    <s v="42"/>
    <x v="2"/>
    <s v="EU"/>
    <s v="12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5158"/>
    <n v="1763765880"/>
    <s v="1"/>
    <s v=""/>
    <s v="53"/>
    <x v="4"/>
    <s v="EU"/>
    <s v="22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705"/>
    <n v="1763765880"/>
    <s v=""/>
    <s v="RG"/>
    <s v="2M"/>
    <x v="3"/>
    <s v="MY"/>
    <s v="2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17"/>
    <n v="1763765880"/>
    <s v=""/>
    <s v=""/>
    <s v="42"/>
    <x v="2"/>
    <s v="EU"/>
    <s v="12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804"/>
    <n v="1763765880"/>
    <s v=""/>
    <s v=""/>
    <s v="52"/>
    <x v="0"/>
    <s v="EU"/>
    <s v="13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85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543"/>
    <n v="1763765880"/>
    <s v=""/>
    <s v="RG"/>
    <s v="3M"/>
    <x v="5"/>
    <s v="MY"/>
    <s v="3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795"/>
    <n v="1763765880"/>
    <s v=""/>
    <s v=""/>
    <s v="52"/>
    <x v="0"/>
    <s v="EU"/>
    <s v="13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29"/>
    <n v="1763765880"/>
    <s v=""/>
    <s v=""/>
    <s v="42"/>
    <x v="2"/>
    <s v="EU"/>
    <s v="12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801"/>
    <n v="1763765880"/>
    <s v=""/>
    <s v=""/>
    <s v="42"/>
    <x v="2"/>
    <s v="EU"/>
    <s v="1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10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624"/>
    <n v="1763765880"/>
    <s v=""/>
    <s v="RG"/>
    <s v="1M"/>
    <x v="14"/>
    <s v="MY"/>
    <s v="1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5074"/>
    <n v="1763765880"/>
    <s v=""/>
    <s v=""/>
    <s v="52"/>
    <x v="0"/>
    <s v="EU"/>
    <s v="13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095"/>
    <n v="1763765880"/>
    <s v=""/>
    <s v=""/>
    <s v="41"/>
    <x v="1"/>
    <s v="EU"/>
    <s v="03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50"/>
    <n v="1763765880"/>
    <s v=""/>
    <s v=""/>
    <s v="42"/>
    <x v="2"/>
    <s v="EU"/>
    <s v="12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5161"/>
    <n v="1763765880"/>
    <s v="0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642"/>
    <n v="1763765880"/>
    <s v=""/>
    <s v=""/>
    <s v="52"/>
    <x v="0"/>
    <s v="EU"/>
    <s v="13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540"/>
    <n v="1763765880"/>
    <s v=""/>
    <s v=""/>
    <s v="42"/>
    <x v="2"/>
    <s v="EU"/>
    <s v="12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954"/>
    <n v="1763765880"/>
    <s v=""/>
    <s v=""/>
    <s v="52"/>
    <x v="0"/>
    <s v="EU"/>
    <s v="13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080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086"/>
    <n v="1763765880"/>
    <s v="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16"/>
    <n v="1763765880"/>
    <s v=""/>
    <s v=""/>
    <s v="52"/>
    <x v="0"/>
    <s v="EU"/>
    <s v="13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678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930"/>
    <n v="1763765880"/>
    <s v=""/>
    <s v=""/>
    <s v="42"/>
    <x v="2"/>
    <s v="EU"/>
    <s v="12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573"/>
    <n v="1763765880"/>
    <s v=""/>
    <s v=""/>
    <s v="42"/>
    <x v="2"/>
    <s v="EU"/>
    <s v="12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759"/>
    <n v="1763765880"/>
    <s v="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879"/>
    <n v="1763765880"/>
    <s v=""/>
    <s v=""/>
    <s v="52"/>
    <x v="0"/>
    <s v="EU"/>
    <s v="13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681"/>
    <n v="1763765880"/>
    <s v=""/>
    <s v=""/>
    <s v="52"/>
    <x v="0"/>
    <s v="EU"/>
    <s v="13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08"/>
    <n v="1763765880"/>
    <s v=""/>
    <s v=""/>
    <s v="52"/>
    <x v="0"/>
    <s v="EU"/>
    <s v="13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900"/>
    <n v="1763765880"/>
    <s v=""/>
    <s v=""/>
    <s v="63"/>
    <x v="8"/>
    <s v="EU"/>
    <s v="23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128"/>
    <n v="1763765880"/>
    <s v="0"/>
    <s v=""/>
    <s v="52"/>
    <x v="0"/>
    <s v="EU"/>
    <s v="13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528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735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41"/>
    <n v="1763765880"/>
    <s v=""/>
    <s v=""/>
    <s v="42"/>
    <x v="2"/>
    <s v="EU"/>
    <s v="12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918"/>
    <n v="1763765880"/>
    <s v=""/>
    <s v=""/>
    <s v="52"/>
    <x v="0"/>
    <s v="EU"/>
    <s v="13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020"/>
    <n v="1763765880"/>
    <s v=""/>
    <s v=""/>
    <s v="41"/>
    <x v="1"/>
    <s v="EU"/>
    <s v="03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585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774"/>
    <n v="1763765880"/>
    <s v=""/>
    <s v=""/>
    <s v="31"/>
    <x v="7"/>
    <s v="EU"/>
    <s v="02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501"/>
    <n v="1763765880"/>
    <s v=""/>
    <s v=""/>
    <s v="42"/>
    <x v="2"/>
    <s v="EU"/>
    <s v="1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61"/>
    <n v="1763765880"/>
    <s v=""/>
    <s v=""/>
    <s v="52"/>
    <x v="0"/>
    <s v="EU"/>
    <s v="13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79"/>
    <n v="1763765880"/>
    <s v=""/>
    <s v=""/>
    <s v="52"/>
    <x v="0"/>
    <s v="EU"/>
    <s v="13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732"/>
    <n v="1763765880"/>
    <s v=""/>
    <s v="RG"/>
    <s v=""/>
    <x v="6"/>
    <s v="EU"/>
    <s v="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5089"/>
    <n v="1763765880"/>
    <s v=""/>
    <s v=""/>
    <s v="52"/>
    <x v="0"/>
    <s v="EU"/>
    <s v="13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963"/>
    <n v="1763765880"/>
    <s v=""/>
    <s v="UD"/>
    <s v=""/>
    <x v="6"/>
    <s v="EU"/>
    <s v="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711"/>
    <n v="1763765880"/>
    <s v=""/>
    <s v=""/>
    <s v="52"/>
    <x v="0"/>
    <s v="EU"/>
    <s v="13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68"/>
    <n v="1763765880"/>
    <s v=""/>
    <s v=""/>
    <s v="42"/>
    <x v="2"/>
    <s v="EU"/>
    <s v="12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993"/>
    <n v="1763765880"/>
    <s v=""/>
    <s v=""/>
    <s v="52"/>
    <x v="0"/>
    <s v="EU"/>
    <s v="13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969"/>
    <n v="1763765880"/>
    <s v=""/>
    <s v=""/>
    <s v="52"/>
    <x v="0"/>
    <s v="EU"/>
    <s v="13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149"/>
    <n v="1763765880"/>
    <s v=""/>
    <s v=""/>
    <s v="31"/>
    <x v="7"/>
    <s v="EU"/>
    <s v="02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675"/>
    <n v="1763765880"/>
    <s v=""/>
    <s v=""/>
    <s v="42"/>
    <x v="2"/>
    <s v="EU"/>
    <s v="12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582"/>
    <n v="1763765880"/>
    <s v=""/>
    <s v="UD"/>
    <s v=""/>
    <x v="6"/>
    <s v="EU"/>
    <s v="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5083"/>
    <n v="1763765880"/>
    <s v=""/>
    <s v=""/>
    <s v="42"/>
    <x v="2"/>
    <s v="EU"/>
    <s v="12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38"/>
    <n v="1763765880"/>
    <s v=""/>
    <s v=""/>
    <s v="42"/>
    <x v="2"/>
    <s v="EU"/>
    <s v="12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86"/>
    <n v="1763765880"/>
    <s v=""/>
    <s v=""/>
    <s v="42"/>
    <x v="2"/>
    <s v="EU"/>
    <s v="12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996"/>
    <n v="1763765880"/>
    <s v=""/>
    <s v="RG"/>
    <s v=""/>
    <x v="6"/>
    <s v="EU"/>
    <s v="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65"/>
    <n v="1763765880"/>
    <s v=""/>
    <s v=""/>
    <s v="42"/>
    <x v="2"/>
    <s v="EU"/>
    <s v="12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071"/>
    <n v="1763765880"/>
    <s v=""/>
    <s v=""/>
    <s v="52"/>
    <x v="0"/>
    <s v="EU"/>
    <s v="13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55"/>
    <n v="1763765880"/>
    <s v=""/>
    <s v=""/>
    <s v="41"/>
    <x v="1"/>
    <s v="EU"/>
    <s v="03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699"/>
    <n v="1763765880"/>
    <s v=""/>
    <s v=""/>
    <s v="52"/>
    <x v="0"/>
    <s v="EU"/>
    <s v="13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80"/>
    <n v="1763765880"/>
    <s v=""/>
    <s v=""/>
    <s v="52"/>
    <x v="0"/>
    <s v="EU"/>
    <s v="13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5098"/>
    <n v="1763765880"/>
    <s v=""/>
    <s v=""/>
    <s v="31"/>
    <x v="7"/>
    <s v="EU"/>
    <s v="02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915"/>
    <n v="1763765880"/>
    <s v=""/>
    <s v=""/>
    <s v="42"/>
    <x v="2"/>
    <s v="EU"/>
    <s v="12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39"/>
    <n v="1763765880"/>
    <s v=""/>
    <s v=""/>
    <s v="42"/>
    <x v="2"/>
    <s v="EU"/>
    <s v="12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03"/>
    <n v="1763765880"/>
    <s v=""/>
    <s v=""/>
    <s v="42"/>
    <x v="2"/>
    <s v="EU"/>
    <s v="12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627"/>
    <n v="1763765880"/>
    <s v=""/>
    <s v=""/>
    <s v="52"/>
    <x v="0"/>
    <s v="EU"/>
    <s v="13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5059"/>
    <n v="1763765880"/>
    <s v=""/>
    <s v=""/>
    <s v="42"/>
    <x v="2"/>
    <s v="EU"/>
    <s v="12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615"/>
    <n v="1763765880"/>
    <s v=""/>
    <s v=""/>
    <s v="42"/>
    <x v="2"/>
    <s v="EU"/>
    <s v="12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942"/>
    <n v="1763765880"/>
    <s v=""/>
    <s v=""/>
    <s v="42"/>
    <x v="2"/>
    <s v="EU"/>
    <s v="12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504"/>
    <n v="1763765880"/>
    <s v=""/>
    <s v=""/>
    <s v="41"/>
    <x v="1"/>
    <s v="EU"/>
    <s v="03"/>
    <s v="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25"/>
    <n v="1763765880"/>
    <s v=""/>
    <s v="UD"/>
    <s v=""/>
    <x v="6"/>
    <s v="EU"/>
    <s v="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5050"/>
    <n v="1763765880"/>
    <s v=""/>
    <s v=""/>
    <s v="42"/>
    <x v="2"/>
    <s v="EU"/>
    <s v="1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6T00:00:00"/>
    <d v="2003-07-16T00:00:00"/>
    <s v="32827"/>
  </r>
  <r>
    <n v="1115107"/>
    <n v="1763765880"/>
    <s v=""/>
    <s v=""/>
    <s v="52"/>
    <x v="0"/>
    <s v="EU"/>
    <s v="13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13"/>
    <n v="1763765880"/>
    <s v="0"/>
    <s v=""/>
    <s v="52"/>
    <x v="0"/>
    <s v="EU"/>
    <s v="13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44"/>
    <n v="1763765880"/>
    <s v=""/>
    <s v=""/>
    <s v="52"/>
    <x v="0"/>
    <s v="EU"/>
    <s v="13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558"/>
    <n v="1763765880"/>
    <s v=""/>
    <s v=""/>
    <s v="42"/>
    <x v="2"/>
    <s v="EU"/>
    <s v="12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67"/>
    <n v="1763765880"/>
    <s v=""/>
    <s v=""/>
    <s v="52"/>
    <x v="0"/>
    <s v="EU"/>
    <s v="13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5044"/>
    <n v="1763765880"/>
    <s v=""/>
    <s v=""/>
    <s v="52"/>
    <x v="0"/>
    <s v="EU"/>
    <s v="13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02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723"/>
    <n v="1763765880"/>
    <s v=""/>
    <s v=""/>
    <s v="42"/>
    <x v="2"/>
    <s v="EU"/>
    <s v="12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840"/>
    <n v="1763765880"/>
    <s v=""/>
    <s v=""/>
    <s v="52"/>
    <x v="0"/>
    <s v="EU"/>
    <s v="13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657"/>
    <n v="1763765880"/>
    <s v=""/>
    <s v=""/>
    <s v="42"/>
    <x v="2"/>
    <s v="EU"/>
    <s v="12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858"/>
    <n v="1763765880"/>
    <s v=""/>
    <s v=""/>
    <s v="42"/>
    <x v="2"/>
    <s v="EU"/>
    <s v="12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34"/>
    <n v="1763765880"/>
    <s v=""/>
    <s v="RG"/>
    <s v="3M"/>
    <x v="5"/>
    <s v="MY"/>
    <s v="3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546"/>
    <n v="1763765880"/>
    <s v=""/>
    <s v=""/>
    <s v="42"/>
    <x v="2"/>
    <s v="EU"/>
    <s v="12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5062"/>
    <n v="1763765880"/>
    <s v=""/>
    <s v=""/>
    <s v="31"/>
    <x v="7"/>
    <s v="EU"/>
    <s v="0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792"/>
    <n v="1763765880"/>
    <s v=""/>
    <s v=""/>
    <s v="42"/>
    <x v="2"/>
    <s v="EU"/>
    <s v="12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5152"/>
    <n v="1763765880"/>
    <s v="0"/>
    <s v=""/>
    <s v="31"/>
    <x v="7"/>
    <s v="EU"/>
    <s v="02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849"/>
    <n v="1763765880"/>
    <s v=""/>
    <s v=""/>
    <s v="42"/>
    <x v="2"/>
    <s v="EU"/>
    <s v="12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927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825"/>
    <n v="1763765880"/>
    <s v=""/>
    <s v=""/>
    <s v="52"/>
    <x v="0"/>
    <s v="EU"/>
    <s v="13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5137"/>
    <n v="1763765880"/>
    <s v=""/>
    <s v=""/>
    <s v="42"/>
    <x v="2"/>
    <s v="EU"/>
    <s v="12"/>
    <s v="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966"/>
    <n v="1763765880"/>
    <s v=""/>
    <s v=""/>
    <s v="42"/>
    <x v="2"/>
    <s v="EU"/>
    <s v="12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008"/>
    <n v="1763765880"/>
    <s v="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690"/>
    <n v="1763765880"/>
    <s v=""/>
    <s v=""/>
    <s v="42"/>
    <x v="2"/>
    <s v="EU"/>
    <s v="12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951"/>
    <n v="1763765880"/>
    <s v=""/>
    <s v="RG"/>
    <s v="2M"/>
    <x v="3"/>
    <s v="MY"/>
    <s v="2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047"/>
    <n v="1763765880"/>
    <s v=""/>
    <s v="UD"/>
    <s v=""/>
    <x v="6"/>
    <s v="EU"/>
    <s v="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170"/>
    <n v="1763765880"/>
    <s v=""/>
    <s v=""/>
    <s v="41"/>
    <x v="1"/>
    <s v="EU"/>
    <s v="03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813"/>
    <n v="1763765880"/>
    <s v=""/>
    <s v="RG"/>
    <s v="1M"/>
    <x v="14"/>
    <s v="MY"/>
    <s v="1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70"/>
    <n v="1763765880"/>
    <s v=""/>
    <s v=""/>
    <s v="42"/>
    <x v="2"/>
    <s v="EU"/>
    <s v="12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633"/>
    <n v="1763765880"/>
    <s v=""/>
    <s v=""/>
    <s v="52"/>
    <x v="0"/>
    <s v="EU"/>
    <s v="13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999"/>
    <n v="1763765880"/>
    <s v=""/>
    <s v=""/>
    <s v="42"/>
    <x v="2"/>
    <s v="EU"/>
    <s v="12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507"/>
    <n v="1763765880"/>
    <s v=""/>
    <s v=""/>
    <s v="52"/>
    <x v="0"/>
    <s v="EU"/>
    <s v="13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13"/>
    <n v="1763765880"/>
    <s v=""/>
    <s v=""/>
    <s v="52"/>
    <x v="0"/>
    <s v="EU"/>
    <s v="13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19"/>
    <n v="1763765880"/>
    <s v=""/>
    <s v=""/>
    <s v="42"/>
    <x v="2"/>
    <s v="EU"/>
    <s v="12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22"/>
    <n v="1763765880"/>
    <s v=""/>
    <s v="RG"/>
    <s v=""/>
    <x v="6"/>
    <s v="EU"/>
    <s v="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52"/>
    <n v="1763765880"/>
    <s v=""/>
    <s v=""/>
    <s v="42"/>
    <x v="2"/>
    <s v="EU"/>
    <s v="12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55"/>
    <n v="1763765880"/>
    <s v=""/>
    <s v=""/>
    <s v="53"/>
    <x v="4"/>
    <s v="EU"/>
    <s v="22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64"/>
    <n v="1763765880"/>
    <s v=""/>
    <s v=""/>
    <s v="42"/>
    <x v="2"/>
    <s v="EU"/>
    <s v="12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70"/>
    <n v="1763765880"/>
    <s v=""/>
    <s v=""/>
    <s v="53"/>
    <x v="4"/>
    <s v="EU"/>
    <s v="22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n v="1114594"/>
    <n v="1763765880"/>
    <s v=""/>
    <s v="RG"/>
    <s v="2M"/>
    <x v="3"/>
    <s v="MY"/>
    <s v="2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597"/>
    <n v="1763765880"/>
    <s v=""/>
    <s v=""/>
    <s v="42"/>
    <x v="2"/>
    <s v="EU"/>
    <s v="12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00"/>
    <n v="1763765880"/>
    <s v=""/>
    <s v=""/>
    <s v="52"/>
    <x v="0"/>
    <s v="EU"/>
    <s v="13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06"/>
    <n v="1763765880"/>
    <s v=""/>
    <s v=""/>
    <s v="52"/>
    <x v="0"/>
    <s v="EU"/>
    <s v="13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09"/>
    <n v="1763765880"/>
    <s v=""/>
    <s v=""/>
    <s v="53"/>
    <x v="4"/>
    <s v="EU"/>
    <s v="2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12"/>
    <n v="1763765880"/>
    <s v=""/>
    <s v=""/>
    <s v="42"/>
    <x v="2"/>
    <s v="EU"/>
    <s v="1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18"/>
    <n v="1763765880"/>
    <s v=""/>
    <s v=""/>
    <s v="42"/>
    <x v="2"/>
    <s v="EU"/>
    <s v="12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957"/>
    <n v="1763765880"/>
    <s v=""/>
    <s v="UD"/>
    <s v=""/>
    <x v="6"/>
    <s v="EU"/>
    <s v="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60"/>
    <n v="1763765880"/>
    <s v=""/>
    <s v=""/>
    <s v="42"/>
    <x v="2"/>
    <s v="EU"/>
    <s v="12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72"/>
    <n v="1763765880"/>
    <s v=""/>
    <s v=""/>
    <s v="42"/>
    <x v="2"/>
    <s v="EU"/>
    <s v="12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75"/>
    <n v="1763765880"/>
    <s v=""/>
    <s v="UD"/>
    <s v=""/>
    <x v="6"/>
    <s v="EU"/>
    <s v="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981"/>
    <n v="1763765880"/>
    <s v=""/>
    <s v=""/>
    <s v="42"/>
    <x v="2"/>
    <s v="EU"/>
    <s v="12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4987"/>
    <n v="1763765880"/>
    <s v=""/>
    <s v=""/>
    <s v="42"/>
    <x v="2"/>
    <s v="EU"/>
    <s v="12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14"/>
    <n v="1763765880"/>
    <s v=""/>
    <s v="RG"/>
    <s v="3M"/>
    <x v="5"/>
    <s v="MY"/>
    <s v="3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11"/>
    <n v="1763765880"/>
    <s v=""/>
    <s v=""/>
    <s v="42"/>
    <x v="2"/>
    <s v="EU"/>
    <s v="1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23"/>
    <n v="1763765880"/>
    <s v=""/>
    <s v=""/>
    <s v="42"/>
    <x v="2"/>
    <s v="EU"/>
    <s v="12"/>
    <s v="1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26"/>
    <n v="1763765880"/>
    <s v=""/>
    <s v=""/>
    <s v="52"/>
    <x v="0"/>
    <s v="EU"/>
    <s v="13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32"/>
    <n v="1763765880"/>
    <s v=""/>
    <s v=""/>
    <s v="52"/>
    <x v="0"/>
    <s v="EU"/>
    <s v="13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35"/>
    <n v="1763765880"/>
    <s v=""/>
    <s v=""/>
    <s v="41"/>
    <x v="1"/>
    <s v="EU"/>
    <s v="03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38"/>
    <n v="1763765880"/>
    <s v=""/>
    <s v=""/>
    <s v="42"/>
    <x v="2"/>
    <s v="EU"/>
    <s v="12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41"/>
    <n v="1763765880"/>
    <s v=""/>
    <s v=""/>
    <s v="42"/>
    <x v="2"/>
    <s v="EU"/>
    <s v="12"/>
    <s v="2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77"/>
    <n v="1763765880"/>
    <s v="0"/>
    <s v=""/>
    <s v="52"/>
    <x v="0"/>
    <s v="EU"/>
    <s v="13"/>
    <s v="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10"/>
    <n v="1763765880"/>
    <s v=""/>
    <s v=""/>
    <s v="31"/>
    <x v="7"/>
    <s v="EU"/>
    <s v="02"/>
    <s v="2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22"/>
    <n v="1763765880"/>
    <s v=""/>
    <s v=""/>
    <s v="53"/>
    <x v="4"/>
    <s v="EU"/>
    <s v="22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5134"/>
    <n v="1763765880"/>
    <s v="0"/>
    <s v=""/>
    <s v="52"/>
    <x v="0"/>
    <s v="EU"/>
    <s v="13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5140"/>
    <n v="1763765880"/>
    <s v="0"/>
    <s v=""/>
    <s v="42"/>
    <x v="2"/>
    <s v="EU"/>
    <s v="12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5146"/>
    <n v="1763765880"/>
    <s v="0"/>
    <s v=""/>
    <s v="42"/>
    <x v="2"/>
    <s v="EU"/>
    <s v="12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5164"/>
    <n v="1763765880"/>
    <s v=""/>
    <s v=""/>
    <s v="42"/>
    <x v="2"/>
    <s v="EU"/>
    <s v="1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5167"/>
    <n v="1763765880"/>
    <s v=""/>
    <s v=""/>
    <s v="52"/>
    <x v="0"/>
    <s v="EU"/>
    <s v="13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n v="1114639"/>
    <n v="1763765880"/>
    <s v=""/>
    <s v=""/>
    <s v="53"/>
    <x v="4"/>
    <s v="EU"/>
    <s v="22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45"/>
    <n v="1763765880"/>
    <s v=""/>
    <s v=""/>
    <s v="52"/>
    <x v="0"/>
    <s v="EU"/>
    <s v="13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n v="1114651"/>
    <n v="1763765880"/>
    <s v=""/>
    <s v=""/>
    <s v="42"/>
    <x v="2"/>
    <s v="EU"/>
    <s v="1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663"/>
    <n v="1763765880"/>
    <s v=""/>
    <s v=""/>
    <s v="52"/>
    <x v="0"/>
    <s v="EU"/>
    <s v="13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669"/>
    <n v="1763765880"/>
    <s v=""/>
    <s v=""/>
    <s v="42"/>
    <x v="2"/>
    <s v="EU"/>
    <s v="12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684"/>
    <n v="1763765880"/>
    <s v=""/>
    <s v=""/>
    <s v="42"/>
    <x v="2"/>
    <s v="EU"/>
    <s v="12"/>
    <s v="1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687"/>
    <n v="1763765880"/>
    <s v=""/>
    <s v=""/>
    <s v="31"/>
    <x v="7"/>
    <s v="EU"/>
    <s v="0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693"/>
    <n v="1763765880"/>
    <s v=""/>
    <s v=""/>
    <s v="52"/>
    <x v="0"/>
    <s v="EU"/>
    <s v="13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02"/>
    <n v="1763765880"/>
    <s v=""/>
    <s v=""/>
    <s v="52"/>
    <x v="0"/>
    <s v="EU"/>
    <s v="13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20"/>
    <n v="1763765880"/>
    <s v=""/>
    <s v=""/>
    <s v="42"/>
    <x v="2"/>
    <s v="EU"/>
    <s v="12"/>
    <s v="2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n v="1114747"/>
    <n v="1763765880"/>
    <s v=""/>
    <s v=""/>
    <s v="31"/>
    <x v="7"/>
    <s v="EU"/>
    <s v="02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53"/>
    <n v="1763765880"/>
    <s v=""/>
    <s v=""/>
    <s v="42"/>
    <x v="2"/>
    <s v="EU"/>
    <s v="12"/>
    <s v="10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62"/>
    <n v="1763765880"/>
    <s v=""/>
    <s v=""/>
    <s v="42"/>
    <x v="2"/>
    <s v="EU"/>
    <s v="1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71"/>
    <n v="1763765880"/>
    <s v=""/>
    <s v=""/>
    <s v="42"/>
    <x v="2"/>
    <s v="EU"/>
    <s v="12"/>
    <s v="1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798"/>
    <n v="1763765880"/>
    <s v=""/>
    <s v=""/>
    <s v="31"/>
    <x v="7"/>
    <s v="EU"/>
    <s v="02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n v="1114816"/>
    <n v="1763765880"/>
    <s v=""/>
    <s v=""/>
    <s v="42"/>
    <x v="2"/>
    <s v="EU"/>
    <s v="12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19"/>
    <n v="1763765880"/>
    <s v=""/>
    <s v=""/>
    <s v="52"/>
    <x v="0"/>
    <s v="EU"/>
    <s v="13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22"/>
    <n v="1763765880"/>
    <s v=""/>
    <s v=""/>
    <s v="42"/>
    <x v="2"/>
    <s v="EU"/>
    <s v="12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31"/>
    <n v="1763765880"/>
    <s v=""/>
    <s v=""/>
    <s v="52"/>
    <x v="0"/>
    <s v="EU"/>
    <s v="13"/>
    <s v="1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37"/>
    <n v="1763765880"/>
    <s v=""/>
    <s v=""/>
    <s v="31"/>
    <x v="7"/>
    <s v="EU"/>
    <s v="02"/>
    <s v="1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52"/>
    <n v="1763765880"/>
    <s v=""/>
    <s v="UD"/>
    <s v=""/>
    <x v="6"/>
    <s v="EU"/>
    <s v="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55"/>
    <n v="1763765880"/>
    <s v=""/>
    <s v="RG"/>
    <s v=""/>
    <x v="6"/>
    <s v="EU"/>
    <s v=""/>
    <s v="19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61"/>
    <n v="1763765880"/>
    <s v=""/>
    <s v="RG"/>
    <s v="2M"/>
    <x v="3"/>
    <s v="MY"/>
    <s v="2"/>
    <s v="2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64"/>
    <n v="1763765880"/>
    <s v=""/>
    <s v=""/>
    <s v="52"/>
    <x v="0"/>
    <s v="EU"/>
    <s v="13"/>
    <s v="22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73"/>
    <n v="1763765880"/>
    <s v=""/>
    <s v=""/>
    <s v="52"/>
    <x v="0"/>
    <s v="EU"/>
    <s v="13"/>
    <s v="2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4876"/>
    <n v="1763765880"/>
    <s v=""/>
    <s v=""/>
    <s v="31"/>
    <x v="7"/>
    <s v="EU"/>
    <s v="02"/>
    <s v="1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882"/>
    <n v="1763765880"/>
    <s v=""/>
    <s v=""/>
    <s v="42"/>
    <x v="2"/>
    <s v="EU"/>
    <s v="12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888"/>
    <n v="1763765880"/>
    <s v=""/>
    <s v=""/>
    <s v="42"/>
    <x v="2"/>
    <s v="EU"/>
    <s v="12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891"/>
    <n v="1763765880"/>
    <s v=""/>
    <s v=""/>
    <s v="52"/>
    <x v="0"/>
    <s v="EU"/>
    <s v="13"/>
    <s v="6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894"/>
    <n v="1763765880"/>
    <s v=""/>
    <s v=""/>
    <s v="52"/>
    <x v="0"/>
    <s v="EU"/>
    <s v="13"/>
    <s v="7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897"/>
    <n v="1763765880"/>
    <s v=""/>
    <s v=""/>
    <s v="52"/>
    <x v="0"/>
    <s v="EU"/>
    <s v="13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n v="1114906"/>
    <n v="1763765880"/>
    <s v=""/>
    <s v=""/>
    <s v="42"/>
    <x v="2"/>
    <s v="EU"/>
    <s v="12"/>
    <s v="3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12"/>
    <n v="1763765880"/>
    <s v=""/>
    <s v=""/>
    <s v="42"/>
    <x v="2"/>
    <s v="EU"/>
    <s v="12"/>
    <s v="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4921"/>
    <n v="1763765880"/>
    <s v=""/>
    <s v=""/>
    <s v="52"/>
    <x v="0"/>
    <s v="EU"/>
    <s v="13"/>
    <s v="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n v="1115017"/>
    <n v="1763765880"/>
    <s v=""/>
    <s v=""/>
    <s v="42"/>
    <x v="2"/>
    <s v="EU"/>
    <s v="12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n v="1115092"/>
    <n v="1763765880"/>
    <s v=""/>
    <s v=""/>
    <s v="42"/>
    <x v="2"/>
    <s v="EU"/>
    <s v="12"/>
    <s v="14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1114843"/>
    <n v="1763765880"/>
    <s v=""/>
    <s v=""/>
    <s v="42"/>
    <x v="2"/>
    <s v="EU"/>
    <s v="12"/>
    <s v="15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n v="1115104"/>
    <n v="1763765880"/>
    <s v=""/>
    <s v=""/>
    <s v="42"/>
    <x v="2"/>
    <s v="EU"/>
    <s v="12"/>
    <s v="18"/>
    <s v="Scales"/>
    <n v="2126660001"/>
    <s v="2 SCALES ACROSS PER FISH"/>
    <n v="350248"/>
    <s v="BELLA COOLA/ATNARKO INDIAN FOOD FISHERY(IFF)-2003"/>
    <n v="968"/>
    <s v="BELLA COOLA RIVER"/>
    <x v="7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n v="5428292"/>
    <n v="602022784"/>
    <s v="0"/>
    <s v=""/>
    <s v="42"/>
    <x v="2"/>
    <s v="EU"/>
    <s v="12"/>
    <s v="8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166"/>
    <n v="898726696"/>
    <s v="*"/>
    <s v=""/>
    <s v="41"/>
    <x v="1"/>
    <s v="EU"/>
    <s v="03"/>
    <s v="1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487"/>
    <n v="1786134236"/>
    <s v="*"/>
    <s v=""/>
    <s v="42"/>
    <x v="2"/>
    <s v="EU"/>
    <s v="12"/>
    <s v="6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283"/>
    <n v="602022784"/>
    <s v="2"/>
    <s v="RS"/>
    <s v="S2"/>
    <x v="15"/>
    <s v="FW"/>
    <s v="1"/>
    <s v="5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653"/>
    <n v="1786134236"/>
    <s v=""/>
    <s v=""/>
    <s v="42"/>
    <x v="2"/>
    <s v="EU"/>
    <s v="12"/>
    <s v="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88"/>
    <n v="1786134236"/>
    <s v="*"/>
    <s v=""/>
    <s v="52"/>
    <x v="0"/>
    <s v="EU"/>
    <s v="13"/>
    <s v="2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15"/>
    <n v="1786134236"/>
    <s v="*"/>
    <s v=""/>
    <s v="52"/>
    <x v="0"/>
    <s v="EU"/>
    <s v="13"/>
    <s v="3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72"/>
    <n v="1786134236"/>
    <s v="*"/>
    <s v=""/>
    <s v="53"/>
    <x v="4"/>
    <s v="EU"/>
    <s v="22"/>
    <s v="5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824"/>
    <n v="1786134236"/>
    <s v=""/>
    <s v=""/>
    <s v="42"/>
    <x v="2"/>
    <s v="EU"/>
    <s v="12"/>
    <s v="6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35"/>
    <n v="898726696"/>
    <s v=""/>
    <s v=""/>
    <s v="42"/>
    <x v="2"/>
    <s v="EU"/>
    <s v="12"/>
    <s v="24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328"/>
    <n v="1786134236"/>
    <s v="*"/>
    <s v=""/>
    <s v="42"/>
    <x v="2"/>
    <s v="EU"/>
    <s v="12"/>
    <s v="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61"/>
    <n v="1786134236"/>
    <s v="*"/>
    <s v=""/>
    <s v="52"/>
    <x v="0"/>
    <s v="EU"/>
    <s v="13"/>
    <s v="1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57"/>
    <n v="1786134236"/>
    <s v="*"/>
    <s v=""/>
    <s v="42"/>
    <x v="2"/>
    <s v="EU"/>
    <s v="12"/>
    <s v="25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6T00:00:00"/>
    <d v="2009-09-27T00:00:00"/>
    <s v="67855"/>
  </r>
  <r>
    <n v="5428406"/>
    <n v="1786134236"/>
    <s v="*"/>
    <s v=""/>
    <s v="42"/>
    <x v="2"/>
    <s v="EU"/>
    <s v="12"/>
    <s v="3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26"/>
    <n v="1786134236"/>
    <s v=""/>
    <s v=""/>
    <s v="42"/>
    <x v="2"/>
    <s v="EU"/>
    <s v="12"/>
    <s v="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55"/>
    <n v="1786134236"/>
    <s v="*"/>
    <s v=""/>
    <s v="42"/>
    <x v="2"/>
    <s v="EU"/>
    <s v="12"/>
    <s v="1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46"/>
    <n v="1786134236"/>
    <s v=""/>
    <s v=""/>
    <s v="52"/>
    <x v="0"/>
    <s v="EU"/>
    <s v="13"/>
    <s v="4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52"/>
    <n v="1786134236"/>
    <s v=""/>
    <s v=""/>
    <s v="42"/>
    <x v="2"/>
    <s v="EU"/>
    <s v="12"/>
    <s v="4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574"/>
    <n v="1786134236"/>
    <s v="*"/>
    <s v=""/>
    <s v="63"/>
    <x v="8"/>
    <s v="EU"/>
    <s v="23"/>
    <s v="8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88"/>
    <n v="1786134236"/>
    <s v=""/>
    <s v=""/>
    <s v="42"/>
    <x v="2"/>
    <s v="EU"/>
    <s v="12"/>
    <s v="5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91"/>
    <n v="1786134236"/>
    <s v=""/>
    <s v=""/>
    <s v="42"/>
    <x v="2"/>
    <s v="EU"/>
    <s v="12"/>
    <s v="5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64"/>
    <n v="1786134236"/>
    <s v=""/>
    <s v=""/>
    <s v="52"/>
    <x v="0"/>
    <s v="EU"/>
    <s v="13"/>
    <s v="4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400"/>
    <n v="1786134236"/>
    <s v="*"/>
    <s v=""/>
    <s v="53"/>
    <x v="4"/>
    <s v="EU"/>
    <s v="22"/>
    <s v="3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17"/>
    <n v="1786134236"/>
    <s v="*"/>
    <s v=""/>
    <s v="42"/>
    <x v="2"/>
    <s v="EU"/>
    <s v="12"/>
    <s v="7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47"/>
    <n v="1786134236"/>
    <s v=""/>
    <s v=""/>
    <s v="52"/>
    <x v="0"/>
    <s v="EU"/>
    <s v="13"/>
    <s v="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43"/>
    <n v="1786134236"/>
    <s v="*"/>
    <s v=""/>
    <s v="52"/>
    <x v="0"/>
    <s v="EU"/>
    <s v="13"/>
    <s v="1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63"/>
    <n v="1786134236"/>
    <s v="*"/>
    <s v=""/>
    <s v="42"/>
    <x v="2"/>
    <s v="EU"/>
    <s v="12"/>
    <s v="2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7T00:00:00"/>
    <d v="2009-09-27T00:00:00"/>
    <s v="67856"/>
  </r>
  <r>
    <n v="5428538"/>
    <n v="1786134236"/>
    <s v="*"/>
    <s v=""/>
    <s v="42"/>
    <x v="2"/>
    <s v="EU"/>
    <s v="12"/>
    <s v="7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809"/>
    <n v="1786134236"/>
    <s v=""/>
    <s v=""/>
    <s v="42"/>
    <x v="2"/>
    <s v="EU"/>
    <s v="12"/>
    <s v="6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04"/>
    <n v="1786134236"/>
    <s v="*"/>
    <s v=""/>
    <s v="42"/>
    <x v="2"/>
    <s v="EU"/>
    <s v="12"/>
    <s v="9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18"/>
    <n v="1786134236"/>
    <s v="*"/>
    <s v=""/>
    <s v="52"/>
    <x v="0"/>
    <s v="EU"/>
    <s v="13"/>
    <s v="3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37"/>
    <n v="1786134236"/>
    <s v=""/>
    <s v=""/>
    <s v="52"/>
    <x v="0"/>
    <s v="EU"/>
    <s v="13"/>
    <s v="3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62"/>
    <n v="898726696"/>
    <s v=""/>
    <s v=""/>
    <s v="31"/>
    <x v="7"/>
    <s v="EU"/>
    <s v="02"/>
    <s v="9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490"/>
    <n v="1786134236"/>
    <s v="*"/>
    <s v=""/>
    <s v="52"/>
    <x v="0"/>
    <s v="EU"/>
    <s v="13"/>
    <s v="6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82"/>
    <n v="1786134236"/>
    <s v=""/>
    <s v=""/>
    <s v="52"/>
    <x v="0"/>
    <s v="EU"/>
    <s v="13"/>
    <s v="5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827"/>
    <n v="1786134236"/>
    <s v=""/>
    <s v=""/>
    <s v="42"/>
    <x v="2"/>
    <s v="EU"/>
    <s v="12"/>
    <s v="6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77"/>
    <n v="1786134236"/>
    <s v=""/>
    <s v=""/>
    <s v="42"/>
    <x v="2"/>
    <s v="EU"/>
    <s v="12"/>
    <s v="1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544"/>
    <n v="1786134236"/>
    <s v="*"/>
    <s v=""/>
    <s v="S2"/>
    <x v="15"/>
    <s v="FW"/>
    <s v="1"/>
    <s v="7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32"/>
    <n v="1786134236"/>
    <s v="*"/>
    <s v=""/>
    <s v="42"/>
    <x v="2"/>
    <s v="EU"/>
    <s v="12"/>
    <s v="7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59"/>
    <n v="1786134236"/>
    <s v=""/>
    <s v=""/>
    <s v="42"/>
    <x v="2"/>
    <s v="EU"/>
    <s v="12"/>
    <s v="1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05"/>
    <n v="898726696"/>
    <s v=""/>
    <s v=""/>
    <s v="42"/>
    <x v="2"/>
    <s v="EU"/>
    <s v="12"/>
    <s v="14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86"/>
    <n v="602022784"/>
    <s v="0"/>
    <s v=""/>
    <s v="42"/>
    <x v="2"/>
    <s v="EU"/>
    <s v="12"/>
    <s v="6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662"/>
    <n v="1786134236"/>
    <s v=""/>
    <s v=""/>
    <s v="42"/>
    <x v="2"/>
    <s v="EU"/>
    <s v="12"/>
    <s v="1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803"/>
    <n v="1786134236"/>
    <s v=""/>
    <s v=""/>
    <s v="52"/>
    <x v="0"/>
    <s v="EU"/>
    <s v="13"/>
    <s v="5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436"/>
    <n v="1786134236"/>
    <s v="*"/>
    <s v=""/>
    <s v="42"/>
    <x v="2"/>
    <s v="EU"/>
    <s v="12"/>
    <s v="4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61"/>
    <n v="1786134236"/>
    <s v=""/>
    <s v=""/>
    <s v="52"/>
    <x v="0"/>
    <s v="EU"/>
    <s v="13"/>
    <s v="4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85"/>
    <n v="1786134236"/>
    <s v="*"/>
    <s v=""/>
    <s v="42"/>
    <x v="2"/>
    <s v="EU"/>
    <s v="12"/>
    <s v="2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280"/>
    <n v="602022784"/>
    <s v="0"/>
    <s v="W"/>
    <s v="2M"/>
    <x v="3"/>
    <s v="MY"/>
    <s v="2"/>
    <s v="4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337"/>
    <n v="1786134236"/>
    <s v="*"/>
    <s v=""/>
    <s v="42"/>
    <x v="2"/>
    <s v="EU"/>
    <s v="12"/>
    <s v="1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73"/>
    <n v="1786134236"/>
    <s v="*"/>
    <s v=""/>
    <s v="42"/>
    <x v="2"/>
    <s v="EU"/>
    <s v="12"/>
    <s v="2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20"/>
    <n v="1786134236"/>
    <s v="*"/>
    <s v=""/>
    <s v="42"/>
    <x v="2"/>
    <s v="EU"/>
    <s v="12"/>
    <s v="7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190"/>
    <n v="898726696"/>
    <s v="0"/>
    <s v=""/>
    <s v="42"/>
    <x v="2"/>
    <s v="EU"/>
    <s v="12"/>
    <s v="9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451"/>
    <n v="1786134236"/>
    <s v="*"/>
    <s v=""/>
    <s v="42"/>
    <x v="2"/>
    <s v="EU"/>
    <s v="12"/>
    <s v="4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91"/>
    <n v="1786134236"/>
    <s v="*"/>
    <s v=""/>
    <s v="42"/>
    <x v="2"/>
    <s v="EU"/>
    <s v="12"/>
    <s v="2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67"/>
    <n v="1786134236"/>
    <s v=""/>
    <s v=""/>
    <s v="52"/>
    <x v="0"/>
    <s v="EU"/>
    <s v="13"/>
    <s v="4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76"/>
    <n v="1786134236"/>
    <s v=""/>
    <s v=""/>
    <s v="52"/>
    <x v="0"/>
    <s v="EU"/>
    <s v="13"/>
    <s v="5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800"/>
    <n v="1786134236"/>
    <s v=""/>
    <s v=""/>
    <s v="42"/>
    <x v="2"/>
    <s v="EU"/>
    <s v="12"/>
    <s v="5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53"/>
    <n v="898726696"/>
    <s v="0"/>
    <s v=""/>
    <s v="42"/>
    <x v="2"/>
    <s v="EU"/>
    <s v="12"/>
    <s v="6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196"/>
    <n v="898726696"/>
    <s v="0"/>
    <s v="RG"/>
    <s v="3M"/>
    <x v="5"/>
    <s v="MY"/>
    <s v="3"/>
    <s v="11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758"/>
    <n v="1786134236"/>
    <s v=""/>
    <s v=""/>
    <s v="52"/>
    <x v="0"/>
    <s v="EU"/>
    <s v="13"/>
    <s v="4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40"/>
    <n v="1786134236"/>
    <s v="*"/>
    <s v=""/>
    <s v="42"/>
    <x v="2"/>
    <s v="EU"/>
    <s v="12"/>
    <s v="1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84"/>
    <n v="1786134236"/>
    <s v="*"/>
    <s v=""/>
    <s v="42"/>
    <x v="2"/>
    <s v="EU"/>
    <s v="12"/>
    <s v="5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12"/>
    <n v="1786134236"/>
    <s v="*"/>
    <s v=""/>
    <s v="52"/>
    <x v="0"/>
    <s v="EU"/>
    <s v="13"/>
    <s v="3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76"/>
    <n v="1786134236"/>
    <s v="*"/>
    <s v=""/>
    <s v="42"/>
    <x v="2"/>
    <s v="EU"/>
    <s v="12"/>
    <s v="2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09"/>
    <n v="1786134236"/>
    <s v="*"/>
    <s v=""/>
    <s v="42"/>
    <x v="2"/>
    <s v="EU"/>
    <s v="12"/>
    <s v="3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48"/>
    <n v="1786134236"/>
    <s v="*"/>
    <s v=""/>
    <s v="42"/>
    <x v="2"/>
    <s v="EU"/>
    <s v="12"/>
    <s v="4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07"/>
    <n v="1786134236"/>
    <s v="*"/>
    <s v=""/>
    <s v="42"/>
    <x v="2"/>
    <s v="EU"/>
    <s v="12"/>
    <s v="10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56"/>
    <n v="1786134236"/>
    <s v=""/>
    <s v=""/>
    <s v="42"/>
    <x v="2"/>
    <s v="EU"/>
    <s v="12"/>
    <s v="1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11"/>
    <n v="898726696"/>
    <s v=""/>
    <s v="RG"/>
    <s v="3M"/>
    <x v="5"/>
    <s v="MY"/>
    <s v="3"/>
    <s v="16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349"/>
    <n v="1786134236"/>
    <s v="*"/>
    <s v=""/>
    <s v="42"/>
    <x v="2"/>
    <s v="EU"/>
    <s v="12"/>
    <s v="1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71"/>
    <n v="1786134236"/>
    <s v=""/>
    <s v=""/>
    <s v="52"/>
    <x v="0"/>
    <s v="EU"/>
    <s v="13"/>
    <s v="1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16"/>
    <n v="1786134236"/>
    <s v="*"/>
    <s v=""/>
    <s v="42"/>
    <x v="2"/>
    <s v="EU"/>
    <s v="12"/>
    <s v="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26"/>
    <n v="1786134236"/>
    <s v="*"/>
    <s v=""/>
    <s v="42"/>
    <x v="2"/>
    <s v="EU"/>
    <s v="12"/>
    <s v="7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67"/>
    <n v="1786134236"/>
    <s v="*"/>
    <s v=""/>
    <s v="42"/>
    <x v="2"/>
    <s v="EU"/>
    <s v="12"/>
    <s v="2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10"/>
    <n v="1786134236"/>
    <s v=""/>
    <s v=""/>
    <s v="52"/>
    <x v="0"/>
    <s v="EU"/>
    <s v="13"/>
    <s v="2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98"/>
    <n v="1786134236"/>
    <s v=""/>
    <s v=""/>
    <s v="52"/>
    <x v="0"/>
    <s v="EU"/>
    <s v="13"/>
    <s v="2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199"/>
    <n v="898726696"/>
    <s v=""/>
    <s v=""/>
    <s v="42"/>
    <x v="2"/>
    <s v="EU"/>
    <s v="12"/>
    <s v="12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56"/>
    <n v="898726696"/>
    <s v="0"/>
    <s v=""/>
    <s v="31"/>
    <x v="7"/>
    <s v="EU"/>
    <s v="02"/>
    <s v="7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331"/>
    <n v="1786134236"/>
    <s v="*"/>
    <s v=""/>
    <s v="42"/>
    <x v="2"/>
    <s v="EU"/>
    <s v="12"/>
    <s v="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01"/>
    <n v="1786134236"/>
    <s v=""/>
    <s v=""/>
    <s v="52"/>
    <x v="0"/>
    <s v="EU"/>
    <s v="13"/>
    <s v="2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07"/>
    <n v="1786134236"/>
    <s v=""/>
    <s v=""/>
    <s v="52"/>
    <x v="0"/>
    <s v="EU"/>
    <s v="13"/>
    <s v="2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496"/>
    <n v="1786134236"/>
    <s v="*"/>
    <s v=""/>
    <s v="41"/>
    <x v="1"/>
    <s v="EU"/>
    <s v="03"/>
    <s v="6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60"/>
    <n v="1786134236"/>
    <s v="*"/>
    <s v=""/>
    <s v="42"/>
    <x v="2"/>
    <s v="EU"/>
    <s v="12"/>
    <s v="5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02"/>
    <n v="1786134236"/>
    <s v="*"/>
    <s v=""/>
    <s v="42"/>
    <x v="2"/>
    <s v="EU"/>
    <s v="12"/>
    <s v="6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68"/>
    <n v="1786134236"/>
    <s v=""/>
    <s v=""/>
    <s v="42"/>
    <x v="2"/>
    <s v="EU"/>
    <s v="12"/>
    <s v="1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49"/>
    <n v="1786134236"/>
    <s v=""/>
    <s v=""/>
    <s v="52"/>
    <x v="0"/>
    <s v="EU"/>
    <s v="13"/>
    <s v="4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85"/>
    <n v="1786134236"/>
    <s v=""/>
    <s v=""/>
    <s v="52"/>
    <x v="0"/>
    <s v="EU"/>
    <s v="13"/>
    <s v="5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595"/>
    <n v="1786134236"/>
    <s v="*"/>
    <s v=""/>
    <s v="52"/>
    <x v="0"/>
    <s v="EU"/>
    <s v="13"/>
    <s v="9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65"/>
    <n v="1786134236"/>
    <s v=""/>
    <s v=""/>
    <s v="52"/>
    <x v="0"/>
    <s v="EU"/>
    <s v="13"/>
    <s v="1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95"/>
    <n v="1786134236"/>
    <s v=""/>
    <s v=""/>
    <s v="52"/>
    <x v="0"/>
    <s v="EU"/>
    <s v="13"/>
    <s v="2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25"/>
    <n v="1786134236"/>
    <s v="*"/>
    <s v=""/>
    <s v="42"/>
    <x v="2"/>
    <s v="EU"/>
    <s v="12"/>
    <s v="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289"/>
    <n v="602022784"/>
    <s v="0"/>
    <s v=""/>
    <s v="52"/>
    <x v="0"/>
    <s v="EU"/>
    <s v="13"/>
    <s v="7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815"/>
    <n v="1786134236"/>
    <s v=""/>
    <s v=""/>
    <s v="52"/>
    <x v="0"/>
    <s v="EU"/>
    <s v="13"/>
    <s v="6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14"/>
    <n v="898726696"/>
    <s v="0"/>
    <s v=""/>
    <s v="42"/>
    <x v="2"/>
    <s v="EU"/>
    <s v="12"/>
    <s v="17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358"/>
    <n v="1786134236"/>
    <s v="*"/>
    <s v=""/>
    <s v="52"/>
    <x v="0"/>
    <s v="EU"/>
    <s v="13"/>
    <s v="1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35"/>
    <n v="1786134236"/>
    <s v="*"/>
    <s v=""/>
    <s v="42"/>
    <x v="2"/>
    <s v="EU"/>
    <s v="12"/>
    <s v="7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54"/>
    <n v="1786134236"/>
    <s v="*"/>
    <s v=""/>
    <s v="42"/>
    <x v="2"/>
    <s v="EU"/>
    <s v="12"/>
    <s v="4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797"/>
    <n v="1786134236"/>
    <s v=""/>
    <s v=""/>
    <s v="52"/>
    <x v="0"/>
    <s v="EU"/>
    <s v="13"/>
    <s v="5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19"/>
    <n v="1786134236"/>
    <s v="*"/>
    <s v=""/>
    <s v="42"/>
    <x v="2"/>
    <s v="EU"/>
    <s v="12"/>
    <s v="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05"/>
    <n v="1786134236"/>
    <s v="*"/>
    <s v=""/>
    <s v="42"/>
    <x v="2"/>
    <s v="EU"/>
    <s v="12"/>
    <s v="6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232"/>
    <n v="898726696"/>
    <s v=""/>
    <s v=""/>
    <s v="52"/>
    <x v="0"/>
    <s v="EU"/>
    <s v="13"/>
    <s v="23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731"/>
    <n v="1786134236"/>
    <s v=""/>
    <s v=""/>
    <s v="42"/>
    <x v="2"/>
    <s v="EU"/>
    <s v="12"/>
    <s v="3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08"/>
    <n v="898726696"/>
    <s v="0"/>
    <s v=""/>
    <s v="52"/>
    <x v="0"/>
    <s v="EU"/>
    <s v="13"/>
    <s v="15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641"/>
    <n v="1786134236"/>
    <s v=""/>
    <s v=""/>
    <s v="52"/>
    <x v="0"/>
    <s v="EU"/>
    <s v="13"/>
    <s v="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28"/>
    <n v="1786134236"/>
    <s v=""/>
    <s v=""/>
    <s v="31"/>
    <x v="7"/>
    <s v="EU"/>
    <s v="02"/>
    <s v="3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433"/>
    <n v="1786134236"/>
    <s v="*"/>
    <s v=""/>
    <s v="31"/>
    <x v="7"/>
    <s v="EU"/>
    <s v="02"/>
    <s v="17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6T00:00:00"/>
    <d v="2009-09-27T00:00:00"/>
    <s v="67855"/>
  </r>
  <r>
    <n v="5428571"/>
    <n v="1786134236"/>
    <s v="*"/>
    <s v=""/>
    <s v="42"/>
    <x v="2"/>
    <s v="EU"/>
    <s v="12"/>
    <s v="8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32"/>
    <n v="1786134236"/>
    <s v=""/>
    <s v=""/>
    <s v="42"/>
    <x v="2"/>
    <s v="EU"/>
    <s v="12"/>
    <s v="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44"/>
    <n v="898726696"/>
    <s v=""/>
    <s v=""/>
    <s v="31"/>
    <x v="7"/>
    <s v="EU"/>
    <s v="02"/>
    <s v="3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529"/>
    <n v="1786134236"/>
    <s v="*"/>
    <s v=""/>
    <s v="42"/>
    <x v="2"/>
    <s v="EU"/>
    <s v="12"/>
    <s v="7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30"/>
    <n v="1786134236"/>
    <s v="*"/>
    <s v=""/>
    <s v="42"/>
    <x v="2"/>
    <s v="EU"/>
    <s v="12"/>
    <s v="4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98"/>
    <n v="1786134236"/>
    <s v="*"/>
    <s v=""/>
    <s v="52"/>
    <x v="0"/>
    <s v="EU"/>
    <s v="13"/>
    <s v="9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172"/>
    <n v="898726696"/>
    <s v="0"/>
    <s v="W"/>
    <s v="2M"/>
    <x v="3"/>
    <s v="MY"/>
    <s v="2"/>
    <s v="3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830"/>
    <n v="1786134236"/>
    <s v=""/>
    <s v=""/>
    <s v="52"/>
    <x v="0"/>
    <s v="EU"/>
    <s v="13"/>
    <s v="6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02"/>
    <n v="898726696"/>
    <s v="0"/>
    <s v=""/>
    <s v="42"/>
    <x v="2"/>
    <s v="EU"/>
    <s v="12"/>
    <s v="13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68"/>
    <n v="898726696"/>
    <s v="0"/>
    <s v=""/>
    <s v="42"/>
    <x v="2"/>
    <s v="EU"/>
    <s v="12"/>
    <s v="11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421"/>
    <n v="1786134236"/>
    <s v="*"/>
    <s v=""/>
    <s v="53"/>
    <x v="4"/>
    <s v="EU"/>
    <s v="22"/>
    <s v="3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83"/>
    <n v="1786134236"/>
    <s v="*"/>
    <s v=""/>
    <s v="42"/>
    <x v="2"/>
    <s v="EU"/>
    <s v="12"/>
    <s v="9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86"/>
    <n v="1786134236"/>
    <s v="*"/>
    <s v=""/>
    <s v="42"/>
    <x v="2"/>
    <s v="EU"/>
    <s v="12"/>
    <s v="9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89"/>
    <n v="1786134236"/>
    <s v="*"/>
    <s v=""/>
    <s v="42"/>
    <x v="2"/>
    <s v="EU"/>
    <s v="12"/>
    <s v="9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92"/>
    <n v="1786134236"/>
    <s v="*"/>
    <s v=""/>
    <s v="42"/>
    <x v="2"/>
    <s v="EU"/>
    <s v="12"/>
    <s v="9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01"/>
    <n v="1786134236"/>
    <s v="*"/>
    <s v=""/>
    <s v="42"/>
    <x v="2"/>
    <s v="EU"/>
    <s v="12"/>
    <s v="9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50"/>
    <n v="1786134236"/>
    <s v=""/>
    <s v=""/>
    <s v="42"/>
    <x v="2"/>
    <s v="EU"/>
    <s v="12"/>
    <s v="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74"/>
    <n v="1786134236"/>
    <s v=""/>
    <s v=""/>
    <s v="32"/>
    <x v="11"/>
    <s v="EU"/>
    <s v="11"/>
    <s v="1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80"/>
    <n v="1786134236"/>
    <s v=""/>
    <s v=""/>
    <s v="52"/>
    <x v="0"/>
    <s v="EU"/>
    <s v="13"/>
    <s v="1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83"/>
    <n v="1786134236"/>
    <s v=""/>
    <s v=""/>
    <s v="53"/>
    <x v="4"/>
    <s v="EU"/>
    <s v="22"/>
    <s v="1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86"/>
    <n v="1786134236"/>
    <s v=""/>
    <s v=""/>
    <s v="42"/>
    <x v="2"/>
    <s v="EU"/>
    <s v="12"/>
    <s v="2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89"/>
    <n v="1786134236"/>
    <s v=""/>
    <s v=""/>
    <s v="52"/>
    <x v="0"/>
    <s v="EU"/>
    <s v="13"/>
    <s v="2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04"/>
    <n v="1786134236"/>
    <s v=""/>
    <s v=""/>
    <s v="52"/>
    <x v="0"/>
    <s v="EU"/>
    <s v="13"/>
    <s v="2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13"/>
    <n v="1786134236"/>
    <s v=""/>
    <s v=""/>
    <s v="52"/>
    <x v="0"/>
    <s v="EU"/>
    <s v="13"/>
    <s v="2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16"/>
    <n v="1786134236"/>
    <s v=""/>
    <s v=""/>
    <s v="42"/>
    <x v="2"/>
    <s v="EU"/>
    <s v="12"/>
    <s v="3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19"/>
    <n v="1786134236"/>
    <s v=""/>
    <s v=""/>
    <s v="52"/>
    <x v="0"/>
    <s v="EU"/>
    <s v="13"/>
    <s v="3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25"/>
    <n v="1786134236"/>
    <s v=""/>
    <s v=""/>
    <s v="52"/>
    <x v="0"/>
    <s v="EU"/>
    <s v="13"/>
    <s v="3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34"/>
    <n v="1786134236"/>
    <s v=""/>
    <s v=""/>
    <s v="52"/>
    <x v="0"/>
    <s v="EU"/>
    <s v="13"/>
    <s v="3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40"/>
    <n v="1786134236"/>
    <s v=""/>
    <s v=""/>
    <s v="52"/>
    <x v="0"/>
    <s v="EU"/>
    <s v="13"/>
    <s v="3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43"/>
    <n v="1786134236"/>
    <s v=""/>
    <s v=""/>
    <s v="52"/>
    <x v="0"/>
    <s v="EU"/>
    <s v="13"/>
    <s v="3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55"/>
    <n v="1786134236"/>
    <s v=""/>
    <s v=""/>
    <s v="52"/>
    <x v="0"/>
    <s v="EU"/>
    <s v="13"/>
    <s v="4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70"/>
    <n v="1786134236"/>
    <s v=""/>
    <s v=""/>
    <s v="52"/>
    <x v="0"/>
    <s v="EU"/>
    <s v="13"/>
    <s v="4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193"/>
    <n v="898726696"/>
    <s v="0"/>
    <s v=""/>
    <s v="42"/>
    <x v="2"/>
    <s v="EU"/>
    <s v="12"/>
    <s v="10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17"/>
    <n v="898726696"/>
    <s v="0"/>
    <s v=""/>
    <s v="31"/>
    <x v="7"/>
    <s v="EU"/>
    <s v="02"/>
    <s v="18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20"/>
    <n v="898726696"/>
    <s v=""/>
    <s v="RG"/>
    <s v="2M"/>
    <x v="3"/>
    <s v="MY"/>
    <s v="2"/>
    <s v="19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23"/>
    <n v="898726696"/>
    <s v=""/>
    <s v=""/>
    <s v="42"/>
    <x v="2"/>
    <s v="EU"/>
    <s v="12"/>
    <s v="20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26"/>
    <n v="898726696"/>
    <s v=""/>
    <s v="W"/>
    <s v=""/>
    <x v="6"/>
    <s v="EU"/>
    <s v=""/>
    <s v="21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238"/>
    <n v="898726696"/>
    <s v="0"/>
    <s v=""/>
    <s v="42"/>
    <x v="2"/>
    <s v="EU"/>
    <s v="12"/>
    <s v="1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247"/>
    <n v="898726696"/>
    <s v=""/>
    <s v=""/>
    <s v="31"/>
    <x v="7"/>
    <s v="EU"/>
    <s v="02"/>
    <s v="4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250"/>
    <n v="898726696"/>
    <s v="0"/>
    <s v=""/>
    <s v="31"/>
    <x v="7"/>
    <s v="EU"/>
    <s v="02"/>
    <s v="5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175"/>
    <n v="898726696"/>
    <s v="0"/>
    <s v=""/>
    <s v="52"/>
    <x v="0"/>
    <s v="EU"/>
    <s v="13"/>
    <s v="4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169"/>
    <n v="898726696"/>
    <s v="*"/>
    <s v="RG"/>
    <s v="2M"/>
    <x v="3"/>
    <s v="MY"/>
    <s v="2"/>
    <s v="2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178"/>
    <n v="898726696"/>
    <s v="0"/>
    <s v=""/>
    <s v="52"/>
    <x v="0"/>
    <s v="EU"/>
    <s v="13"/>
    <s v="5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181"/>
    <n v="898726696"/>
    <s v="*"/>
    <s v=""/>
    <s v="53"/>
    <x v="4"/>
    <s v="EU"/>
    <s v="22"/>
    <s v="6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184"/>
    <n v="898726696"/>
    <s v="0"/>
    <s v="RG"/>
    <s v="3M"/>
    <x v="5"/>
    <s v="MY"/>
    <s v="3"/>
    <s v="7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187"/>
    <n v="898726696"/>
    <s v="0"/>
    <s v=""/>
    <s v="41"/>
    <x v="1"/>
    <s v="EU"/>
    <s v="03"/>
    <s v="8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779"/>
    <n v="1786134236"/>
    <s v=""/>
    <s v=""/>
    <s v="42"/>
    <x v="2"/>
    <s v="EU"/>
    <s v="12"/>
    <s v="1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10-09T00:00:00"/>
    <d v="2009-10-09T00:00:00"/>
    <s v="67860"/>
  </r>
  <r>
    <n v="5428806"/>
    <n v="1786134236"/>
    <s v=""/>
    <s v=""/>
    <s v="31"/>
    <x v="7"/>
    <s v="EU"/>
    <s v="02"/>
    <s v="10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10-09T00:00:00"/>
    <d v="2009-10-09T00:00:00"/>
    <s v="67860"/>
  </r>
  <r>
    <n v="5428812"/>
    <n v="1786134236"/>
    <s v=""/>
    <s v=""/>
    <s v="53"/>
    <x v="4"/>
    <s v="EU"/>
    <s v="22"/>
    <s v="12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10-09T00:00:00"/>
    <d v="2009-10-09T00:00:00"/>
    <s v="67860"/>
  </r>
  <r>
    <n v="5428821"/>
    <n v="1786134236"/>
    <s v=""/>
    <s v=""/>
    <s v="42"/>
    <x v="2"/>
    <s v="EU"/>
    <s v="12"/>
    <s v="6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265"/>
    <n v="898726696"/>
    <s v="0"/>
    <s v=""/>
    <s v="42"/>
    <x v="2"/>
    <s v="EU"/>
    <s v="12"/>
    <s v="10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259"/>
    <n v="898726696"/>
    <s v="0"/>
    <s v=""/>
    <s v="31"/>
    <x v="7"/>
    <s v="EU"/>
    <s v="02"/>
    <s v="8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271"/>
    <n v="602022784"/>
    <s v="1"/>
    <s v=""/>
    <s v="52"/>
    <x v="0"/>
    <s v="EU"/>
    <s v="13"/>
    <s v="1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274"/>
    <n v="602022784"/>
    <s v="1"/>
    <s v=""/>
    <s v="52"/>
    <x v="0"/>
    <s v="EU"/>
    <s v="13"/>
    <s v="2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277"/>
    <n v="602022784"/>
    <s v="0"/>
    <s v=""/>
    <s v="42"/>
    <x v="2"/>
    <s v="EU"/>
    <s v="12"/>
    <s v="3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295"/>
    <n v="602022784"/>
    <s v="0"/>
    <s v=""/>
    <s v="52"/>
    <x v="0"/>
    <s v="EU"/>
    <s v="13"/>
    <s v="9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298"/>
    <n v="602022784"/>
    <s v="0"/>
    <s v=""/>
    <s v="42"/>
    <x v="2"/>
    <s v="EU"/>
    <s v="12"/>
    <s v="10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301"/>
    <n v="602022784"/>
    <s v=""/>
    <s v="UD"/>
    <s v=""/>
    <x v="6"/>
    <s v="EU"/>
    <s v=""/>
    <s v="11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304"/>
    <n v="602022784"/>
    <s v="0"/>
    <s v=""/>
    <s v="43"/>
    <x v="10"/>
    <s v="EU"/>
    <s v="21"/>
    <s v="12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307"/>
    <n v="602022784"/>
    <s v="0"/>
    <s v=""/>
    <s v="52"/>
    <x v="0"/>
    <s v="EU"/>
    <s v="13"/>
    <s v="13"/>
    <s v="Scales"/>
    <n v="2126660001"/>
    <s v="2 SCALES ACROSS PER FISH"/>
    <n v="4902326"/>
    <s v="ATNARKO ESCAPEMENT - 2009"/>
    <n v="970"/>
    <s v="ATNARKO RIVER"/>
    <x v="8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n v="5428310"/>
    <n v="1786134236"/>
    <s v="*"/>
    <s v=""/>
    <s v="42"/>
    <x v="2"/>
    <s v="EU"/>
    <s v="12"/>
    <s v="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22"/>
    <n v="1786134236"/>
    <s v="*"/>
    <s v=""/>
    <s v="42"/>
    <x v="2"/>
    <s v="EU"/>
    <s v="12"/>
    <s v="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34"/>
    <n v="1786134236"/>
    <s v="*"/>
    <s v=""/>
    <s v="42"/>
    <x v="2"/>
    <s v="EU"/>
    <s v="12"/>
    <s v="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46"/>
    <n v="1786134236"/>
    <s v="*"/>
    <s v=""/>
    <s v="42"/>
    <x v="2"/>
    <s v="EU"/>
    <s v="12"/>
    <s v="1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52"/>
    <n v="1786134236"/>
    <s v="*"/>
    <s v=""/>
    <s v="42"/>
    <x v="2"/>
    <s v="EU"/>
    <s v="12"/>
    <s v="1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64"/>
    <n v="1786134236"/>
    <s v="*"/>
    <s v=""/>
    <s v="52"/>
    <x v="0"/>
    <s v="EU"/>
    <s v="13"/>
    <s v="1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70"/>
    <n v="1786134236"/>
    <s v="*"/>
    <s v=""/>
    <s v="42"/>
    <x v="2"/>
    <s v="EU"/>
    <s v="12"/>
    <s v="2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79"/>
    <n v="1786134236"/>
    <s v="*"/>
    <s v=""/>
    <s v="42"/>
    <x v="2"/>
    <s v="EU"/>
    <s v="12"/>
    <s v="2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82"/>
    <n v="1786134236"/>
    <s v="*"/>
    <s v=""/>
    <s v="42"/>
    <x v="2"/>
    <s v="EU"/>
    <s v="12"/>
    <s v="2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94"/>
    <n v="1786134236"/>
    <s v="*"/>
    <s v=""/>
    <s v="42"/>
    <x v="2"/>
    <s v="EU"/>
    <s v="12"/>
    <s v="2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397"/>
    <n v="1786134236"/>
    <s v="*"/>
    <s v=""/>
    <s v="42"/>
    <x v="2"/>
    <s v="EU"/>
    <s v="12"/>
    <s v="3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03"/>
    <n v="1786134236"/>
    <s v="*"/>
    <s v=""/>
    <s v="52"/>
    <x v="0"/>
    <s v="EU"/>
    <s v="13"/>
    <s v="3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24"/>
    <n v="1786134236"/>
    <s v="*"/>
    <s v=""/>
    <s v="42"/>
    <x v="2"/>
    <s v="EU"/>
    <s v="12"/>
    <s v="3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27"/>
    <n v="1786134236"/>
    <s v="*"/>
    <s v=""/>
    <s v="42"/>
    <x v="2"/>
    <s v="EU"/>
    <s v="12"/>
    <s v="4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39"/>
    <n v="1786134236"/>
    <s v="*"/>
    <s v=""/>
    <s v="42"/>
    <x v="2"/>
    <s v="EU"/>
    <s v="12"/>
    <s v="4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42"/>
    <n v="1786134236"/>
    <s v="*"/>
    <s v=""/>
    <s v="42"/>
    <x v="2"/>
    <s v="EU"/>
    <s v="12"/>
    <s v="4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45"/>
    <n v="1786134236"/>
    <s v="*"/>
    <s v=""/>
    <s v="42"/>
    <x v="2"/>
    <s v="EU"/>
    <s v="12"/>
    <s v="21"/>
    <s v="Scales"/>
    <n v="2126660001"/>
    <s v="2 SCALES ACROSS PER FISH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6T00:00:00"/>
    <d v="2009-09-27T00:00:00"/>
    <s v="67855"/>
  </r>
  <r>
    <n v="5428466"/>
    <n v="1786134236"/>
    <s v="*"/>
    <s v=""/>
    <s v="52"/>
    <x v="0"/>
    <s v="EU"/>
    <s v="13"/>
    <s v="5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75"/>
    <n v="1786134236"/>
    <s v="*"/>
    <s v=""/>
    <s v="42"/>
    <x v="2"/>
    <s v="EU"/>
    <s v="12"/>
    <s v="5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78"/>
    <n v="1786134236"/>
    <s v="*"/>
    <s v=""/>
    <s v="42"/>
    <x v="2"/>
    <s v="EU"/>
    <s v="12"/>
    <s v="5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93"/>
    <n v="1786134236"/>
    <s v="*"/>
    <s v=""/>
    <s v="52"/>
    <x v="0"/>
    <s v="EU"/>
    <s v="13"/>
    <s v="6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81"/>
    <n v="1786134236"/>
    <s v="*"/>
    <s v=""/>
    <s v="42"/>
    <x v="2"/>
    <s v="EU"/>
    <s v="12"/>
    <s v="5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99"/>
    <n v="1786134236"/>
    <s v="*"/>
    <s v=""/>
    <s v="53"/>
    <x v="4"/>
    <s v="EU"/>
    <s v="22"/>
    <s v="6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08"/>
    <n v="1786134236"/>
    <s v="*"/>
    <s v=""/>
    <s v="42"/>
    <x v="2"/>
    <s v="EU"/>
    <s v="12"/>
    <s v="6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11"/>
    <n v="1786134236"/>
    <s v="*"/>
    <s v=""/>
    <s v="42"/>
    <x v="2"/>
    <s v="EU"/>
    <s v="12"/>
    <s v="6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23"/>
    <n v="1786134236"/>
    <s v="*"/>
    <s v=""/>
    <s v="42"/>
    <x v="2"/>
    <s v="EU"/>
    <s v="12"/>
    <s v="7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41"/>
    <n v="1786134236"/>
    <s v="*"/>
    <s v=""/>
    <s v="42"/>
    <x v="2"/>
    <s v="EU"/>
    <s v="12"/>
    <s v="78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47"/>
    <n v="1786134236"/>
    <s v="*"/>
    <s v=""/>
    <s v="42"/>
    <x v="2"/>
    <s v="EU"/>
    <s v="12"/>
    <s v="8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50"/>
    <n v="1786134236"/>
    <s v="*"/>
    <s v=""/>
    <s v="31"/>
    <x v="7"/>
    <s v="EU"/>
    <s v="02"/>
    <s v="8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56"/>
    <n v="1786134236"/>
    <s v="*"/>
    <s v=""/>
    <s v="42"/>
    <x v="2"/>
    <s v="EU"/>
    <s v="12"/>
    <s v="83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59"/>
    <n v="1786134236"/>
    <s v="*"/>
    <s v=""/>
    <s v="42"/>
    <x v="2"/>
    <s v="EU"/>
    <s v="12"/>
    <s v="8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62"/>
    <n v="1786134236"/>
    <s v="*"/>
    <s v=""/>
    <s v="42"/>
    <x v="2"/>
    <s v="EU"/>
    <s v="12"/>
    <s v="8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65"/>
    <n v="1786134236"/>
    <s v="*"/>
    <s v=""/>
    <s v="42"/>
    <x v="2"/>
    <s v="EU"/>
    <s v="12"/>
    <s v="8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68"/>
    <n v="1786134236"/>
    <s v="*"/>
    <s v=""/>
    <s v="42"/>
    <x v="2"/>
    <s v="EU"/>
    <s v="12"/>
    <s v="87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629"/>
    <n v="1786134236"/>
    <s v=""/>
    <s v=""/>
    <s v="42"/>
    <x v="2"/>
    <s v="EU"/>
    <s v="12"/>
    <s v="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35"/>
    <n v="1786134236"/>
    <s v=""/>
    <s v=""/>
    <s v="42"/>
    <x v="2"/>
    <s v="EU"/>
    <s v="12"/>
    <s v="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38"/>
    <n v="1786134236"/>
    <s v=""/>
    <s v=""/>
    <s v="42"/>
    <x v="2"/>
    <s v="EU"/>
    <s v="12"/>
    <s v="5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577"/>
    <n v="1786134236"/>
    <s v="*"/>
    <s v=""/>
    <s v="42"/>
    <x v="2"/>
    <s v="EU"/>
    <s v="12"/>
    <s v="90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229"/>
    <n v="898726696"/>
    <s v=""/>
    <s v="RG"/>
    <s v="2M"/>
    <x v="3"/>
    <s v="MY"/>
    <s v="2"/>
    <s v="22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n v="5428794"/>
    <n v="1786134236"/>
    <s v=""/>
    <s v=""/>
    <s v="52"/>
    <x v="0"/>
    <s v="EU"/>
    <s v="13"/>
    <s v="56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73"/>
    <n v="1786134236"/>
    <s v=""/>
    <s v=""/>
    <s v="42"/>
    <x v="2"/>
    <s v="EU"/>
    <s v="12"/>
    <s v="4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313"/>
    <n v="1786134236"/>
    <s v="*"/>
    <s v=""/>
    <s v="42"/>
    <x v="2"/>
    <s v="EU"/>
    <s v="12"/>
    <s v="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14"/>
    <n v="1786134236"/>
    <s v="*"/>
    <s v=""/>
    <s v="52"/>
    <x v="0"/>
    <s v="EU"/>
    <s v="13"/>
    <s v="69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53"/>
    <n v="1786134236"/>
    <s v="*"/>
    <s v=""/>
    <s v="42"/>
    <x v="2"/>
    <s v="EU"/>
    <s v="12"/>
    <s v="8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469"/>
    <n v="1786134236"/>
    <s v="*"/>
    <s v=""/>
    <s v="42"/>
    <x v="2"/>
    <s v="EU"/>
    <s v="12"/>
    <s v="5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580"/>
    <n v="1786134236"/>
    <s v="*"/>
    <s v=""/>
    <s v="42"/>
    <x v="2"/>
    <s v="EU"/>
    <s v="12"/>
    <s v="91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n v="5428241"/>
    <n v="898726696"/>
    <s v="0"/>
    <s v=""/>
    <s v="52"/>
    <x v="0"/>
    <s v="EU"/>
    <s v="13"/>
    <s v="2"/>
    <s v="Scales"/>
    <n v="2126660001"/>
    <s v="2 SCALES ACROSS PER FISH"/>
    <n v="4902326"/>
    <s v="ATNARKO ESCAPEMENT - 2009"/>
    <n v="968"/>
    <s v="BELLA COOLA RIVER"/>
    <x v="8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n v="5428818"/>
    <n v="1786134236"/>
    <s v=""/>
    <s v=""/>
    <s v="42"/>
    <x v="2"/>
    <s v="EU"/>
    <s v="12"/>
    <s v="64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692"/>
    <n v="1786134236"/>
    <s v=""/>
    <s v=""/>
    <s v="52"/>
    <x v="0"/>
    <s v="EU"/>
    <s v="13"/>
    <s v="2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5428722"/>
    <n v="1786134236"/>
    <s v=""/>
    <s v=""/>
    <s v="52"/>
    <x v="0"/>
    <s v="EU"/>
    <s v="13"/>
    <s v="32"/>
    <s v="Otolith - Surface"/>
    <n v="2126660002"/>
    <s v="1 OTOLITH ACROSS (TRAY)"/>
    <n v="4902326"/>
    <s v="ATNARKO ESCAPEMENT - 2009"/>
    <n v="970"/>
    <s v="ATNARKO RIVER"/>
    <x v="8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n v="12229826"/>
    <n v="1866745137"/>
    <s v=""/>
    <s v=""/>
    <s v="32"/>
    <x v="11"/>
    <s v="EU"/>
    <s v="11"/>
    <s v="10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820"/>
    <n v="1866745137"/>
    <s v=""/>
    <s v="UD"/>
    <s v=""/>
    <x v="6"/>
    <s v="EU"/>
    <s v=""/>
    <s v="8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802"/>
    <n v="1866745137"/>
    <s v=""/>
    <s v=""/>
    <s v="52"/>
    <x v="0"/>
    <s v="EU"/>
    <s v="13"/>
    <s v="2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823"/>
    <n v="1866745137"/>
    <s v="0"/>
    <s v=""/>
    <s v="42"/>
    <x v="2"/>
    <s v="EU"/>
    <s v="12"/>
    <s v="9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805"/>
    <n v="1866745137"/>
    <s v=""/>
    <s v="RG"/>
    <s v="2M"/>
    <x v="3"/>
    <s v="MY"/>
    <s v="2"/>
    <s v="3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808"/>
    <n v="1866745137"/>
    <s v="0"/>
    <s v=""/>
    <s v="42"/>
    <x v="2"/>
    <s v="EU"/>
    <s v="12"/>
    <s v="4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799"/>
    <n v="1866745137"/>
    <s v="0"/>
    <s v=""/>
    <s v="52"/>
    <x v="0"/>
    <s v="EU"/>
    <s v="13"/>
    <s v="1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12229817"/>
    <n v="1866745137"/>
    <s v="0"/>
    <s v=""/>
    <s v="42"/>
    <x v="2"/>
    <s v="EU"/>
    <s v="12"/>
    <s v="7"/>
    <s v="Scales"/>
    <n v="2126660001"/>
    <s v="5 SCALES DOWN PER FISH"/>
    <n v="11707560"/>
    <s v="BELLA COOLA FN (IN RIVER NET) - 2021"/>
    <n v="968"/>
    <s v="BELLA COOLA RIVER"/>
    <x v="9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n v="-1006210545"/>
    <n v="-1000027693"/>
    <s v=""/>
    <s v=""/>
    <s v="42"/>
    <x v="2"/>
    <s v="EU"/>
    <s v="12"/>
    <s v="18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35"/>
    <n v="-1000027693"/>
    <s v=""/>
    <s v=""/>
    <s v="52"/>
    <x v="0"/>
    <s v="EU"/>
    <s v="13"/>
    <s v="23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47"/>
    <n v="-1000027693"/>
    <s v=""/>
    <s v=""/>
    <s v="53"/>
    <x v="4"/>
    <s v="EU"/>
    <s v="22"/>
    <s v="17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61"/>
    <n v="-1000027693"/>
    <s v=""/>
    <s v=""/>
    <s v="3M"/>
    <x v="5"/>
    <s v="MY"/>
    <s v="3"/>
    <s v="10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67"/>
    <n v="-1000027693"/>
    <s v=""/>
    <s v=""/>
    <s v="42"/>
    <x v="2"/>
    <s v="EU"/>
    <s v="12"/>
    <s v="7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69"/>
    <n v="-1000027693"/>
    <s v=""/>
    <s v=""/>
    <s v="52"/>
    <x v="0"/>
    <s v="EU"/>
    <s v="13"/>
    <s v="6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73"/>
    <n v="-1000027693"/>
    <s v=""/>
    <s v=""/>
    <s v="42"/>
    <x v="2"/>
    <s v="EU"/>
    <s v="12"/>
    <s v="4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77"/>
    <n v="-1000027693"/>
    <s v=""/>
    <s v=""/>
    <s v="42"/>
    <x v="2"/>
    <s v="EU"/>
    <s v="12"/>
    <s v="2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79"/>
    <n v="-1000027693"/>
    <s v=""/>
    <s v=""/>
    <s v="42"/>
    <x v="2"/>
    <s v="EU"/>
    <s v="12"/>
    <s v="1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81"/>
    <n v="-1000027693"/>
    <s v=""/>
    <s v=""/>
    <s v="42"/>
    <x v="2"/>
    <s v="EU"/>
    <s v="12"/>
    <s v="25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85"/>
    <n v="-1000027693"/>
    <s v=""/>
    <s v=""/>
    <s v="42"/>
    <x v="2"/>
    <s v="EU"/>
    <s v="12"/>
    <s v="23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91"/>
    <n v="-1000027693"/>
    <s v=""/>
    <s v=""/>
    <s v="52"/>
    <x v="0"/>
    <s v="EU"/>
    <s v="13"/>
    <s v="20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93"/>
    <n v="-1000027693"/>
    <s v=""/>
    <s v=""/>
    <s v="42"/>
    <x v="2"/>
    <s v="EU"/>
    <s v="12"/>
    <s v="19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97"/>
    <n v="-1000027693"/>
    <s v=""/>
    <s v=""/>
    <s v="42"/>
    <x v="2"/>
    <s v="EU"/>
    <s v="12"/>
    <s v="17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23"/>
    <n v="-1000027693"/>
    <s v=""/>
    <s v=""/>
    <s v="42"/>
    <x v="2"/>
    <s v="EU"/>
    <s v="12"/>
    <s v="4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29"/>
    <n v="-1000027693"/>
    <s v=""/>
    <s v="W"/>
    <s v=""/>
    <x v="6"/>
    <s v=""/>
    <s v=""/>
    <s v="1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31"/>
    <n v="-1000027693"/>
    <s v=""/>
    <s v=""/>
    <s v="2M"/>
    <x v="3"/>
    <s v="MY"/>
    <s v="2"/>
    <s v="25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11"/>
    <n v="-1000027693"/>
    <s v=""/>
    <s v="RG"/>
    <s v=""/>
    <x v="6"/>
    <s v=""/>
    <s v=""/>
    <s v="10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71"/>
    <n v="-1000027693"/>
    <s v=""/>
    <s v=""/>
    <s v="42"/>
    <x v="2"/>
    <s v="EU"/>
    <s v="12"/>
    <s v="5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21"/>
    <n v="-1000027693"/>
    <s v=""/>
    <s v=""/>
    <s v="2M"/>
    <x v="3"/>
    <s v="MY"/>
    <s v="2"/>
    <s v="5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33"/>
    <n v="-1000027693"/>
    <s v=""/>
    <s v=""/>
    <s v="52"/>
    <x v="0"/>
    <s v="EU"/>
    <s v="13"/>
    <s v="24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37"/>
    <n v="-1000027693"/>
    <s v=""/>
    <s v=""/>
    <s v="63"/>
    <x v="8"/>
    <s v="EU"/>
    <s v="23"/>
    <s v="22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99"/>
    <n v="-1000027693"/>
    <s v=""/>
    <s v=""/>
    <s v="42"/>
    <x v="2"/>
    <s v="EU"/>
    <s v="12"/>
    <s v="16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95"/>
    <n v="-1000027693"/>
    <s v=""/>
    <s v=""/>
    <s v="42"/>
    <x v="2"/>
    <s v="EU"/>
    <s v="12"/>
    <s v="18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17"/>
    <n v="-1000027693"/>
    <s v=""/>
    <s v=""/>
    <s v="42"/>
    <x v="2"/>
    <s v="EU"/>
    <s v="12"/>
    <s v="7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43"/>
    <n v="-1000027693"/>
    <s v=""/>
    <s v=""/>
    <s v="42"/>
    <x v="2"/>
    <s v="EU"/>
    <s v="12"/>
    <s v="19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53"/>
    <n v="-1000027693"/>
    <s v=""/>
    <s v=""/>
    <s v="42"/>
    <x v="2"/>
    <s v="EU"/>
    <s v="12"/>
    <s v="14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63"/>
    <n v="-1000027693"/>
    <s v=""/>
    <s v=""/>
    <s v="63"/>
    <x v="8"/>
    <s v="EU"/>
    <s v="23"/>
    <s v="9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25"/>
    <n v="-1000027693"/>
    <s v=""/>
    <s v=""/>
    <s v="63"/>
    <x v="8"/>
    <s v="EU"/>
    <s v="23"/>
    <s v="3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03"/>
    <n v="-1000027693"/>
    <s v=""/>
    <s v=""/>
    <s v="53"/>
    <x v="4"/>
    <s v="EU"/>
    <s v="22"/>
    <s v="14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49"/>
    <n v="-1000027693"/>
    <s v=""/>
    <s v=""/>
    <s v="42"/>
    <x v="2"/>
    <s v="EU"/>
    <s v="12"/>
    <s v="16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87"/>
    <n v="-1000027693"/>
    <s v=""/>
    <s v=""/>
    <s v="2M"/>
    <x v="3"/>
    <s v="MY"/>
    <s v="2"/>
    <s v="22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51"/>
    <n v="-1000027693"/>
    <s v=""/>
    <s v="RG"/>
    <s v=""/>
    <x v="6"/>
    <s v=""/>
    <s v=""/>
    <s v="15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39"/>
    <n v="-1000027693"/>
    <s v=""/>
    <s v=""/>
    <s v="52"/>
    <x v="0"/>
    <s v="EU"/>
    <s v="13"/>
    <s v="21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41"/>
    <n v="-1000027693"/>
    <s v=""/>
    <s v=""/>
    <s v="53"/>
    <x v="4"/>
    <s v="EU"/>
    <s v="22"/>
    <s v="20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01"/>
    <n v="-1000027693"/>
    <s v=""/>
    <s v=""/>
    <s v="3M"/>
    <x v="5"/>
    <s v="MY"/>
    <s v="3"/>
    <s v="15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57"/>
    <n v="-1000027693"/>
    <s v=""/>
    <s v=""/>
    <s v="42"/>
    <x v="2"/>
    <s v="EU"/>
    <s v="12"/>
    <s v="12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07"/>
    <n v="-1000027693"/>
    <s v=""/>
    <s v=""/>
    <s v="42"/>
    <x v="2"/>
    <s v="EU"/>
    <s v="12"/>
    <s v="12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89"/>
    <n v="-1000027693"/>
    <s v=""/>
    <s v=""/>
    <s v="42"/>
    <x v="2"/>
    <s v="EU"/>
    <s v="12"/>
    <s v="21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05"/>
    <n v="-1000027693"/>
    <s v=""/>
    <s v=""/>
    <s v="52"/>
    <x v="0"/>
    <s v="EU"/>
    <s v="13"/>
    <s v="13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27"/>
    <n v="-1000027693"/>
    <s v=""/>
    <s v=""/>
    <s v="42"/>
    <x v="2"/>
    <s v="EU"/>
    <s v="12"/>
    <s v="2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55"/>
    <n v="-1000027693"/>
    <s v=""/>
    <s v=""/>
    <s v="42"/>
    <x v="2"/>
    <s v="EU"/>
    <s v="12"/>
    <s v="13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13"/>
    <n v="-1000027693"/>
    <s v=""/>
    <s v=""/>
    <s v="42"/>
    <x v="2"/>
    <s v="EU"/>
    <s v="12"/>
    <s v="9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75"/>
    <n v="-1000027693"/>
    <s v=""/>
    <s v=""/>
    <s v="42"/>
    <x v="2"/>
    <s v="EU"/>
    <s v="12"/>
    <s v="3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583"/>
    <n v="-1000027693"/>
    <s v=""/>
    <s v=""/>
    <s v="42"/>
    <x v="2"/>
    <s v="EU"/>
    <s v="12"/>
    <s v="24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15"/>
    <n v="-1000027693"/>
    <s v=""/>
    <s v=""/>
    <s v="2M"/>
    <x v="3"/>
    <s v="MY"/>
    <s v="2"/>
    <s v="8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609"/>
    <n v="-1000027693"/>
    <s v=""/>
    <s v=""/>
    <s v="42"/>
    <x v="2"/>
    <s v="EU"/>
    <s v="12"/>
    <s v="11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59"/>
    <n v="-1000027693"/>
    <s v=""/>
    <s v=""/>
    <s v="42"/>
    <x v="2"/>
    <s v="EU"/>
    <s v="12"/>
    <s v="11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-1006210619"/>
    <n v="-1000027693"/>
    <s v=""/>
    <s v=""/>
    <s v="42"/>
    <x v="2"/>
    <s v="EU"/>
    <s v="12"/>
    <s v="6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3"/>
  </r>
  <r>
    <n v="-1006210565"/>
    <n v="-1000027693"/>
    <s v=""/>
    <s v=""/>
    <s v="42"/>
    <x v="2"/>
    <s v="EU"/>
    <s v="12"/>
    <s v="8"/>
    <s v="Scales"/>
    <n v="2126660001"/>
    <s v="2 SCALES ACROSS PER FISH"/>
    <n v="-1000000931"/>
    <s v="BELLA COOLA COMMERCIAL SAMPLING PROGRAM-2000"/>
    <n v="3109"/>
    <s v="8"/>
    <x v="10"/>
    <s v="215"/>
    <n v="1"/>
    <s v="SOCKEYE SALMON"/>
    <n v="2086090003"/>
    <x v="2"/>
    <n v="10"/>
    <s v="Salmon Gillnet, Commercial"/>
    <s v="Adult"/>
    <d v="2000-07-24T00:00:00"/>
    <d v="2000-07-25T00:00:00"/>
    <s v="2000310521578932"/>
  </r>
  <r>
    <n v="9852703"/>
    <n v="207934288"/>
    <s v="0"/>
    <s v=""/>
    <s v="52"/>
    <x v="0"/>
    <s v="EU"/>
    <s v="13"/>
    <s v="13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79"/>
    <n v="207934288"/>
    <s v=""/>
    <s v=""/>
    <s v="52"/>
    <x v="0"/>
    <s v="EU"/>
    <s v="13"/>
    <s v="5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06"/>
    <n v="207934288"/>
    <s v="0"/>
    <s v=""/>
    <s v="42"/>
    <x v="2"/>
    <s v="EU"/>
    <s v="12"/>
    <s v="14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15"/>
    <n v="207934288"/>
    <s v="0"/>
    <s v=""/>
    <s v="42"/>
    <x v="2"/>
    <s v="EU"/>
    <s v="12"/>
    <s v="17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24"/>
    <n v="207934288"/>
    <s v="0"/>
    <s v=""/>
    <s v="42"/>
    <x v="2"/>
    <s v="EU"/>
    <s v="12"/>
    <s v="20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67"/>
    <n v="207934288"/>
    <s v=""/>
    <s v=""/>
    <s v="42"/>
    <x v="2"/>
    <s v="EU"/>
    <s v="12"/>
    <s v="1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76"/>
    <n v="207934288"/>
    <s v=""/>
    <s v=""/>
    <s v="52"/>
    <x v="0"/>
    <s v="EU"/>
    <s v="13"/>
    <s v="4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82"/>
    <n v="207934288"/>
    <s v="0"/>
    <s v=""/>
    <s v="52"/>
    <x v="0"/>
    <s v="EU"/>
    <s v="13"/>
    <s v="6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85"/>
    <n v="207934288"/>
    <s v=""/>
    <s v=""/>
    <s v="42"/>
    <x v="2"/>
    <s v="EU"/>
    <s v="12"/>
    <s v="7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88"/>
    <n v="207934288"/>
    <s v="0"/>
    <s v=""/>
    <s v="42"/>
    <x v="2"/>
    <s v="EU"/>
    <s v="12"/>
    <s v="8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00"/>
    <n v="207934288"/>
    <s v="0"/>
    <s v=""/>
    <s v="42"/>
    <x v="2"/>
    <s v="EU"/>
    <s v="12"/>
    <s v="12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18"/>
    <n v="207934288"/>
    <s v="0"/>
    <s v=""/>
    <s v="42"/>
    <x v="2"/>
    <s v="EU"/>
    <s v="12"/>
    <s v="18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33"/>
    <n v="207934288"/>
    <s v="0"/>
    <s v=""/>
    <s v="52"/>
    <x v="0"/>
    <s v="EU"/>
    <s v="13"/>
    <s v="23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91"/>
    <n v="207934288"/>
    <s v="0"/>
    <s v=""/>
    <s v="42"/>
    <x v="2"/>
    <s v="EU"/>
    <s v="12"/>
    <s v="9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36"/>
    <n v="207934288"/>
    <s v="0"/>
    <s v=""/>
    <s v="52"/>
    <x v="0"/>
    <s v="EU"/>
    <s v="13"/>
    <s v="24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12"/>
    <n v="207934288"/>
    <s v="0"/>
    <s v=""/>
    <s v="31"/>
    <x v="7"/>
    <s v="EU"/>
    <s v="02"/>
    <s v="16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21"/>
    <n v="207934288"/>
    <s v="0"/>
    <s v=""/>
    <s v="52"/>
    <x v="0"/>
    <s v="EU"/>
    <s v="13"/>
    <s v="19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39"/>
    <n v="207934288"/>
    <s v="0"/>
    <s v=""/>
    <s v="42"/>
    <x v="2"/>
    <s v="EU"/>
    <s v="12"/>
    <s v="25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94"/>
    <n v="207934288"/>
    <s v="0"/>
    <s v=""/>
    <s v="52"/>
    <x v="0"/>
    <s v="EU"/>
    <s v="13"/>
    <s v="10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09"/>
    <n v="207934288"/>
    <s v="0"/>
    <s v=""/>
    <s v="42"/>
    <x v="2"/>
    <s v="EU"/>
    <s v="12"/>
    <s v="15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97"/>
    <n v="207934288"/>
    <s v=""/>
    <s v=""/>
    <s v="52"/>
    <x v="0"/>
    <s v="EU"/>
    <s v="13"/>
    <s v="11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730"/>
    <n v="207934288"/>
    <s v="0"/>
    <s v=""/>
    <s v="42"/>
    <x v="2"/>
    <s v="EU"/>
    <s v="12"/>
    <s v="22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9852670"/>
    <n v="207934288"/>
    <s v=""/>
    <s v=""/>
    <s v="52"/>
    <x v="0"/>
    <s v="EU"/>
    <s v="13"/>
    <s v="2"/>
    <s v="Scales"/>
    <n v="2126660001"/>
    <s v="2 SCALES ACROSS PER FISH"/>
    <n v="9269728"/>
    <s v="BELLA COOLA FN (IN RIVER NET) - 2016"/>
    <n v="968"/>
    <s v="BELLA COOLA RIVER"/>
    <x v="11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n v="10915107"/>
    <n v="590391828"/>
    <s v=""/>
    <s v="RG"/>
    <s v="2M"/>
    <x v="3"/>
    <s v="MY"/>
    <s v="2"/>
    <s v="13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13"/>
    <n v="590391828"/>
    <s v=""/>
    <s v="W"/>
    <s v=""/>
    <x v="6"/>
    <s v="EU"/>
    <s v=""/>
    <s v="15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16"/>
    <n v="590391828"/>
    <s v=""/>
    <s v=""/>
    <s v="42"/>
    <x v="2"/>
    <s v="EU"/>
    <s v="12"/>
    <s v="16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22"/>
    <n v="590391828"/>
    <s v=""/>
    <s v=""/>
    <s v="42"/>
    <x v="2"/>
    <s v="EU"/>
    <s v="12"/>
    <s v="18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46"/>
    <n v="590391828"/>
    <s v=""/>
    <s v=""/>
    <s v="41"/>
    <x v="1"/>
    <s v="EU"/>
    <s v="03"/>
    <s v="1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64"/>
    <n v="590391828"/>
    <s v=""/>
    <s v=""/>
    <s v="42"/>
    <x v="2"/>
    <s v="EU"/>
    <s v="12"/>
    <s v="7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91"/>
    <n v="590391828"/>
    <s v=""/>
    <s v="RG"/>
    <s v="2M"/>
    <x v="3"/>
    <s v="MY"/>
    <s v="2"/>
    <s v="16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200"/>
    <n v="590391828"/>
    <s v="0"/>
    <s v="UF"/>
    <s v="3M"/>
    <x v="5"/>
    <s v="MY"/>
    <s v="3"/>
    <s v="19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077"/>
    <n v="590391828"/>
    <s v=""/>
    <s v=""/>
    <s v="52"/>
    <x v="0"/>
    <s v="EU"/>
    <s v="13"/>
    <s v="3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092"/>
    <n v="590391828"/>
    <s v=""/>
    <s v=""/>
    <s v="42"/>
    <x v="2"/>
    <s v="EU"/>
    <s v="12"/>
    <s v="8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080"/>
    <n v="590391828"/>
    <s v=""/>
    <s v=""/>
    <s v="42"/>
    <x v="2"/>
    <s v="EU"/>
    <s v="12"/>
    <s v="4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098"/>
    <n v="590391828"/>
    <s v=""/>
    <s v=""/>
    <s v="52"/>
    <x v="0"/>
    <s v="EU"/>
    <s v="13"/>
    <s v="10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074"/>
    <n v="590391828"/>
    <s v=""/>
    <s v=""/>
    <s v="42"/>
    <x v="2"/>
    <s v="EU"/>
    <s v="12"/>
    <s v="2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25"/>
    <n v="590391828"/>
    <s v=""/>
    <s v=""/>
    <s v="52"/>
    <x v="0"/>
    <s v="EU"/>
    <s v="13"/>
    <s v="19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31"/>
    <n v="590391828"/>
    <s v=""/>
    <s v="RG"/>
    <s v="2M"/>
    <x v="3"/>
    <s v="MY"/>
    <s v="2"/>
    <s v="21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79"/>
    <n v="590391828"/>
    <s v=""/>
    <s v="RG"/>
    <s v="2M"/>
    <x v="3"/>
    <s v="MY"/>
    <s v="2"/>
    <s v="12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086"/>
    <n v="590391828"/>
    <s v=""/>
    <s v=""/>
    <s v="42"/>
    <x v="2"/>
    <s v="EU"/>
    <s v="12"/>
    <s v="6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70"/>
    <n v="590391828"/>
    <s v=""/>
    <s v="RG"/>
    <s v="2M"/>
    <x v="3"/>
    <s v="MY"/>
    <s v="2"/>
    <s v="9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61"/>
    <n v="590391828"/>
    <s v=""/>
    <s v=""/>
    <s v="42"/>
    <x v="2"/>
    <s v="EU"/>
    <s v="12"/>
    <s v="6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206"/>
    <n v="590391828"/>
    <s v=""/>
    <s v="MF"/>
    <s v=""/>
    <x v="6"/>
    <s v="EU"/>
    <s v=""/>
    <s v="21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089"/>
    <n v="590391828"/>
    <s v=""/>
    <s v=""/>
    <s v="52"/>
    <x v="0"/>
    <s v="EU"/>
    <s v="13"/>
    <s v="7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203"/>
    <n v="590391828"/>
    <s v="0"/>
    <s v=""/>
    <s v="42"/>
    <x v="2"/>
    <s v="EU"/>
    <s v="12"/>
    <s v="20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19"/>
    <n v="590391828"/>
    <s v=""/>
    <s v=""/>
    <s v="42"/>
    <x v="2"/>
    <s v="EU"/>
    <s v="12"/>
    <s v="17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97"/>
    <n v="590391828"/>
    <s v="0"/>
    <s v="W"/>
    <s v="2M"/>
    <x v="3"/>
    <s v="MY"/>
    <s v="2"/>
    <s v="18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40"/>
    <n v="590391828"/>
    <s v=""/>
    <s v="RG"/>
    <s v="2M"/>
    <x v="3"/>
    <s v="MY"/>
    <s v="2"/>
    <s v="24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28"/>
    <n v="590391828"/>
    <s v=""/>
    <s v=""/>
    <s v="42"/>
    <x v="2"/>
    <s v="EU"/>
    <s v="12"/>
    <s v="20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82"/>
    <n v="590391828"/>
    <s v="0"/>
    <s v=""/>
    <s v="53"/>
    <x v="4"/>
    <s v="EU"/>
    <s v="22"/>
    <s v="13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73"/>
    <n v="590391828"/>
    <s v="0"/>
    <s v=""/>
    <s v="42"/>
    <x v="2"/>
    <s v="EU"/>
    <s v="12"/>
    <s v="10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083"/>
    <n v="590391828"/>
    <s v=""/>
    <s v="RG"/>
    <s v="3M"/>
    <x v="5"/>
    <s v="MY"/>
    <s v="3"/>
    <s v="5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095"/>
    <n v="590391828"/>
    <s v=""/>
    <s v=""/>
    <s v="52"/>
    <x v="0"/>
    <s v="EU"/>
    <s v="13"/>
    <s v="9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43"/>
    <n v="590391828"/>
    <s v=""/>
    <s v=""/>
    <s v="42"/>
    <x v="2"/>
    <s v="EU"/>
    <s v="12"/>
    <s v="25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37"/>
    <n v="590391828"/>
    <s v=""/>
    <s v=""/>
    <s v="42"/>
    <x v="2"/>
    <s v="EU"/>
    <s v="12"/>
    <s v="23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52"/>
    <n v="590391828"/>
    <s v=""/>
    <s v=""/>
    <s v="41"/>
    <x v="1"/>
    <s v="EU"/>
    <s v="03"/>
    <s v="3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55"/>
    <n v="590391828"/>
    <s v=""/>
    <s v=""/>
    <s v="42"/>
    <x v="2"/>
    <s v="EU"/>
    <s v="12"/>
    <s v="4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76"/>
    <n v="590391828"/>
    <s v="0"/>
    <s v=""/>
    <s v="52"/>
    <x v="0"/>
    <s v="EU"/>
    <s v="13"/>
    <s v="11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071"/>
    <n v="590391828"/>
    <s v=""/>
    <s v=""/>
    <s v="42"/>
    <x v="2"/>
    <s v="EU"/>
    <s v="12"/>
    <s v="1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58"/>
    <n v="590391828"/>
    <s v="0"/>
    <s v=""/>
    <s v="53"/>
    <x v="4"/>
    <s v="EU"/>
    <s v="22"/>
    <s v="5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34"/>
    <n v="590391828"/>
    <s v=""/>
    <s v=""/>
    <s v="42"/>
    <x v="2"/>
    <s v="EU"/>
    <s v="12"/>
    <s v="22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67"/>
    <n v="590391828"/>
    <s v=""/>
    <s v=""/>
    <s v="42"/>
    <x v="2"/>
    <s v="EU"/>
    <s v="12"/>
    <s v="8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10"/>
    <n v="590391828"/>
    <s v=""/>
    <s v=""/>
    <s v="52"/>
    <x v="0"/>
    <s v="EU"/>
    <s v="13"/>
    <s v="14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04"/>
    <n v="590391828"/>
    <s v=""/>
    <s v="RG"/>
    <s v="3M"/>
    <x v="5"/>
    <s v="MY"/>
    <s v="3"/>
    <s v="12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01"/>
    <n v="590391828"/>
    <s v=""/>
    <s v=""/>
    <s v="52"/>
    <x v="0"/>
    <s v="EU"/>
    <s v="13"/>
    <s v="11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n v="10915185"/>
    <n v="590391828"/>
    <s v="0"/>
    <s v=""/>
    <s v="42"/>
    <x v="2"/>
    <s v="EU"/>
    <s v="12"/>
    <s v="14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15188"/>
    <n v="590391828"/>
    <s v="0"/>
    <s v=""/>
    <s v="42"/>
    <x v="2"/>
    <s v="EU"/>
    <s v="12"/>
    <s v="15"/>
    <s v="Scales"/>
    <n v="2126660001"/>
    <s v="2 SCALES ACROSS PER FISH"/>
    <n v="10391446"/>
    <s v="BELLA COOLA FN (IN RIVER NET) - 2018"/>
    <n v="968"/>
    <s v="BELLA COOLA RIVER"/>
    <x v="12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n v="10929034"/>
    <n v="589865286"/>
    <s v=""/>
    <s v=""/>
    <s v="42"/>
    <x v="2"/>
    <s v="EU"/>
    <s v="12"/>
    <s v="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37"/>
    <n v="589865286"/>
    <s v=""/>
    <s v=""/>
    <s v="42"/>
    <x v="2"/>
    <s v="EU"/>
    <s v="12"/>
    <s v="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61"/>
    <n v="589865286"/>
    <s v=""/>
    <s v=""/>
    <s v="42"/>
    <x v="2"/>
    <s v="EU"/>
    <s v="12"/>
    <s v="1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73"/>
    <n v="589865286"/>
    <s v=""/>
    <s v=""/>
    <s v="42"/>
    <x v="2"/>
    <s v="EU"/>
    <s v="12"/>
    <s v="1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76"/>
    <n v="589865286"/>
    <s v=""/>
    <s v=""/>
    <s v="42"/>
    <x v="2"/>
    <s v="EU"/>
    <s v="12"/>
    <s v="1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610"/>
    <n v="1547164108"/>
    <s v=""/>
    <s v=""/>
    <s v="42"/>
    <x v="2"/>
    <s v="EU"/>
    <s v="12"/>
    <s v="6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43"/>
    <n v="1547164108"/>
    <s v=""/>
    <s v=""/>
    <s v="42"/>
    <x v="2"/>
    <s v="EU"/>
    <s v="12"/>
    <s v="7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09"/>
    <n v="589865286"/>
    <s v=""/>
    <s v=""/>
    <s v="42"/>
    <x v="2"/>
    <s v="EU"/>
    <s v="12"/>
    <s v="2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18"/>
    <n v="589865286"/>
    <s v=""/>
    <s v=""/>
    <s v="52"/>
    <x v="0"/>
    <s v="EU"/>
    <s v="13"/>
    <s v="3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24"/>
    <n v="589865286"/>
    <s v=""/>
    <s v=""/>
    <s v="52"/>
    <x v="0"/>
    <s v="EU"/>
    <s v="13"/>
    <s v="3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42"/>
    <n v="589865286"/>
    <s v=""/>
    <s v=""/>
    <s v="42"/>
    <x v="2"/>
    <s v="EU"/>
    <s v="12"/>
    <s v="3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1344579"/>
    <n v="1261461742"/>
    <s v=""/>
    <s v=""/>
    <s v="52"/>
    <x v="0"/>
    <s v="EU"/>
    <s v="13"/>
    <s v="2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61"/>
    <n v="1261461742"/>
    <s v=""/>
    <s v=""/>
    <s v="42"/>
    <x v="2"/>
    <s v="EU"/>
    <s v="12"/>
    <s v="18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85"/>
    <n v="1261461742"/>
    <s v=""/>
    <s v=""/>
    <s v="42"/>
    <x v="2"/>
    <s v="EU"/>
    <s v="12"/>
    <s v="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91"/>
    <n v="1261461742"/>
    <s v=""/>
    <s v=""/>
    <s v="52"/>
    <x v="0"/>
    <s v="EU"/>
    <s v="13"/>
    <s v="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00"/>
    <n v="1261461742"/>
    <s v=""/>
    <s v="RG"/>
    <s v="3M"/>
    <x v="5"/>
    <s v="MY"/>
    <s v="3"/>
    <s v="6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06"/>
    <n v="1261461742"/>
    <s v=""/>
    <s v=""/>
    <s v="42"/>
    <x v="2"/>
    <s v="EU"/>
    <s v="12"/>
    <s v="8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09"/>
    <n v="1261461742"/>
    <s v=""/>
    <s v=""/>
    <s v="42"/>
    <x v="2"/>
    <s v="EU"/>
    <s v="12"/>
    <s v="9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18"/>
    <n v="1261461742"/>
    <s v=""/>
    <s v=""/>
    <s v="52"/>
    <x v="0"/>
    <s v="EU"/>
    <s v="13"/>
    <s v="1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21"/>
    <n v="1261461742"/>
    <s v=""/>
    <s v=""/>
    <s v="52"/>
    <x v="0"/>
    <s v="EU"/>
    <s v="13"/>
    <s v="1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24"/>
    <n v="1261461742"/>
    <s v=""/>
    <s v=""/>
    <s v="63"/>
    <x v="8"/>
    <s v="EU"/>
    <s v="23"/>
    <s v="1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33"/>
    <n v="1261461742"/>
    <s v=""/>
    <s v=""/>
    <s v="42"/>
    <x v="2"/>
    <s v="EU"/>
    <s v="12"/>
    <s v="17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48"/>
    <n v="1261461742"/>
    <s v=""/>
    <s v=""/>
    <s v="42"/>
    <x v="2"/>
    <s v="EU"/>
    <s v="12"/>
    <s v="2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57"/>
    <n v="1261461742"/>
    <s v=""/>
    <s v=""/>
    <s v="42"/>
    <x v="2"/>
    <s v="EU"/>
    <s v="12"/>
    <s v="2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87"/>
    <n v="1261461742"/>
    <s v=""/>
    <s v="RG"/>
    <s v="2M"/>
    <x v="3"/>
    <s v="MY"/>
    <s v="2"/>
    <s v="10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93"/>
    <n v="1261461742"/>
    <s v=""/>
    <s v=""/>
    <s v="42"/>
    <x v="2"/>
    <s v="EU"/>
    <s v="12"/>
    <s v="1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05"/>
    <n v="1261461742"/>
    <s v=""/>
    <s v="RG"/>
    <s v="2M"/>
    <x v="3"/>
    <s v="MY"/>
    <s v="2"/>
    <s v="16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08"/>
    <n v="1261461742"/>
    <s v=""/>
    <s v=""/>
    <s v="42"/>
    <x v="2"/>
    <s v="EU"/>
    <s v="12"/>
    <s v="17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11"/>
    <n v="1261461742"/>
    <s v=""/>
    <s v=""/>
    <s v="42"/>
    <x v="2"/>
    <s v="EU"/>
    <s v="12"/>
    <s v="18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14"/>
    <n v="1261461742"/>
    <s v=""/>
    <s v="RG"/>
    <s v=""/>
    <x v="6"/>
    <s v="EU"/>
    <s v=""/>
    <s v="19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17"/>
    <n v="1261461742"/>
    <s v=""/>
    <s v=""/>
    <s v="42"/>
    <x v="2"/>
    <s v="EU"/>
    <s v="12"/>
    <s v="20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23"/>
    <n v="1261461742"/>
    <s v=""/>
    <s v=""/>
    <s v="42"/>
    <x v="2"/>
    <s v="EU"/>
    <s v="12"/>
    <s v="2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29"/>
    <n v="1261461742"/>
    <s v=""/>
    <s v=""/>
    <s v="42"/>
    <x v="2"/>
    <s v="EU"/>
    <s v="12"/>
    <s v="2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543"/>
    <n v="1261461742"/>
    <s v=""/>
    <s v=""/>
    <s v="42"/>
    <x v="2"/>
    <s v="EU"/>
    <s v="12"/>
    <s v="1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63"/>
    <n v="1261461742"/>
    <s v=""/>
    <s v="RG"/>
    <s v="3M"/>
    <x v="5"/>
    <s v="MY"/>
    <s v="3"/>
    <s v="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66"/>
    <n v="1261461742"/>
    <s v=""/>
    <s v=""/>
    <s v="42"/>
    <x v="2"/>
    <s v="EU"/>
    <s v="12"/>
    <s v="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84"/>
    <n v="1261461742"/>
    <s v=""/>
    <s v=""/>
    <s v="42"/>
    <x v="2"/>
    <s v="EU"/>
    <s v="12"/>
    <s v="9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30"/>
    <n v="1261461742"/>
    <s v=""/>
    <s v="RG"/>
    <s v="2M"/>
    <x v="3"/>
    <s v="MY"/>
    <s v="2"/>
    <s v="16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732"/>
    <n v="1261461742"/>
    <s v=""/>
    <s v=""/>
    <s v="52"/>
    <x v="0"/>
    <s v="EU"/>
    <s v="13"/>
    <s v="2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0929190"/>
    <n v="589865286"/>
    <s v=""/>
    <s v=""/>
    <s v="42"/>
    <x v="2"/>
    <s v="EU"/>
    <s v="12"/>
    <s v="5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69"/>
    <n v="589865286"/>
    <s v=""/>
    <s v=""/>
    <s v="42"/>
    <x v="2"/>
    <s v="EU"/>
    <s v="12"/>
    <s v="4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96"/>
    <n v="589865286"/>
    <s v=""/>
    <s v=""/>
    <s v="42"/>
    <x v="2"/>
    <s v="EU"/>
    <s v="12"/>
    <s v="5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99"/>
    <n v="589865286"/>
    <s v=""/>
    <s v=""/>
    <s v="42"/>
    <x v="2"/>
    <s v="EU"/>
    <s v="12"/>
    <s v="5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08"/>
    <n v="589865286"/>
    <s v=""/>
    <s v=""/>
    <s v="52"/>
    <x v="0"/>
    <s v="EU"/>
    <s v="13"/>
    <s v="6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14"/>
    <n v="589865286"/>
    <s v=""/>
    <s v=""/>
    <s v="42"/>
    <x v="2"/>
    <s v="EU"/>
    <s v="12"/>
    <s v="6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23"/>
    <n v="589865286"/>
    <s v=""/>
    <s v=""/>
    <s v="42"/>
    <x v="2"/>
    <s v="EU"/>
    <s v="12"/>
    <s v="6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32"/>
    <n v="589865286"/>
    <s v=""/>
    <s v=""/>
    <s v="42"/>
    <x v="2"/>
    <s v="EU"/>
    <s v="12"/>
    <s v="6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35"/>
    <n v="589865286"/>
    <s v=""/>
    <s v=""/>
    <s v="42"/>
    <x v="2"/>
    <s v="EU"/>
    <s v="12"/>
    <s v="7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47"/>
    <n v="589865286"/>
    <s v=""/>
    <s v=""/>
    <s v="52"/>
    <x v="0"/>
    <s v="EU"/>
    <s v="13"/>
    <s v="7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50"/>
    <n v="589865286"/>
    <s v=""/>
    <s v=""/>
    <s v="42"/>
    <x v="2"/>
    <s v="EU"/>
    <s v="12"/>
    <s v="7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71"/>
    <n v="589865286"/>
    <s v=""/>
    <s v=""/>
    <s v="42"/>
    <x v="2"/>
    <s v="EU"/>
    <s v="12"/>
    <s v="8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77"/>
    <n v="1547164108"/>
    <s v=""/>
    <s v="UF"/>
    <s v="3M"/>
    <x v="5"/>
    <s v="MY"/>
    <s v="3"/>
    <s v="5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86"/>
    <n v="1547164108"/>
    <s v=""/>
    <s v=""/>
    <s v="42"/>
    <x v="2"/>
    <s v="EU"/>
    <s v="12"/>
    <s v="5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96"/>
    <n v="1547164108"/>
    <s v=""/>
    <s v=""/>
    <s v="42"/>
    <x v="2"/>
    <s v="EU"/>
    <s v="12"/>
    <s v="2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05"/>
    <n v="1547164108"/>
    <s v=""/>
    <s v=""/>
    <s v="42"/>
    <x v="2"/>
    <s v="EU"/>
    <s v="12"/>
    <s v="2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11"/>
    <n v="1547164108"/>
    <s v=""/>
    <s v=""/>
    <s v="42"/>
    <x v="2"/>
    <s v="EU"/>
    <s v="12"/>
    <s v="3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14"/>
    <n v="1547164108"/>
    <s v=""/>
    <s v=""/>
    <s v="52"/>
    <x v="0"/>
    <s v="EU"/>
    <s v="13"/>
    <s v="3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32"/>
    <n v="1547164108"/>
    <s v=""/>
    <s v=""/>
    <s v="42"/>
    <x v="2"/>
    <s v="EU"/>
    <s v="12"/>
    <s v="3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53"/>
    <n v="1547164108"/>
    <s v=""/>
    <s v=""/>
    <s v="42"/>
    <x v="2"/>
    <s v="EU"/>
    <s v="12"/>
    <s v="4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56"/>
    <n v="1547164108"/>
    <s v=""/>
    <s v=""/>
    <s v="42"/>
    <x v="2"/>
    <s v="EU"/>
    <s v="12"/>
    <s v="4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59"/>
    <n v="1547164108"/>
    <s v=""/>
    <s v=""/>
    <s v="42"/>
    <x v="2"/>
    <s v="EU"/>
    <s v="12"/>
    <s v="4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62"/>
    <n v="1547164108"/>
    <s v=""/>
    <s v=""/>
    <s v="52"/>
    <x v="0"/>
    <s v="EU"/>
    <s v="13"/>
    <s v="4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079"/>
    <n v="589865286"/>
    <s v=""/>
    <s v=""/>
    <s v="42"/>
    <x v="2"/>
    <s v="EU"/>
    <s v="12"/>
    <s v="1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82"/>
    <n v="589865286"/>
    <s v=""/>
    <s v=""/>
    <s v="42"/>
    <x v="2"/>
    <s v="EU"/>
    <s v="12"/>
    <s v="1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85"/>
    <n v="589865286"/>
    <s v=""/>
    <s v=""/>
    <s v="42"/>
    <x v="2"/>
    <s v="EU"/>
    <s v="12"/>
    <s v="2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94"/>
    <n v="589865286"/>
    <s v=""/>
    <s v=""/>
    <s v="42"/>
    <x v="2"/>
    <s v="EU"/>
    <s v="12"/>
    <s v="2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97"/>
    <n v="589865286"/>
    <s v=""/>
    <s v=""/>
    <s v="42"/>
    <x v="2"/>
    <s v="EU"/>
    <s v="12"/>
    <s v="2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07"/>
    <n v="589865286"/>
    <s v=""/>
    <s v=""/>
    <s v="42"/>
    <x v="2"/>
    <s v="EU"/>
    <s v="12"/>
    <s v="9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1344531"/>
    <n v="1261461742"/>
    <s v=""/>
    <s v="W"/>
    <s v="2M"/>
    <x v="3"/>
    <s v="MY"/>
    <s v="2"/>
    <s v="8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702"/>
    <n v="1261461742"/>
    <s v=""/>
    <s v=""/>
    <s v="42"/>
    <x v="2"/>
    <s v="EU"/>
    <s v="12"/>
    <s v="1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03"/>
    <n v="1261461742"/>
    <s v=""/>
    <s v="RG"/>
    <s v="2M"/>
    <x v="3"/>
    <s v="MY"/>
    <s v="2"/>
    <s v="7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39"/>
    <n v="1261461742"/>
    <s v=""/>
    <s v=""/>
    <s v="42"/>
    <x v="2"/>
    <s v="EU"/>
    <s v="12"/>
    <s v="19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73"/>
    <n v="1261461742"/>
    <s v=""/>
    <s v=""/>
    <s v="42"/>
    <x v="2"/>
    <s v="EU"/>
    <s v="12"/>
    <s v="2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88"/>
    <n v="1261461742"/>
    <s v="2"/>
    <s v="RS"/>
    <s v="S1"/>
    <x v="16"/>
    <s v="FW"/>
    <s v="0"/>
    <s v="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726"/>
    <n v="1261461742"/>
    <s v=""/>
    <s v=""/>
    <s v="42"/>
    <x v="2"/>
    <s v="EU"/>
    <s v="12"/>
    <s v="2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27"/>
    <n v="1261461742"/>
    <s v=""/>
    <s v=""/>
    <s v="52"/>
    <x v="0"/>
    <s v="EU"/>
    <s v="13"/>
    <s v="1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82"/>
    <n v="1261461742"/>
    <s v=""/>
    <s v=""/>
    <s v="42"/>
    <x v="2"/>
    <s v="EU"/>
    <s v="12"/>
    <s v="2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54"/>
    <n v="1261461742"/>
    <s v=""/>
    <s v=""/>
    <s v="42"/>
    <x v="2"/>
    <s v="EU"/>
    <s v="12"/>
    <s v="2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69"/>
    <n v="1261461742"/>
    <s v=""/>
    <s v=""/>
    <s v="42"/>
    <x v="2"/>
    <s v="EU"/>
    <s v="12"/>
    <s v="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594"/>
    <n v="1261461742"/>
    <s v=""/>
    <s v=""/>
    <s v="52"/>
    <x v="0"/>
    <s v="EU"/>
    <s v="13"/>
    <s v="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97"/>
    <n v="1261461742"/>
    <s v=""/>
    <s v=""/>
    <s v="42"/>
    <x v="2"/>
    <s v="EU"/>
    <s v="12"/>
    <s v="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40"/>
    <n v="1261461742"/>
    <s v=""/>
    <s v=""/>
    <s v="42"/>
    <x v="2"/>
    <s v="EU"/>
    <s v="12"/>
    <s v="1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37"/>
    <n v="1261461742"/>
    <s v=""/>
    <s v="RG"/>
    <s v=""/>
    <x v="6"/>
    <s v="EU"/>
    <s v=""/>
    <s v="10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90"/>
    <n v="1261461742"/>
    <s v=""/>
    <s v=""/>
    <s v="42"/>
    <x v="2"/>
    <s v="EU"/>
    <s v="12"/>
    <s v="1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12"/>
    <n v="1261461742"/>
    <s v=""/>
    <s v="RG"/>
    <s v="2M"/>
    <x v="3"/>
    <s v="MY"/>
    <s v="2"/>
    <s v="10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15"/>
    <n v="1261461742"/>
    <s v=""/>
    <s v=""/>
    <s v="52"/>
    <x v="0"/>
    <s v="EU"/>
    <s v="13"/>
    <s v="1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70"/>
    <n v="1261461742"/>
    <s v=""/>
    <s v=""/>
    <s v="52"/>
    <x v="0"/>
    <s v="EU"/>
    <s v="13"/>
    <s v="2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60"/>
    <n v="1261461742"/>
    <s v=""/>
    <s v="RG"/>
    <s v=""/>
    <x v="6"/>
    <s v="EU"/>
    <s v=""/>
    <s v="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564"/>
    <n v="1261461742"/>
    <s v=""/>
    <s v=""/>
    <s v="42"/>
    <x v="2"/>
    <s v="EU"/>
    <s v="12"/>
    <s v="19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13"/>
    <n v="1261461742"/>
    <s v="0"/>
    <s v="W"/>
    <s v="2M"/>
    <x v="3"/>
    <s v="MY"/>
    <s v="2"/>
    <s v="2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16"/>
    <n v="1261461742"/>
    <s v=""/>
    <s v="RG"/>
    <s v=""/>
    <x v="6"/>
    <s v="EU"/>
    <s v=""/>
    <s v="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28"/>
    <n v="1261461742"/>
    <s v=""/>
    <s v="W"/>
    <s v="3M"/>
    <x v="5"/>
    <s v="MY"/>
    <s v="3"/>
    <s v="7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51"/>
    <n v="1261461742"/>
    <s v=""/>
    <s v="UF"/>
    <s v="2M"/>
    <x v="3"/>
    <s v="MY"/>
    <s v="2"/>
    <s v="2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45"/>
    <n v="1261461742"/>
    <s v=""/>
    <s v="RG"/>
    <s v="2M"/>
    <x v="3"/>
    <s v="MY"/>
    <s v="2"/>
    <s v="2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34"/>
    <n v="1261461742"/>
    <s v=""/>
    <s v=""/>
    <s v="52"/>
    <x v="0"/>
    <s v="EU"/>
    <s v="13"/>
    <s v="9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46"/>
    <n v="1261461742"/>
    <s v=""/>
    <s v="RG"/>
    <s v="3M"/>
    <x v="5"/>
    <s v="MY"/>
    <s v="3"/>
    <s v="1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0929319"/>
    <n v="589865286"/>
    <s v=""/>
    <s v=""/>
    <s v="42"/>
    <x v="2"/>
    <s v="EU"/>
    <s v="12"/>
    <s v="9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37"/>
    <n v="589865286"/>
    <s v=""/>
    <s v=""/>
    <s v="42"/>
    <x v="2"/>
    <s v="EU"/>
    <s v="12"/>
    <s v="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43"/>
    <n v="589865286"/>
    <s v=""/>
    <s v=""/>
    <s v="42"/>
    <x v="2"/>
    <s v="EU"/>
    <s v="12"/>
    <s v="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46"/>
    <n v="589865286"/>
    <s v=""/>
    <s v=""/>
    <s v="42"/>
    <x v="2"/>
    <s v="EU"/>
    <s v="12"/>
    <s v="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49"/>
    <n v="589865286"/>
    <s v=""/>
    <s v=""/>
    <s v="42"/>
    <x v="2"/>
    <s v="EU"/>
    <s v="12"/>
    <s v="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52"/>
    <n v="589865286"/>
    <s v=""/>
    <s v=""/>
    <s v="42"/>
    <x v="2"/>
    <s v="EU"/>
    <s v="12"/>
    <s v="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55"/>
    <n v="589865286"/>
    <s v=""/>
    <s v=""/>
    <s v="52"/>
    <x v="0"/>
    <s v="EU"/>
    <s v="13"/>
    <s v="1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64"/>
    <n v="589865286"/>
    <s v=""/>
    <s v=""/>
    <s v="42"/>
    <x v="2"/>
    <s v="EU"/>
    <s v="12"/>
    <s v="1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85"/>
    <n v="589865286"/>
    <s v=""/>
    <s v=""/>
    <s v="42"/>
    <x v="2"/>
    <s v="EU"/>
    <s v="12"/>
    <s v="2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97"/>
    <n v="589865286"/>
    <s v=""/>
    <s v=""/>
    <s v="42"/>
    <x v="2"/>
    <s v="EU"/>
    <s v="12"/>
    <s v="2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18"/>
    <n v="589865286"/>
    <s v=""/>
    <s v=""/>
    <s v="42"/>
    <x v="2"/>
    <s v="EU"/>
    <s v="12"/>
    <s v="3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21"/>
    <n v="1547164108"/>
    <s v=""/>
    <s v=""/>
    <s v="32"/>
    <x v="11"/>
    <s v="EU"/>
    <s v="11"/>
    <s v="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33"/>
    <n v="1547164108"/>
    <s v=""/>
    <s v=""/>
    <s v="42"/>
    <x v="2"/>
    <s v="EU"/>
    <s v="12"/>
    <s v="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36"/>
    <n v="1547164108"/>
    <s v=""/>
    <s v=""/>
    <s v="42"/>
    <x v="2"/>
    <s v="EU"/>
    <s v="12"/>
    <s v="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39"/>
    <n v="1547164108"/>
    <s v=""/>
    <s v=""/>
    <s v="42"/>
    <x v="2"/>
    <s v="EU"/>
    <s v="12"/>
    <s v="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51"/>
    <n v="1547164108"/>
    <s v=""/>
    <s v=""/>
    <s v="42"/>
    <x v="2"/>
    <s v="EU"/>
    <s v="12"/>
    <s v="1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54"/>
    <n v="1547164108"/>
    <s v=""/>
    <s v=""/>
    <s v="42"/>
    <x v="2"/>
    <s v="EU"/>
    <s v="12"/>
    <s v="1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60"/>
    <n v="1547164108"/>
    <s v=""/>
    <s v=""/>
    <s v="42"/>
    <x v="2"/>
    <s v="EU"/>
    <s v="12"/>
    <s v="1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72"/>
    <n v="1547164108"/>
    <s v=""/>
    <s v=""/>
    <s v="42"/>
    <x v="2"/>
    <s v="EU"/>
    <s v="12"/>
    <s v="1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75"/>
    <n v="1547164108"/>
    <s v=""/>
    <s v=""/>
    <s v="52"/>
    <x v="0"/>
    <s v="EU"/>
    <s v="13"/>
    <s v="1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12"/>
    <n v="589865286"/>
    <s v=""/>
    <s v=""/>
    <s v="42"/>
    <x v="2"/>
    <s v="EU"/>
    <s v="12"/>
    <s v="2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21"/>
    <n v="589865286"/>
    <s v=""/>
    <s v=""/>
    <s v="42"/>
    <x v="2"/>
    <s v="EU"/>
    <s v="12"/>
    <s v="3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78"/>
    <n v="1547164108"/>
    <s v=""/>
    <s v=""/>
    <s v="42"/>
    <x v="2"/>
    <s v="EU"/>
    <s v="12"/>
    <s v="2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90"/>
    <n v="1547164108"/>
    <s v=""/>
    <s v=""/>
    <s v="42"/>
    <x v="2"/>
    <s v="EU"/>
    <s v="12"/>
    <s v="2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02"/>
    <n v="1547164108"/>
    <s v=""/>
    <s v=""/>
    <s v="42"/>
    <x v="2"/>
    <s v="EU"/>
    <s v="12"/>
    <s v="2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74"/>
    <n v="1547164108"/>
    <s v=""/>
    <s v=""/>
    <s v="42"/>
    <x v="2"/>
    <s v="EU"/>
    <s v="12"/>
    <s v="5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262"/>
    <n v="589865286"/>
    <s v=""/>
    <s v=""/>
    <s v="42"/>
    <x v="2"/>
    <s v="EU"/>
    <s v="12"/>
    <s v="7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40"/>
    <n v="589865286"/>
    <s v=""/>
    <s v=""/>
    <s v="42"/>
    <x v="2"/>
    <s v="EU"/>
    <s v="12"/>
    <s v="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26"/>
    <n v="589865286"/>
    <s v=""/>
    <s v=""/>
    <s v="42"/>
    <x v="2"/>
    <s v="EU"/>
    <s v="12"/>
    <s v="6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1344522"/>
    <n v="1261461742"/>
    <s v=""/>
    <s v="RG"/>
    <s v="2M"/>
    <x v="3"/>
    <s v="MY"/>
    <s v="2"/>
    <s v="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67"/>
    <n v="1261461742"/>
    <s v=""/>
    <s v=""/>
    <s v="42"/>
    <x v="2"/>
    <s v="EU"/>
    <s v="12"/>
    <s v="20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78"/>
    <n v="1261461742"/>
    <s v=""/>
    <s v=""/>
    <s v="52"/>
    <x v="0"/>
    <s v="EU"/>
    <s v="13"/>
    <s v="7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36"/>
    <n v="1261461742"/>
    <s v=""/>
    <s v=""/>
    <s v="42"/>
    <x v="2"/>
    <s v="EU"/>
    <s v="12"/>
    <s v="18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510"/>
    <n v="1261461742"/>
    <s v=""/>
    <s v="W"/>
    <s v=""/>
    <x v="6"/>
    <s v="EU"/>
    <s v=""/>
    <s v="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76"/>
    <n v="1261461742"/>
    <s v=""/>
    <s v=""/>
    <s v="42"/>
    <x v="2"/>
    <s v="EU"/>
    <s v="12"/>
    <s v="2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81"/>
    <n v="1261461742"/>
    <s v=""/>
    <s v="RG"/>
    <s v="2M"/>
    <x v="3"/>
    <s v="MY"/>
    <s v="2"/>
    <s v="8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96"/>
    <n v="1261461742"/>
    <s v="0"/>
    <s v=""/>
    <s v="42"/>
    <x v="2"/>
    <s v="EU"/>
    <s v="12"/>
    <s v="13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720"/>
    <n v="1261461742"/>
    <s v=""/>
    <s v=""/>
    <s v="42"/>
    <x v="2"/>
    <s v="EU"/>
    <s v="12"/>
    <s v="21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552"/>
    <n v="1261461742"/>
    <s v=""/>
    <s v=""/>
    <s v="52"/>
    <x v="0"/>
    <s v="EU"/>
    <s v="13"/>
    <s v="1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642"/>
    <n v="1261461742"/>
    <s v=""/>
    <s v=""/>
    <s v="42"/>
    <x v="2"/>
    <s v="EU"/>
    <s v="12"/>
    <s v="20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n v="11344699"/>
    <n v="1261461742"/>
    <s v=""/>
    <s v=""/>
    <s v="42"/>
    <x v="2"/>
    <s v="EU"/>
    <s v="12"/>
    <s v="1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0929160"/>
    <n v="589865286"/>
    <s v=""/>
    <s v=""/>
    <s v="42"/>
    <x v="2"/>
    <s v="EU"/>
    <s v="12"/>
    <s v="4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622"/>
    <n v="1547164108"/>
    <s v=""/>
    <s v=""/>
    <s v="42"/>
    <x v="2"/>
    <s v="EU"/>
    <s v="12"/>
    <s v="6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93"/>
    <n v="1547164108"/>
    <s v=""/>
    <s v=""/>
    <s v="42"/>
    <x v="2"/>
    <s v="EU"/>
    <s v="12"/>
    <s v="2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16"/>
    <n v="1547164108"/>
    <s v=""/>
    <s v=""/>
    <s v="42"/>
    <x v="2"/>
    <s v="EU"/>
    <s v="12"/>
    <s v="6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15"/>
    <n v="589865286"/>
    <s v=""/>
    <s v=""/>
    <s v="42"/>
    <x v="2"/>
    <s v="EU"/>
    <s v="12"/>
    <s v="3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33"/>
    <n v="589865286"/>
    <s v=""/>
    <s v=""/>
    <s v="52"/>
    <x v="0"/>
    <s v="EU"/>
    <s v="13"/>
    <s v="3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84"/>
    <n v="1547164108"/>
    <s v=""/>
    <s v=""/>
    <s v="42"/>
    <x v="2"/>
    <s v="EU"/>
    <s v="12"/>
    <s v="2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211"/>
    <n v="589865286"/>
    <s v=""/>
    <s v=""/>
    <s v="42"/>
    <x v="2"/>
    <s v="EU"/>
    <s v="12"/>
    <s v="6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54"/>
    <n v="589865286"/>
    <s v=""/>
    <s v=""/>
    <s v="42"/>
    <x v="2"/>
    <s v="EU"/>
    <s v="12"/>
    <s v="4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80"/>
    <n v="1547164108"/>
    <s v=""/>
    <s v=""/>
    <s v="52"/>
    <x v="0"/>
    <s v="EU"/>
    <s v="13"/>
    <s v="5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09"/>
    <n v="589865286"/>
    <s v=""/>
    <s v=""/>
    <s v="42"/>
    <x v="2"/>
    <s v="EU"/>
    <s v="12"/>
    <s v="2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637"/>
    <n v="1547164108"/>
    <s v=""/>
    <s v=""/>
    <s v="42"/>
    <x v="2"/>
    <s v="EU"/>
    <s v="12"/>
    <s v="7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72"/>
    <n v="589865286"/>
    <s v=""/>
    <s v=""/>
    <s v="31"/>
    <x v="7"/>
    <s v="EU"/>
    <s v="02"/>
    <s v="4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95"/>
    <n v="589865286"/>
    <s v=""/>
    <s v=""/>
    <s v="42"/>
    <x v="2"/>
    <s v="EU"/>
    <s v="12"/>
    <s v="9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79"/>
    <n v="589865286"/>
    <s v=""/>
    <s v=""/>
    <s v="42"/>
    <x v="2"/>
    <s v="EU"/>
    <s v="12"/>
    <s v="1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30"/>
    <n v="1547164108"/>
    <s v=""/>
    <s v=""/>
    <s v="52"/>
    <x v="0"/>
    <s v="EU"/>
    <s v="13"/>
    <s v="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91"/>
    <n v="589865286"/>
    <s v=""/>
    <s v=""/>
    <s v="42"/>
    <x v="2"/>
    <s v="EU"/>
    <s v="12"/>
    <s v="2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184"/>
    <n v="589865286"/>
    <s v=""/>
    <s v=""/>
    <s v="42"/>
    <x v="2"/>
    <s v="EU"/>
    <s v="12"/>
    <s v="5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08"/>
    <n v="1547164108"/>
    <s v=""/>
    <s v=""/>
    <s v="42"/>
    <x v="2"/>
    <s v="EU"/>
    <s v="12"/>
    <s v="3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48"/>
    <n v="1547164108"/>
    <s v=""/>
    <s v=""/>
    <s v="52"/>
    <x v="0"/>
    <s v="EU"/>
    <s v="13"/>
    <s v="1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34"/>
    <n v="1547164108"/>
    <s v=""/>
    <s v=""/>
    <s v="42"/>
    <x v="2"/>
    <s v="EU"/>
    <s v="12"/>
    <s v="7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028"/>
    <n v="589865286"/>
    <s v=""/>
    <s v=""/>
    <s v="42"/>
    <x v="2"/>
    <s v="EU"/>
    <s v="12"/>
    <s v="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31"/>
    <n v="589865286"/>
    <s v=""/>
    <s v=""/>
    <s v="42"/>
    <x v="2"/>
    <s v="EU"/>
    <s v="12"/>
    <s v="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631"/>
    <n v="1547164108"/>
    <s v=""/>
    <s v=""/>
    <s v="42"/>
    <x v="2"/>
    <s v="EU"/>
    <s v="12"/>
    <s v="7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38"/>
    <n v="1547164108"/>
    <s v=""/>
    <s v=""/>
    <s v="42"/>
    <x v="2"/>
    <s v="EU"/>
    <s v="12"/>
    <s v="4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44"/>
    <n v="1547164108"/>
    <s v=""/>
    <s v=""/>
    <s v="52"/>
    <x v="0"/>
    <s v="EU"/>
    <s v="13"/>
    <s v="4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058"/>
    <n v="589865286"/>
    <s v=""/>
    <s v=""/>
    <s v="42"/>
    <x v="2"/>
    <s v="EU"/>
    <s v="12"/>
    <s v="1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27"/>
    <n v="589865286"/>
    <s v=""/>
    <s v=""/>
    <s v="42"/>
    <x v="2"/>
    <s v="EU"/>
    <s v="12"/>
    <s v="3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30"/>
    <n v="589865286"/>
    <s v=""/>
    <s v=""/>
    <s v="52"/>
    <x v="0"/>
    <s v="EU"/>
    <s v="13"/>
    <s v="3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77"/>
    <n v="589865286"/>
    <s v=""/>
    <s v=""/>
    <s v="52"/>
    <x v="0"/>
    <s v="EU"/>
    <s v="13"/>
    <s v="8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83"/>
    <n v="589865286"/>
    <s v=""/>
    <s v=""/>
    <s v="42"/>
    <x v="2"/>
    <s v="EU"/>
    <s v="12"/>
    <s v="8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92"/>
    <n v="1547164108"/>
    <s v=""/>
    <s v=""/>
    <s v="42"/>
    <x v="2"/>
    <s v="EU"/>
    <s v="12"/>
    <s v="5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58"/>
    <n v="589865286"/>
    <s v=""/>
    <s v=""/>
    <s v="42"/>
    <x v="2"/>
    <s v="EU"/>
    <s v="12"/>
    <s v="1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067"/>
    <n v="589865286"/>
    <s v=""/>
    <s v=""/>
    <s v="42"/>
    <x v="2"/>
    <s v="EU"/>
    <s v="12"/>
    <s v="1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28"/>
    <n v="589865286"/>
    <s v=""/>
    <s v=""/>
    <s v="42"/>
    <x v="2"/>
    <s v="EU"/>
    <s v="12"/>
    <s v="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67"/>
    <n v="589865286"/>
    <s v=""/>
    <s v=""/>
    <s v="42"/>
    <x v="2"/>
    <s v="EU"/>
    <s v="12"/>
    <s v="1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70"/>
    <n v="589865286"/>
    <s v=""/>
    <s v=""/>
    <s v="53"/>
    <x v="4"/>
    <s v="EU"/>
    <s v="22"/>
    <s v="1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27"/>
    <n v="1547164108"/>
    <s v=""/>
    <s v=""/>
    <s v="42"/>
    <x v="2"/>
    <s v="EU"/>
    <s v="12"/>
    <s v="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23"/>
    <n v="1547164108"/>
    <s v=""/>
    <s v=""/>
    <s v="42"/>
    <x v="2"/>
    <s v="EU"/>
    <s v="12"/>
    <s v="3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25"/>
    <n v="1547164108"/>
    <s v=""/>
    <s v=""/>
    <s v="42"/>
    <x v="2"/>
    <s v="EU"/>
    <s v="12"/>
    <s v="6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12"/>
    <n v="589865286"/>
    <s v=""/>
    <s v=""/>
    <s v="42"/>
    <x v="2"/>
    <s v="EU"/>
    <s v="12"/>
    <s v="2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42"/>
    <n v="1547164108"/>
    <s v=""/>
    <s v=""/>
    <s v="42"/>
    <x v="2"/>
    <s v="EU"/>
    <s v="12"/>
    <s v="8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94"/>
    <n v="589865286"/>
    <s v=""/>
    <s v=""/>
    <s v="42"/>
    <x v="2"/>
    <s v="EU"/>
    <s v="12"/>
    <s v="2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175"/>
    <n v="589865286"/>
    <s v=""/>
    <s v=""/>
    <s v="42"/>
    <x v="2"/>
    <s v="EU"/>
    <s v="12"/>
    <s v="5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49"/>
    <n v="589865286"/>
    <s v=""/>
    <s v=""/>
    <s v="42"/>
    <x v="2"/>
    <s v="EU"/>
    <s v="12"/>
    <s v="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03"/>
    <n v="589865286"/>
    <s v=""/>
    <s v=""/>
    <s v="42"/>
    <x v="2"/>
    <s v="EU"/>
    <s v="12"/>
    <s v="2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70"/>
    <n v="589865286"/>
    <s v=""/>
    <s v=""/>
    <s v="42"/>
    <x v="2"/>
    <s v="EU"/>
    <s v="12"/>
    <s v="1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31"/>
    <n v="589865286"/>
    <s v=""/>
    <s v=""/>
    <s v="42"/>
    <x v="2"/>
    <s v="EU"/>
    <s v="12"/>
    <s v="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217"/>
    <n v="589865286"/>
    <s v=""/>
    <s v=""/>
    <s v="52"/>
    <x v="0"/>
    <s v="EU"/>
    <s v="13"/>
    <s v="6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628"/>
    <n v="1547164108"/>
    <s v=""/>
    <s v=""/>
    <s v="42"/>
    <x v="2"/>
    <s v="EU"/>
    <s v="12"/>
    <s v="7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83"/>
    <n v="1547164108"/>
    <s v=""/>
    <s v=""/>
    <s v="42"/>
    <x v="2"/>
    <s v="EU"/>
    <s v="12"/>
    <s v="5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45"/>
    <n v="589865286"/>
    <s v=""/>
    <s v=""/>
    <s v="52"/>
    <x v="0"/>
    <s v="EU"/>
    <s v="13"/>
    <s v="4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65"/>
    <n v="589865286"/>
    <s v=""/>
    <s v=""/>
    <s v="42"/>
    <x v="2"/>
    <s v="EU"/>
    <s v="12"/>
    <s v="8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80"/>
    <n v="589865286"/>
    <s v=""/>
    <s v=""/>
    <s v="42"/>
    <x v="2"/>
    <s v="EU"/>
    <s v="12"/>
    <s v="8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64"/>
    <n v="589865286"/>
    <s v=""/>
    <s v=""/>
    <s v="52"/>
    <x v="0"/>
    <s v="EU"/>
    <s v="13"/>
    <s v="1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646"/>
    <n v="1547164108"/>
    <s v=""/>
    <s v=""/>
    <s v="42"/>
    <x v="2"/>
    <s v="EU"/>
    <s v="12"/>
    <s v="7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00"/>
    <n v="589865286"/>
    <s v=""/>
    <s v=""/>
    <s v="42"/>
    <x v="2"/>
    <s v="EU"/>
    <s v="12"/>
    <s v="2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66"/>
    <n v="1547164108"/>
    <s v=""/>
    <s v=""/>
    <s v="52"/>
    <x v="0"/>
    <s v="EU"/>
    <s v="13"/>
    <s v="1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93"/>
    <n v="589865286"/>
    <s v=""/>
    <s v=""/>
    <s v="42"/>
    <x v="2"/>
    <s v="EU"/>
    <s v="12"/>
    <s v="5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98"/>
    <n v="1547164108"/>
    <s v=""/>
    <s v=""/>
    <s v="42"/>
    <x v="2"/>
    <s v="EU"/>
    <s v="12"/>
    <s v="6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244"/>
    <n v="589865286"/>
    <s v=""/>
    <s v=""/>
    <s v="52"/>
    <x v="0"/>
    <s v="EU"/>
    <s v="13"/>
    <s v="7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61"/>
    <n v="589865286"/>
    <s v=""/>
    <s v=""/>
    <s v="42"/>
    <x v="2"/>
    <s v="EU"/>
    <s v="12"/>
    <s v="1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046"/>
    <n v="589865286"/>
    <s v=""/>
    <s v=""/>
    <s v="42"/>
    <x v="2"/>
    <s v="EU"/>
    <s v="12"/>
    <s v="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76"/>
    <n v="589865286"/>
    <s v=""/>
    <s v=""/>
    <s v="42"/>
    <x v="2"/>
    <s v="EU"/>
    <s v="12"/>
    <s v="1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406"/>
    <n v="589865286"/>
    <s v=""/>
    <s v=""/>
    <s v="42"/>
    <x v="2"/>
    <s v="EU"/>
    <s v="12"/>
    <s v="2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517"/>
    <n v="1547164108"/>
    <s v=""/>
    <s v=""/>
    <s v="52"/>
    <x v="0"/>
    <s v="EU"/>
    <s v="13"/>
    <s v="3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16"/>
    <n v="589865286"/>
    <s v=""/>
    <s v=""/>
    <s v="42"/>
    <x v="2"/>
    <s v="EU"/>
    <s v="12"/>
    <s v="9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89"/>
    <n v="1547164108"/>
    <s v=""/>
    <s v=""/>
    <s v="42"/>
    <x v="2"/>
    <s v="EU"/>
    <s v="12"/>
    <s v="5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04"/>
    <n v="1547164108"/>
    <s v=""/>
    <s v=""/>
    <s v="42"/>
    <x v="2"/>
    <s v="EU"/>
    <s v="12"/>
    <s v="6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35"/>
    <n v="1547164108"/>
    <s v=""/>
    <s v=""/>
    <s v="42"/>
    <x v="2"/>
    <s v="EU"/>
    <s v="12"/>
    <s v="3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34"/>
    <n v="589865286"/>
    <s v=""/>
    <s v=""/>
    <s v="42"/>
    <x v="2"/>
    <s v="EU"/>
    <s v="12"/>
    <s v="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340"/>
    <n v="589865286"/>
    <s v=""/>
    <s v=""/>
    <s v="63"/>
    <x v="8"/>
    <s v="EU"/>
    <s v="23"/>
    <s v="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640"/>
    <n v="1547164108"/>
    <s v=""/>
    <s v=""/>
    <s v="42"/>
    <x v="2"/>
    <s v="EU"/>
    <s v="12"/>
    <s v="7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57"/>
    <n v="589865286"/>
    <s v=""/>
    <s v=""/>
    <s v="53"/>
    <x v="4"/>
    <s v="EU"/>
    <s v="22"/>
    <s v="4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41"/>
    <n v="1547164108"/>
    <s v=""/>
    <s v=""/>
    <s v="42"/>
    <x v="2"/>
    <s v="EU"/>
    <s v="12"/>
    <s v="4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24"/>
    <n v="1547164108"/>
    <s v=""/>
    <s v=""/>
    <s v="52"/>
    <x v="0"/>
    <s v="EU"/>
    <s v="13"/>
    <s v="2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69"/>
    <n v="1547164108"/>
    <s v=""/>
    <s v=""/>
    <s v="42"/>
    <x v="2"/>
    <s v="EU"/>
    <s v="12"/>
    <s v="1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055"/>
    <n v="589865286"/>
    <s v=""/>
    <s v=""/>
    <s v="42"/>
    <x v="2"/>
    <s v="EU"/>
    <s v="12"/>
    <s v="1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89"/>
    <n v="589865286"/>
    <s v=""/>
    <s v=""/>
    <s v="42"/>
    <x v="2"/>
    <s v="EU"/>
    <s v="12"/>
    <s v="8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29"/>
    <n v="1547164108"/>
    <s v=""/>
    <s v=""/>
    <s v="42"/>
    <x v="2"/>
    <s v="EU"/>
    <s v="12"/>
    <s v="3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63"/>
    <n v="1547164108"/>
    <s v=""/>
    <s v=""/>
    <s v="42"/>
    <x v="2"/>
    <s v="EU"/>
    <s v="12"/>
    <s v="1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65"/>
    <n v="1547164108"/>
    <s v=""/>
    <s v=""/>
    <s v="42"/>
    <x v="2"/>
    <s v="EU"/>
    <s v="12"/>
    <s v="4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13"/>
    <n v="1547164108"/>
    <s v=""/>
    <s v=""/>
    <s v="42"/>
    <x v="2"/>
    <s v="EU"/>
    <s v="12"/>
    <s v="65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19"/>
    <n v="1547164108"/>
    <s v=""/>
    <s v=""/>
    <s v="42"/>
    <x v="2"/>
    <s v="EU"/>
    <s v="12"/>
    <s v="6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292"/>
    <n v="589865286"/>
    <s v=""/>
    <s v=""/>
    <s v="42"/>
    <x v="2"/>
    <s v="EU"/>
    <s v="12"/>
    <s v="8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95"/>
    <n v="1547164108"/>
    <s v=""/>
    <s v=""/>
    <s v="42"/>
    <x v="2"/>
    <s v="EU"/>
    <s v="12"/>
    <s v="5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220"/>
    <n v="589865286"/>
    <s v=""/>
    <s v=""/>
    <s v="42"/>
    <x v="2"/>
    <s v="EU"/>
    <s v="12"/>
    <s v="6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50"/>
    <n v="1547164108"/>
    <s v=""/>
    <s v=""/>
    <s v="42"/>
    <x v="2"/>
    <s v="EU"/>
    <s v="12"/>
    <s v="4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274"/>
    <n v="589865286"/>
    <s v=""/>
    <s v=""/>
    <s v="42"/>
    <x v="2"/>
    <s v="EU"/>
    <s v="12"/>
    <s v="8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81"/>
    <n v="589865286"/>
    <s v=""/>
    <s v=""/>
    <s v="52"/>
    <x v="0"/>
    <s v="EU"/>
    <s v="13"/>
    <s v="5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13"/>
    <n v="589865286"/>
    <s v=""/>
    <s v=""/>
    <s v="42"/>
    <x v="2"/>
    <s v="EU"/>
    <s v="12"/>
    <s v="9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03"/>
    <n v="589865286"/>
    <s v=""/>
    <s v="UM"/>
    <s v="S2"/>
    <x v="15"/>
    <s v="FW"/>
    <s v="1"/>
    <s v="2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136"/>
    <n v="589865286"/>
    <s v=""/>
    <s v=""/>
    <s v="42"/>
    <x v="2"/>
    <s v="EU"/>
    <s v="12"/>
    <s v="3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48"/>
    <n v="589865286"/>
    <s v=""/>
    <s v=""/>
    <s v="52"/>
    <x v="0"/>
    <s v="EU"/>
    <s v="13"/>
    <s v="4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98"/>
    <n v="589865286"/>
    <s v=""/>
    <s v=""/>
    <s v="42"/>
    <x v="2"/>
    <s v="EU"/>
    <s v="12"/>
    <s v="9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15"/>
    <n v="589865286"/>
    <s v=""/>
    <s v=""/>
    <s v="42"/>
    <x v="2"/>
    <s v="EU"/>
    <s v="12"/>
    <s v="3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571"/>
    <n v="1547164108"/>
    <s v=""/>
    <s v=""/>
    <s v="42"/>
    <x v="2"/>
    <s v="EU"/>
    <s v="12"/>
    <s v="5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07"/>
    <n v="1547164108"/>
    <s v=""/>
    <s v=""/>
    <s v="42"/>
    <x v="2"/>
    <s v="EU"/>
    <s v="12"/>
    <s v="6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66"/>
    <n v="589865286"/>
    <s v=""/>
    <s v=""/>
    <s v="42"/>
    <x v="2"/>
    <s v="EU"/>
    <s v="12"/>
    <s v="4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45"/>
    <n v="1547164108"/>
    <s v=""/>
    <s v=""/>
    <s v="42"/>
    <x v="2"/>
    <s v="EU"/>
    <s v="12"/>
    <s v="9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73"/>
    <n v="589865286"/>
    <s v=""/>
    <s v=""/>
    <s v="32"/>
    <x v="11"/>
    <s v="EU"/>
    <s v="11"/>
    <s v="1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229"/>
    <n v="589865286"/>
    <s v=""/>
    <s v=""/>
    <s v="42"/>
    <x v="2"/>
    <s v="EU"/>
    <s v="12"/>
    <s v="6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39"/>
    <n v="589865286"/>
    <s v=""/>
    <s v=""/>
    <s v="52"/>
    <x v="0"/>
    <s v="EU"/>
    <s v="13"/>
    <s v="3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38"/>
    <n v="589865286"/>
    <s v=""/>
    <s v=""/>
    <s v="42"/>
    <x v="2"/>
    <s v="EU"/>
    <s v="12"/>
    <s v="7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86"/>
    <n v="589865286"/>
    <s v=""/>
    <s v=""/>
    <s v="42"/>
    <x v="2"/>
    <s v="EU"/>
    <s v="12"/>
    <s v="8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02"/>
    <n v="589865286"/>
    <s v=""/>
    <s v=""/>
    <s v="42"/>
    <x v="2"/>
    <s v="EU"/>
    <s v="12"/>
    <s v="5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25"/>
    <n v="589865286"/>
    <s v=""/>
    <s v=""/>
    <s v="42"/>
    <x v="2"/>
    <s v="EU"/>
    <s v="12"/>
    <s v="10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10"/>
    <n v="589865286"/>
    <s v=""/>
    <s v=""/>
    <s v="42"/>
    <x v="2"/>
    <s v="EU"/>
    <s v="12"/>
    <s v="9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04"/>
    <n v="589865286"/>
    <s v=""/>
    <s v=""/>
    <s v="52"/>
    <x v="0"/>
    <s v="EU"/>
    <s v="13"/>
    <s v="93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53"/>
    <n v="589865286"/>
    <s v=""/>
    <s v=""/>
    <s v="42"/>
    <x v="2"/>
    <s v="EU"/>
    <s v="12"/>
    <s v="7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20"/>
    <n v="1547164108"/>
    <s v=""/>
    <s v=""/>
    <s v="42"/>
    <x v="2"/>
    <s v="EU"/>
    <s v="12"/>
    <s v="34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00"/>
    <n v="589865286"/>
    <s v=""/>
    <s v=""/>
    <s v="42"/>
    <x v="2"/>
    <s v="EU"/>
    <s v="12"/>
    <s v="25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57"/>
    <n v="1547164108"/>
    <s v=""/>
    <s v=""/>
    <s v="42"/>
    <x v="2"/>
    <s v="EU"/>
    <s v="12"/>
    <s v="1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01"/>
    <n v="589865286"/>
    <s v=""/>
    <s v=""/>
    <s v="42"/>
    <x v="2"/>
    <s v="EU"/>
    <s v="12"/>
    <s v="9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88"/>
    <n v="589865286"/>
    <s v=""/>
    <s v=""/>
    <s v="42"/>
    <x v="2"/>
    <s v="EU"/>
    <s v="12"/>
    <s v="2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87"/>
    <n v="589865286"/>
    <s v=""/>
    <s v=""/>
    <s v="52"/>
    <x v="0"/>
    <s v="EU"/>
    <s v="13"/>
    <s v="54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41"/>
    <n v="589865286"/>
    <s v=""/>
    <s v=""/>
    <s v="42"/>
    <x v="2"/>
    <s v="EU"/>
    <s v="12"/>
    <s v="7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87"/>
    <n v="1547164108"/>
    <s v=""/>
    <s v=""/>
    <s v="52"/>
    <x v="0"/>
    <s v="EU"/>
    <s v="13"/>
    <s v="2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481"/>
    <n v="1547164108"/>
    <s v=""/>
    <s v=""/>
    <s v="42"/>
    <x v="2"/>
    <s v="EU"/>
    <s v="12"/>
    <s v="2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47"/>
    <n v="1547164108"/>
    <s v=""/>
    <s v=""/>
    <s v="42"/>
    <x v="2"/>
    <s v="EU"/>
    <s v="12"/>
    <s v="43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78"/>
    <n v="589865286"/>
    <s v=""/>
    <s v=""/>
    <s v="52"/>
    <x v="0"/>
    <s v="EU"/>
    <s v="13"/>
    <s v="5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43"/>
    <n v="589865286"/>
    <s v=""/>
    <s v=""/>
    <s v="42"/>
    <x v="2"/>
    <s v="EU"/>
    <s v="12"/>
    <s v="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163"/>
    <n v="589865286"/>
    <s v=""/>
    <s v=""/>
    <s v="42"/>
    <x v="2"/>
    <s v="EU"/>
    <s v="12"/>
    <s v="46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05"/>
    <n v="589865286"/>
    <s v=""/>
    <s v=""/>
    <s v="42"/>
    <x v="2"/>
    <s v="EU"/>
    <s v="12"/>
    <s v="60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59"/>
    <n v="589865286"/>
    <s v=""/>
    <s v=""/>
    <s v="42"/>
    <x v="2"/>
    <s v="EU"/>
    <s v="12"/>
    <s v="78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22"/>
    <n v="589865286"/>
    <s v=""/>
    <s v=""/>
    <s v="52"/>
    <x v="0"/>
    <s v="EU"/>
    <s v="13"/>
    <s v="9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388"/>
    <n v="589865286"/>
    <s v=""/>
    <s v=""/>
    <s v="52"/>
    <x v="0"/>
    <s v="EU"/>
    <s v="13"/>
    <s v="2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052"/>
    <n v="589865286"/>
    <s v=""/>
    <s v=""/>
    <s v="42"/>
    <x v="2"/>
    <s v="EU"/>
    <s v="12"/>
    <s v="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56"/>
    <n v="589865286"/>
    <s v=""/>
    <s v=""/>
    <s v="42"/>
    <x v="2"/>
    <s v="EU"/>
    <s v="12"/>
    <s v="7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526"/>
    <n v="1547164108"/>
    <s v=""/>
    <s v=""/>
    <s v="42"/>
    <x v="2"/>
    <s v="EU"/>
    <s v="12"/>
    <s v="36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568"/>
    <n v="1547164108"/>
    <s v=""/>
    <s v=""/>
    <s v="52"/>
    <x v="0"/>
    <s v="EU"/>
    <s v="13"/>
    <s v="50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601"/>
    <n v="1547164108"/>
    <s v=""/>
    <s v=""/>
    <s v="42"/>
    <x v="2"/>
    <s v="EU"/>
    <s v="12"/>
    <s v="61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151"/>
    <n v="589865286"/>
    <s v=""/>
    <s v=""/>
    <s v="53"/>
    <x v="4"/>
    <s v="EU"/>
    <s v="22"/>
    <s v="4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499"/>
    <n v="1547164108"/>
    <s v=""/>
    <s v=""/>
    <s v="42"/>
    <x v="2"/>
    <s v="EU"/>
    <s v="12"/>
    <s v="27"/>
    <s v="Otolith - Surface"/>
    <n v="2126660002"/>
    <s v="1 OTOLITH ACROSS (TRAY)"/>
    <n v="10391438"/>
    <s v="ATNARKO ESCAPEMENT - 2018"/>
    <n v="970"/>
    <s v="ATNARKO RIVER"/>
    <x v="12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n v="10929382"/>
    <n v="589865286"/>
    <s v=""/>
    <s v=""/>
    <s v="42"/>
    <x v="2"/>
    <s v="EU"/>
    <s v="12"/>
    <s v="19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n v="10929106"/>
    <n v="589865286"/>
    <s v=""/>
    <s v=""/>
    <s v="42"/>
    <x v="2"/>
    <s v="EU"/>
    <s v="12"/>
    <s v="27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091"/>
    <n v="589865286"/>
    <s v=""/>
    <s v=""/>
    <s v="42"/>
    <x v="2"/>
    <s v="EU"/>
    <s v="12"/>
    <s v="22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0929268"/>
    <n v="589865286"/>
    <s v=""/>
    <s v=""/>
    <s v="42"/>
    <x v="2"/>
    <s v="EU"/>
    <s v="12"/>
    <s v="81"/>
    <s v="Otolith - Surface"/>
    <n v="2126660002"/>
    <s v="1 OTOLITH ACROSS (TRAY)"/>
    <n v="10391438"/>
    <s v="ATNARKO ESCAPEMENT - 2018"/>
    <n v="970"/>
    <s v="ATNARKO RIVER"/>
    <x v="12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n v="11344675"/>
    <n v="1261461742"/>
    <s v=""/>
    <s v="RG"/>
    <s v="2M"/>
    <x v="3"/>
    <s v="MY"/>
    <s v="2"/>
    <s v="6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672"/>
    <n v="1261461742"/>
    <s v=""/>
    <s v=""/>
    <s v="42"/>
    <x v="2"/>
    <s v="EU"/>
    <s v="12"/>
    <s v="5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n v="11344519"/>
    <n v="1261461742"/>
    <s v="0"/>
    <s v=""/>
    <s v="41"/>
    <x v="1"/>
    <s v="EU"/>
    <s v="03"/>
    <s v="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25"/>
    <n v="1261461742"/>
    <s v=""/>
    <s v="W"/>
    <s v="2M"/>
    <x v="3"/>
    <s v="MY"/>
    <s v="2"/>
    <s v="6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49"/>
    <n v="1261461742"/>
    <s v=""/>
    <s v="W"/>
    <s v="2M"/>
    <x v="3"/>
    <s v="MY"/>
    <s v="2"/>
    <s v="14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55"/>
    <n v="1261461742"/>
    <s v=""/>
    <s v="RG"/>
    <s v="2M"/>
    <x v="3"/>
    <s v="MY"/>
    <s v="2"/>
    <s v="16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11344558"/>
    <n v="1261461742"/>
    <s v=""/>
    <s v=""/>
    <s v="52"/>
    <x v="0"/>
    <s v="EU"/>
    <s v="13"/>
    <s v="17"/>
    <s v="Scales"/>
    <n v="2126660001"/>
    <s v="2 SCALES ACROSS PER FISH"/>
    <n v="10946691"/>
    <s v="BELLA COOLA FN (IN RIVER NET) - 2019"/>
    <n v="968"/>
    <s v="BELLA COOLA RIVER"/>
    <x v="13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n v="4283155"/>
    <n v="947152025"/>
    <s v="2"/>
    <s v="RS"/>
    <s v=""/>
    <x v="6"/>
    <s v="EU"/>
    <s v=""/>
    <s v="4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158"/>
    <n v="947152025"/>
    <s v="2"/>
    <s v="RS"/>
    <s v="S2"/>
    <x v="15"/>
    <s v="FW"/>
    <s v="1"/>
    <s v="5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164"/>
    <n v="947152025"/>
    <s v="2"/>
    <s v="RS"/>
    <s v="S1"/>
    <x v="16"/>
    <s v="FW"/>
    <s v="0"/>
    <s v="7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176"/>
    <n v="947152025"/>
    <s v=""/>
    <s v="RG"/>
    <s v=""/>
    <x v="6"/>
    <s v="EU"/>
    <s v=""/>
    <s v="11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179"/>
    <n v="947152025"/>
    <s v="2"/>
    <s v="RS"/>
    <s v=""/>
    <x v="6"/>
    <s v="EU"/>
    <s v=""/>
    <s v="12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194"/>
    <n v="947152025"/>
    <s v="2"/>
    <s v="RS"/>
    <s v=""/>
    <x v="6"/>
    <s v="EU"/>
    <s v=""/>
    <s v="17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197"/>
    <n v="947152025"/>
    <s v="2"/>
    <s v="RS"/>
    <s v=""/>
    <x v="6"/>
    <s v="EU"/>
    <s v=""/>
    <s v="18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24"/>
    <n v="348152464"/>
    <s v="0"/>
    <s v=""/>
    <s v="52"/>
    <x v="0"/>
    <s v="EU"/>
    <s v="13"/>
    <s v="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30"/>
    <n v="348152464"/>
    <s v="0"/>
    <s v=""/>
    <s v="42"/>
    <x v="2"/>
    <s v="EU"/>
    <s v="12"/>
    <s v="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27"/>
    <n v="348152464"/>
    <s v="0"/>
    <s v=""/>
    <s v="42"/>
    <x v="2"/>
    <s v="EU"/>
    <s v="12"/>
    <s v="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54"/>
    <n v="348152464"/>
    <s v=""/>
    <s v=""/>
    <s v="42"/>
    <x v="2"/>
    <s v="EU"/>
    <s v="12"/>
    <s v="1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60"/>
    <n v="348152464"/>
    <s v="0"/>
    <s v=""/>
    <s v="42"/>
    <x v="2"/>
    <s v="EU"/>
    <s v="12"/>
    <s v="1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78"/>
    <n v="348152464"/>
    <s v=""/>
    <s v=""/>
    <s v="41"/>
    <x v="1"/>
    <s v="EU"/>
    <s v="03"/>
    <s v="2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02"/>
    <n v="348152464"/>
    <s v="0"/>
    <s v=""/>
    <s v="52"/>
    <x v="0"/>
    <s v="EU"/>
    <s v="13"/>
    <s v="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05"/>
    <n v="348152464"/>
    <s v="0"/>
    <s v=""/>
    <s v="42"/>
    <x v="2"/>
    <s v="EU"/>
    <s v="12"/>
    <s v="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08"/>
    <n v="348152464"/>
    <s v="0"/>
    <s v=""/>
    <s v="31"/>
    <x v="7"/>
    <s v="EU"/>
    <s v="02"/>
    <s v="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29"/>
    <n v="348152464"/>
    <s v="0"/>
    <s v=""/>
    <s v="52"/>
    <x v="0"/>
    <s v="EU"/>
    <s v="13"/>
    <s v="1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35"/>
    <n v="348152464"/>
    <s v="0"/>
    <s v="RG"/>
    <s v="2M"/>
    <x v="3"/>
    <s v="MY"/>
    <s v="2"/>
    <s v="1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41"/>
    <n v="348152464"/>
    <s v="0"/>
    <s v=""/>
    <s v="52"/>
    <x v="0"/>
    <s v="EU"/>
    <s v="13"/>
    <s v="1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44"/>
    <n v="348152464"/>
    <s v="0"/>
    <s v=""/>
    <s v="52"/>
    <x v="0"/>
    <s v="EU"/>
    <s v="13"/>
    <s v="1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59"/>
    <n v="348152464"/>
    <s v="0"/>
    <s v=""/>
    <s v="42"/>
    <x v="2"/>
    <s v="EU"/>
    <s v="12"/>
    <s v="2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24973"/>
    <n v="52346421"/>
    <s v=""/>
    <s v=""/>
    <s v="41"/>
    <x v="1"/>
    <s v="EU"/>
    <s v="03"/>
    <s v="A2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4979"/>
    <n v="52346421"/>
    <s v=""/>
    <s v=""/>
    <s v="41"/>
    <x v="1"/>
    <s v="EU"/>
    <s v="03"/>
    <s v="A4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00"/>
    <n v="52346421"/>
    <s v=""/>
    <s v=""/>
    <s v="52"/>
    <x v="0"/>
    <s v="EU"/>
    <s v="13"/>
    <s v="B1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15"/>
    <n v="52346421"/>
    <s v=""/>
    <s v=""/>
    <s v="52"/>
    <x v="0"/>
    <s v="EU"/>
    <s v="13"/>
    <s v="B6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21"/>
    <n v="52346421"/>
    <s v=""/>
    <s v=""/>
    <s v="41"/>
    <x v="1"/>
    <s v="EU"/>
    <s v="03"/>
    <s v="B8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33"/>
    <n v="52346421"/>
    <s v="2"/>
    <s v="RS"/>
    <s v="S2"/>
    <x v="15"/>
    <s v="FW"/>
    <s v="1"/>
    <s v="3"/>
    <s v="Scales"/>
    <n v="2126660001"/>
    <s v="2 SCALES ACROSS PER FISH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67331"/>
  </r>
  <r>
    <n v="4283377"/>
    <n v="348152464"/>
    <s v="0"/>
    <s v=""/>
    <s v="42"/>
    <x v="2"/>
    <s v="EU"/>
    <s v="12"/>
    <s v="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380"/>
    <n v="348152464"/>
    <s v="0"/>
    <s v=""/>
    <s v="42"/>
    <x v="2"/>
    <s v="EU"/>
    <s v="12"/>
    <s v="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392"/>
    <n v="348152464"/>
    <s v="0"/>
    <s v=""/>
    <s v="52"/>
    <x v="0"/>
    <s v="EU"/>
    <s v="13"/>
    <s v="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01"/>
    <n v="348152464"/>
    <s v="0"/>
    <s v=""/>
    <s v="52"/>
    <x v="0"/>
    <s v="EU"/>
    <s v="13"/>
    <s v="1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10"/>
    <n v="348152464"/>
    <s v="0"/>
    <s v=""/>
    <s v="31"/>
    <x v="7"/>
    <s v="EU"/>
    <s v="02"/>
    <s v="1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13"/>
    <n v="348152464"/>
    <s v="0"/>
    <s v=""/>
    <s v="63"/>
    <x v="8"/>
    <s v="EU"/>
    <s v="23"/>
    <s v="1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16"/>
    <n v="348152464"/>
    <s v="0"/>
    <s v=""/>
    <s v="42"/>
    <x v="2"/>
    <s v="EU"/>
    <s v="12"/>
    <s v="1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19"/>
    <n v="348152464"/>
    <s v="0"/>
    <s v="UF"/>
    <s v="2M"/>
    <x v="3"/>
    <s v="MY"/>
    <s v="2"/>
    <s v="1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34"/>
    <n v="348152464"/>
    <s v="0"/>
    <s v=""/>
    <s v="52"/>
    <x v="0"/>
    <s v="EU"/>
    <s v="13"/>
    <s v="2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40"/>
    <n v="348152464"/>
    <s v="0"/>
    <s v="RG"/>
    <s v="2M"/>
    <x v="3"/>
    <s v="MY"/>
    <s v="2"/>
    <s v="2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43"/>
    <n v="348152464"/>
    <s v="0"/>
    <s v="RG"/>
    <s v="3M"/>
    <x v="5"/>
    <s v="MY"/>
    <s v="3"/>
    <s v="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61"/>
    <n v="348152464"/>
    <s v="0"/>
    <s v=""/>
    <s v="52"/>
    <x v="0"/>
    <s v="EU"/>
    <s v="13"/>
    <s v="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67"/>
    <n v="348152464"/>
    <s v="0"/>
    <s v=""/>
    <s v="42"/>
    <x v="2"/>
    <s v="EU"/>
    <s v="12"/>
    <s v="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76"/>
    <n v="348152464"/>
    <s v="0"/>
    <s v=""/>
    <s v="42"/>
    <x v="2"/>
    <s v="EU"/>
    <s v="12"/>
    <s v="1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79"/>
    <n v="348152464"/>
    <s v="0"/>
    <s v=""/>
    <s v="52"/>
    <x v="0"/>
    <s v="EU"/>
    <s v="13"/>
    <s v="1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82"/>
    <n v="348152464"/>
    <s v="0"/>
    <s v=""/>
    <s v="52"/>
    <x v="0"/>
    <s v="EU"/>
    <s v="13"/>
    <s v="1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94"/>
    <n v="348152464"/>
    <s v="0"/>
    <s v="W"/>
    <s v="2M"/>
    <x v="3"/>
    <s v="MY"/>
    <s v="2"/>
    <s v="1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500"/>
    <n v="348152464"/>
    <s v="0"/>
    <s v=""/>
    <s v="52"/>
    <x v="0"/>
    <s v="EU"/>
    <s v="13"/>
    <s v="2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503"/>
    <n v="348152464"/>
    <s v=""/>
    <s v="RG"/>
    <s v=""/>
    <x v="6"/>
    <s v="EU"/>
    <s v=""/>
    <s v="2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509"/>
    <n v="348152464"/>
    <s v="0"/>
    <s v=""/>
    <s v="52"/>
    <x v="0"/>
    <s v="EU"/>
    <s v="13"/>
    <s v="2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449"/>
    <n v="348152464"/>
    <s v="0"/>
    <s v=""/>
    <s v="31"/>
    <x v="7"/>
    <s v="EU"/>
    <s v="02"/>
    <s v="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185"/>
    <n v="947152025"/>
    <s v="2"/>
    <s v="RS"/>
    <s v="S2"/>
    <x v="15"/>
    <s v="FW"/>
    <s v="1"/>
    <s v="14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332"/>
    <n v="348152464"/>
    <s v=""/>
    <s v="UF"/>
    <s v="3M"/>
    <x v="5"/>
    <s v="MY"/>
    <s v="3"/>
    <s v="1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437"/>
    <n v="348152464"/>
    <s v="0"/>
    <s v=""/>
    <s v="52"/>
    <x v="0"/>
    <s v="EU"/>
    <s v="13"/>
    <s v="2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73"/>
    <n v="348152464"/>
    <s v="0"/>
    <s v="W"/>
    <s v="3M"/>
    <x v="5"/>
    <s v="MY"/>
    <s v="3"/>
    <s v="1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24997"/>
    <n v="52346421"/>
    <s v=""/>
    <s v=""/>
    <s v="42"/>
    <x v="2"/>
    <s v="EU"/>
    <s v="12"/>
    <s v="A10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266"/>
    <n v="348152464"/>
    <s v="0"/>
    <s v=""/>
    <s v="42"/>
    <x v="2"/>
    <s v="EU"/>
    <s v="12"/>
    <s v="1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149"/>
    <n v="947152025"/>
    <s v="2"/>
    <s v="RS"/>
    <s v="S2"/>
    <x v="15"/>
    <s v="FW"/>
    <s v="1"/>
    <s v="2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25003"/>
    <n v="52346421"/>
    <s v=""/>
    <s v=""/>
    <s v="21"/>
    <x v="9"/>
    <s v="EU"/>
    <s v="01"/>
    <s v="B2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209"/>
    <n v="947152025"/>
    <s v="2"/>
    <s v="RS"/>
    <s v=""/>
    <x v="6"/>
    <s v="EU"/>
    <s v=""/>
    <s v="22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69"/>
    <n v="348152464"/>
    <s v="0"/>
    <s v=""/>
    <s v="52"/>
    <x v="0"/>
    <s v="EU"/>
    <s v="13"/>
    <s v="1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485"/>
    <n v="348152464"/>
    <s v=""/>
    <s v=""/>
    <s v="31"/>
    <x v="7"/>
    <s v="EU"/>
    <s v="02"/>
    <s v="1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239"/>
    <n v="348152464"/>
    <s v="0"/>
    <s v=""/>
    <s v="42"/>
    <x v="2"/>
    <s v="EU"/>
    <s v="12"/>
    <s v="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74"/>
    <n v="348152464"/>
    <s v="0"/>
    <s v=""/>
    <s v="63"/>
    <x v="8"/>
    <s v="EU"/>
    <s v="23"/>
    <s v="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188"/>
    <n v="947152025"/>
    <s v=""/>
    <s v="UD"/>
    <s v=""/>
    <x v="6"/>
    <s v="EU"/>
    <s v=""/>
    <s v="15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317"/>
    <n v="348152464"/>
    <s v="0"/>
    <s v="RG"/>
    <s v="2M"/>
    <x v="3"/>
    <s v="MY"/>
    <s v="2"/>
    <s v="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452"/>
    <n v="348152464"/>
    <s v="0"/>
    <s v="RG"/>
    <s v="3M"/>
    <x v="5"/>
    <s v="MY"/>
    <s v="3"/>
    <s v="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506"/>
    <n v="348152464"/>
    <s v="0"/>
    <s v=""/>
    <s v="52"/>
    <x v="0"/>
    <s v="EU"/>
    <s v="13"/>
    <s v="2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24988"/>
    <n v="52346421"/>
    <s v=""/>
    <s v=""/>
    <s v="31"/>
    <x v="7"/>
    <s v="EU"/>
    <s v="02"/>
    <s v="A7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4970"/>
    <n v="52346421"/>
    <s v=""/>
    <s v=""/>
    <s v="41"/>
    <x v="1"/>
    <s v="EU"/>
    <s v="03"/>
    <s v="A1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06"/>
    <n v="52346421"/>
    <s v=""/>
    <s v=""/>
    <s v="52"/>
    <x v="0"/>
    <s v="EU"/>
    <s v="13"/>
    <s v="B3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491"/>
    <n v="348152464"/>
    <s v="0"/>
    <s v=""/>
    <s v="63"/>
    <x v="8"/>
    <s v="EU"/>
    <s v="23"/>
    <s v="1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242"/>
    <n v="348152464"/>
    <s v="0"/>
    <s v=""/>
    <s v="53"/>
    <x v="4"/>
    <s v="EU"/>
    <s v="22"/>
    <s v="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488"/>
    <n v="348152464"/>
    <s v="0"/>
    <s v=""/>
    <s v="52"/>
    <x v="0"/>
    <s v="EU"/>
    <s v="13"/>
    <s v="1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272"/>
    <n v="348152464"/>
    <s v="0"/>
    <s v=""/>
    <s v="52"/>
    <x v="0"/>
    <s v="EU"/>
    <s v="13"/>
    <s v="1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25012"/>
    <n v="52346421"/>
    <s v=""/>
    <s v=""/>
    <s v="52"/>
    <x v="0"/>
    <s v="EU"/>
    <s v="13"/>
    <s v="B5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398"/>
    <n v="348152464"/>
    <s v="0"/>
    <s v=""/>
    <s v="42"/>
    <x v="2"/>
    <s v="EU"/>
    <s v="12"/>
    <s v="1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314"/>
    <n v="348152464"/>
    <s v="0"/>
    <s v="RG"/>
    <s v="3M"/>
    <x v="5"/>
    <s v="MY"/>
    <s v="3"/>
    <s v="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206"/>
    <n v="947152025"/>
    <s v="2"/>
    <s v="RS"/>
    <s v="S2"/>
    <x v="15"/>
    <s v="FW"/>
    <s v="1"/>
    <s v="21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03"/>
    <n v="947152025"/>
    <s v="2"/>
    <s v="RS"/>
    <s v=""/>
    <x v="6"/>
    <s v="EU"/>
    <s v=""/>
    <s v="20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389"/>
    <n v="348152464"/>
    <s v="0"/>
    <s v=""/>
    <s v="52"/>
    <x v="0"/>
    <s v="EU"/>
    <s v="13"/>
    <s v="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25"/>
    <n v="348152464"/>
    <s v="0"/>
    <s v=""/>
    <s v="52"/>
    <x v="0"/>
    <s v="EU"/>
    <s v="13"/>
    <s v="2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170"/>
    <n v="947152025"/>
    <s v="2"/>
    <s v="RS"/>
    <s v=""/>
    <x v="6"/>
    <s v="EU"/>
    <s v=""/>
    <s v="9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51"/>
    <n v="348152464"/>
    <s v="0"/>
    <s v="W"/>
    <s v="3M"/>
    <x v="5"/>
    <s v="MY"/>
    <s v="3"/>
    <s v="1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71"/>
    <n v="348152464"/>
    <s v="0"/>
    <s v=""/>
    <s v="42"/>
    <x v="2"/>
    <s v="EU"/>
    <s v="12"/>
    <s v="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04"/>
    <n v="348152464"/>
    <s v="0"/>
    <s v="RG"/>
    <s v="2M"/>
    <x v="3"/>
    <s v="MY"/>
    <s v="2"/>
    <s v="1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70"/>
    <n v="348152464"/>
    <s v="0"/>
    <s v=""/>
    <s v="42"/>
    <x v="2"/>
    <s v="EU"/>
    <s v="12"/>
    <s v="1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233"/>
    <n v="348152464"/>
    <s v="0"/>
    <s v="RG"/>
    <s v="3M"/>
    <x v="5"/>
    <s v="MY"/>
    <s v="3"/>
    <s v="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25030"/>
    <n v="52346421"/>
    <s v=""/>
    <s v="RG"/>
    <s v=""/>
    <x v="6"/>
    <s v="EU"/>
    <s v=""/>
    <s v="1"/>
    <s v="Scales"/>
    <n v="2126660001"/>
    <s v="2 SCALES ACROSS PER FISH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67331"/>
  </r>
  <r>
    <n v="4283365"/>
    <n v="348152464"/>
    <s v="0"/>
    <s v=""/>
    <s v="42"/>
    <x v="2"/>
    <s v="EU"/>
    <s v="12"/>
    <s v="2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182"/>
    <n v="947152025"/>
    <s v=""/>
    <s v="RG"/>
    <s v=""/>
    <x v="6"/>
    <s v="EU"/>
    <s v=""/>
    <s v="13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320"/>
    <n v="348152464"/>
    <s v="0"/>
    <s v=""/>
    <s v="63"/>
    <x v="8"/>
    <s v="EU"/>
    <s v="23"/>
    <s v="1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257"/>
    <n v="348152464"/>
    <s v=""/>
    <s v=""/>
    <s v="31"/>
    <x v="7"/>
    <s v="EU"/>
    <s v="02"/>
    <s v="1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90"/>
    <n v="348152464"/>
    <s v=""/>
    <s v=""/>
    <s v="31"/>
    <x v="7"/>
    <s v="EU"/>
    <s v="02"/>
    <s v="2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86"/>
    <n v="348152464"/>
    <s v="0"/>
    <s v=""/>
    <s v="31"/>
    <x v="7"/>
    <s v="EU"/>
    <s v="02"/>
    <s v="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161"/>
    <n v="947152025"/>
    <s v="2"/>
    <s v="RS"/>
    <s v=""/>
    <x v="6"/>
    <s v="EU"/>
    <s v=""/>
    <s v="6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96"/>
    <n v="348152464"/>
    <s v="0"/>
    <s v=""/>
    <s v="31"/>
    <x v="7"/>
    <s v="EU"/>
    <s v="02"/>
    <s v="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146"/>
    <n v="947152025"/>
    <s v="2"/>
    <s v="RS"/>
    <s v="S3"/>
    <x v="17"/>
    <s v="FW"/>
    <s v="2"/>
    <s v="1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93"/>
    <n v="348152464"/>
    <s v="0"/>
    <s v=""/>
    <s v="52"/>
    <x v="0"/>
    <s v="EU"/>
    <s v="13"/>
    <s v="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152"/>
    <n v="947152025"/>
    <s v="2"/>
    <s v="RS"/>
    <s v=""/>
    <x v="6"/>
    <s v="EU"/>
    <s v=""/>
    <s v="3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24994"/>
    <n v="52346421"/>
    <s v=""/>
    <s v=""/>
    <s v="52"/>
    <x v="0"/>
    <s v="EU"/>
    <s v="13"/>
    <s v="A9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173"/>
    <n v="947152025"/>
    <s v="2"/>
    <s v="RS"/>
    <s v="S2"/>
    <x v="15"/>
    <s v="FW"/>
    <s v="1"/>
    <s v="10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48"/>
    <n v="348152464"/>
    <s v=""/>
    <s v="RG"/>
    <s v=""/>
    <x v="6"/>
    <s v="EU"/>
    <s v=""/>
    <s v="1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75"/>
    <n v="348152464"/>
    <s v="0"/>
    <s v=""/>
    <s v="52"/>
    <x v="0"/>
    <s v="EU"/>
    <s v="13"/>
    <s v="2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47"/>
    <n v="348152464"/>
    <s v="0"/>
    <s v=""/>
    <s v="52"/>
    <x v="0"/>
    <s v="EU"/>
    <s v="13"/>
    <s v="1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24991"/>
    <n v="52346421"/>
    <s v=""/>
    <s v=""/>
    <s v="41"/>
    <x v="1"/>
    <s v="EU"/>
    <s v="03"/>
    <s v="A8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09"/>
    <n v="52346421"/>
    <s v=""/>
    <s v=""/>
    <s v="52"/>
    <x v="0"/>
    <s v="EU"/>
    <s v="13"/>
    <s v="B4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368"/>
    <n v="348152464"/>
    <s v=""/>
    <s v=""/>
    <s v="42"/>
    <x v="2"/>
    <s v="EU"/>
    <s v="12"/>
    <s v="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55"/>
    <n v="348152464"/>
    <s v="0"/>
    <s v="RG"/>
    <s v="3M"/>
    <x v="5"/>
    <s v="MY"/>
    <s v="3"/>
    <s v="5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25024"/>
    <n v="52346421"/>
    <s v=""/>
    <s v=""/>
    <s v="41"/>
    <x v="1"/>
    <s v="EU"/>
    <s v="03"/>
    <s v="B9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446"/>
    <n v="348152464"/>
    <s v="0"/>
    <s v=""/>
    <s v="52"/>
    <x v="0"/>
    <s v="EU"/>
    <s v="13"/>
    <s v="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167"/>
    <n v="947152025"/>
    <s v="2"/>
    <s v="RS"/>
    <s v=""/>
    <x v="6"/>
    <s v="EU"/>
    <s v=""/>
    <s v="8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353"/>
    <n v="348152464"/>
    <s v="0"/>
    <s v="RG"/>
    <s v="2M"/>
    <x v="3"/>
    <s v="MY"/>
    <s v="2"/>
    <s v="2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25036"/>
    <n v="52346421"/>
    <s v="2"/>
    <s v="RS"/>
    <s v="S2"/>
    <x v="15"/>
    <s v="FW"/>
    <s v="1"/>
    <s v="4"/>
    <s v="Scales"/>
    <n v="2126660001"/>
    <s v="2 SCALES ACROSS PER FISH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67331"/>
  </r>
  <r>
    <n v="4283464"/>
    <n v="348152464"/>
    <s v="0"/>
    <s v=""/>
    <s v="52"/>
    <x v="0"/>
    <s v="EU"/>
    <s v="13"/>
    <s v="8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83323"/>
    <n v="348152464"/>
    <s v="0"/>
    <s v=""/>
    <s v="42"/>
    <x v="2"/>
    <s v="EU"/>
    <s v="12"/>
    <s v="1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50"/>
    <n v="348152464"/>
    <s v="0"/>
    <s v=""/>
    <s v="52"/>
    <x v="0"/>
    <s v="EU"/>
    <s v="13"/>
    <s v="2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24976"/>
    <n v="52346421"/>
    <s v=""/>
    <s v=""/>
    <s v="41"/>
    <x v="1"/>
    <s v="EU"/>
    <s v="03"/>
    <s v="A3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407"/>
    <n v="348152464"/>
    <s v="0"/>
    <s v=""/>
    <s v="52"/>
    <x v="0"/>
    <s v="EU"/>
    <s v="13"/>
    <s v="1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24985"/>
    <n v="52346421"/>
    <s v=""/>
    <s v=""/>
    <s v="42"/>
    <x v="2"/>
    <s v="EU"/>
    <s v="12"/>
    <s v="A6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191"/>
    <n v="947152025"/>
    <s v=""/>
    <s v="NS"/>
    <s v=""/>
    <x v="6"/>
    <s v="EU"/>
    <s v=""/>
    <s v="16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428"/>
    <n v="348152464"/>
    <s v="0"/>
    <s v=""/>
    <s v="63"/>
    <x v="8"/>
    <s v="EU"/>
    <s v="23"/>
    <s v="2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236"/>
    <n v="348152464"/>
    <s v="0"/>
    <s v=""/>
    <s v="52"/>
    <x v="0"/>
    <s v="EU"/>
    <s v="13"/>
    <s v="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95"/>
    <n v="348152464"/>
    <s v="0"/>
    <s v="W"/>
    <s v="2M"/>
    <x v="3"/>
    <s v="MY"/>
    <s v="2"/>
    <s v="1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281"/>
    <n v="348152464"/>
    <s v="0"/>
    <s v="RG"/>
    <s v="2M"/>
    <x v="3"/>
    <s v="MY"/>
    <s v="2"/>
    <s v="2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362"/>
    <n v="348152464"/>
    <s v="0"/>
    <s v=""/>
    <s v="52"/>
    <x v="0"/>
    <s v="EU"/>
    <s v="13"/>
    <s v="24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422"/>
    <n v="348152464"/>
    <s v="0"/>
    <s v=""/>
    <s v="52"/>
    <x v="0"/>
    <s v="EU"/>
    <s v="13"/>
    <s v="1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311"/>
    <n v="348152464"/>
    <s v="0"/>
    <s v=""/>
    <s v="31"/>
    <x v="7"/>
    <s v="EU"/>
    <s v="02"/>
    <s v="7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38"/>
    <n v="348152464"/>
    <s v="0"/>
    <s v=""/>
    <s v="52"/>
    <x v="0"/>
    <s v="EU"/>
    <s v="13"/>
    <s v="1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245"/>
    <n v="348152464"/>
    <s v="0"/>
    <s v=""/>
    <s v="42"/>
    <x v="2"/>
    <s v="EU"/>
    <s v="12"/>
    <s v="10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84"/>
    <n v="348152464"/>
    <s v="0"/>
    <s v=""/>
    <s v="41"/>
    <x v="1"/>
    <s v="EU"/>
    <s v="03"/>
    <s v="2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00"/>
    <n v="947152025"/>
    <s v="1"/>
    <s v="W"/>
    <s v="3M"/>
    <x v="5"/>
    <s v="MY"/>
    <s v="3"/>
    <s v="19"/>
    <s v="Scales"/>
    <n v="2126660001"/>
    <s v="2 SCALES ACROSS PER FISH"/>
    <n v="3733095"/>
    <s v="ATNARKO ESCAPEMENT - 2007"/>
    <n v="970"/>
    <s v="ATNARKO RIVER"/>
    <x v="14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n v="4283299"/>
    <n v="348152464"/>
    <s v="0"/>
    <s v=""/>
    <s v="42"/>
    <x v="2"/>
    <s v="EU"/>
    <s v="12"/>
    <s v="3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n v="4283383"/>
    <n v="348152464"/>
    <s v="0"/>
    <s v=""/>
    <s v="31"/>
    <x v="7"/>
    <s v="EU"/>
    <s v="02"/>
    <s v="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97"/>
    <n v="348152464"/>
    <s v=""/>
    <s v="RG"/>
    <s v=""/>
    <x v="6"/>
    <s v="EU"/>
    <s v=""/>
    <s v="19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4224982"/>
    <n v="52346421"/>
    <s v=""/>
    <s v=""/>
    <s v="31"/>
    <x v="7"/>
    <s v="EU"/>
    <s v="02"/>
    <s v="A5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218"/>
    <n v="348152464"/>
    <s v="0"/>
    <s v=""/>
    <s v="42"/>
    <x v="2"/>
    <s v="EU"/>
    <s v="12"/>
    <s v="1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25018"/>
    <n v="52346421"/>
    <s v=""/>
    <s v=""/>
    <s v="52"/>
    <x v="0"/>
    <s v="EU"/>
    <s v="13"/>
    <s v="B7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25027"/>
    <n v="52346421"/>
    <s v=""/>
    <s v=""/>
    <s v="52"/>
    <x v="0"/>
    <s v="EU"/>
    <s v="13"/>
    <s v="B10"/>
    <s v="Otolith - Surface"/>
    <n v="2126660002"/>
    <s v="1 OTOLITH ACROSS (TRAY)"/>
    <n v="3733095"/>
    <s v="ATNARKO ESCAPEMENT - 2007"/>
    <n v="970"/>
    <s v="ATNARKO RIVER"/>
    <x v="14"/>
    <s v="2007/0249"/>
    <n v="1"/>
    <s v="SOCKEYE SALMON"/>
    <n v="2086090012"/>
    <x v="1"/>
    <n v="83"/>
    <s v="Gaff (Deadpitch)"/>
    <s v="Adult"/>
    <d v="2007-09-27T00:00:00"/>
    <d v="2007-09-27T00:00:00"/>
    <s v="stad 1"/>
  </r>
  <r>
    <n v="4283221"/>
    <n v="348152464"/>
    <s v="0"/>
    <s v=""/>
    <s v="63"/>
    <x v="8"/>
    <s v="EU"/>
    <s v="23"/>
    <s v="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263"/>
    <n v="348152464"/>
    <s v="0"/>
    <s v=""/>
    <s v="31"/>
    <x v="7"/>
    <s v="EU"/>
    <s v="02"/>
    <s v="1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n v="4283431"/>
    <n v="348152464"/>
    <s v="0"/>
    <s v=""/>
    <s v="52"/>
    <x v="0"/>
    <s v="EU"/>
    <s v="13"/>
    <s v="22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n v="4283458"/>
    <n v="348152464"/>
    <s v="0"/>
    <s v=""/>
    <s v="42"/>
    <x v="2"/>
    <s v="EU"/>
    <s v="12"/>
    <s v="6"/>
    <s v="Scales"/>
    <n v="2126660001"/>
    <s v="2 SCALES ACROSS PER FISH"/>
    <n v="3733095"/>
    <s v="ATNARKO ESCAPEMENT - 2007"/>
    <n v="970"/>
    <s v="ATNARKO RIVER"/>
    <x v="14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n v="2941433"/>
    <n v="331382442"/>
    <s v=""/>
    <s v=""/>
    <s v="53"/>
    <x v="4"/>
    <s v="EU"/>
    <s v="22"/>
    <s v="2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36"/>
    <n v="331382442"/>
    <s v=""/>
    <s v=""/>
    <s v="42"/>
    <x v="2"/>
    <s v="EU"/>
    <s v="12"/>
    <s v="2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39"/>
    <n v="331382442"/>
    <s v=""/>
    <s v=""/>
    <s v="42"/>
    <x v="2"/>
    <s v="EU"/>
    <s v="12"/>
    <s v="2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42"/>
    <n v="331382442"/>
    <s v=""/>
    <s v=""/>
    <s v="52"/>
    <x v="0"/>
    <s v="EU"/>
    <s v="13"/>
    <s v="2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45"/>
    <n v="331382442"/>
    <s v=""/>
    <s v=""/>
    <s v="53"/>
    <x v="4"/>
    <s v="EU"/>
    <s v="22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463"/>
    <n v="331382442"/>
    <s v=""/>
    <s v=""/>
    <s v="53"/>
    <x v="4"/>
    <s v="EU"/>
    <s v="22"/>
    <s v="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472"/>
    <n v="331382442"/>
    <s v=""/>
    <s v=""/>
    <s v="53"/>
    <x v="4"/>
    <s v="EU"/>
    <s v="2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484"/>
    <n v="331382442"/>
    <s v=""/>
    <s v=""/>
    <s v="53"/>
    <x v="4"/>
    <s v="EU"/>
    <s v="22"/>
    <s v="1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496"/>
    <n v="331382442"/>
    <s v=""/>
    <s v="RG"/>
    <s v="2M"/>
    <x v="3"/>
    <s v="MY"/>
    <s v="2"/>
    <s v="1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11"/>
    <n v="331382442"/>
    <s v=""/>
    <s v=""/>
    <s v="42"/>
    <x v="2"/>
    <s v="EU"/>
    <s v="12"/>
    <s v="2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23"/>
    <n v="331382442"/>
    <s v=""/>
    <s v=""/>
    <s v="42"/>
    <x v="2"/>
    <s v="EU"/>
    <s v="1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47"/>
    <n v="331382442"/>
    <s v=""/>
    <s v=""/>
    <s v="42"/>
    <x v="2"/>
    <s v="EU"/>
    <s v="1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50"/>
    <n v="331382442"/>
    <s v=""/>
    <s v=""/>
    <s v="42"/>
    <x v="2"/>
    <s v="EU"/>
    <s v="12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56"/>
    <n v="331382442"/>
    <s v=""/>
    <s v="RG"/>
    <s v="2M"/>
    <x v="3"/>
    <s v="MY"/>
    <s v="2"/>
    <s v="1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77"/>
    <n v="331382442"/>
    <s v=""/>
    <s v=""/>
    <s v="53"/>
    <x v="4"/>
    <s v="EU"/>
    <s v="22"/>
    <s v="2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83"/>
    <n v="331382442"/>
    <s v=""/>
    <s v="UD"/>
    <s v=""/>
    <x v="6"/>
    <s v="EU"/>
    <s v=""/>
    <s v="2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95"/>
    <n v="331382442"/>
    <s v=""/>
    <s v=""/>
    <s v="52"/>
    <x v="0"/>
    <s v="EU"/>
    <s v="13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10"/>
    <n v="331382442"/>
    <s v=""/>
    <s v=""/>
    <s v="53"/>
    <x v="4"/>
    <s v="EU"/>
    <s v="2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25"/>
    <n v="331382442"/>
    <s v=""/>
    <s v=""/>
    <s v="52"/>
    <x v="0"/>
    <s v="EU"/>
    <s v="13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37"/>
    <n v="331382442"/>
    <s v=""/>
    <s v=""/>
    <s v="53"/>
    <x v="4"/>
    <s v="EU"/>
    <s v="22"/>
    <s v="1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43"/>
    <n v="331382442"/>
    <s v=""/>
    <s v=""/>
    <s v="53"/>
    <x v="4"/>
    <s v="EU"/>
    <s v="22"/>
    <s v="1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64"/>
    <n v="331382442"/>
    <s v="0"/>
    <s v=""/>
    <s v="42"/>
    <x v="2"/>
    <s v="EU"/>
    <s v="12"/>
    <s v="2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70"/>
    <n v="331382442"/>
    <s v=""/>
    <s v=""/>
    <s v="53"/>
    <x v="4"/>
    <s v="EU"/>
    <s v="22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694"/>
    <n v="331382442"/>
    <s v=""/>
    <s v=""/>
    <s v="53"/>
    <x v="4"/>
    <s v="EU"/>
    <s v="22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03"/>
    <n v="331382442"/>
    <s v=""/>
    <s v=""/>
    <s v="53"/>
    <x v="4"/>
    <s v="EU"/>
    <s v="22"/>
    <s v="1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06"/>
    <n v="331382442"/>
    <s v=""/>
    <s v=""/>
    <s v="42"/>
    <x v="2"/>
    <s v="EU"/>
    <s v="12"/>
    <s v="1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15"/>
    <n v="331382442"/>
    <s v=""/>
    <s v=""/>
    <s v="42"/>
    <x v="2"/>
    <s v="EU"/>
    <s v="12"/>
    <s v="1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18"/>
    <n v="331382442"/>
    <s v=""/>
    <s v=""/>
    <s v="52"/>
    <x v="0"/>
    <s v="EU"/>
    <s v="13"/>
    <s v="1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63"/>
    <n v="331382442"/>
    <s v=""/>
    <s v="RG"/>
    <s v="3M"/>
    <x v="5"/>
    <s v="MY"/>
    <s v="3"/>
    <s v="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772"/>
    <n v="331382442"/>
    <s v=""/>
    <s v="RG"/>
    <s v="2M"/>
    <x v="3"/>
    <s v="MY"/>
    <s v="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769"/>
    <n v="331382442"/>
    <s v=""/>
    <s v="RG"/>
    <s v="3M"/>
    <x v="5"/>
    <s v="MY"/>
    <s v="3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790"/>
    <n v="331382442"/>
    <s v="0"/>
    <s v=""/>
    <s v="42"/>
    <x v="2"/>
    <s v="EU"/>
    <s v="1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793"/>
    <n v="331382442"/>
    <s v="0"/>
    <s v=""/>
    <s v="42"/>
    <x v="2"/>
    <s v="EU"/>
    <s v="12"/>
    <s v="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796"/>
    <n v="331382442"/>
    <s v="0"/>
    <s v=""/>
    <s v="42"/>
    <x v="2"/>
    <s v="EU"/>
    <s v="12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802"/>
    <n v="331382442"/>
    <s v=""/>
    <s v="RG"/>
    <s v="2M"/>
    <x v="3"/>
    <s v="MY"/>
    <s v="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3008902"/>
    <n v="607358362"/>
    <s v="1"/>
    <s v=""/>
    <s v="42"/>
    <x v="2"/>
    <s v="EU"/>
    <s v="12"/>
    <s v="15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05"/>
    <n v="607358362"/>
    <s v="0"/>
    <s v="RG"/>
    <s v="2M"/>
    <x v="3"/>
    <s v="MY"/>
    <s v="2"/>
    <s v="16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11"/>
    <n v="607358362"/>
    <s v="0"/>
    <s v=""/>
    <s v="42"/>
    <x v="2"/>
    <s v="EU"/>
    <s v="12"/>
    <s v="18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14"/>
    <n v="607358362"/>
    <s v="1"/>
    <s v=""/>
    <s v="42"/>
    <x v="2"/>
    <s v="EU"/>
    <s v="12"/>
    <s v="19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38"/>
    <n v="607358362"/>
    <s v="0"/>
    <s v="RG"/>
    <s v="3M"/>
    <x v="5"/>
    <s v="MY"/>
    <s v="3"/>
    <s v="2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3008956"/>
    <n v="607358362"/>
    <s v="0"/>
    <s v=""/>
    <s v="42"/>
    <x v="2"/>
    <s v="EU"/>
    <s v="12"/>
    <s v="8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3008971"/>
    <n v="607358362"/>
    <s v="1"/>
    <s v=""/>
    <s v="42"/>
    <x v="2"/>
    <s v="EU"/>
    <s v="12"/>
    <s v="13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298"/>
    <n v="331382442"/>
    <s v=""/>
    <s v=""/>
    <s v="31"/>
    <x v="7"/>
    <s v="EU"/>
    <s v="0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07"/>
    <n v="331382442"/>
    <s v=""/>
    <s v=""/>
    <s v="42"/>
    <x v="2"/>
    <s v="EU"/>
    <s v="12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748"/>
    <n v="331382442"/>
    <s v=""/>
    <s v=""/>
    <s v="42"/>
    <x v="2"/>
    <s v="EU"/>
    <s v="1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667"/>
    <n v="331382442"/>
    <s v=""/>
    <s v=""/>
    <s v="53"/>
    <x v="4"/>
    <s v="EU"/>
    <s v="22"/>
    <s v="2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406"/>
    <n v="331382442"/>
    <s v=""/>
    <s v=""/>
    <s v="42"/>
    <x v="2"/>
    <s v="EU"/>
    <s v="12"/>
    <s v="1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655"/>
    <n v="331382442"/>
    <s v=""/>
    <s v=""/>
    <s v="42"/>
    <x v="2"/>
    <s v="EU"/>
    <s v="12"/>
    <s v="2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700"/>
    <n v="331382442"/>
    <s v=""/>
    <s v=""/>
    <s v="42"/>
    <x v="2"/>
    <s v="EU"/>
    <s v="12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12"/>
    <n v="331382442"/>
    <s v=""/>
    <s v=""/>
    <s v="52"/>
    <x v="0"/>
    <s v="EU"/>
    <s v="13"/>
    <s v="1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3008980"/>
    <n v="607358362"/>
    <s v="0"/>
    <s v=""/>
    <s v="42"/>
    <x v="2"/>
    <s v="EU"/>
    <s v="12"/>
    <s v="16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346"/>
    <n v="331382442"/>
    <s v=""/>
    <s v=""/>
    <s v="53"/>
    <x v="4"/>
    <s v="EU"/>
    <s v="22"/>
    <s v="1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805"/>
    <n v="331382442"/>
    <s v="0"/>
    <s v=""/>
    <s v="42"/>
    <x v="2"/>
    <s v="EU"/>
    <s v="12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388"/>
    <n v="331382442"/>
    <s v=""/>
    <s v=""/>
    <s v="52"/>
    <x v="0"/>
    <s v="EU"/>
    <s v="13"/>
    <s v="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57"/>
    <n v="331382442"/>
    <s v=""/>
    <s v=""/>
    <s v="53"/>
    <x v="4"/>
    <s v="EU"/>
    <s v="22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02"/>
    <n v="331382442"/>
    <s v=""/>
    <s v="RG"/>
    <s v=""/>
    <x v="6"/>
    <s v="EU"/>
    <s v=""/>
    <s v="2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739"/>
    <n v="331382442"/>
    <s v=""/>
    <s v=""/>
    <s v="42"/>
    <x v="2"/>
    <s v="EU"/>
    <s v="12"/>
    <s v="2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568"/>
    <n v="331382442"/>
    <s v=""/>
    <s v=""/>
    <s v="63"/>
    <x v="8"/>
    <s v="EU"/>
    <s v="23"/>
    <s v="1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352"/>
    <n v="331382442"/>
    <s v=""/>
    <s v="RG"/>
    <s v="2M"/>
    <x v="3"/>
    <s v="MY"/>
    <s v="2"/>
    <s v="2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685"/>
    <n v="331382442"/>
    <s v=""/>
    <s v="RG"/>
    <s v="2M"/>
    <x v="3"/>
    <s v="MY"/>
    <s v="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598"/>
    <n v="331382442"/>
    <s v=""/>
    <s v="RG"/>
    <s v="3M"/>
    <x v="5"/>
    <s v="MY"/>
    <s v="3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28"/>
    <n v="331382442"/>
    <s v=""/>
    <s v=""/>
    <s v="63"/>
    <x v="8"/>
    <s v="EU"/>
    <s v="23"/>
    <s v="1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757"/>
    <n v="331382442"/>
    <s v=""/>
    <s v=""/>
    <s v="42"/>
    <x v="2"/>
    <s v="EU"/>
    <s v="12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661"/>
    <n v="331382442"/>
    <s v=""/>
    <s v=""/>
    <s v="53"/>
    <x v="4"/>
    <s v="EU"/>
    <s v="22"/>
    <s v="2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724"/>
    <n v="331382442"/>
    <s v=""/>
    <s v=""/>
    <s v="52"/>
    <x v="0"/>
    <s v="EU"/>
    <s v="13"/>
    <s v="1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673"/>
    <n v="331382442"/>
    <s v=""/>
    <s v=""/>
    <s v="42"/>
    <x v="2"/>
    <s v="EU"/>
    <s v="1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328"/>
    <n v="331382442"/>
    <s v=""/>
    <s v=""/>
    <s v="21"/>
    <x v="9"/>
    <s v="EU"/>
    <s v="01"/>
    <s v="1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69"/>
    <n v="331382442"/>
    <s v=""/>
    <s v=""/>
    <s v="41"/>
    <x v="1"/>
    <s v="EU"/>
    <s v="03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493"/>
    <n v="331382442"/>
    <s v=""/>
    <s v=""/>
    <s v="52"/>
    <x v="0"/>
    <s v="EU"/>
    <s v="13"/>
    <s v="1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74"/>
    <n v="331382442"/>
    <s v=""/>
    <s v=""/>
    <s v="42"/>
    <x v="2"/>
    <s v="EU"/>
    <s v="12"/>
    <s v="1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301"/>
    <n v="331382442"/>
    <s v=""/>
    <s v=""/>
    <s v="53"/>
    <x v="4"/>
    <s v="EU"/>
    <s v="22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75"/>
    <n v="331382442"/>
    <s v=""/>
    <s v=""/>
    <s v="63"/>
    <x v="8"/>
    <s v="EU"/>
    <s v="23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86"/>
    <n v="331382442"/>
    <s v=""/>
    <s v=""/>
    <s v="53"/>
    <x v="4"/>
    <s v="EU"/>
    <s v="22"/>
    <s v="2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92"/>
    <n v="331382442"/>
    <s v=""/>
    <s v="UD"/>
    <s v=""/>
    <x v="6"/>
    <s v="EU"/>
    <s v=""/>
    <s v="2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334"/>
    <n v="331382442"/>
    <s v=""/>
    <s v="NS"/>
    <s v=""/>
    <x v="6"/>
    <s v="EU"/>
    <s v=""/>
    <s v="1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54"/>
    <n v="331382442"/>
    <s v=""/>
    <s v="RG"/>
    <s v="2M"/>
    <x v="3"/>
    <s v="MY"/>
    <s v="2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499"/>
    <n v="331382442"/>
    <s v=""/>
    <s v=""/>
    <s v="53"/>
    <x v="4"/>
    <s v="EU"/>
    <s v="22"/>
    <s v="1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3008866"/>
    <n v="607358362"/>
    <s v="0"/>
    <s v="RG"/>
    <s v="2M"/>
    <x v="3"/>
    <s v="MY"/>
    <s v="2"/>
    <s v="3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17"/>
    <n v="607358362"/>
    <s v="2"/>
    <s v="RS"/>
    <s v="S2"/>
    <x v="15"/>
    <s v="FW"/>
    <s v="1"/>
    <s v="20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529"/>
    <n v="331382442"/>
    <s v=""/>
    <s v=""/>
    <s v="53"/>
    <x v="4"/>
    <s v="EU"/>
    <s v="22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35"/>
    <n v="331382442"/>
    <s v=""/>
    <s v=""/>
    <s v="53"/>
    <x v="4"/>
    <s v="EU"/>
    <s v="2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649"/>
    <n v="331382442"/>
    <s v=""/>
    <s v=""/>
    <s v="42"/>
    <x v="2"/>
    <s v="EU"/>
    <s v="12"/>
    <s v="1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745"/>
    <n v="331382442"/>
    <s v=""/>
    <s v="UF"/>
    <s v="3M"/>
    <x v="5"/>
    <s v="MY"/>
    <s v="3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760"/>
    <n v="331382442"/>
    <s v=""/>
    <s v="RG"/>
    <s v="2M"/>
    <x v="3"/>
    <s v="MY"/>
    <s v="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3008887"/>
    <n v="607358362"/>
    <s v="0"/>
    <s v=""/>
    <s v="22"/>
    <x v="18"/>
    <s v="EU"/>
    <s v="10"/>
    <s v="10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890"/>
    <n v="607358362"/>
    <s v="1"/>
    <s v=""/>
    <s v="42"/>
    <x v="2"/>
    <s v="EU"/>
    <s v="12"/>
    <s v="11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451"/>
    <n v="331382442"/>
    <s v=""/>
    <s v=""/>
    <s v="53"/>
    <x v="4"/>
    <s v="EU"/>
    <s v="22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05"/>
    <n v="331382442"/>
    <s v=""/>
    <s v=""/>
    <s v="63"/>
    <x v="8"/>
    <s v="EU"/>
    <s v="23"/>
    <s v="2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616"/>
    <n v="331382442"/>
    <s v=""/>
    <s v="RG"/>
    <s v=""/>
    <x v="6"/>
    <s v="EU"/>
    <s v="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400"/>
    <n v="331382442"/>
    <s v=""/>
    <s v=""/>
    <s v="53"/>
    <x v="4"/>
    <s v="EU"/>
    <s v="22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709"/>
    <n v="331382442"/>
    <s v=""/>
    <s v=""/>
    <s v="42"/>
    <x v="2"/>
    <s v="EU"/>
    <s v="12"/>
    <s v="1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3008941"/>
    <n v="607358362"/>
    <s v="0"/>
    <s v=""/>
    <s v="52"/>
    <x v="0"/>
    <s v="EU"/>
    <s v="13"/>
    <s v="3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424"/>
    <n v="331382442"/>
    <s v=""/>
    <s v=""/>
    <s v="42"/>
    <x v="2"/>
    <s v="EU"/>
    <s v="12"/>
    <s v="1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397"/>
    <n v="331382442"/>
    <s v=""/>
    <s v=""/>
    <s v="42"/>
    <x v="2"/>
    <s v="EU"/>
    <s v="1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532"/>
    <n v="331382442"/>
    <s v=""/>
    <s v=""/>
    <s v="42"/>
    <x v="2"/>
    <s v="EU"/>
    <s v="12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799"/>
    <n v="331382442"/>
    <s v=""/>
    <s v=""/>
    <s v="53"/>
    <x v="4"/>
    <s v="EU"/>
    <s v="22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778"/>
    <n v="331382442"/>
    <s v="0"/>
    <s v=""/>
    <s v="42"/>
    <x v="2"/>
    <s v="EU"/>
    <s v="1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3008899"/>
    <n v="607358362"/>
    <s v="0"/>
    <s v=""/>
    <s v="42"/>
    <x v="2"/>
    <s v="EU"/>
    <s v="12"/>
    <s v="14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358"/>
    <n v="331382442"/>
    <s v=""/>
    <s v=""/>
    <s v="42"/>
    <x v="2"/>
    <s v="EU"/>
    <s v="12"/>
    <s v="2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15"/>
    <n v="331382442"/>
    <s v=""/>
    <s v=""/>
    <s v="53"/>
    <x v="4"/>
    <s v="EU"/>
    <s v="22"/>
    <s v="1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601"/>
    <n v="331382442"/>
    <s v=""/>
    <s v=""/>
    <s v="53"/>
    <x v="4"/>
    <s v="EU"/>
    <s v="22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3008959"/>
    <n v="607358362"/>
    <s v="0"/>
    <s v=""/>
    <s v="42"/>
    <x v="2"/>
    <s v="EU"/>
    <s v="12"/>
    <s v="9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412"/>
    <n v="331382442"/>
    <s v=""/>
    <s v=""/>
    <s v="42"/>
    <x v="2"/>
    <s v="EU"/>
    <s v="12"/>
    <s v="1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742"/>
    <n v="331382442"/>
    <s v=""/>
    <s v=""/>
    <s v="53"/>
    <x v="4"/>
    <s v="EU"/>
    <s v="22"/>
    <s v="2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481"/>
    <n v="331382442"/>
    <s v=""/>
    <s v=""/>
    <s v="53"/>
    <x v="4"/>
    <s v="EU"/>
    <s v="22"/>
    <s v="1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721"/>
    <n v="331382442"/>
    <s v=""/>
    <s v=""/>
    <s v="42"/>
    <x v="2"/>
    <s v="EU"/>
    <s v="12"/>
    <s v="1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382"/>
    <n v="331382442"/>
    <s v=""/>
    <s v="UF"/>
    <s v="3M"/>
    <x v="5"/>
    <s v="MY"/>
    <s v="3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565"/>
    <n v="331382442"/>
    <s v=""/>
    <s v=""/>
    <s v="53"/>
    <x v="4"/>
    <s v="EU"/>
    <s v="22"/>
    <s v="1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766"/>
    <n v="331382442"/>
    <s v=""/>
    <s v="RG"/>
    <s v="2M"/>
    <x v="3"/>
    <s v="MY"/>
    <s v="2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3008962"/>
    <n v="607358362"/>
    <s v="1"/>
    <s v=""/>
    <s v="42"/>
    <x v="2"/>
    <s v="EU"/>
    <s v="12"/>
    <s v="10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3008983"/>
    <n v="607358362"/>
    <s v=""/>
    <s v="UD"/>
    <s v=""/>
    <x v="6"/>
    <s v="EU"/>
    <s v=""/>
    <s v="17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349"/>
    <n v="331382442"/>
    <s v=""/>
    <s v=""/>
    <s v="52"/>
    <x v="0"/>
    <s v="EU"/>
    <s v="13"/>
    <s v="1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09"/>
    <n v="331382442"/>
    <s v=""/>
    <s v=""/>
    <s v="42"/>
    <x v="2"/>
    <s v="EU"/>
    <s v="12"/>
    <s v="1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544"/>
    <n v="331382442"/>
    <s v=""/>
    <s v="RG"/>
    <s v="3M"/>
    <x v="5"/>
    <s v="MY"/>
    <s v="3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622"/>
    <n v="331382442"/>
    <s v=""/>
    <s v=""/>
    <s v="53"/>
    <x v="4"/>
    <s v="EU"/>
    <s v="2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04"/>
    <n v="331382442"/>
    <s v=""/>
    <s v=""/>
    <s v="32"/>
    <x v="11"/>
    <s v="EU"/>
    <s v="11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619"/>
    <n v="331382442"/>
    <s v=""/>
    <s v=""/>
    <s v="42"/>
    <x v="2"/>
    <s v="EU"/>
    <s v="12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781"/>
    <n v="331382442"/>
    <s v=""/>
    <s v=""/>
    <s v="63"/>
    <x v="8"/>
    <s v="EU"/>
    <s v="23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337"/>
    <n v="331382442"/>
    <s v=""/>
    <s v=""/>
    <s v="42"/>
    <x v="2"/>
    <s v="EU"/>
    <s v="12"/>
    <s v="1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3008953"/>
    <n v="607358362"/>
    <s v="1"/>
    <s v=""/>
    <s v="42"/>
    <x v="2"/>
    <s v="EU"/>
    <s v="12"/>
    <s v="7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373"/>
    <n v="331382442"/>
    <s v=""/>
    <s v=""/>
    <s v="42"/>
    <x v="2"/>
    <s v="EU"/>
    <s v="1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27"/>
    <n v="331382442"/>
    <s v=""/>
    <s v=""/>
    <s v="42"/>
    <x v="2"/>
    <s v="EU"/>
    <s v="12"/>
    <s v="2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310"/>
    <n v="331382442"/>
    <s v=""/>
    <s v=""/>
    <s v="52"/>
    <x v="0"/>
    <s v="EU"/>
    <s v="13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64"/>
    <n v="331382442"/>
    <s v=""/>
    <s v="NS"/>
    <s v=""/>
    <x v="6"/>
    <s v="EU"/>
    <s v=""/>
    <s v="2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18"/>
    <n v="331382442"/>
    <s v=""/>
    <s v=""/>
    <s v="42"/>
    <x v="2"/>
    <s v="EU"/>
    <s v="12"/>
    <s v="1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316"/>
    <n v="331382442"/>
    <s v=""/>
    <s v=""/>
    <s v="52"/>
    <x v="0"/>
    <s v="EU"/>
    <s v="13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40"/>
    <n v="331382442"/>
    <s v=""/>
    <s v=""/>
    <s v="42"/>
    <x v="2"/>
    <s v="EU"/>
    <s v="12"/>
    <s v="1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3008869"/>
    <n v="607358362"/>
    <s v="0"/>
    <s v=""/>
    <s v="42"/>
    <x v="2"/>
    <s v="EU"/>
    <s v="12"/>
    <s v="4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893"/>
    <n v="607358362"/>
    <s v="1"/>
    <s v=""/>
    <s v="42"/>
    <x v="2"/>
    <s v="EU"/>
    <s v="12"/>
    <s v="12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08"/>
    <n v="607358362"/>
    <s v="0"/>
    <s v=""/>
    <s v="42"/>
    <x v="2"/>
    <s v="EU"/>
    <s v="12"/>
    <s v="17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370"/>
    <n v="331382442"/>
    <s v=""/>
    <s v=""/>
    <s v="31"/>
    <x v="7"/>
    <s v="EU"/>
    <s v="02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736"/>
    <n v="331382442"/>
    <s v=""/>
    <s v=""/>
    <s v="53"/>
    <x v="4"/>
    <s v="EU"/>
    <s v="22"/>
    <s v="2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391"/>
    <n v="331382442"/>
    <s v=""/>
    <s v="RG"/>
    <s v="2M"/>
    <x v="3"/>
    <s v="MY"/>
    <s v="2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640"/>
    <n v="331382442"/>
    <s v=""/>
    <s v=""/>
    <s v="42"/>
    <x v="2"/>
    <s v="EU"/>
    <s v="12"/>
    <s v="1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331"/>
    <n v="331382442"/>
    <s v=""/>
    <s v=""/>
    <s v="42"/>
    <x v="2"/>
    <s v="EU"/>
    <s v="12"/>
    <s v="1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3008860"/>
    <n v="607358362"/>
    <s v="0"/>
    <s v="W"/>
    <s v="2M"/>
    <x v="3"/>
    <s v="MY"/>
    <s v="2"/>
    <s v="1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23"/>
    <n v="607358362"/>
    <s v="0"/>
    <s v=""/>
    <s v="42"/>
    <x v="2"/>
    <s v="EU"/>
    <s v="12"/>
    <s v="22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875"/>
    <n v="607358362"/>
    <s v="0"/>
    <s v=""/>
    <s v="42"/>
    <x v="2"/>
    <s v="EU"/>
    <s v="12"/>
    <s v="6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775"/>
    <n v="331382442"/>
    <s v="0"/>
    <s v="RG"/>
    <s v="2M"/>
    <x v="3"/>
    <s v="MY"/>
    <s v="2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n v="2941559"/>
    <n v="331382442"/>
    <s v=""/>
    <s v=""/>
    <s v="42"/>
    <x v="2"/>
    <s v="EU"/>
    <s v="12"/>
    <s v="1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658"/>
    <n v="331382442"/>
    <s v=""/>
    <s v=""/>
    <s v="42"/>
    <x v="2"/>
    <s v="EU"/>
    <s v="12"/>
    <s v="2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3008872"/>
    <n v="607358362"/>
    <s v="1"/>
    <s v=""/>
    <s v="42"/>
    <x v="2"/>
    <s v="EU"/>
    <s v="12"/>
    <s v="5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32"/>
    <n v="607358362"/>
    <s v="0"/>
    <s v=""/>
    <s v="32"/>
    <x v="11"/>
    <s v="EU"/>
    <s v="11"/>
    <s v="25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652"/>
    <n v="331382442"/>
    <s v=""/>
    <s v=""/>
    <s v="52"/>
    <x v="0"/>
    <s v="EU"/>
    <s v="13"/>
    <s v="2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313"/>
    <n v="331382442"/>
    <s v=""/>
    <s v=""/>
    <s v="52"/>
    <x v="0"/>
    <s v="EU"/>
    <s v="13"/>
    <s v="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67"/>
    <n v="331382442"/>
    <s v=""/>
    <s v=""/>
    <s v="52"/>
    <x v="0"/>
    <s v="EU"/>
    <s v="13"/>
    <s v="2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541"/>
    <n v="331382442"/>
    <s v=""/>
    <s v=""/>
    <s v="42"/>
    <x v="2"/>
    <s v="EU"/>
    <s v="12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487"/>
    <n v="331382442"/>
    <s v=""/>
    <s v=""/>
    <s v="42"/>
    <x v="2"/>
    <s v="EU"/>
    <s v="12"/>
    <s v="1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607"/>
    <n v="331382442"/>
    <s v=""/>
    <s v=""/>
    <s v="63"/>
    <x v="8"/>
    <s v="EU"/>
    <s v="23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3008884"/>
    <n v="607358362"/>
    <s v="0"/>
    <s v=""/>
    <s v="52"/>
    <x v="0"/>
    <s v="EU"/>
    <s v="13"/>
    <s v="9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896"/>
    <n v="607358362"/>
    <s v="1"/>
    <s v=""/>
    <s v="42"/>
    <x v="2"/>
    <s v="EU"/>
    <s v="12"/>
    <s v="13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343"/>
    <n v="331382442"/>
    <s v=""/>
    <s v=""/>
    <s v="42"/>
    <x v="2"/>
    <s v="EU"/>
    <s v="12"/>
    <s v="1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514"/>
    <n v="331382442"/>
    <s v=""/>
    <s v=""/>
    <s v="42"/>
    <x v="2"/>
    <s v="EU"/>
    <s v="12"/>
    <s v="2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682"/>
    <n v="331382442"/>
    <s v=""/>
    <s v=""/>
    <s v="53"/>
    <x v="4"/>
    <s v="EU"/>
    <s v="22"/>
    <s v="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697"/>
    <n v="331382442"/>
    <s v=""/>
    <s v=""/>
    <s v="42"/>
    <x v="2"/>
    <s v="EU"/>
    <s v="1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751"/>
    <n v="331382442"/>
    <s v=""/>
    <s v=""/>
    <s v="42"/>
    <x v="2"/>
    <s v="EU"/>
    <s v="12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3008977"/>
    <n v="607358362"/>
    <s v="2"/>
    <s v="UF"/>
    <s v=""/>
    <x v="6"/>
    <s v="EU"/>
    <s v=""/>
    <s v="15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754"/>
    <n v="331382442"/>
    <s v=""/>
    <s v=""/>
    <s v="63"/>
    <x v="8"/>
    <s v="EU"/>
    <s v="23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n v="2941634"/>
    <n v="331382442"/>
    <s v=""/>
    <s v=""/>
    <s v="53"/>
    <x v="4"/>
    <s v="EU"/>
    <s v="22"/>
    <s v="1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3008968"/>
    <n v="607358362"/>
    <s v="0"/>
    <s v=""/>
    <s v="32"/>
    <x v="11"/>
    <s v="EU"/>
    <s v="11"/>
    <s v="12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295"/>
    <n v="331382442"/>
    <s v=""/>
    <s v=""/>
    <s v="42"/>
    <x v="2"/>
    <s v="EU"/>
    <s v="12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448"/>
    <n v="331382442"/>
    <s v=""/>
    <s v=""/>
    <s v="31"/>
    <x v="7"/>
    <s v="EU"/>
    <s v="02"/>
    <s v="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26"/>
    <n v="331382442"/>
    <s v=""/>
    <s v=""/>
    <s v="42"/>
    <x v="2"/>
    <s v="EU"/>
    <s v="12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562"/>
    <n v="331382442"/>
    <s v=""/>
    <s v=""/>
    <s v="42"/>
    <x v="2"/>
    <s v="EU"/>
    <s v="12"/>
    <s v="1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3008863"/>
    <n v="607358362"/>
    <s v="1"/>
    <s v=""/>
    <s v="42"/>
    <x v="2"/>
    <s v="EU"/>
    <s v="12"/>
    <s v="2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47"/>
    <n v="607358362"/>
    <s v="2"/>
    <s v="RS"/>
    <s v="S2"/>
    <x v="15"/>
    <s v="FW"/>
    <s v="1"/>
    <s v="5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460"/>
    <n v="331382442"/>
    <s v=""/>
    <s v=""/>
    <s v="53"/>
    <x v="4"/>
    <s v="EU"/>
    <s v="2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3008935"/>
    <n v="607358362"/>
    <s v="0"/>
    <s v=""/>
    <s v="32"/>
    <x v="11"/>
    <s v="EU"/>
    <s v="11"/>
    <s v="1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517"/>
    <n v="331382442"/>
    <s v=""/>
    <s v=""/>
    <s v="31"/>
    <x v="7"/>
    <s v="EU"/>
    <s v="02"/>
    <s v="25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553"/>
    <n v="331382442"/>
    <s v=""/>
    <s v=""/>
    <s v="53"/>
    <x v="4"/>
    <s v="EU"/>
    <s v="22"/>
    <s v="1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3008920"/>
    <n v="607358362"/>
    <s v="0"/>
    <s v=""/>
    <s v="42"/>
    <x v="2"/>
    <s v="EU"/>
    <s v="12"/>
    <s v="21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676"/>
    <n v="331382442"/>
    <s v=""/>
    <s v=""/>
    <s v="53"/>
    <x v="4"/>
    <s v="EU"/>
    <s v="22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691"/>
    <n v="331382442"/>
    <s v=""/>
    <s v=""/>
    <s v="52"/>
    <x v="0"/>
    <s v="EU"/>
    <s v="13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3008878"/>
    <n v="607358362"/>
    <s v="1"/>
    <s v=""/>
    <s v="42"/>
    <x v="2"/>
    <s v="EU"/>
    <s v="12"/>
    <s v="7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580"/>
    <n v="331382442"/>
    <s v=""/>
    <s v=""/>
    <s v="42"/>
    <x v="2"/>
    <s v="EU"/>
    <s v="12"/>
    <s v="2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679"/>
    <n v="331382442"/>
    <s v=""/>
    <s v="RG"/>
    <s v=""/>
    <x v="6"/>
    <s v="EU"/>
    <s v="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361"/>
    <n v="331382442"/>
    <s v=""/>
    <s v=""/>
    <s v="42"/>
    <x v="2"/>
    <s v="EU"/>
    <s v="12"/>
    <s v="2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733"/>
    <n v="331382442"/>
    <s v=""/>
    <s v="RG"/>
    <s v="2M"/>
    <x v="3"/>
    <s v="MY"/>
    <s v="2"/>
    <s v="2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3008965"/>
    <n v="607358362"/>
    <s v="0"/>
    <s v="RG"/>
    <s v="1M"/>
    <x v="14"/>
    <s v="MY"/>
    <s v="1"/>
    <s v="11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520"/>
    <n v="331382442"/>
    <s v=""/>
    <s v=""/>
    <s v="53"/>
    <x v="4"/>
    <s v="EU"/>
    <s v="22"/>
    <s v="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730"/>
    <n v="331382442"/>
    <s v=""/>
    <s v=""/>
    <s v="42"/>
    <x v="2"/>
    <s v="EU"/>
    <s v="12"/>
    <s v="2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3008881"/>
    <n v="607358362"/>
    <s v="0"/>
    <s v=""/>
    <s v="52"/>
    <x v="0"/>
    <s v="EU"/>
    <s v="13"/>
    <s v="8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3008950"/>
    <n v="607358362"/>
    <s v="0"/>
    <s v=""/>
    <s v="52"/>
    <x v="0"/>
    <s v="EU"/>
    <s v="13"/>
    <s v="6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3008926"/>
    <n v="607358362"/>
    <s v="0"/>
    <s v="RG"/>
    <s v="1M"/>
    <x v="14"/>
    <s v="MY"/>
    <s v="1"/>
    <s v="23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376"/>
    <n v="331382442"/>
    <s v="0"/>
    <s v=""/>
    <s v="52"/>
    <x v="0"/>
    <s v="EU"/>
    <s v="13"/>
    <s v="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571"/>
    <n v="331382442"/>
    <s v=""/>
    <s v=""/>
    <s v="53"/>
    <x v="4"/>
    <s v="EU"/>
    <s v="22"/>
    <s v="1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2941379"/>
    <n v="331382442"/>
    <s v=""/>
    <s v="RG"/>
    <s v=""/>
    <x v="6"/>
    <s v="EU"/>
    <s v="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508"/>
    <n v="331382442"/>
    <s v=""/>
    <s v=""/>
    <s v="42"/>
    <x v="2"/>
    <s v="EU"/>
    <s v="12"/>
    <s v="2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2941631"/>
    <n v="331382442"/>
    <s v=""/>
    <s v=""/>
    <s v="53"/>
    <x v="4"/>
    <s v="EU"/>
    <s v="22"/>
    <s v="13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n v="2941304"/>
    <n v="331382442"/>
    <s v=""/>
    <s v=""/>
    <s v="31"/>
    <x v="7"/>
    <s v="EU"/>
    <s v="02"/>
    <s v="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3008929"/>
    <n v="607358362"/>
    <s v="0"/>
    <s v=""/>
    <s v="32"/>
    <x v="11"/>
    <s v="EU"/>
    <s v="11"/>
    <s v="24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1"/>
  </r>
  <r>
    <n v="2941466"/>
    <n v="331382442"/>
    <s v=""/>
    <s v=""/>
    <s v="53"/>
    <x v="4"/>
    <s v="EU"/>
    <s v="22"/>
    <s v="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n v="3008944"/>
    <n v="607358362"/>
    <s v="0"/>
    <s v=""/>
    <s v="52"/>
    <x v="0"/>
    <s v="EU"/>
    <s v="13"/>
    <s v="4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688"/>
    <n v="331382442"/>
    <s v=""/>
    <s v=""/>
    <s v="42"/>
    <x v="2"/>
    <s v="EU"/>
    <s v="12"/>
    <s v="7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n v="2941589"/>
    <n v="331382442"/>
    <s v=""/>
    <s v=""/>
    <s v="53"/>
    <x v="4"/>
    <s v="EU"/>
    <s v="22"/>
    <s v="24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n v="3008974"/>
    <n v="607358362"/>
    <s v="0"/>
    <s v=""/>
    <s v="42"/>
    <x v="2"/>
    <s v="EU"/>
    <s v="12"/>
    <s v="14"/>
    <s v="Scales"/>
    <n v="2126660001"/>
    <s v="2 SCALES ACROSS PER FISH"/>
    <n v="1746084"/>
    <s v="ATNARKO ESCAPEMENT - 2005"/>
    <n v="970"/>
    <s v="ATNARKO RIVER"/>
    <x v="15"/>
    <s v="2005/0425"/>
    <n v="1"/>
    <s v="SOCKEYE SALMON"/>
    <n v="2086090012"/>
    <x v="1"/>
    <n v="88"/>
    <s v="Unknown"/>
    <s v="Adult"/>
    <d v="2005-09-16T00:00:00"/>
    <d v="2005-09-16T00:00:00"/>
    <s v="38602"/>
  </r>
  <r>
    <n v="2941319"/>
    <n v="331382442"/>
    <s v=""/>
    <s v=""/>
    <s v="31"/>
    <x v="7"/>
    <s v="EU"/>
    <s v="02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22"/>
    <n v="331382442"/>
    <s v=""/>
    <s v=""/>
    <s v="31"/>
    <x v="7"/>
    <s v="EU"/>
    <s v="02"/>
    <s v="10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25"/>
    <n v="331382442"/>
    <s v=""/>
    <s v="NS"/>
    <s v=""/>
    <x v="6"/>
    <s v="EU"/>
    <s v=""/>
    <s v="1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55"/>
    <n v="331382442"/>
    <s v=""/>
    <s v=""/>
    <s v="41"/>
    <x v="1"/>
    <s v="EU"/>
    <s v="03"/>
    <s v="2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n v="2941385"/>
    <n v="331382442"/>
    <s v=""/>
    <s v=""/>
    <s v="42"/>
    <x v="2"/>
    <s v="EU"/>
    <s v="12"/>
    <s v="6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394"/>
    <n v="331382442"/>
    <s v=""/>
    <s v=""/>
    <s v="41"/>
    <x v="1"/>
    <s v="EU"/>
    <s v="03"/>
    <s v="9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03"/>
    <n v="331382442"/>
    <s v=""/>
    <s v=""/>
    <s v="42"/>
    <x v="2"/>
    <s v="EU"/>
    <s v="12"/>
    <s v="12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21"/>
    <n v="331382442"/>
    <s v=""/>
    <s v=""/>
    <s v="53"/>
    <x v="4"/>
    <s v="EU"/>
    <s v="22"/>
    <s v="18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2941430"/>
    <n v="331382442"/>
    <s v=""/>
    <s v="RG"/>
    <s v="2M"/>
    <x v="3"/>
    <s v="MY"/>
    <s v="2"/>
    <s v="21"/>
    <s v="Scales"/>
    <n v="2126660001"/>
    <s v="2 SCALES ACROSS PER FISH"/>
    <n v="1746084"/>
    <s v="ATNARKO ESCAPEMENT - 2005"/>
    <n v="968"/>
    <s v="BELLA COOLA RIVER"/>
    <x v="15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n v="-1003793677"/>
    <n v="-1000011233"/>
    <s v=""/>
    <s v=""/>
    <s v="42"/>
    <x v="2"/>
    <s v="EU"/>
    <s v="12"/>
    <s v="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75"/>
    <n v="-1000011233"/>
    <s v=""/>
    <s v=""/>
    <s v="42"/>
    <x v="2"/>
    <s v="EU"/>
    <s v="12"/>
    <s v="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89"/>
    <n v="-1000011233"/>
    <s v=""/>
    <s v=""/>
    <s v="41"/>
    <x v="1"/>
    <s v="EU"/>
    <s v="03"/>
    <s v="1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99"/>
    <n v="-1000011233"/>
    <s v=""/>
    <s v=""/>
    <s v="41"/>
    <x v="1"/>
    <s v="EU"/>
    <s v="03"/>
    <s v="2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36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335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3375"/>
    <n v="-1000011229"/>
    <s v=""/>
    <s v="RG"/>
    <s v=""/>
    <x v="6"/>
    <s v=""/>
    <s v="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3385"/>
    <n v="-1000011229"/>
    <s v=""/>
    <s v=""/>
    <s v="41"/>
    <x v="1"/>
    <s v="EU"/>
    <s v="03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339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389"/>
    <n v="-1000011229"/>
    <s v=""/>
    <s v=""/>
    <s v="2M"/>
    <x v="3"/>
    <s v="MY"/>
    <s v="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3399"/>
    <n v="-1000011229"/>
    <s v=""/>
    <s v=""/>
    <s v="41"/>
    <x v="1"/>
    <s v="EU"/>
    <s v="03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40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403"/>
    <n v="-1000011229"/>
    <s v=""/>
    <s v=""/>
    <s v="31"/>
    <x v="7"/>
    <s v="EU"/>
    <s v="0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423"/>
    <n v="-1000011229"/>
    <s v=""/>
    <s v=""/>
    <s v="2M"/>
    <x v="3"/>
    <s v="MY"/>
    <s v="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42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435"/>
    <n v="-1000011229"/>
    <s v=""/>
    <s v=""/>
    <s v="2M"/>
    <x v="3"/>
    <s v="MY"/>
    <s v="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437"/>
    <n v="-1000011229"/>
    <s v=""/>
    <s v=""/>
    <s v="31"/>
    <x v="7"/>
    <s v="EU"/>
    <s v="0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43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445"/>
    <n v="-1000011229"/>
    <s v=""/>
    <s v=""/>
    <s v="31"/>
    <x v="7"/>
    <s v="EU"/>
    <s v="0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44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2547"/>
    <n v="-1000011217"/>
    <s v=""/>
    <s v=""/>
    <s v="41"/>
    <x v="1"/>
    <s v="EU"/>
    <s v="03"/>
    <s v="5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43"/>
    <n v="-1000011217"/>
    <s v=""/>
    <s v=""/>
    <s v="31"/>
    <x v="7"/>
    <s v="EU"/>
    <s v="02"/>
    <s v="3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49"/>
    <n v="-1000011217"/>
    <s v=""/>
    <s v=""/>
    <s v="41"/>
    <x v="1"/>
    <s v="EU"/>
    <s v="03"/>
    <s v="6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55"/>
    <n v="-1000011217"/>
    <s v=""/>
    <s v=""/>
    <s v="42"/>
    <x v="2"/>
    <s v="EU"/>
    <s v="12"/>
    <s v="9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57"/>
    <n v="-1000011217"/>
    <s v=""/>
    <s v=""/>
    <s v="31"/>
    <x v="7"/>
    <s v="EU"/>
    <s v="02"/>
    <s v="10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59"/>
    <n v="-1000011217"/>
    <s v=""/>
    <s v="RG"/>
    <s v=""/>
    <x v="6"/>
    <s v=""/>
    <s v=""/>
    <s v="11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67"/>
    <n v="-1000011217"/>
    <s v=""/>
    <s v=""/>
    <s v="41"/>
    <x v="1"/>
    <s v="EU"/>
    <s v="03"/>
    <s v="15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69"/>
    <n v="-1000011217"/>
    <s v=""/>
    <s v=""/>
    <s v="41"/>
    <x v="1"/>
    <s v="EU"/>
    <s v="03"/>
    <s v="16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471"/>
    <n v="-1000011233"/>
    <s v=""/>
    <s v=""/>
    <s v="52"/>
    <x v="0"/>
    <s v="EU"/>
    <s v="13"/>
    <s v="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469"/>
    <n v="-1000011233"/>
    <s v=""/>
    <s v=""/>
    <s v="52"/>
    <x v="0"/>
    <s v="EU"/>
    <s v="13"/>
    <s v="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481"/>
    <n v="-1000011233"/>
    <s v=""/>
    <s v=""/>
    <s v="2M"/>
    <x v="3"/>
    <s v="MY"/>
    <s v="2"/>
    <s v="1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503"/>
    <n v="-1000011233"/>
    <s v=""/>
    <s v=""/>
    <s v="41"/>
    <x v="1"/>
    <s v="EU"/>
    <s v="03"/>
    <s v="2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505"/>
    <n v="-1000011233"/>
    <s v=""/>
    <s v=""/>
    <s v="42"/>
    <x v="2"/>
    <s v="EU"/>
    <s v="12"/>
    <s v="2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515"/>
    <n v="-1000011233"/>
    <s v=""/>
    <s v=""/>
    <s v="42"/>
    <x v="2"/>
    <s v="EU"/>
    <s v="12"/>
    <s v="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17"/>
    <n v="-1000011233"/>
    <s v=""/>
    <s v=""/>
    <s v="32"/>
    <x v="11"/>
    <s v="EU"/>
    <s v="11"/>
    <s v="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25"/>
    <n v="-1000011233"/>
    <s v=""/>
    <s v=""/>
    <s v="42"/>
    <x v="2"/>
    <s v="EU"/>
    <s v="12"/>
    <s v="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29"/>
    <n v="-1000011233"/>
    <s v=""/>
    <s v=""/>
    <s v="2M"/>
    <x v="3"/>
    <s v="MY"/>
    <s v="2"/>
    <s v="1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31"/>
    <n v="-1000011233"/>
    <s v=""/>
    <s v="RG"/>
    <s v=""/>
    <x v="6"/>
    <s v=""/>
    <s v=""/>
    <s v="1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35"/>
    <n v="-1000011233"/>
    <s v=""/>
    <s v=""/>
    <s v="31"/>
    <x v="7"/>
    <s v="EU"/>
    <s v="02"/>
    <s v="1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41"/>
    <n v="-1000011233"/>
    <s v=""/>
    <s v=""/>
    <s v="52"/>
    <x v="0"/>
    <s v="EU"/>
    <s v="13"/>
    <s v="1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53"/>
    <n v="-1000011233"/>
    <s v=""/>
    <s v=""/>
    <s v="31"/>
    <x v="7"/>
    <s v="EU"/>
    <s v="02"/>
    <s v="2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55"/>
    <n v="-1000011233"/>
    <s v=""/>
    <s v=""/>
    <s v="41"/>
    <x v="1"/>
    <s v="EU"/>
    <s v="03"/>
    <s v="2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61"/>
    <n v="-1000011233"/>
    <s v=""/>
    <s v=""/>
    <s v="2M"/>
    <x v="3"/>
    <s v="MY"/>
    <s v="2"/>
    <s v="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65"/>
    <n v="-1000011233"/>
    <s v=""/>
    <s v=""/>
    <s v="41"/>
    <x v="1"/>
    <s v="EU"/>
    <s v="03"/>
    <s v="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67"/>
    <n v="-1000011233"/>
    <s v=""/>
    <s v=""/>
    <s v="42"/>
    <x v="2"/>
    <s v="EU"/>
    <s v="12"/>
    <s v="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71"/>
    <n v="-1000011233"/>
    <s v=""/>
    <s v=""/>
    <s v="42"/>
    <x v="2"/>
    <s v="EU"/>
    <s v="12"/>
    <s v="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79"/>
    <n v="-1000011233"/>
    <s v=""/>
    <s v=""/>
    <s v="31"/>
    <x v="7"/>
    <s v="EU"/>
    <s v="02"/>
    <s v="1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87"/>
    <n v="-1000011233"/>
    <s v=""/>
    <s v=""/>
    <s v="41"/>
    <x v="1"/>
    <s v="EU"/>
    <s v="03"/>
    <s v="1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89"/>
    <n v="-1000011233"/>
    <s v=""/>
    <s v=""/>
    <s v="2M"/>
    <x v="3"/>
    <s v="MY"/>
    <s v="2"/>
    <s v="1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91"/>
    <n v="-1000011233"/>
    <s v=""/>
    <s v=""/>
    <s v="41"/>
    <x v="1"/>
    <s v="EU"/>
    <s v="03"/>
    <s v="1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93"/>
    <n v="-1000011233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95"/>
    <n v="-1000011233"/>
    <s v=""/>
    <s v=""/>
    <s v="41"/>
    <x v="1"/>
    <s v="EU"/>
    <s v="03"/>
    <s v="1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093"/>
    <n v="-1000011225"/>
    <s v=""/>
    <s v=""/>
    <s v="42"/>
    <x v="2"/>
    <s v="EU"/>
    <s v="12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085"/>
    <n v="-1000011225"/>
    <s v=""/>
    <s v=""/>
    <s v="32"/>
    <x v="11"/>
    <s v="EU"/>
    <s v="11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05"/>
    <n v="-1000011225"/>
    <s v=""/>
    <s v=""/>
    <s v="2M"/>
    <x v="3"/>
    <s v="MY"/>
    <s v="2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07"/>
    <n v="-1000011225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11"/>
    <n v="-1000011225"/>
    <s v=""/>
    <s v=""/>
    <s v="42"/>
    <x v="2"/>
    <s v="EU"/>
    <s v="12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15"/>
    <n v="-1000011225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5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155"/>
    <n v="-1000011229"/>
    <s v=""/>
    <s v="UD"/>
    <s v=""/>
    <x v="6"/>
    <s v=""/>
    <s v="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161"/>
    <n v="-1000011229"/>
    <s v=""/>
    <s v="UD"/>
    <s v=""/>
    <x v="6"/>
    <s v=""/>
    <s v="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17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173"/>
    <n v="-1000011229"/>
    <s v=""/>
    <s v=""/>
    <s v="41"/>
    <x v="1"/>
    <s v="EU"/>
    <s v="03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179"/>
    <n v="-1000011229"/>
    <s v=""/>
    <s v=""/>
    <s v="2M"/>
    <x v="3"/>
    <s v="MY"/>
    <s v="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185"/>
    <n v="-1000011229"/>
    <s v=""/>
    <s v="UD"/>
    <s v=""/>
    <x v="6"/>
    <s v=""/>
    <s v="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18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189"/>
    <n v="-1000011229"/>
    <s v=""/>
    <s v="UD"/>
    <s v=""/>
    <x v="6"/>
    <s v=""/>
    <s v="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195"/>
    <n v="-1000011229"/>
    <s v=""/>
    <s v="UD"/>
    <s v=""/>
    <x v="6"/>
    <s v=""/>
    <s v="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197"/>
    <n v="-1000011229"/>
    <s v=""/>
    <s v=""/>
    <s v="2M"/>
    <x v="3"/>
    <s v="MY"/>
    <s v="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199"/>
    <n v="-1000011229"/>
    <s v=""/>
    <s v=""/>
    <s v="2M"/>
    <x v="3"/>
    <s v="MY"/>
    <s v="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20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217"/>
    <n v="-1000011229"/>
    <s v=""/>
    <s v="RG"/>
    <s v=""/>
    <x v="6"/>
    <s v=""/>
    <s v="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3227"/>
    <n v="-1000011229"/>
    <s v=""/>
    <s v=""/>
    <s v="52"/>
    <x v="0"/>
    <s v="EU"/>
    <s v="13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3229"/>
    <n v="-1000011229"/>
    <s v=""/>
    <s v=""/>
    <s v="52"/>
    <x v="0"/>
    <s v="EU"/>
    <s v="13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3241"/>
    <n v="-1000011229"/>
    <s v=""/>
    <s v=""/>
    <s v="2M"/>
    <x v="3"/>
    <s v="MY"/>
    <s v="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243"/>
    <n v="-1000011229"/>
    <s v=""/>
    <s v=""/>
    <s v="42"/>
    <x v="2"/>
    <s v="EU"/>
    <s v="1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259"/>
    <n v="-1000011229"/>
    <s v=""/>
    <s v=""/>
    <s v="3M"/>
    <x v="5"/>
    <s v="MY"/>
    <s v="3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26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263"/>
    <n v="-1000011229"/>
    <s v=""/>
    <s v=""/>
    <s v="42"/>
    <x v="2"/>
    <s v="EU"/>
    <s v="1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26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2831"/>
    <n v="-1000011225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29"/>
    <n v="-1000011225"/>
    <s v=""/>
    <s v="RG"/>
    <s v=""/>
    <x v="6"/>
    <s v=""/>
    <s v="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33"/>
    <n v="-1000011225"/>
    <s v=""/>
    <s v=""/>
    <s v="41"/>
    <x v="1"/>
    <s v="EU"/>
    <s v="03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35"/>
    <n v="-1000011225"/>
    <s v=""/>
    <s v=""/>
    <s v="52"/>
    <x v="0"/>
    <s v="EU"/>
    <s v="13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43"/>
    <n v="-1000011225"/>
    <s v=""/>
    <s v=""/>
    <s v="3M"/>
    <x v="5"/>
    <s v="MY"/>
    <s v="3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45"/>
    <n v="-1000011225"/>
    <s v=""/>
    <s v=""/>
    <s v="31"/>
    <x v="7"/>
    <s v="EU"/>
    <s v="0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47"/>
    <n v="-1000011225"/>
    <s v=""/>
    <s v=""/>
    <s v="41"/>
    <x v="1"/>
    <s v="EU"/>
    <s v="03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53"/>
    <n v="-1000011225"/>
    <s v=""/>
    <s v=""/>
    <s v="42"/>
    <x v="2"/>
    <s v="EU"/>
    <s v="12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59"/>
    <n v="-1000011225"/>
    <s v=""/>
    <s v=""/>
    <s v="42"/>
    <x v="2"/>
    <s v="EU"/>
    <s v="12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63"/>
    <n v="-1000011225"/>
    <s v=""/>
    <s v=""/>
    <s v="31"/>
    <x v="7"/>
    <s v="EU"/>
    <s v="02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73"/>
    <n v="-1000011225"/>
    <s v=""/>
    <s v=""/>
    <s v="2M"/>
    <x v="3"/>
    <s v="MY"/>
    <s v="2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75"/>
    <n v="-1000011225"/>
    <s v=""/>
    <s v=""/>
    <s v="42"/>
    <x v="2"/>
    <s v="EU"/>
    <s v="12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79"/>
    <n v="-1000011225"/>
    <s v=""/>
    <s v=""/>
    <s v="42"/>
    <x v="2"/>
    <s v="EU"/>
    <s v="12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81"/>
    <n v="-1000011225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87"/>
    <n v="-1000011225"/>
    <s v=""/>
    <s v=""/>
    <s v="42"/>
    <x v="2"/>
    <s v="EU"/>
    <s v="12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97"/>
    <n v="-1000011225"/>
    <s v=""/>
    <s v=""/>
    <s v="41"/>
    <x v="1"/>
    <s v="EU"/>
    <s v="03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99"/>
    <n v="-1000011225"/>
    <s v=""/>
    <s v=""/>
    <s v="41"/>
    <x v="1"/>
    <s v="EU"/>
    <s v="03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909"/>
    <n v="-1000011225"/>
    <s v=""/>
    <s v=""/>
    <s v="52"/>
    <x v="0"/>
    <s v="EU"/>
    <s v="13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27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27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28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283"/>
    <n v="-1000011229"/>
    <s v=""/>
    <s v=""/>
    <s v="31"/>
    <x v="7"/>
    <s v="EU"/>
    <s v="0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28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29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293"/>
    <n v="-1000011229"/>
    <s v=""/>
    <s v=""/>
    <s v="31"/>
    <x v="7"/>
    <s v="EU"/>
    <s v="0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295"/>
    <n v="-1000011229"/>
    <s v=""/>
    <s v=""/>
    <s v="42"/>
    <x v="2"/>
    <s v="EU"/>
    <s v="1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311"/>
    <n v="-1000011229"/>
    <s v=""/>
    <s v=""/>
    <s v="52"/>
    <x v="0"/>
    <s v="EU"/>
    <s v="13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331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3325"/>
    <n v="-1000011229"/>
    <s v=""/>
    <s v=""/>
    <s v="31"/>
    <x v="7"/>
    <s v="EU"/>
    <s v="0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332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2577"/>
    <n v="-1000011217"/>
    <s v=""/>
    <s v=""/>
    <s v="31"/>
    <x v="7"/>
    <s v="EU"/>
    <s v="02"/>
    <s v="20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73"/>
    <n v="-1000011217"/>
    <s v=""/>
    <s v=""/>
    <s v="41"/>
    <x v="1"/>
    <s v="EU"/>
    <s v="03"/>
    <s v="18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95"/>
    <n v="-1000011217"/>
    <s v=""/>
    <s v=""/>
    <s v="2M"/>
    <x v="3"/>
    <s v="MY"/>
    <s v="2"/>
    <s v="4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05"/>
    <n v="-1000011217"/>
    <s v=""/>
    <s v=""/>
    <s v="41"/>
    <x v="1"/>
    <s v="EU"/>
    <s v="03"/>
    <s v="9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07"/>
    <n v="-1000011217"/>
    <s v=""/>
    <s v=""/>
    <s v="51"/>
    <x v="19"/>
    <s v="EU"/>
    <s v="04"/>
    <s v="10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29"/>
    <n v="-1000011217"/>
    <s v=""/>
    <s v=""/>
    <s v="42"/>
    <x v="2"/>
    <s v="EU"/>
    <s v="12"/>
    <s v="21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35"/>
    <n v="-1000011217"/>
    <s v=""/>
    <s v=""/>
    <s v="41"/>
    <x v="1"/>
    <s v="EU"/>
    <s v="03"/>
    <s v="24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921"/>
    <n v="-1000011225"/>
    <s v=""/>
    <s v=""/>
    <s v="42"/>
    <x v="2"/>
    <s v="EU"/>
    <s v="12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25"/>
    <n v="-1000011225"/>
    <s v=""/>
    <s v=""/>
    <s v="3M"/>
    <x v="5"/>
    <s v="MY"/>
    <s v="3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33"/>
    <n v="-1000011225"/>
    <s v=""/>
    <s v=""/>
    <s v="42"/>
    <x v="2"/>
    <s v="EU"/>
    <s v="12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53"/>
    <n v="-1000011225"/>
    <s v=""/>
    <s v=""/>
    <s v="42"/>
    <x v="2"/>
    <s v="EU"/>
    <s v="12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55"/>
    <n v="-1000011225"/>
    <s v=""/>
    <s v=""/>
    <s v="2M"/>
    <x v="3"/>
    <s v="MY"/>
    <s v="2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57"/>
    <n v="-1000011225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83"/>
    <n v="-1000011225"/>
    <s v=""/>
    <s v=""/>
    <s v="31"/>
    <x v="7"/>
    <s v="EU"/>
    <s v="02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17"/>
    <n v="-1000011225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25"/>
    <n v="-1000011225"/>
    <s v=""/>
    <s v=""/>
    <s v="31"/>
    <x v="7"/>
    <s v="EU"/>
    <s v="02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35"/>
    <n v="-1000011225"/>
    <s v=""/>
    <s v=""/>
    <s v="3M"/>
    <x v="5"/>
    <s v="MY"/>
    <s v="3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39"/>
    <n v="-1000011225"/>
    <s v=""/>
    <s v=""/>
    <s v="52"/>
    <x v="0"/>
    <s v="EU"/>
    <s v="13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47"/>
    <n v="-1000011225"/>
    <s v=""/>
    <s v=""/>
    <s v="42"/>
    <x v="2"/>
    <s v="EU"/>
    <s v="12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53"/>
    <n v="-1000011225"/>
    <s v=""/>
    <s v=""/>
    <s v="52"/>
    <x v="0"/>
    <s v="EU"/>
    <s v="13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67"/>
    <n v="-1000011225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71"/>
    <n v="-1000011225"/>
    <s v=""/>
    <s v=""/>
    <s v="42"/>
    <x v="2"/>
    <s v="EU"/>
    <s v="12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33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332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2777"/>
    <n v="-1000011225"/>
    <s v=""/>
    <s v=""/>
    <s v="3M"/>
    <x v="5"/>
    <s v="MY"/>
    <s v="3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75"/>
    <n v="-1000011225"/>
    <s v=""/>
    <s v=""/>
    <s v="41"/>
    <x v="1"/>
    <s v="EU"/>
    <s v="03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79"/>
    <n v="-1000011225"/>
    <s v=""/>
    <s v=""/>
    <s v="42"/>
    <x v="2"/>
    <s v="EU"/>
    <s v="12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83"/>
    <n v="-1000011225"/>
    <s v=""/>
    <s v=""/>
    <s v="41"/>
    <x v="1"/>
    <s v="EU"/>
    <s v="03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95"/>
    <n v="-1000011225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97"/>
    <n v="-1000011225"/>
    <s v=""/>
    <s v=""/>
    <s v="42"/>
    <x v="2"/>
    <s v="EU"/>
    <s v="12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99"/>
    <n v="-1000011225"/>
    <s v=""/>
    <s v=""/>
    <s v="31"/>
    <x v="7"/>
    <s v="EU"/>
    <s v="02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801"/>
    <n v="-1000011225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803"/>
    <n v="-1000011225"/>
    <s v=""/>
    <s v=""/>
    <s v="41"/>
    <x v="1"/>
    <s v="EU"/>
    <s v="03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817"/>
    <n v="-1000011225"/>
    <s v=""/>
    <s v=""/>
    <s v="52"/>
    <x v="0"/>
    <s v="EU"/>
    <s v="13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075"/>
    <n v="-1000011225"/>
    <s v=""/>
    <s v="W"/>
    <s v=""/>
    <x v="6"/>
    <s v=""/>
    <s v="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073"/>
    <n v="-1000011225"/>
    <s v=""/>
    <s v=""/>
    <s v="41"/>
    <x v="1"/>
    <s v="EU"/>
    <s v="03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077"/>
    <n v="-1000011225"/>
    <s v=""/>
    <s v=""/>
    <s v="42"/>
    <x v="2"/>
    <s v="EU"/>
    <s v="12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601"/>
    <n v="-1000011233"/>
    <s v=""/>
    <s v=""/>
    <s v="3M"/>
    <x v="5"/>
    <s v="MY"/>
    <s v="3"/>
    <s v="2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605"/>
    <n v="-1000011233"/>
    <s v=""/>
    <s v=""/>
    <s v="52"/>
    <x v="0"/>
    <s v="EU"/>
    <s v="13"/>
    <s v="2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613"/>
    <n v="-1000011233"/>
    <s v=""/>
    <s v=""/>
    <s v="53"/>
    <x v="4"/>
    <s v="EU"/>
    <s v="22"/>
    <s v="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15"/>
    <n v="-1000011233"/>
    <s v=""/>
    <s v=""/>
    <s v="42"/>
    <x v="2"/>
    <s v="EU"/>
    <s v="12"/>
    <s v="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25"/>
    <n v="-1000011233"/>
    <s v=""/>
    <s v=""/>
    <s v="52"/>
    <x v="0"/>
    <s v="EU"/>
    <s v="13"/>
    <s v="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39"/>
    <n v="-1000011233"/>
    <s v=""/>
    <s v=""/>
    <s v="32"/>
    <x v="11"/>
    <s v="EU"/>
    <s v="11"/>
    <s v="1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43"/>
    <n v="-1000011233"/>
    <s v=""/>
    <s v=""/>
    <s v="31"/>
    <x v="7"/>
    <s v="EU"/>
    <s v="02"/>
    <s v="1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51"/>
    <n v="-1000011233"/>
    <s v=""/>
    <s v=""/>
    <s v="42"/>
    <x v="2"/>
    <s v="EU"/>
    <s v="12"/>
    <s v="2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61"/>
    <n v="-1000011233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65"/>
    <n v="-1000011233"/>
    <s v=""/>
    <s v=""/>
    <s v="42"/>
    <x v="2"/>
    <s v="EU"/>
    <s v="12"/>
    <s v="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71"/>
    <n v="-1000011233"/>
    <s v=""/>
    <s v=""/>
    <s v="2M"/>
    <x v="3"/>
    <s v="MY"/>
    <s v="2"/>
    <s v="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73"/>
    <n v="-1000011233"/>
    <s v=""/>
    <s v=""/>
    <s v="2M"/>
    <x v="3"/>
    <s v="MY"/>
    <s v="2"/>
    <s v="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2563"/>
    <n v="-1000011217"/>
    <s v=""/>
    <s v=""/>
    <s v="31"/>
    <x v="7"/>
    <s v="EU"/>
    <s v="02"/>
    <s v="13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20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2849"/>
    <n v="-1000011225"/>
    <s v=""/>
    <s v=""/>
    <s v="31"/>
    <x v="7"/>
    <s v="EU"/>
    <s v="02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21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3367"/>
    <n v="-1000011229"/>
    <s v=""/>
    <s v=""/>
    <s v="52"/>
    <x v="0"/>
    <s v="EU"/>
    <s v="13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3475"/>
    <n v="-1000011233"/>
    <s v=""/>
    <s v=""/>
    <s v="42"/>
    <x v="2"/>
    <s v="EU"/>
    <s v="12"/>
    <s v="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487"/>
    <n v="-1000011233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509"/>
    <n v="-1000011233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607"/>
    <n v="-1000011233"/>
    <s v=""/>
    <s v=""/>
    <s v="31"/>
    <x v="7"/>
    <s v="EU"/>
    <s v="02"/>
    <s v="2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619"/>
    <n v="-1000011233"/>
    <s v=""/>
    <s v=""/>
    <s v="31"/>
    <x v="7"/>
    <s v="EU"/>
    <s v="02"/>
    <s v="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2815"/>
    <n v="-1000011225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44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419"/>
    <n v="-1000011229"/>
    <s v=""/>
    <s v=""/>
    <s v="41"/>
    <x v="1"/>
    <s v="EU"/>
    <s v="03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585"/>
    <n v="-1000011233"/>
    <s v=""/>
    <s v=""/>
    <s v="42"/>
    <x v="2"/>
    <s v="EU"/>
    <s v="12"/>
    <s v="1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589"/>
    <n v="-1000011217"/>
    <s v=""/>
    <s v=""/>
    <s v="41"/>
    <x v="1"/>
    <s v="EU"/>
    <s v="03"/>
    <s v="1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825"/>
    <n v="-1000011225"/>
    <s v=""/>
    <s v=""/>
    <s v="42"/>
    <x v="2"/>
    <s v="EU"/>
    <s v="12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43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011"/>
    <n v="-1000011225"/>
    <s v=""/>
    <s v=""/>
    <s v="52"/>
    <x v="0"/>
    <s v="EU"/>
    <s v="13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6122944"/>
    <n v="795601983"/>
    <s v=""/>
    <s v=""/>
    <s v="42"/>
    <x v="2"/>
    <s v="EU"/>
    <s v="12"/>
    <s v="19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929"/>
    <n v="795601983"/>
    <s v=""/>
    <s v="RG"/>
    <s v="2M"/>
    <x v="3"/>
    <s v="MY"/>
    <s v="2"/>
    <s v="1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794"/>
    <n v="795601983"/>
    <s v=""/>
    <s v="RG"/>
    <s v="1M"/>
    <x v="14"/>
    <s v="MY"/>
    <s v="1"/>
    <s v="7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42"/>
    <n v="795601983"/>
    <s v=""/>
    <s v=""/>
    <s v="42"/>
    <x v="2"/>
    <s v="EU"/>
    <s v="12"/>
    <s v="2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113"/>
    <n v="-1000011225"/>
    <s v=""/>
    <s v=""/>
    <s v="42"/>
    <x v="2"/>
    <s v="EU"/>
    <s v="12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2941"/>
    <n v="-1000011225"/>
    <s v=""/>
    <s v=""/>
    <s v="52"/>
    <x v="0"/>
    <s v="EU"/>
    <s v="13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869"/>
    <n v="-1000011225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565"/>
    <n v="-1000011217"/>
    <s v=""/>
    <s v=""/>
    <s v="41"/>
    <x v="1"/>
    <s v="EU"/>
    <s v="03"/>
    <s v="14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271"/>
    <n v="-1000011229"/>
    <s v=""/>
    <s v=""/>
    <s v="31"/>
    <x v="7"/>
    <s v="EU"/>
    <s v="0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609"/>
    <n v="-1000011233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823"/>
    <n v="-1000011225"/>
    <s v=""/>
    <s v=""/>
    <s v="3M"/>
    <x v="5"/>
    <s v="MY"/>
    <s v="3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993"/>
    <n v="-1000011225"/>
    <s v=""/>
    <s v=""/>
    <s v="41"/>
    <x v="1"/>
    <s v="EU"/>
    <s v="03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29"/>
    <n v="-1000011225"/>
    <s v=""/>
    <s v=""/>
    <s v="52"/>
    <x v="0"/>
    <s v="EU"/>
    <s v="13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117"/>
    <n v="-1000011225"/>
    <s v=""/>
    <s v=""/>
    <s v="52"/>
    <x v="0"/>
    <s v="EU"/>
    <s v="13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59"/>
    <n v="-1000011229"/>
    <s v=""/>
    <s v="UD"/>
    <s v=""/>
    <x v="6"/>
    <s v=""/>
    <s v="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203"/>
    <n v="-1000011229"/>
    <s v=""/>
    <s v=""/>
    <s v="41"/>
    <x v="1"/>
    <s v="EU"/>
    <s v="03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069"/>
    <n v="-1000011225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2877"/>
    <n v="-1000011225"/>
    <s v=""/>
    <s v=""/>
    <s v="42"/>
    <x v="2"/>
    <s v="EU"/>
    <s v="12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511"/>
    <n v="-1000011233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2943"/>
    <n v="-1000011225"/>
    <s v=""/>
    <s v=""/>
    <s v="3M"/>
    <x v="5"/>
    <s v="MY"/>
    <s v="3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015"/>
    <n v="-1000011225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6122896"/>
    <n v="795601983"/>
    <s v=""/>
    <s v=""/>
    <s v="31"/>
    <x v="7"/>
    <s v="EU"/>
    <s v="02"/>
    <s v="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365"/>
    <n v="-1000011229"/>
    <s v=""/>
    <s v=""/>
    <s v="42"/>
    <x v="2"/>
    <s v="EU"/>
    <s v="1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3701"/>
    <n v="-1000011233"/>
    <s v=""/>
    <s v=""/>
    <s v="52"/>
    <x v="0"/>
    <s v="EU"/>
    <s v="13"/>
    <s v="2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2787"/>
    <n v="-1000011225"/>
    <s v=""/>
    <s v=""/>
    <s v="52"/>
    <x v="0"/>
    <s v="EU"/>
    <s v="13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91"/>
    <n v="-1000011225"/>
    <s v=""/>
    <s v=""/>
    <s v="2M"/>
    <x v="3"/>
    <s v="MY"/>
    <s v="2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637"/>
    <n v="-1000011217"/>
    <s v=""/>
    <s v=""/>
    <s v="41"/>
    <x v="1"/>
    <s v="EU"/>
    <s v="03"/>
    <s v="25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175"/>
    <n v="-1000011229"/>
    <s v=""/>
    <s v="UD"/>
    <s v=""/>
    <x v="6"/>
    <s v=""/>
    <s v="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3569"/>
    <n v="-1000011233"/>
    <s v=""/>
    <s v=""/>
    <s v="31"/>
    <x v="7"/>
    <s v="EU"/>
    <s v="02"/>
    <s v="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927"/>
    <n v="-1000011225"/>
    <s v=""/>
    <s v=""/>
    <s v="52"/>
    <x v="0"/>
    <s v="EU"/>
    <s v="13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37"/>
    <n v="-1000011225"/>
    <s v=""/>
    <s v=""/>
    <s v="42"/>
    <x v="2"/>
    <s v="EU"/>
    <s v="12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63"/>
    <n v="-1000011225"/>
    <s v=""/>
    <s v=""/>
    <s v="52"/>
    <x v="0"/>
    <s v="EU"/>
    <s v="13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049"/>
    <n v="-1000011225"/>
    <s v=""/>
    <s v=""/>
    <s v="31"/>
    <x v="7"/>
    <s v="EU"/>
    <s v="02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2807"/>
    <n v="-1000011225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165"/>
    <n v="-1000011229"/>
    <s v=""/>
    <s v="UD"/>
    <s v=""/>
    <x v="6"/>
    <s v=""/>
    <s v="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501"/>
    <n v="-1000011233"/>
    <s v=""/>
    <s v=""/>
    <s v="42"/>
    <x v="2"/>
    <s v="EU"/>
    <s v="12"/>
    <s v="2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2809"/>
    <n v="-1000011225"/>
    <s v=""/>
    <s v=""/>
    <s v="41"/>
    <x v="1"/>
    <s v="EU"/>
    <s v="03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573"/>
    <n v="-1000011233"/>
    <s v=""/>
    <s v=""/>
    <s v="31"/>
    <x v="7"/>
    <s v="EU"/>
    <s v="02"/>
    <s v="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095"/>
    <n v="-1000011225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2541"/>
    <n v="-1000011217"/>
    <s v=""/>
    <s v=""/>
    <s v="41"/>
    <x v="1"/>
    <s v="EU"/>
    <s v="03"/>
    <s v="2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359"/>
    <n v="-1000011229"/>
    <s v=""/>
    <s v=""/>
    <s v="52"/>
    <x v="0"/>
    <s v="EU"/>
    <s v="13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6122788"/>
    <n v="795601983"/>
    <s v="0"/>
    <s v=""/>
    <s v="52"/>
    <x v="0"/>
    <s v="EU"/>
    <s v="13"/>
    <s v="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335"/>
    <n v="-1000011229"/>
    <s v=""/>
    <s v=""/>
    <s v="42"/>
    <x v="2"/>
    <s v="EU"/>
    <s v="1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3001"/>
    <n v="-1000011225"/>
    <s v=""/>
    <s v=""/>
    <s v="41"/>
    <x v="1"/>
    <s v="EU"/>
    <s v="03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2987"/>
    <n v="-1000011225"/>
    <s v=""/>
    <s v=""/>
    <s v="2M"/>
    <x v="3"/>
    <s v="MY"/>
    <s v="2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13"/>
    <n v="-1000011225"/>
    <s v=""/>
    <s v=""/>
    <s v="52"/>
    <x v="0"/>
    <s v="EU"/>
    <s v="13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33"/>
    <n v="-1000011225"/>
    <s v=""/>
    <s v=""/>
    <s v="42"/>
    <x v="2"/>
    <s v="EU"/>
    <s v="12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285"/>
    <n v="-1000011229"/>
    <s v=""/>
    <s v=""/>
    <s v="2M"/>
    <x v="3"/>
    <s v="MY"/>
    <s v="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633"/>
    <n v="-1000011233"/>
    <s v=""/>
    <s v=""/>
    <s v="31"/>
    <x v="7"/>
    <s v="EU"/>
    <s v="02"/>
    <s v="1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63"/>
    <n v="-1000011233"/>
    <s v=""/>
    <s v=""/>
    <s v="2M"/>
    <x v="3"/>
    <s v="MY"/>
    <s v="2"/>
    <s v="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2947"/>
    <n v="-1000011225"/>
    <s v=""/>
    <s v=""/>
    <s v="42"/>
    <x v="2"/>
    <s v="EU"/>
    <s v="12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685"/>
    <n v="-1000011233"/>
    <s v=""/>
    <s v=""/>
    <s v="52"/>
    <x v="0"/>
    <s v="EU"/>
    <s v="13"/>
    <s v="1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2979"/>
    <n v="-1000011225"/>
    <s v=""/>
    <s v=""/>
    <s v="41"/>
    <x v="1"/>
    <s v="EU"/>
    <s v="03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6122782"/>
    <n v="795601983"/>
    <s v=""/>
    <s v=""/>
    <s v="42"/>
    <x v="2"/>
    <s v="EU"/>
    <s v="12"/>
    <s v="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24"/>
    <n v="795601983"/>
    <s v=""/>
    <s v=""/>
    <s v="41"/>
    <x v="1"/>
    <s v="EU"/>
    <s v="03"/>
    <s v="17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791"/>
    <n v="795601983"/>
    <s v=""/>
    <s v="RG"/>
    <s v=""/>
    <x v="6"/>
    <s v="EU"/>
    <s v=""/>
    <s v="6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797"/>
    <n v="795601983"/>
    <s v=""/>
    <s v=""/>
    <s v="52"/>
    <x v="0"/>
    <s v="EU"/>
    <s v="13"/>
    <s v="8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00"/>
    <n v="795601983"/>
    <s v=""/>
    <s v=""/>
    <s v="52"/>
    <x v="0"/>
    <s v="EU"/>
    <s v="13"/>
    <s v="9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12"/>
    <n v="795601983"/>
    <s v=""/>
    <s v="RG"/>
    <s v=""/>
    <x v="6"/>
    <s v="EU"/>
    <s v=""/>
    <s v="1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15"/>
    <n v="795601983"/>
    <s v=""/>
    <s v=""/>
    <s v="42"/>
    <x v="2"/>
    <s v="EU"/>
    <s v="12"/>
    <s v="1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21"/>
    <n v="795601983"/>
    <s v=""/>
    <s v=""/>
    <s v="42"/>
    <x v="2"/>
    <s v="EU"/>
    <s v="12"/>
    <s v="16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51"/>
    <n v="795601983"/>
    <s v=""/>
    <s v=""/>
    <s v="42"/>
    <x v="2"/>
    <s v="EU"/>
    <s v="12"/>
    <s v="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54"/>
    <n v="795601983"/>
    <s v=""/>
    <s v=""/>
    <s v="42"/>
    <x v="2"/>
    <s v="EU"/>
    <s v="12"/>
    <s v="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60"/>
    <n v="795601983"/>
    <s v=""/>
    <s v=""/>
    <s v="42"/>
    <x v="2"/>
    <s v="EU"/>
    <s v="12"/>
    <s v="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66"/>
    <n v="795601983"/>
    <s v=""/>
    <s v="UD"/>
    <s v=""/>
    <x v="6"/>
    <s v="EU"/>
    <s v=""/>
    <s v="6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75"/>
    <n v="795601983"/>
    <s v=""/>
    <s v="RG"/>
    <s v="2M"/>
    <x v="3"/>
    <s v="MY"/>
    <s v="2"/>
    <s v="9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78"/>
    <n v="795601983"/>
    <s v=""/>
    <s v="RG"/>
    <s v="2M"/>
    <x v="3"/>
    <s v="MY"/>
    <s v="2"/>
    <s v="10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87"/>
    <n v="795601983"/>
    <s v=""/>
    <s v=""/>
    <s v="42"/>
    <x v="2"/>
    <s v="EU"/>
    <s v="12"/>
    <s v="1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90"/>
    <n v="795601983"/>
    <s v=""/>
    <s v=""/>
    <s v="41"/>
    <x v="1"/>
    <s v="EU"/>
    <s v="03"/>
    <s v="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917"/>
    <n v="795601983"/>
    <s v=""/>
    <s v=""/>
    <s v="41"/>
    <x v="1"/>
    <s v="EU"/>
    <s v="03"/>
    <s v="10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935"/>
    <n v="795601983"/>
    <s v=""/>
    <s v=""/>
    <s v="42"/>
    <x v="2"/>
    <s v="EU"/>
    <s v="12"/>
    <s v="16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941"/>
    <n v="795601983"/>
    <s v=""/>
    <s v=""/>
    <s v="41"/>
    <x v="1"/>
    <s v="EU"/>
    <s v="03"/>
    <s v="18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947"/>
    <n v="795601983"/>
    <s v=""/>
    <s v=""/>
    <s v="42"/>
    <x v="2"/>
    <s v="EU"/>
    <s v="12"/>
    <s v="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50"/>
    <n v="795601983"/>
    <s v=""/>
    <s v="RG"/>
    <s v="2M"/>
    <x v="3"/>
    <s v="MY"/>
    <s v="2"/>
    <s v="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56"/>
    <n v="795601983"/>
    <s v=""/>
    <s v=""/>
    <s v="42"/>
    <x v="2"/>
    <s v="EU"/>
    <s v="12"/>
    <s v="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59"/>
    <n v="795601983"/>
    <s v=""/>
    <s v="RG"/>
    <s v="2M"/>
    <x v="3"/>
    <s v="MY"/>
    <s v="2"/>
    <s v="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80"/>
    <n v="795601983"/>
    <s v=""/>
    <s v=""/>
    <s v="42"/>
    <x v="2"/>
    <s v="EU"/>
    <s v="12"/>
    <s v="1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83"/>
    <n v="795601983"/>
    <s v=""/>
    <s v=""/>
    <s v="42"/>
    <x v="2"/>
    <s v="EU"/>
    <s v="12"/>
    <s v="1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86"/>
    <n v="795601983"/>
    <s v=""/>
    <s v=""/>
    <s v="42"/>
    <x v="2"/>
    <s v="EU"/>
    <s v="12"/>
    <s v="1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89"/>
    <n v="795601983"/>
    <s v=""/>
    <s v=""/>
    <s v="42"/>
    <x v="2"/>
    <s v="EU"/>
    <s v="12"/>
    <s v="1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-1003793061"/>
    <n v="-1000011225"/>
    <s v=""/>
    <s v=""/>
    <s v="42"/>
    <x v="2"/>
    <s v="EU"/>
    <s v="12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297"/>
    <n v="-1000011229"/>
    <s v=""/>
    <s v=""/>
    <s v="42"/>
    <x v="2"/>
    <s v="EU"/>
    <s v="1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303"/>
    <n v="-1000011229"/>
    <s v=""/>
    <s v=""/>
    <s v="31"/>
    <x v="7"/>
    <s v="EU"/>
    <s v="0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323"/>
    <n v="-1000011229"/>
    <s v=""/>
    <s v=""/>
    <s v="42"/>
    <x v="2"/>
    <s v="EU"/>
    <s v="1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3103"/>
    <n v="-1000011225"/>
    <s v=""/>
    <s v=""/>
    <s v="3M"/>
    <x v="5"/>
    <s v="MY"/>
    <s v="3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6122785"/>
    <n v="795601983"/>
    <s v=""/>
    <s v=""/>
    <s v="41"/>
    <x v="1"/>
    <s v="EU"/>
    <s v="03"/>
    <s v="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183"/>
    <n v="-1000011229"/>
    <s v=""/>
    <s v=""/>
    <s v="42"/>
    <x v="2"/>
    <s v="EU"/>
    <s v="1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2591"/>
    <n v="-1000011217"/>
    <s v=""/>
    <s v=""/>
    <s v="41"/>
    <x v="1"/>
    <s v="EU"/>
    <s v="03"/>
    <s v="2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585"/>
    <n v="-1000011217"/>
    <s v=""/>
    <s v=""/>
    <s v="41"/>
    <x v="1"/>
    <s v="EU"/>
    <s v="03"/>
    <s v="24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599"/>
    <n v="-1000011233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687"/>
    <n v="-1000011233"/>
    <s v=""/>
    <s v="MF"/>
    <s v=""/>
    <x v="6"/>
    <s v=""/>
    <s v=""/>
    <s v="1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93"/>
    <n v="-1000011233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97"/>
    <n v="-1000011233"/>
    <s v=""/>
    <s v=""/>
    <s v="2M"/>
    <x v="3"/>
    <s v="MY"/>
    <s v="2"/>
    <s v="1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37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3031"/>
    <n v="-1000011225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2827"/>
    <n v="-1000011225"/>
    <s v=""/>
    <s v=""/>
    <s v="3M"/>
    <x v="5"/>
    <s v="MY"/>
    <s v="3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087"/>
    <n v="-1000011225"/>
    <s v=""/>
    <s v=""/>
    <s v="42"/>
    <x v="2"/>
    <s v="EU"/>
    <s v="12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057"/>
    <n v="-1000011225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343"/>
    <n v="-1000011229"/>
    <s v=""/>
    <s v=""/>
    <s v="2M"/>
    <x v="3"/>
    <s v="MY"/>
    <s v="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331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3301"/>
    <n v="-1000011229"/>
    <s v=""/>
    <s v=""/>
    <s v="31"/>
    <x v="7"/>
    <s v="EU"/>
    <s v="0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269"/>
    <n v="-1000011229"/>
    <s v=""/>
    <s v="UD"/>
    <s v=""/>
    <x v="6"/>
    <s v=""/>
    <s v="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473"/>
    <n v="-1000011233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467"/>
    <n v="-1000011233"/>
    <s v=""/>
    <s v=""/>
    <s v="42"/>
    <x v="2"/>
    <s v="EU"/>
    <s v="12"/>
    <s v="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6122974"/>
    <n v="795601983"/>
    <s v=""/>
    <s v=""/>
    <s v="52"/>
    <x v="0"/>
    <s v="EU"/>
    <s v="13"/>
    <s v="10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-1003793333"/>
    <n v="-1000011229"/>
    <s v=""/>
    <s v=""/>
    <s v="63"/>
    <x v="8"/>
    <s v="EU"/>
    <s v="23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2805"/>
    <n v="-1000011225"/>
    <s v=""/>
    <s v=""/>
    <s v="52"/>
    <x v="0"/>
    <s v="EU"/>
    <s v="13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213"/>
    <n v="-1000011229"/>
    <s v=""/>
    <s v=""/>
    <s v="52"/>
    <x v="0"/>
    <s v="EU"/>
    <s v="13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337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3523"/>
    <n v="-1000011233"/>
    <s v=""/>
    <s v=""/>
    <s v="52"/>
    <x v="0"/>
    <s v="EU"/>
    <s v="13"/>
    <s v="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707"/>
    <n v="-1000011233"/>
    <s v=""/>
    <s v=""/>
    <s v="52"/>
    <x v="0"/>
    <s v="EU"/>
    <s v="13"/>
    <s v="2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559"/>
    <n v="-1000011233"/>
    <s v=""/>
    <s v=""/>
    <s v="52"/>
    <x v="0"/>
    <s v="EU"/>
    <s v="13"/>
    <s v="2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2885"/>
    <n v="-1000011225"/>
    <s v=""/>
    <s v=""/>
    <s v="42"/>
    <x v="2"/>
    <s v="EU"/>
    <s v="12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91"/>
    <n v="-1000011225"/>
    <s v=""/>
    <s v=""/>
    <s v="52"/>
    <x v="0"/>
    <s v="EU"/>
    <s v="13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961"/>
    <n v="-1000011225"/>
    <s v=""/>
    <s v="RG"/>
    <s v=""/>
    <x v="6"/>
    <s v=""/>
    <s v="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85"/>
    <n v="-1000011225"/>
    <s v=""/>
    <s v=""/>
    <s v="2M"/>
    <x v="3"/>
    <s v="MY"/>
    <s v="2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03"/>
    <n v="-1000011225"/>
    <s v=""/>
    <s v=""/>
    <s v="42"/>
    <x v="2"/>
    <s v="EU"/>
    <s v="12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41"/>
    <n v="-1000011225"/>
    <s v=""/>
    <s v=""/>
    <s v="42"/>
    <x v="2"/>
    <s v="EU"/>
    <s v="12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251"/>
    <n v="-1000011229"/>
    <s v=""/>
    <s v=""/>
    <s v="2M"/>
    <x v="3"/>
    <s v="MY"/>
    <s v="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28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2855"/>
    <n v="-1000011225"/>
    <s v=""/>
    <s v=""/>
    <s v="42"/>
    <x v="2"/>
    <s v="EU"/>
    <s v="12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645"/>
    <n v="-1000011233"/>
    <s v=""/>
    <s v="UD"/>
    <s v=""/>
    <x v="6"/>
    <s v=""/>
    <s v=""/>
    <s v="1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6122923"/>
    <n v="795601983"/>
    <s v="0"/>
    <s v=""/>
    <s v="42"/>
    <x v="2"/>
    <s v="EU"/>
    <s v="12"/>
    <s v="1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709"/>
    <n v="-1000011233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22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2931"/>
    <n v="-1000011225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491"/>
    <n v="-1000011233"/>
    <s v=""/>
    <s v=""/>
    <s v="42"/>
    <x v="2"/>
    <s v="EU"/>
    <s v="12"/>
    <s v="1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275"/>
    <n v="-1000011229"/>
    <s v=""/>
    <s v=""/>
    <s v="42"/>
    <x v="2"/>
    <s v="EU"/>
    <s v="1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29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6122827"/>
    <n v="795601983"/>
    <s v=""/>
    <s v=""/>
    <s v="42"/>
    <x v="2"/>
    <s v="EU"/>
    <s v="12"/>
    <s v="18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345"/>
    <n v="-1000011229"/>
    <s v=""/>
    <s v=""/>
    <s v="52"/>
    <x v="0"/>
    <s v="EU"/>
    <s v="13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2599"/>
    <n v="-1000011217"/>
    <s v=""/>
    <s v=""/>
    <s v="31"/>
    <x v="7"/>
    <s v="EU"/>
    <s v="02"/>
    <s v="6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177"/>
    <n v="-1000011229"/>
    <s v=""/>
    <s v="UD"/>
    <s v=""/>
    <x v="6"/>
    <s v=""/>
    <s v="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-1003792615"/>
    <n v="-1000011217"/>
    <s v=""/>
    <s v="RG"/>
    <s v=""/>
    <x v="6"/>
    <s v=""/>
    <s v=""/>
    <s v="14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617"/>
    <n v="-1000011233"/>
    <s v=""/>
    <s v=""/>
    <s v="31"/>
    <x v="7"/>
    <s v="EU"/>
    <s v="02"/>
    <s v="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55"/>
    <n v="-1000011233"/>
    <s v=""/>
    <s v=""/>
    <s v="52"/>
    <x v="0"/>
    <s v="EU"/>
    <s v="13"/>
    <s v="2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91"/>
    <n v="-1000011233"/>
    <s v=""/>
    <s v=""/>
    <s v="41"/>
    <x v="1"/>
    <s v="EU"/>
    <s v="03"/>
    <s v="1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6122920"/>
    <n v="795601983"/>
    <s v=""/>
    <s v=""/>
    <s v="41"/>
    <x v="1"/>
    <s v="EU"/>
    <s v="03"/>
    <s v="1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857"/>
    <n v="795601983"/>
    <s v=""/>
    <s v="RG"/>
    <s v=""/>
    <x v="6"/>
    <s v="EU"/>
    <s v=""/>
    <s v="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-1003793641"/>
    <n v="-1000011233"/>
    <s v=""/>
    <s v=""/>
    <s v="31"/>
    <x v="7"/>
    <s v="EU"/>
    <s v="02"/>
    <s v="1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6122965"/>
    <n v="795601983"/>
    <s v=""/>
    <s v="RG"/>
    <s v="52"/>
    <x v="0"/>
    <s v="EU"/>
    <s v="13"/>
    <s v="7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818"/>
    <n v="795601983"/>
    <s v=""/>
    <s v=""/>
    <s v="42"/>
    <x v="2"/>
    <s v="EU"/>
    <s v="12"/>
    <s v="1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245"/>
    <n v="-1000011229"/>
    <s v=""/>
    <s v=""/>
    <s v="41"/>
    <x v="1"/>
    <s v="EU"/>
    <s v="03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443"/>
    <n v="-1000011229"/>
    <s v=""/>
    <s v=""/>
    <s v="52"/>
    <x v="0"/>
    <s v="EU"/>
    <s v="13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2821"/>
    <n v="-1000011225"/>
    <s v=""/>
    <s v=""/>
    <s v="42"/>
    <x v="2"/>
    <s v="EU"/>
    <s v="12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883"/>
    <n v="-1000011225"/>
    <s v=""/>
    <s v=""/>
    <s v="41"/>
    <x v="1"/>
    <s v="EU"/>
    <s v="03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099"/>
    <n v="-1000011225"/>
    <s v=""/>
    <s v=""/>
    <s v="2M"/>
    <x v="3"/>
    <s v="MY"/>
    <s v="2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93"/>
    <n v="-1000011229"/>
    <s v=""/>
    <s v=""/>
    <s v="3M"/>
    <x v="5"/>
    <s v="MY"/>
    <s v="3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2619"/>
    <n v="-1000011217"/>
    <s v=""/>
    <s v=""/>
    <s v="31"/>
    <x v="7"/>
    <s v="EU"/>
    <s v="02"/>
    <s v="16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33"/>
    <n v="-1000011217"/>
    <s v=""/>
    <s v=""/>
    <s v="31"/>
    <x v="7"/>
    <s v="EU"/>
    <s v="02"/>
    <s v="23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493"/>
    <n v="-1000011233"/>
    <s v=""/>
    <s v=""/>
    <s v="52"/>
    <x v="0"/>
    <s v="EU"/>
    <s v="13"/>
    <s v="1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163"/>
    <n v="-1000011229"/>
    <s v=""/>
    <s v=""/>
    <s v="2M"/>
    <x v="3"/>
    <s v="MY"/>
    <s v="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2971"/>
    <n v="-1000011225"/>
    <s v=""/>
    <s v=""/>
    <s v="52"/>
    <x v="0"/>
    <s v="EU"/>
    <s v="13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257"/>
    <n v="-1000011229"/>
    <s v=""/>
    <s v=""/>
    <s v="52"/>
    <x v="0"/>
    <s v="EU"/>
    <s v="13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235"/>
    <n v="-1000011229"/>
    <s v=""/>
    <s v=""/>
    <s v="42"/>
    <x v="2"/>
    <s v="EU"/>
    <s v="1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381"/>
    <n v="-1000011229"/>
    <s v=""/>
    <s v=""/>
    <s v="3M"/>
    <x v="5"/>
    <s v="MY"/>
    <s v="3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3547"/>
    <n v="-1000011233"/>
    <s v=""/>
    <s v=""/>
    <s v="63"/>
    <x v="8"/>
    <s v="EU"/>
    <s v="23"/>
    <s v="1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2967"/>
    <n v="-1000011225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23"/>
    <n v="-1000011225"/>
    <s v=""/>
    <s v=""/>
    <s v="52"/>
    <x v="0"/>
    <s v="EU"/>
    <s v="13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247"/>
    <n v="-1000011229"/>
    <s v=""/>
    <s v=""/>
    <s v="41"/>
    <x v="1"/>
    <s v="EU"/>
    <s v="03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507"/>
    <n v="-1000011233"/>
    <s v=""/>
    <s v=""/>
    <s v="31"/>
    <x v="7"/>
    <s v="EU"/>
    <s v="02"/>
    <s v="2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15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597"/>
    <n v="-1000011233"/>
    <s v=""/>
    <s v=""/>
    <s v="42"/>
    <x v="2"/>
    <s v="EU"/>
    <s v="12"/>
    <s v="1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583"/>
    <n v="-1000011217"/>
    <s v=""/>
    <s v=""/>
    <s v="3M"/>
    <x v="5"/>
    <s v="MY"/>
    <s v="3"/>
    <s v="23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441"/>
    <n v="-1000011229"/>
    <s v=""/>
    <s v=""/>
    <s v="31"/>
    <x v="7"/>
    <s v="EU"/>
    <s v="0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6122803"/>
    <n v="795601983"/>
    <s v=""/>
    <s v=""/>
    <s v="52"/>
    <x v="0"/>
    <s v="EU"/>
    <s v="13"/>
    <s v="10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18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n v="6122902"/>
    <n v="795601983"/>
    <s v=""/>
    <s v=""/>
    <s v="52"/>
    <x v="0"/>
    <s v="EU"/>
    <s v="13"/>
    <s v="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2959"/>
    <n v="-1000011225"/>
    <s v=""/>
    <s v=""/>
    <s v="41"/>
    <x v="1"/>
    <s v="EU"/>
    <s v="03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683"/>
    <n v="-1000011233"/>
    <s v=""/>
    <s v="MF"/>
    <s v=""/>
    <x v="6"/>
    <s v=""/>
    <s v=""/>
    <s v="1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255"/>
    <n v="-1000011229"/>
    <s v=""/>
    <s v=""/>
    <s v="31"/>
    <x v="7"/>
    <s v="EU"/>
    <s v="0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479"/>
    <n v="-1000011233"/>
    <s v=""/>
    <s v=""/>
    <s v="42"/>
    <x v="2"/>
    <s v="EU"/>
    <s v="12"/>
    <s v="1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6122962"/>
    <n v="795601983"/>
    <s v=""/>
    <s v=""/>
    <s v="42"/>
    <x v="2"/>
    <s v="EU"/>
    <s v="12"/>
    <s v="6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-1003792793"/>
    <n v="-1000011225"/>
    <s v=""/>
    <s v=""/>
    <s v="42"/>
    <x v="2"/>
    <s v="EU"/>
    <s v="12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771"/>
    <n v="-1000011225"/>
    <s v=""/>
    <s v=""/>
    <s v="42"/>
    <x v="2"/>
    <s v="EU"/>
    <s v="12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681"/>
    <n v="-1000011233"/>
    <s v=""/>
    <s v=""/>
    <s v="42"/>
    <x v="2"/>
    <s v="EU"/>
    <s v="12"/>
    <s v="1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489"/>
    <n v="-1000011233"/>
    <s v=""/>
    <s v=""/>
    <s v="52"/>
    <x v="0"/>
    <s v="EU"/>
    <s v="13"/>
    <s v="1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2895"/>
    <n v="-1000011225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905"/>
    <n v="-1000011225"/>
    <s v=""/>
    <s v=""/>
    <s v="52"/>
    <x v="0"/>
    <s v="EU"/>
    <s v="13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009"/>
    <n v="-1000011225"/>
    <s v=""/>
    <s v=""/>
    <s v="3M"/>
    <x v="5"/>
    <s v="MY"/>
    <s v="3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277"/>
    <n v="-1000011229"/>
    <s v=""/>
    <s v=""/>
    <s v="31"/>
    <x v="7"/>
    <s v="EU"/>
    <s v="0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n v="-1003793583"/>
    <n v="-1000011233"/>
    <s v=""/>
    <s v=""/>
    <s v="42"/>
    <x v="2"/>
    <s v="EU"/>
    <s v="12"/>
    <s v="1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219"/>
    <n v="-1000011229"/>
    <s v=""/>
    <s v=""/>
    <s v="42"/>
    <x v="2"/>
    <s v="EU"/>
    <s v="12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2929"/>
    <n v="-1000011225"/>
    <s v=""/>
    <s v=""/>
    <s v="41"/>
    <x v="1"/>
    <s v="EU"/>
    <s v="03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519"/>
    <n v="-1000011233"/>
    <s v=""/>
    <s v=""/>
    <s v="42"/>
    <x v="2"/>
    <s v="EU"/>
    <s v="12"/>
    <s v="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2617"/>
    <n v="-1000011217"/>
    <s v=""/>
    <s v=""/>
    <s v="42"/>
    <x v="2"/>
    <s v="EU"/>
    <s v="12"/>
    <s v="15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01"/>
    <n v="-1000011217"/>
    <s v=""/>
    <s v=""/>
    <s v="41"/>
    <x v="1"/>
    <s v="EU"/>
    <s v="03"/>
    <s v="7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11"/>
    <n v="-1000011217"/>
    <s v=""/>
    <s v=""/>
    <s v="3M"/>
    <x v="5"/>
    <s v="MY"/>
    <s v="3"/>
    <s v="12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631"/>
    <n v="-1000011233"/>
    <s v=""/>
    <s v=""/>
    <s v="2M"/>
    <x v="3"/>
    <s v="MY"/>
    <s v="2"/>
    <s v="1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2811"/>
    <n v="-1000011225"/>
    <s v=""/>
    <s v=""/>
    <s v="42"/>
    <x v="2"/>
    <s v="EU"/>
    <s v="12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543"/>
    <n v="-1000011233"/>
    <s v=""/>
    <s v=""/>
    <s v="52"/>
    <x v="0"/>
    <s v="EU"/>
    <s v="13"/>
    <s v="1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021"/>
    <n v="-1000011225"/>
    <s v=""/>
    <s v=""/>
    <s v="52"/>
    <x v="0"/>
    <s v="EU"/>
    <s v="13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337"/>
    <n v="-1000011229"/>
    <s v=""/>
    <s v=""/>
    <s v="42"/>
    <x v="2"/>
    <s v="EU"/>
    <s v="1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6122776"/>
    <n v="795601983"/>
    <s v=""/>
    <s v=""/>
    <s v="42"/>
    <x v="2"/>
    <s v="EU"/>
    <s v="12"/>
    <s v="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2627"/>
    <n v="-1000011217"/>
    <s v=""/>
    <s v=""/>
    <s v="31"/>
    <x v="7"/>
    <s v="EU"/>
    <s v="02"/>
    <s v="20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6122971"/>
    <n v="795601983"/>
    <s v=""/>
    <s v=""/>
    <s v="42"/>
    <x v="2"/>
    <s v="EU"/>
    <s v="12"/>
    <s v="9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848"/>
    <n v="795601983"/>
    <s v=""/>
    <s v=""/>
    <s v="42"/>
    <x v="2"/>
    <s v="EU"/>
    <s v="12"/>
    <s v="2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905"/>
    <n v="795601983"/>
    <s v=""/>
    <s v=""/>
    <s v="41"/>
    <x v="1"/>
    <s v="EU"/>
    <s v="03"/>
    <s v="6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845"/>
    <n v="795601983"/>
    <s v=""/>
    <s v=""/>
    <s v="42"/>
    <x v="2"/>
    <s v="EU"/>
    <s v="12"/>
    <s v="2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36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2571"/>
    <n v="-1000011217"/>
    <s v=""/>
    <s v=""/>
    <s v="31"/>
    <x v="7"/>
    <s v="EU"/>
    <s v="02"/>
    <s v="17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425"/>
    <n v="-1000011229"/>
    <s v=""/>
    <s v=""/>
    <s v="42"/>
    <x v="2"/>
    <s v="EU"/>
    <s v="1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2911"/>
    <n v="-1000011225"/>
    <s v=""/>
    <s v=""/>
    <s v="2M"/>
    <x v="3"/>
    <s v="MY"/>
    <s v="2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969"/>
    <n v="-1000011225"/>
    <s v=""/>
    <s v="RG"/>
    <s v=""/>
    <x v="6"/>
    <s v=""/>
    <s v="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2991"/>
    <n v="-1000011225"/>
    <s v=""/>
    <s v=""/>
    <s v="3M"/>
    <x v="5"/>
    <s v="MY"/>
    <s v="3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083"/>
    <n v="-1000011225"/>
    <s v=""/>
    <s v=""/>
    <s v="2M"/>
    <x v="3"/>
    <s v="MY"/>
    <s v="2"/>
    <s v="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2975"/>
    <n v="-1000011225"/>
    <s v=""/>
    <s v=""/>
    <s v="42"/>
    <x v="2"/>
    <s v="EU"/>
    <s v="12"/>
    <s v="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2901"/>
    <n v="-1000011225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889"/>
    <n v="-1000011225"/>
    <s v=""/>
    <s v=""/>
    <s v="42"/>
    <x v="2"/>
    <s v="EU"/>
    <s v="12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065"/>
    <n v="-1000011225"/>
    <s v=""/>
    <s v="RG"/>
    <s v=""/>
    <x v="6"/>
    <s v=""/>
    <s v="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205"/>
    <n v="-1000011229"/>
    <s v=""/>
    <s v=""/>
    <s v="41"/>
    <x v="1"/>
    <s v="EU"/>
    <s v="03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305"/>
    <n v="-1000011229"/>
    <s v=""/>
    <s v=""/>
    <s v="42"/>
    <x v="2"/>
    <s v="EU"/>
    <s v="1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079"/>
    <n v="-1000011225"/>
    <s v=""/>
    <s v="W"/>
    <s v=""/>
    <x v="6"/>
    <s v=""/>
    <s v=""/>
    <s v="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2579"/>
    <n v="-1000011217"/>
    <s v=""/>
    <s v=""/>
    <s v="31"/>
    <x v="7"/>
    <s v="EU"/>
    <s v="02"/>
    <s v="21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089"/>
    <n v="-1000011225"/>
    <s v=""/>
    <s v=""/>
    <s v="41"/>
    <x v="1"/>
    <s v="EU"/>
    <s v="03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2781"/>
    <n v="-1000011225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557"/>
    <n v="-1000011233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461"/>
    <n v="-1000011233"/>
    <s v=""/>
    <s v=""/>
    <s v="52"/>
    <x v="0"/>
    <s v="EU"/>
    <s v="13"/>
    <s v="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463"/>
    <n v="-1000011233"/>
    <s v=""/>
    <s v=""/>
    <s v="31"/>
    <x v="7"/>
    <s v="EU"/>
    <s v="02"/>
    <s v="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521"/>
    <n v="-1000011233"/>
    <s v=""/>
    <s v=""/>
    <s v="41"/>
    <x v="1"/>
    <s v="EU"/>
    <s v="03"/>
    <s v="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357"/>
    <n v="-1000011229"/>
    <s v=""/>
    <s v=""/>
    <s v="3M"/>
    <x v="5"/>
    <s v="MY"/>
    <s v="3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3091"/>
    <n v="-1000011225"/>
    <s v=""/>
    <s v=""/>
    <s v="31"/>
    <x v="7"/>
    <s v="EU"/>
    <s v="02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6122926"/>
    <n v="795601983"/>
    <s v=""/>
    <s v=""/>
    <s v="42"/>
    <x v="2"/>
    <s v="EU"/>
    <s v="12"/>
    <s v="1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635"/>
    <n v="-1000011233"/>
    <s v=""/>
    <s v="RG"/>
    <s v=""/>
    <x v="6"/>
    <s v=""/>
    <s v=""/>
    <s v="1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2623"/>
    <n v="-1000011217"/>
    <s v=""/>
    <s v=""/>
    <s v="41"/>
    <x v="1"/>
    <s v="EU"/>
    <s v="03"/>
    <s v="18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695"/>
    <n v="-1000011233"/>
    <s v=""/>
    <s v=""/>
    <s v="52"/>
    <x v="0"/>
    <s v="EU"/>
    <s v="13"/>
    <s v="1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2857"/>
    <n v="-1000011225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059"/>
    <n v="-1000011225"/>
    <s v=""/>
    <s v=""/>
    <s v="31"/>
    <x v="7"/>
    <s v="EU"/>
    <s v="02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2539"/>
    <n v="-1000011217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6122953"/>
    <n v="795601983"/>
    <s v=""/>
    <s v="MF"/>
    <s v=""/>
    <x v="6"/>
    <s v="EU"/>
    <s v=""/>
    <s v="3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911"/>
    <n v="795601983"/>
    <s v=""/>
    <s v=""/>
    <s v="42"/>
    <x v="2"/>
    <s v="EU"/>
    <s v="12"/>
    <s v="8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465"/>
    <n v="-1000011233"/>
    <s v=""/>
    <s v=""/>
    <s v="31"/>
    <x v="7"/>
    <s v="EU"/>
    <s v="02"/>
    <s v="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2861"/>
    <n v="-1000011225"/>
    <s v=""/>
    <s v=""/>
    <s v="31"/>
    <x v="7"/>
    <s v="EU"/>
    <s v="02"/>
    <s v="2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593"/>
    <n v="-1000011217"/>
    <s v=""/>
    <s v=""/>
    <s v="42"/>
    <x v="2"/>
    <s v="EU"/>
    <s v="12"/>
    <s v="3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41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2597"/>
    <n v="-1000011217"/>
    <s v=""/>
    <s v=""/>
    <s v="31"/>
    <x v="7"/>
    <s v="EU"/>
    <s v="02"/>
    <s v="5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631"/>
    <n v="-1000011217"/>
    <s v=""/>
    <s v=""/>
    <s v="41"/>
    <x v="1"/>
    <s v="EU"/>
    <s v="03"/>
    <s v="22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813"/>
    <n v="-1000011225"/>
    <s v=""/>
    <s v=""/>
    <s v="42"/>
    <x v="2"/>
    <s v="EU"/>
    <s v="12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629"/>
    <n v="-1000011233"/>
    <s v=""/>
    <s v=""/>
    <s v="52"/>
    <x v="0"/>
    <s v="EU"/>
    <s v="13"/>
    <s v="1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2935"/>
    <n v="-1000011225"/>
    <s v=""/>
    <s v=""/>
    <s v="42"/>
    <x v="2"/>
    <s v="EU"/>
    <s v="12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865"/>
    <n v="-1000011225"/>
    <s v=""/>
    <s v="RG"/>
    <s v=""/>
    <x v="6"/>
    <s v=""/>
    <s v="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387"/>
    <n v="-1000011229"/>
    <s v=""/>
    <s v=""/>
    <s v="2M"/>
    <x v="3"/>
    <s v="MY"/>
    <s v="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2581"/>
    <n v="-1000011217"/>
    <s v=""/>
    <s v=""/>
    <s v="41"/>
    <x v="1"/>
    <s v="EU"/>
    <s v="03"/>
    <s v="22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533"/>
    <n v="-1000011233"/>
    <s v=""/>
    <s v=""/>
    <s v="42"/>
    <x v="2"/>
    <s v="EU"/>
    <s v="12"/>
    <s v="1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2919"/>
    <n v="-1000011225"/>
    <s v=""/>
    <s v=""/>
    <s v="31"/>
    <x v="7"/>
    <s v="EU"/>
    <s v="02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51"/>
    <n v="-1000011225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051"/>
    <n v="-1000011225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55"/>
    <n v="-1000011225"/>
    <s v=""/>
    <s v=""/>
    <s v="42"/>
    <x v="2"/>
    <s v="EU"/>
    <s v="12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347"/>
    <n v="-1000011229"/>
    <s v=""/>
    <s v=""/>
    <s v="31"/>
    <x v="7"/>
    <s v="EU"/>
    <s v="0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2949"/>
    <n v="-1000011225"/>
    <s v=""/>
    <s v=""/>
    <s v="42"/>
    <x v="2"/>
    <s v="EU"/>
    <s v="12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417"/>
    <n v="-1000011229"/>
    <s v=""/>
    <s v=""/>
    <s v="41"/>
    <x v="1"/>
    <s v="EU"/>
    <s v="03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513"/>
    <n v="-1000011233"/>
    <s v=""/>
    <s v=""/>
    <s v="42"/>
    <x v="2"/>
    <s v="EU"/>
    <s v="12"/>
    <s v="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383"/>
    <n v="-1000011229"/>
    <s v=""/>
    <s v=""/>
    <s v="42"/>
    <x v="2"/>
    <s v="EU"/>
    <s v="12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-1003792553"/>
    <n v="-1000011217"/>
    <s v=""/>
    <s v=""/>
    <s v="41"/>
    <x v="1"/>
    <s v="EU"/>
    <s v="03"/>
    <s v="8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659"/>
    <n v="-1000011233"/>
    <s v=""/>
    <s v=""/>
    <s v="52"/>
    <x v="0"/>
    <s v="EU"/>
    <s v="13"/>
    <s v="2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6122893"/>
    <n v="795601983"/>
    <s v=""/>
    <s v=""/>
    <s v="42"/>
    <x v="2"/>
    <s v="EU"/>
    <s v="12"/>
    <s v="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779"/>
    <n v="795601983"/>
    <s v=""/>
    <s v=""/>
    <s v="42"/>
    <x v="2"/>
    <s v="EU"/>
    <s v="12"/>
    <s v="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06"/>
    <n v="795601983"/>
    <s v=""/>
    <s v=""/>
    <s v="42"/>
    <x v="2"/>
    <s v="EU"/>
    <s v="12"/>
    <s v="1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3321"/>
    <n v="-1000011229"/>
    <s v=""/>
    <s v=""/>
    <s v="42"/>
    <x v="2"/>
    <s v="EU"/>
    <s v="1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6122836"/>
    <n v="795601983"/>
    <s v=""/>
    <s v="RG"/>
    <s v="2M"/>
    <x v="3"/>
    <s v="MY"/>
    <s v="2"/>
    <s v="2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2915"/>
    <n v="-1000011225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19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2893"/>
    <n v="-1000011225"/>
    <s v=""/>
    <s v=""/>
    <s v="3M"/>
    <x v="5"/>
    <s v="MY"/>
    <s v="3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609"/>
    <n v="-1000011217"/>
    <s v=""/>
    <s v=""/>
    <s v="41"/>
    <x v="1"/>
    <s v="EU"/>
    <s v="03"/>
    <s v="11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499"/>
    <n v="-1000011233"/>
    <s v=""/>
    <s v=""/>
    <s v="42"/>
    <x v="2"/>
    <s v="EU"/>
    <s v="12"/>
    <s v="2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40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649"/>
    <n v="-1000011233"/>
    <s v=""/>
    <s v=""/>
    <s v="41"/>
    <x v="1"/>
    <s v="EU"/>
    <s v="03"/>
    <s v="2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24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2907"/>
    <n v="-1000011225"/>
    <s v=""/>
    <s v=""/>
    <s v="31"/>
    <x v="7"/>
    <s v="EU"/>
    <s v="02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331"/>
    <n v="-1000011229"/>
    <s v=""/>
    <s v=""/>
    <s v="31"/>
    <x v="7"/>
    <s v="EU"/>
    <s v="0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n v="-100379314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29"/>
  </r>
  <r>
    <n v="-1003793485"/>
    <n v="-1000011233"/>
    <s v=""/>
    <s v=""/>
    <s v="42"/>
    <x v="2"/>
    <s v="EU"/>
    <s v="12"/>
    <s v="1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3363"/>
    <n v="-1000011229"/>
    <s v=""/>
    <s v=""/>
    <s v="52"/>
    <x v="0"/>
    <s v="EU"/>
    <s v="13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2851"/>
    <n v="-1000011225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939"/>
    <n v="-1000011225"/>
    <s v=""/>
    <s v=""/>
    <s v="42"/>
    <x v="2"/>
    <s v="EU"/>
    <s v="12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316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265"/>
    <n v="-1000011229"/>
    <s v=""/>
    <s v=""/>
    <s v="31"/>
    <x v="7"/>
    <s v="EU"/>
    <s v="0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6122869"/>
    <n v="795601983"/>
    <s v=""/>
    <s v=""/>
    <s v="42"/>
    <x v="2"/>
    <s v="EU"/>
    <s v="12"/>
    <s v="7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6122839"/>
    <n v="795601983"/>
    <s v=""/>
    <s v=""/>
    <s v="42"/>
    <x v="2"/>
    <s v="EU"/>
    <s v="12"/>
    <s v="2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2903"/>
    <n v="-1000011225"/>
    <s v=""/>
    <s v=""/>
    <s v="42"/>
    <x v="2"/>
    <s v="EU"/>
    <s v="12"/>
    <s v="18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231"/>
    <n v="-1000011229"/>
    <s v=""/>
    <s v=""/>
    <s v="31"/>
    <x v="7"/>
    <s v="EU"/>
    <s v="0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2913"/>
    <n v="-1000011225"/>
    <s v=""/>
    <s v=""/>
    <s v="41"/>
    <x v="1"/>
    <s v="EU"/>
    <s v="03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2917"/>
    <n v="-1000011225"/>
    <s v=""/>
    <s v=""/>
    <s v="31"/>
    <x v="7"/>
    <s v="EU"/>
    <s v="02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-100379339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2603"/>
    <n v="-1000011217"/>
    <s v=""/>
    <s v=""/>
    <s v="41"/>
    <x v="1"/>
    <s v="EU"/>
    <s v="03"/>
    <s v="8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395"/>
    <n v="-1000011229"/>
    <s v=""/>
    <s v="W"/>
    <s v=""/>
    <x v="6"/>
    <s v=""/>
    <s v="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415"/>
    <n v="-1000011229"/>
    <s v=""/>
    <s v=""/>
    <s v="42"/>
    <x v="2"/>
    <s v="EU"/>
    <s v="1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537"/>
    <n v="-1000011233"/>
    <s v=""/>
    <s v=""/>
    <s v="31"/>
    <x v="7"/>
    <s v="EU"/>
    <s v="02"/>
    <s v="1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77"/>
    <n v="-1000011233"/>
    <s v=""/>
    <s v=""/>
    <s v="41"/>
    <x v="1"/>
    <s v="EU"/>
    <s v="03"/>
    <s v="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867"/>
    <n v="-1000011225"/>
    <s v=""/>
    <s v=""/>
    <s v="42"/>
    <x v="2"/>
    <s v="EU"/>
    <s v="12"/>
    <s v="2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977"/>
    <n v="-1000011225"/>
    <s v=""/>
    <s v=""/>
    <s v="42"/>
    <x v="2"/>
    <s v="EU"/>
    <s v="12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215"/>
    <n v="-1000011229"/>
    <s v=""/>
    <s v=""/>
    <s v="42"/>
    <x v="2"/>
    <s v="EU"/>
    <s v="1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6122938"/>
    <n v="795601983"/>
    <s v=""/>
    <s v="UF"/>
    <s v="3M"/>
    <x v="5"/>
    <s v="MY"/>
    <s v="3"/>
    <s v="17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233"/>
    <n v="-1000011229"/>
    <s v=""/>
    <s v="UD"/>
    <s v=""/>
    <x v="6"/>
    <s v=""/>
    <s v="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315"/>
    <n v="-1000011229"/>
    <s v=""/>
    <s v=""/>
    <s v="41"/>
    <x v="1"/>
    <s v="EU"/>
    <s v="03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3793483"/>
    <n v="-1000011233"/>
    <s v=""/>
    <s v=""/>
    <s v="42"/>
    <x v="2"/>
    <s v="EU"/>
    <s v="12"/>
    <s v="1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2871"/>
    <n v="-1000011225"/>
    <s v=""/>
    <s v=""/>
    <s v="52"/>
    <x v="0"/>
    <s v="EU"/>
    <s v="13"/>
    <s v="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n v="6122932"/>
    <n v="795601983"/>
    <s v=""/>
    <s v="UD"/>
    <s v=""/>
    <x v="6"/>
    <s v="EU"/>
    <s v=""/>
    <s v="1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225"/>
    <n v="-1000011229"/>
    <s v=""/>
    <s v=""/>
    <s v="42"/>
    <x v="2"/>
    <s v="EU"/>
    <s v="1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6122884"/>
    <n v="795601983"/>
    <s v=""/>
    <s v=""/>
    <s v="41"/>
    <x v="1"/>
    <s v="EU"/>
    <s v="03"/>
    <s v="1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-1003793081"/>
    <n v="-1000011225"/>
    <s v=""/>
    <s v=""/>
    <s v="2M"/>
    <x v="3"/>
    <s v="MY"/>
    <s v="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623"/>
    <n v="-1000011233"/>
    <s v=""/>
    <s v=""/>
    <s v="31"/>
    <x v="7"/>
    <s v="EU"/>
    <s v="02"/>
    <s v="7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429"/>
    <n v="-1000011229"/>
    <s v=""/>
    <s v=""/>
    <s v="31"/>
    <x v="7"/>
    <s v="EU"/>
    <s v="0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549"/>
    <n v="-1000011233"/>
    <s v=""/>
    <s v=""/>
    <s v="52"/>
    <x v="0"/>
    <s v="EU"/>
    <s v="13"/>
    <s v="20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2837"/>
    <n v="-1000011225"/>
    <s v=""/>
    <s v=""/>
    <s v="2M"/>
    <x v="3"/>
    <s v="MY"/>
    <s v="2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989"/>
    <n v="-1000011225"/>
    <s v=""/>
    <s v=""/>
    <s v="42"/>
    <x v="2"/>
    <s v="EU"/>
    <s v="12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2995"/>
    <n v="-1000011225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6122968"/>
    <n v="795601983"/>
    <s v=""/>
    <s v=""/>
    <s v="42"/>
    <x v="2"/>
    <s v="EU"/>
    <s v="12"/>
    <s v="8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6122881"/>
    <n v="795601983"/>
    <s v=""/>
    <s v=""/>
    <s v="42"/>
    <x v="2"/>
    <s v="EU"/>
    <s v="12"/>
    <s v="1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-1003792561"/>
    <n v="-1000011217"/>
    <s v=""/>
    <s v=""/>
    <s v="42"/>
    <x v="2"/>
    <s v="EU"/>
    <s v="12"/>
    <s v="12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2545"/>
    <n v="-1000011217"/>
    <s v=""/>
    <s v=""/>
    <s v="41"/>
    <x v="1"/>
    <s v="EU"/>
    <s v="03"/>
    <s v="4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157"/>
    <n v="-1000011229"/>
    <s v=""/>
    <s v=""/>
    <s v="42"/>
    <x v="2"/>
    <s v="EU"/>
    <s v="1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30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2769"/>
    <n v="-1000011225"/>
    <s v=""/>
    <s v=""/>
    <s v="41"/>
    <x v="1"/>
    <s v="EU"/>
    <s v="03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2625"/>
    <n v="-1000011217"/>
    <s v=""/>
    <s v=""/>
    <s v="41"/>
    <x v="1"/>
    <s v="EU"/>
    <s v="03"/>
    <s v="19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405"/>
    <n v="-1000011229"/>
    <s v=""/>
    <s v=""/>
    <s v="42"/>
    <x v="2"/>
    <s v="EU"/>
    <s v="12"/>
    <s v="8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2839"/>
    <n v="-1000011225"/>
    <s v=""/>
    <s v=""/>
    <s v="31"/>
    <x v="7"/>
    <s v="EU"/>
    <s v="02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527"/>
    <n v="-1000011233"/>
    <s v=""/>
    <s v=""/>
    <s v="42"/>
    <x v="2"/>
    <s v="EU"/>
    <s v="12"/>
    <s v="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81"/>
    <n v="-1000011233"/>
    <s v=""/>
    <s v=""/>
    <s v="52"/>
    <x v="0"/>
    <s v="EU"/>
    <s v="13"/>
    <s v="1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999"/>
    <n v="-1000011225"/>
    <s v=""/>
    <s v=""/>
    <s v="42"/>
    <x v="2"/>
    <s v="EU"/>
    <s v="12"/>
    <s v="16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237"/>
    <n v="-1000011229"/>
    <s v=""/>
    <s v="UD"/>
    <s v=""/>
    <x v="6"/>
    <s v=""/>
    <s v="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-1003793705"/>
    <n v="-1000011233"/>
    <s v=""/>
    <s v=""/>
    <s v="52"/>
    <x v="0"/>
    <s v="EU"/>
    <s v="13"/>
    <s v="23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47"/>
    <n v="-1000011233"/>
    <s v=""/>
    <s v=""/>
    <s v="42"/>
    <x v="2"/>
    <s v="EU"/>
    <s v="12"/>
    <s v="1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534695"/>
    <n v="-1000007893"/>
    <s v=""/>
    <s v="RG"/>
    <s v=""/>
    <x v="6"/>
    <s v=""/>
    <s v=""/>
    <s v="1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85"/>
    <n v="-1000007893"/>
    <s v=""/>
    <s v=""/>
    <s v="31"/>
    <x v="7"/>
    <s v="EU"/>
    <s v="02"/>
    <s v="1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97"/>
    <n v="-1000007893"/>
    <s v=""/>
    <s v="W"/>
    <s v=""/>
    <x v="6"/>
    <s v=""/>
    <s v=""/>
    <s v="1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99"/>
    <n v="-1000007893"/>
    <s v=""/>
    <s v=""/>
    <s v="52"/>
    <x v="0"/>
    <s v="EU"/>
    <s v="13"/>
    <s v="2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701"/>
    <n v="-1000007893"/>
    <s v=""/>
    <s v=""/>
    <s v="31"/>
    <x v="7"/>
    <s v="EU"/>
    <s v="02"/>
    <s v="2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717"/>
    <n v="-1000007893"/>
    <s v=""/>
    <s v="NA"/>
    <s v=""/>
    <x v="6"/>
    <s v=""/>
    <s v=""/>
    <s v="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793023"/>
    <n v="-1000011225"/>
    <s v=""/>
    <s v=""/>
    <s v="31"/>
    <x v="7"/>
    <s v="EU"/>
    <s v="02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6122908"/>
    <n v="795601983"/>
    <s v=""/>
    <s v=""/>
    <s v="42"/>
    <x v="2"/>
    <s v="EU"/>
    <s v="12"/>
    <s v="7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657"/>
    <n v="-1000011233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355"/>
    <n v="-1000011229"/>
    <s v=""/>
    <s v=""/>
    <s v="31"/>
    <x v="7"/>
    <s v="EU"/>
    <s v="02"/>
    <s v="3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3421"/>
    <n v="-1000011229"/>
    <s v=""/>
    <s v=""/>
    <s v="31"/>
    <x v="7"/>
    <s v="EU"/>
    <s v="02"/>
    <s v="6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3043"/>
    <n v="-1000011225"/>
    <s v=""/>
    <s v=""/>
    <s v="41"/>
    <x v="1"/>
    <s v="EU"/>
    <s v="03"/>
    <s v="1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3097"/>
    <n v="-1000011225"/>
    <s v=""/>
    <s v=""/>
    <s v="42"/>
    <x v="2"/>
    <s v="EU"/>
    <s v="12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793101"/>
    <n v="-1000011225"/>
    <s v=""/>
    <s v="RG"/>
    <s v=""/>
    <x v="6"/>
    <s v=""/>
    <s v=""/>
    <s v="1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-1003534723"/>
    <n v="-1000007893"/>
    <s v=""/>
    <s v=""/>
    <s v="31"/>
    <x v="7"/>
    <s v="EU"/>
    <s v="02"/>
    <s v="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793621"/>
    <n v="-1000011233"/>
    <s v=""/>
    <s v=""/>
    <s v="42"/>
    <x v="2"/>
    <s v="EU"/>
    <s v="12"/>
    <s v="6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534735"/>
    <n v="-1000007893"/>
    <s v=""/>
    <s v=""/>
    <s v="42"/>
    <x v="2"/>
    <s v="EU"/>
    <s v="12"/>
    <s v="1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37"/>
    <n v="-1000007893"/>
    <s v=""/>
    <s v="RG"/>
    <s v=""/>
    <x v="6"/>
    <s v=""/>
    <s v=""/>
    <s v="1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39"/>
    <n v="-1000007893"/>
    <s v=""/>
    <s v=""/>
    <s v="31"/>
    <x v="7"/>
    <s v="EU"/>
    <s v="02"/>
    <s v="1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41"/>
    <n v="-1000007893"/>
    <s v=""/>
    <s v="RG"/>
    <s v=""/>
    <x v="6"/>
    <s v=""/>
    <s v=""/>
    <s v="1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51"/>
    <n v="-1000007893"/>
    <s v=""/>
    <s v="W"/>
    <s v=""/>
    <x v="6"/>
    <s v=""/>
    <s v=""/>
    <s v="2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53"/>
    <n v="-1000007893"/>
    <s v=""/>
    <s v="NP"/>
    <s v=""/>
    <x v="6"/>
    <s v=""/>
    <s v=""/>
    <s v="2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63"/>
    <n v="-1000007893"/>
    <s v=""/>
    <s v=""/>
    <s v="31"/>
    <x v="7"/>
    <s v="EU"/>
    <s v="02"/>
    <s v="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777"/>
    <n v="-1000007893"/>
    <s v=""/>
    <s v=""/>
    <s v="42"/>
    <x v="2"/>
    <s v="EU"/>
    <s v="12"/>
    <s v="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785"/>
    <n v="-1000007893"/>
    <s v=""/>
    <s v=""/>
    <s v="42"/>
    <x v="2"/>
    <s v="EU"/>
    <s v="12"/>
    <s v="1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03"/>
    <n v="-1000007893"/>
    <s v=""/>
    <s v=""/>
    <s v="31"/>
    <x v="7"/>
    <s v="EU"/>
    <s v="02"/>
    <s v="2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07"/>
    <n v="-1000007893"/>
    <s v=""/>
    <s v="MF"/>
    <s v=""/>
    <x v="6"/>
    <s v=""/>
    <s v=""/>
    <s v="2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13"/>
    <n v="-1000007893"/>
    <s v=""/>
    <s v=""/>
    <s v="41"/>
    <x v="1"/>
    <s v="EU"/>
    <s v="03"/>
    <s v="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17"/>
    <n v="-1000007893"/>
    <s v=""/>
    <s v=""/>
    <s v="31"/>
    <x v="7"/>
    <s v="EU"/>
    <s v="02"/>
    <s v="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23"/>
    <n v="-1000007893"/>
    <s v=""/>
    <s v=""/>
    <s v="42"/>
    <x v="2"/>
    <s v="EU"/>
    <s v="12"/>
    <s v="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41"/>
    <n v="-1000007893"/>
    <s v=""/>
    <s v=""/>
    <s v="31"/>
    <x v="7"/>
    <s v="EU"/>
    <s v="02"/>
    <s v="1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43"/>
    <n v="-1000007893"/>
    <s v=""/>
    <s v="RG"/>
    <s v=""/>
    <x v="6"/>
    <s v=""/>
    <s v=""/>
    <s v="1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49"/>
    <n v="-1000007893"/>
    <s v=""/>
    <s v=""/>
    <s v="42"/>
    <x v="2"/>
    <s v="EU"/>
    <s v="12"/>
    <s v="2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53"/>
    <n v="-1000007893"/>
    <s v=""/>
    <s v=""/>
    <s v="31"/>
    <x v="7"/>
    <s v="EU"/>
    <s v="02"/>
    <s v="2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57"/>
    <n v="-1000007893"/>
    <s v=""/>
    <s v=""/>
    <s v="41"/>
    <x v="1"/>
    <s v="EU"/>
    <s v="03"/>
    <s v="2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59"/>
    <n v="-1000007893"/>
    <s v=""/>
    <s v=""/>
    <s v="31"/>
    <x v="7"/>
    <s v="EU"/>
    <s v="02"/>
    <s v="2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63"/>
    <n v="-1000007893"/>
    <s v=""/>
    <s v=""/>
    <s v="41"/>
    <x v="1"/>
    <s v="EU"/>
    <s v="03"/>
    <s v="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865"/>
    <n v="-1000007893"/>
    <s v=""/>
    <s v=""/>
    <s v="42"/>
    <x v="2"/>
    <s v="EU"/>
    <s v="12"/>
    <s v="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871"/>
    <n v="-1000007893"/>
    <s v=""/>
    <s v=""/>
    <s v="41"/>
    <x v="1"/>
    <s v="EU"/>
    <s v="03"/>
    <s v="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889"/>
    <n v="-1000007893"/>
    <s v=""/>
    <s v=""/>
    <s v="41"/>
    <x v="1"/>
    <s v="EU"/>
    <s v="03"/>
    <s v="1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897"/>
    <n v="-1000007893"/>
    <s v=""/>
    <s v=""/>
    <s v="52"/>
    <x v="0"/>
    <s v="EU"/>
    <s v="13"/>
    <s v="1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899"/>
    <n v="-1000007893"/>
    <s v=""/>
    <s v=""/>
    <s v="52"/>
    <x v="0"/>
    <s v="EU"/>
    <s v="13"/>
    <s v="2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521"/>
    <n v="-1000007891"/>
    <s v=""/>
    <s v=""/>
    <s v="52"/>
    <x v="0"/>
    <s v="EU"/>
    <s v="13"/>
    <s v="6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533"/>
    <n v="-1000007891"/>
    <s v=""/>
    <s v=""/>
    <s v="42"/>
    <x v="2"/>
    <s v="EU"/>
    <s v="12"/>
    <s v="12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792773"/>
    <n v="-1000011225"/>
    <s v=""/>
    <s v=""/>
    <s v="31"/>
    <x v="7"/>
    <s v="EU"/>
    <s v="02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563"/>
    <n v="-1000011233"/>
    <s v=""/>
    <s v=""/>
    <s v="41"/>
    <x v="1"/>
    <s v="EU"/>
    <s v="03"/>
    <s v="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169"/>
    <n v="-1000011229"/>
    <s v=""/>
    <s v=""/>
    <s v="42"/>
    <x v="2"/>
    <s v="EU"/>
    <s v="12"/>
    <s v="10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n v="-1003793005"/>
    <n v="-1000011225"/>
    <s v=""/>
    <s v=""/>
    <s v="41"/>
    <x v="1"/>
    <s v="EU"/>
    <s v="03"/>
    <s v="1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4097791"/>
    <n v="-1000013311"/>
    <s v=""/>
    <s v=""/>
    <s v="41"/>
    <x v="1"/>
    <s v="EU"/>
    <s v="03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3793317"/>
    <n v="-1000011229"/>
    <s v=""/>
    <s v=""/>
    <s v="42"/>
    <x v="2"/>
    <s v="EU"/>
    <s v="12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n v="-1004097793"/>
    <n v="-1000013311"/>
    <s v=""/>
    <s v="RG"/>
    <s v=""/>
    <x v="6"/>
    <s v=""/>
    <s v="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17"/>
    <n v="-1000013311"/>
    <s v=""/>
    <s v=""/>
    <s v="42"/>
    <x v="2"/>
    <s v="EU"/>
    <s v="1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3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35"/>
    <n v="-1000013311"/>
    <s v=""/>
    <s v=""/>
    <s v="42"/>
    <x v="2"/>
    <s v="EU"/>
    <s v="1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37"/>
    <n v="-1000013311"/>
    <s v=""/>
    <s v="RG"/>
    <s v=""/>
    <x v="6"/>
    <s v=""/>
    <s v="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39"/>
    <n v="-1000013311"/>
    <s v=""/>
    <s v=""/>
    <s v="42"/>
    <x v="2"/>
    <s v="EU"/>
    <s v="1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41"/>
    <n v="-1000013311"/>
    <s v=""/>
    <s v=""/>
    <s v="42"/>
    <x v="2"/>
    <s v="EU"/>
    <s v="12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51"/>
    <n v="-1000013311"/>
    <s v=""/>
    <s v=""/>
    <s v="2M"/>
    <x v="3"/>
    <s v="MY"/>
    <s v="2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5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65"/>
    <n v="-1000013311"/>
    <s v=""/>
    <s v=""/>
    <s v="41"/>
    <x v="1"/>
    <s v="EU"/>
    <s v="03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67"/>
    <n v="-1000013311"/>
    <s v=""/>
    <s v=""/>
    <s v="2M"/>
    <x v="3"/>
    <s v="MY"/>
    <s v="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69"/>
    <n v="-1000013311"/>
    <s v=""/>
    <s v=""/>
    <s v="42"/>
    <x v="2"/>
    <s v="EU"/>
    <s v="1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71"/>
    <n v="-1000013311"/>
    <s v=""/>
    <s v=""/>
    <s v="42"/>
    <x v="2"/>
    <s v="EU"/>
    <s v="1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513"/>
    <n v="-1000013311"/>
    <s v=""/>
    <s v=""/>
    <s v="42"/>
    <x v="2"/>
    <s v="EU"/>
    <s v="12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52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521"/>
    <n v="-1000013311"/>
    <s v=""/>
    <s v=""/>
    <s v="42"/>
    <x v="2"/>
    <s v="EU"/>
    <s v="1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525"/>
    <n v="-1000013311"/>
    <s v=""/>
    <s v=""/>
    <s v="53"/>
    <x v="4"/>
    <s v="EU"/>
    <s v="22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53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547"/>
    <n v="-1000013311"/>
    <s v=""/>
    <s v=""/>
    <s v="42"/>
    <x v="2"/>
    <s v="EU"/>
    <s v="12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549"/>
    <n v="-1000013311"/>
    <s v=""/>
    <s v=""/>
    <s v="42"/>
    <x v="2"/>
    <s v="EU"/>
    <s v="12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557"/>
    <n v="-1000013311"/>
    <s v=""/>
    <s v=""/>
    <s v="42"/>
    <x v="2"/>
    <s v="EU"/>
    <s v="1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569"/>
    <n v="-1000013311"/>
    <s v=""/>
    <s v=""/>
    <s v="42"/>
    <x v="2"/>
    <s v="EU"/>
    <s v="1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57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58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591"/>
    <n v="-1000013311"/>
    <s v=""/>
    <s v=""/>
    <s v="42"/>
    <x v="2"/>
    <s v="EU"/>
    <s v="12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593"/>
    <n v="-1000013311"/>
    <s v=""/>
    <s v=""/>
    <s v="42"/>
    <x v="2"/>
    <s v="EU"/>
    <s v="12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595"/>
    <n v="-1000013311"/>
    <s v=""/>
    <s v=""/>
    <s v="42"/>
    <x v="2"/>
    <s v="EU"/>
    <s v="1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597"/>
    <n v="-1000013311"/>
    <s v=""/>
    <s v="RG"/>
    <s v=""/>
    <x v="6"/>
    <s v=""/>
    <s v="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599"/>
    <n v="-1000013311"/>
    <s v=""/>
    <s v=""/>
    <s v="S2"/>
    <x v="15"/>
    <s v="FW"/>
    <s v="1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0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11"/>
    <n v="-1000013311"/>
    <s v=""/>
    <s v=""/>
    <s v="42"/>
    <x v="2"/>
    <s v="EU"/>
    <s v="1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13"/>
    <n v="-1000013311"/>
    <s v=""/>
    <s v=""/>
    <s v="42"/>
    <x v="2"/>
    <s v="EU"/>
    <s v="12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19"/>
    <n v="-1000013311"/>
    <s v=""/>
    <s v=""/>
    <s v="42"/>
    <x v="2"/>
    <s v="EU"/>
    <s v="1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2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25"/>
    <n v="-1000013311"/>
    <s v=""/>
    <s v=""/>
    <s v="2M"/>
    <x v="3"/>
    <s v="MY"/>
    <s v="2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2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31"/>
    <n v="-1000013311"/>
    <s v=""/>
    <s v=""/>
    <s v="42"/>
    <x v="2"/>
    <s v="EU"/>
    <s v="12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39"/>
    <n v="-1000013311"/>
    <s v=""/>
    <s v=""/>
    <s v="53"/>
    <x v="4"/>
    <s v="EU"/>
    <s v="2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49"/>
    <n v="-1000013311"/>
    <s v=""/>
    <s v=""/>
    <s v="53"/>
    <x v="4"/>
    <s v="EU"/>
    <s v="22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47"/>
    <n v="-1000013311"/>
    <s v=""/>
    <s v=""/>
    <s v="42"/>
    <x v="2"/>
    <s v="EU"/>
    <s v="12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51"/>
    <n v="-1000013311"/>
    <s v=""/>
    <s v=""/>
    <s v="53"/>
    <x v="4"/>
    <s v="EU"/>
    <s v="22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71"/>
    <n v="-1000013311"/>
    <s v=""/>
    <s v=""/>
    <s v="2M"/>
    <x v="3"/>
    <s v="MY"/>
    <s v="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83"/>
    <n v="-1000013311"/>
    <s v=""/>
    <s v="RG"/>
    <s v=""/>
    <x v="6"/>
    <s v=""/>
    <s v="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89"/>
    <n v="-1000013311"/>
    <s v=""/>
    <s v=""/>
    <s v="42"/>
    <x v="2"/>
    <s v="EU"/>
    <s v="1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697"/>
    <n v="-1000013311"/>
    <s v=""/>
    <s v=""/>
    <s v="42"/>
    <x v="2"/>
    <s v="EU"/>
    <s v="12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03"/>
    <n v="-1000013311"/>
    <s v=""/>
    <s v=""/>
    <s v="42"/>
    <x v="2"/>
    <s v="EU"/>
    <s v="12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15"/>
    <n v="-1000013311"/>
    <s v=""/>
    <s v=""/>
    <s v="31"/>
    <x v="7"/>
    <s v="EU"/>
    <s v="02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19"/>
    <n v="-1000013311"/>
    <s v=""/>
    <s v=""/>
    <s v="53"/>
    <x v="4"/>
    <s v="EU"/>
    <s v="2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25"/>
    <n v="-1000013311"/>
    <s v=""/>
    <s v=""/>
    <s v="2M"/>
    <x v="3"/>
    <s v="MY"/>
    <s v="2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3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39"/>
    <n v="-1000013311"/>
    <s v=""/>
    <s v=""/>
    <s v="2M"/>
    <x v="3"/>
    <s v="MY"/>
    <s v="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43"/>
    <n v="-1000013311"/>
    <s v=""/>
    <s v=""/>
    <s v="41"/>
    <x v="1"/>
    <s v="EU"/>
    <s v="03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45"/>
    <n v="-1000013311"/>
    <s v=""/>
    <s v=""/>
    <s v="42"/>
    <x v="2"/>
    <s v="EU"/>
    <s v="1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53"/>
    <n v="-1000013311"/>
    <s v=""/>
    <s v=""/>
    <s v="2M"/>
    <x v="3"/>
    <s v="MY"/>
    <s v="2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57"/>
    <n v="-1000013311"/>
    <s v=""/>
    <s v=""/>
    <s v="2M"/>
    <x v="3"/>
    <s v="MY"/>
    <s v="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67"/>
    <n v="-1000013311"/>
    <s v=""/>
    <s v="W"/>
    <s v=""/>
    <x v="6"/>
    <s v=""/>
    <s v="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3534565"/>
    <n v="-1000007891"/>
    <s v=""/>
    <s v=""/>
    <s v="42"/>
    <x v="2"/>
    <s v="EU"/>
    <s v="12"/>
    <s v="3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51"/>
    <n v="-1000007891"/>
    <s v=""/>
    <s v=""/>
    <s v="42"/>
    <x v="2"/>
    <s v="EU"/>
    <s v="12"/>
    <s v="21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567"/>
    <n v="-1000007891"/>
    <s v=""/>
    <s v=""/>
    <s v="52"/>
    <x v="0"/>
    <s v="EU"/>
    <s v="13"/>
    <s v="4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75"/>
    <n v="-1000007891"/>
    <s v=""/>
    <s v=""/>
    <s v="52"/>
    <x v="0"/>
    <s v="EU"/>
    <s v="13"/>
    <s v="8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79"/>
    <n v="-1000007891"/>
    <s v=""/>
    <s v=""/>
    <s v="53"/>
    <x v="4"/>
    <s v="EU"/>
    <s v="22"/>
    <s v="10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91"/>
    <n v="-1000007891"/>
    <s v=""/>
    <s v=""/>
    <s v="42"/>
    <x v="2"/>
    <s v="EU"/>
    <s v="12"/>
    <s v="16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99"/>
    <n v="-1000007891"/>
    <s v=""/>
    <s v=""/>
    <s v="42"/>
    <x v="2"/>
    <s v="EU"/>
    <s v="12"/>
    <s v="20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601"/>
    <n v="-1000007891"/>
    <s v=""/>
    <s v=""/>
    <s v="42"/>
    <x v="2"/>
    <s v="EU"/>
    <s v="12"/>
    <s v="21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603"/>
    <n v="-1000007891"/>
    <s v=""/>
    <s v=""/>
    <s v="53"/>
    <x v="4"/>
    <s v="EU"/>
    <s v="22"/>
    <s v="22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605"/>
    <n v="-1000007891"/>
    <s v=""/>
    <s v="RG"/>
    <s v=""/>
    <x v="6"/>
    <s v=""/>
    <s v=""/>
    <s v="23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611"/>
    <n v="-1000007893"/>
    <s v=""/>
    <s v=""/>
    <s v="32"/>
    <x v="11"/>
    <s v="EU"/>
    <s v="11"/>
    <s v="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13"/>
    <n v="-1000007893"/>
    <s v=""/>
    <s v=""/>
    <s v="42"/>
    <x v="2"/>
    <s v="EU"/>
    <s v="12"/>
    <s v="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27"/>
    <n v="-1000007893"/>
    <s v=""/>
    <s v="RG"/>
    <s v=""/>
    <x v="6"/>
    <s v=""/>
    <s v=""/>
    <s v="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31"/>
    <n v="-1000007893"/>
    <s v=""/>
    <s v=""/>
    <s v="42"/>
    <x v="2"/>
    <s v="EU"/>
    <s v="12"/>
    <s v="1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41"/>
    <n v="-1000007893"/>
    <s v=""/>
    <s v="RG"/>
    <s v=""/>
    <x v="6"/>
    <s v=""/>
    <s v=""/>
    <s v="1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43"/>
    <n v="-1000007893"/>
    <s v=""/>
    <s v=""/>
    <s v="41"/>
    <x v="1"/>
    <s v="EU"/>
    <s v="03"/>
    <s v="1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55"/>
    <n v="-1000007893"/>
    <s v=""/>
    <s v=""/>
    <s v="42"/>
    <x v="2"/>
    <s v="EU"/>
    <s v="12"/>
    <s v="2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61"/>
    <n v="-1000007893"/>
    <s v=""/>
    <s v="W"/>
    <s v=""/>
    <x v="6"/>
    <s v=""/>
    <s v=""/>
    <s v="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67"/>
    <n v="-1000007893"/>
    <s v=""/>
    <s v="RG"/>
    <s v=""/>
    <x v="6"/>
    <s v=""/>
    <s v=""/>
    <s v="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71"/>
    <n v="-1000007893"/>
    <s v=""/>
    <s v=""/>
    <s v="42"/>
    <x v="2"/>
    <s v="EU"/>
    <s v="12"/>
    <s v="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77"/>
    <n v="-1000007893"/>
    <s v=""/>
    <s v="RG"/>
    <s v=""/>
    <x v="6"/>
    <s v=""/>
    <s v=""/>
    <s v="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681"/>
    <n v="-1000007893"/>
    <s v=""/>
    <s v=""/>
    <s v="41"/>
    <x v="1"/>
    <s v="EU"/>
    <s v="03"/>
    <s v="1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4097489"/>
    <n v="-1000013311"/>
    <s v=""/>
    <s v=""/>
    <s v="2M"/>
    <x v="3"/>
    <s v="MY"/>
    <s v="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495"/>
    <n v="-1000013311"/>
    <s v=""/>
    <s v=""/>
    <s v="42"/>
    <x v="2"/>
    <s v="EU"/>
    <s v="1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792819"/>
    <n v="-1000011225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2785"/>
    <n v="-1000011225"/>
    <s v=""/>
    <s v=""/>
    <s v="42"/>
    <x v="2"/>
    <s v="EU"/>
    <s v="12"/>
    <s v="9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611"/>
    <n v="-1000011233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627"/>
    <n v="-1000011233"/>
    <s v=""/>
    <s v=""/>
    <s v="52"/>
    <x v="0"/>
    <s v="EU"/>
    <s v="13"/>
    <s v="9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575"/>
    <n v="-1000011233"/>
    <s v=""/>
    <s v=""/>
    <s v="42"/>
    <x v="2"/>
    <s v="EU"/>
    <s v="12"/>
    <s v="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2575"/>
    <n v="-1000011217"/>
    <s v=""/>
    <s v=""/>
    <s v="3M"/>
    <x v="5"/>
    <s v="MY"/>
    <s v="3"/>
    <s v="19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35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n v="-1003792945"/>
    <n v="-1000011225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973"/>
    <n v="-1000011225"/>
    <s v=""/>
    <s v=""/>
    <s v="42"/>
    <x v="2"/>
    <s v="EU"/>
    <s v="12"/>
    <s v="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6122914"/>
    <n v="795601983"/>
    <s v="0"/>
    <s v=""/>
    <s v="41"/>
    <x v="1"/>
    <s v="EU"/>
    <s v="03"/>
    <s v="9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6122809"/>
    <n v="795601983"/>
    <s v=""/>
    <s v=""/>
    <s v="42"/>
    <x v="2"/>
    <s v="EU"/>
    <s v="12"/>
    <s v="12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6122863"/>
    <n v="795601983"/>
    <s v=""/>
    <s v=""/>
    <s v="42"/>
    <x v="2"/>
    <s v="EU"/>
    <s v="12"/>
    <s v="5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-1003793667"/>
    <n v="-1000011233"/>
    <s v=""/>
    <s v=""/>
    <s v="2M"/>
    <x v="3"/>
    <s v="MY"/>
    <s v="2"/>
    <s v="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6122872"/>
    <n v="795601983"/>
    <s v=""/>
    <s v=""/>
    <s v="53"/>
    <x v="4"/>
    <s v="EU"/>
    <s v="22"/>
    <s v="8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n v="-1003793433"/>
    <n v="-1000011229"/>
    <s v=""/>
    <s v=""/>
    <s v="42"/>
    <x v="2"/>
    <s v="EU"/>
    <s v="1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n v="-1003793551"/>
    <n v="-1000011233"/>
    <s v=""/>
    <s v=""/>
    <s v="41"/>
    <x v="1"/>
    <s v="EU"/>
    <s v="03"/>
    <s v="21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063"/>
    <n v="-1000011225"/>
    <s v=""/>
    <s v=""/>
    <s v="3M"/>
    <x v="5"/>
    <s v="MY"/>
    <s v="3"/>
    <s v="23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2613"/>
    <n v="-1000011217"/>
    <s v=""/>
    <s v=""/>
    <s v="31"/>
    <x v="7"/>
    <s v="EU"/>
    <s v="02"/>
    <s v="13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3603"/>
    <n v="-1000011233"/>
    <s v=""/>
    <s v=""/>
    <s v="42"/>
    <x v="2"/>
    <s v="EU"/>
    <s v="12"/>
    <s v="2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n v="-1003793539"/>
    <n v="-1000011233"/>
    <s v=""/>
    <s v=""/>
    <s v="42"/>
    <x v="2"/>
    <s v="EU"/>
    <s v="12"/>
    <s v="1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545"/>
    <n v="-1000011233"/>
    <s v=""/>
    <s v=""/>
    <s v="42"/>
    <x v="2"/>
    <s v="EU"/>
    <s v="12"/>
    <s v="1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n v="-1003793007"/>
    <n v="-1000011225"/>
    <s v=""/>
    <s v=""/>
    <s v="41"/>
    <x v="1"/>
    <s v="EU"/>
    <s v="03"/>
    <s v="2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2981"/>
    <n v="-1000011225"/>
    <s v=""/>
    <s v=""/>
    <s v="42"/>
    <x v="2"/>
    <s v="EU"/>
    <s v="12"/>
    <s v="7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223"/>
    <n v="-1000011229"/>
    <s v=""/>
    <s v=""/>
    <s v="32"/>
    <x v="11"/>
    <s v="EU"/>
    <s v="11"/>
    <s v="7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n v="-1003793307"/>
    <n v="-1000011229"/>
    <s v=""/>
    <s v=""/>
    <s v="52"/>
    <x v="0"/>
    <s v="EU"/>
    <s v="13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n v="-1003793207"/>
    <n v="-1000011229"/>
    <s v=""/>
    <s v=""/>
    <s v="42"/>
    <x v="2"/>
    <s v="EU"/>
    <s v="12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n v="-1003793045"/>
    <n v="-1000011225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6122899"/>
    <n v="795601983"/>
    <s v=""/>
    <s v="UF"/>
    <s v="3M"/>
    <x v="5"/>
    <s v="MY"/>
    <s v="3"/>
    <s v="4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n v="-1003793253"/>
    <n v="-1000011229"/>
    <s v=""/>
    <s v=""/>
    <s v="53"/>
    <x v="4"/>
    <s v="EU"/>
    <s v="22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n v="-1003793027"/>
    <n v="-1000011225"/>
    <s v=""/>
    <s v=""/>
    <s v="3M"/>
    <x v="5"/>
    <s v="MY"/>
    <s v="3"/>
    <s v="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2965"/>
    <n v="-1000011225"/>
    <s v=""/>
    <s v=""/>
    <s v="42"/>
    <x v="2"/>
    <s v="EU"/>
    <s v="12"/>
    <s v="24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n v="-1003792587"/>
    <n v="-1000011217"/>
    <s v=""/>
    <s v=""/>
    <s v="41"/>
    <x v="1"/>
    <s v="EU"/>
    <s v="03"/>
    <s v="25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413"/>
    <n v="-1000011229"/>
    <s v=""/>
    <s v=""/>
    <s v="52"/>
    <x v="0"/>
    <s v="EU"/>
    <s v="13"/>
    <s v="2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n v="-1003792551"/>
    <n v="-1000011217"/>
    <s v=""/>
    <s v=""/>
    <s v="31"/>
    <x v="7"/>
    <s v="EU"/>
    <s v="02"/>
    <s v="7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n v="-1003793703"/>
    <n v="-1000011233"/>
    <s v=""/>
    <s v=""/>
    <s v="42"/>
    <x v="2"/>
    <s v="EU"/>
    <s v="12"/>
    <s v="2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669"/>
    <n v="-1000011233"/>
    <s v=""/>
    <s v=""/>
    <s v="31"/>
    <x v="7"/>
    <s v="EU"/>
    <s v="02"/>
    <s v="5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n v="-1003793407"/>
    <n v="-1000011229"/>
    <s v=""/>
    <s v=""/>
    <s v="3M"/>
    <x v="5"/>
    <s v="MY"/>
    <s v="3"/>
    <s v="9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397"/>
    <n v="-1000011229"/>
    <s v=""/>
    <s v="W"/>
    <s v=""/>
    <x v="6"/>
    <s v=""/>
    <s v=""/>
    <s v="4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n v="-1003793495"/>
    <n v="-1000011233"/>
    <s v=""/>
    <s v=""/>
    <s v="42"/>
    <x v="2"/>
    <s v="EU"/>
    <s v="12"/>
    <s v="18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n v="-1003792841"/>
    <n v="-1000011225"/>
    <s v=""/>
    <s v=""/>
    <s v="42"/>
    <x v="2"/>
    <s v="EU"/>
    <s v="12"/>
    <s v="12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n v="-1003793037"/>
    <n v="-1000011225"/>
    <s v=""/>
    <s v=""/>
    <s v="42"/>
    <x v="2"/>
    <s v="EU"/>
    <s v="12"/>
    <s v="10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792789"/>
    <n v="-1000011225"/>
    <s v=""/>
    <s v=""/>
    <s v="41"/>
    <x v="1"/>
    <s v="EU"/>
    <s v="03"/>
    <s v="1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n v="-1003793637"/>
    <n v="-1000011233"/>
    <s v=""/>
    <s v=""/>
    <s v="42"/>
    <x v="2"/>
    <s v="EU"/>
    <s v="12"/>
    <s v="14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239"/>
    <n v="-1000011229"/>
    <s v=""/>
    <s v=""/>
    <s v="41"/>
    <x v="1"/>
    <s v="EU"/>
    <s v="03"/>
    <s v="5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n v="6122977"/>
    <n v="795601983"/>
    <s v=""/>
    <s v="RG"/>
    <s v="2M"/>
    <x v="3"/>
    <s v="MY"/>
    <s v="2"/>
    <s v="11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n v="-1003793371"/>
    <n v="-1000011229"/>
    <s v=""/>
    <s v=""/>
    <s v="42"/>
    <x v="2"/>
    <s v="EU"/>
    <s v="12"/>
    <s v="1"/>
    <s v="Scales"/>
    <n v="2126660001"/>
    <s v="5 SCALES DOWN PER FISH"/>
    <n v="-1000005623"/>
    <s v="ATNARKO ESCAPEMENT-1990"/>
    <n v="968"/>
    <s v="BELLA COOLA RIVER"/>
    <x v="16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n v="6122830"/>
    <n v="795601983"/>
    <s v=""/>
    <s v=""/>
    <s v="42"/>
    <x v="2"/>
    <s v="EU"/>
    <s v="12"/>
    <s v="19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792621"/>
    <n v="-1000011217"/>
    <s v=""/>
    <s v=""/>
    <s v="42"/>
    <x v="2"/>
    <s v="EU"/>
    <s v="12"/>
    <s v="17"/>
    <s v="Scales"/>
    <n v="2126660001"/>
    <s v="2 SCALES ACROSS PER FISH"/>
    <n v="-1000005623"/>
    <s v="ATNARKO ESCAPEMENT-1990"/>
    <n v="968"/>
    <s v="BELLA COOLA RIVER"/>
    <x v="16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n v="-1003792997"/>
    <n v="-1000011225"/>
    <s v=""/>
    <s v=""/>
    <s v="52"/>
    <x v="0"/>
    <s v="EU"/>
    <s v="13"/>
    <s v="15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n v="-1003793653"/>
    <n v="-1000011233"/>
    <s v=""/>
    <s v=""/>
    <s v="2M"/>
    <x v="3"/>
    <s v="MY"/>
    <s v="2"/>
    <s v="22"/>
    <s v="Scales"/>
    <n v="2126660001"/>
    <s v="2 SCALES ACROSS PER FISH"/>
    <n v="-1000005623"/>
    <s v="ATNARKO ESCAPEMENT-1990"/>
    <n v="968"/>
    <s v="BELLA COOLA RIVER"/>
    <x v="16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n v="-1003793109"/>
    <n v="-1000011225"/>
    <s v=""/>
    <s v="W"/>
    <s v=""/>
    <x v="6"/>
    <s v=""/>
    <s v=""/>
    <s v="2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n v="6122833"/>
    <n v="795601983"/>
    <s v=""/>
    <s v=""/>
    <s v="42"/>
    <x v="2"/>
    <s v="EU"/>
    <s v="12"/>
    <s v="20"/>
    <s v="Scales"/>
    <n v="2126660001"/>
    <s v="2 SCALES ACROSS PER FISH"/>
    <n v="5546189"/>
    <s v="BELLA COOLA FN (IN RIVER NET) - 2010"/>
    <n v="968"/>
    <s v="BELLA COOLA RIVER"/>
    <x v="4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n v="-1003534541"/>
    <n v="-1000007891"/>
    <s v=""/>
    <s v="RG"/>
    <s v=""/>
    <x v="6"/>
    <s v=""/>
    <s v=""/>
    <s v="16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793019"/>
    <n v="-1000011225"/>
    <s v=""/>
    <s v=""/>
    <s v="42"/>
    <x v="2"/>
    <s v="EU"/>
    <s v="12"/>
    <s v="1"/>
    <s v="Scales"/>
    <n v="2126660001"/>
    <s v="2 SCALES ACROSS PER FISH"/>
    <n v="-1000005623"/>
    <s v="ATNARKO ESCAPEMENT-1990"/>
    <n v="968"/>
    <s v="BELLA COOLA RIVER"/>
    <x v="16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n v="-1003534805"/>
    <n v="-1000007893"/>
    <s v=""/>
    <s v="RG"/>
    <s v=""/>
    <x v="6"/>
    <s v=""/>
    <s v=""/>
    <s v="2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545"/>
    <n v="-1000013311"/>
    <s v=""/>
    <s v=""/>
    <s v="42"/>
    <x v="2"/>
    <s v="EU"/>
    <s v="1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3534903"/>
    <n v="-1000007893"/>
    <s v=""/>
    <s v=""/>
    <s v="31"/>
    <x v="7"/>
    <s v="EU"/>
    <s v="02"/>
    <s v="2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4097721"/>
    <n v="-1000013311"/>
    <s v=""/>
    <s v=""/>
    <s v="42"/>
    <x v="2"/>
    <s v="EU"/>
    <s v="1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80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19"/>
    <n v="-1000013311"/>
    <s v=""/>
    <s v="W"/>
    <s v=""/>
    <x v="6"/>
    <s v=""/>
    <s v="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43"/>
    <n v="-1000013311"/>
    <s v=""/>
    <s v=""/>
    <s v="42"/>
    <x v="2"/>
    <s v="EU"/>
    <s v="12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699"/>
    <n v="-1000013311"/>
    <s v=""/>
    <s v=""/>
    <s v="52"/>
    <x v="0"/>
    <s v="EU"/>
    <s v="13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6926632"/>
    <n v="1621560383"/>
    <s v=""/>
    <s v=""/>
    <s v="42"/>
    <x v="2"/>
    <s v="EU"/>
    <s v="12"/>
    <s v="7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17"/>
    <n v="1621560383"/>
    <s v=""/>
    <s v=""/>
    <s v="41"/>
    <x v="1"/>
    <s v="EU"/>
    <s v="03"/>
    <s v="2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44"/>
    <n v="1621560383"/>
    <s v=""/>
    <s v=""/>
    <s v="52"/>
    <x v="0"/>
    <s v="EU"/>
    <s v="13"/>
    <s v="11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47"/>
    <n v="1621560383"/>
    <s v=""/>
    <s v=""/>
    <s v="52"/>
    <x v="0"/>
    <s v="EU"/>
    <s v="13"/>
    <s v="12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56"/>
    <n v="1621560383"/>
    <s v=""/>
    <s v=""/>
    <s v="42"/>
    <x v="2"/>
    <s v="EU"/>
    <s v="12"/>
    <s v="15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80"/>
    <n v="1621560383"/>
    <s v=""/>
    <s v=""/>
    <s v="41"/>
    <x v="1"/>
    <s v="EU"/>
    <s v="03"/>
    <s v="23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83"/>
    <n v="1621560383"/>
    <s v=""/>
    <s v=""/>
    <s v="41"/>
    <x v="1"/>
    <s v="EU"/>
    <s v="03"/>
    <s v="24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86"/>
    <n v="1621560383"/>
    <s v=""/>
    <s v=""/>
    <s v="41"/>
    <x v="1"/>
    <s v="EU"/>
    <s v="03"/>
    <s v="25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95"/>
    <n v="1621560383"/>
    <s v=""/>
    <s v=""/>
    <s v="42"/>
    <x v="2"/>
    <s v="EU"/>
    <s v="12"/>
    <s v="28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98"/>
    <n v="1621560383"/>
    <s v=""/>
    <s v=""/>
    <s v="52"/>
    <x v="0"/>
    <s v="EU"/>
    <s v="13"/>
    <s v="29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04"/>
    <n v="1621560383"/>
    <s v=""/>
    <s v=""/>
    <s v="41"/>
    <x v="1"/>
    <s v="EU"/>
    <s v="03"/>
    <s v="31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16"/>
    <n v="1621560383"/>
    <s v=""/>
    <s v=""/>
    <s v="42"/>
    <x v="2"/>
    <s v="EU"/>
    <s v="12"/>
    <s v="35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22"/>
    <n v="1621560383"/>
    <s v=""/>
    <s v=""/>
    <s v="41"/>
    <x v="1"/>
    <s v="EU"/>
    <s v="03"/>
    <s v="37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46"/>
    <n v="1621560383"/>
    <s v=""/>
    <s v=""/>
    <s v="31"/>
    <x v="7"/>
    <s v="EU"/>
    <s v="02"/>
    <s v="45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61"/>
    <n v="1621560383"/>
    <s v=""/>
    <s v=""/>
    <s v="42"/>
    <x v="2"/>
    <s v="EU"/>
    <s v="12"/>
    <s v="50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52"/>
    <n v="1621560383"/>
    <s v=""/>
    <s v=""/>
    <s v="42"/>
    <x v="2"/>
    <s v="EU"/>
    <s v="12"/>
    <s v="47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799"/>
    <n v="-1000007893"/>
    <s v=""/>
    <s v="W"/>
    <s v=""/>
    <x v="6"/>
    <s v=""/>
    <s v=""/>
    <s v="2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795"/>
    <n v="-1000013311"/>
    <s v=""/>
    <s v=""/>
    <s v="42"/>
    <x v="2"/>
    <s v="EU"/>
    <s v="1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3534855"/>
    <n v="-1000007893"/>
    <s v=""/>
    <s v="RG"/>
    <s v=""/>
    <x v="6"/>
    <s v=""/>
    <s v=""/>
    <s v="2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69"/>
    <n v="-1000007893"/>
    <s v=""/>
    <s v="RG"/>
    <s v=""/>
    <x v="6"/>
    <s v=""/>
    <s v=""/>
    <s v="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901"/>
    <n v="-1000007893"/>
    <s v=""/>
    <s v="RS"/>
    <s v=""/>
    <x v="6"/>
    <s v=""/>
    <s v=""/>
    <s v="2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583"/>
    <n v="-1000007891"/>
    <s v=""/>
    <s v=""/>
    <s v="31"/>
    <x v="7"/>
    <s v="EU"/>
    <s v="02"/>
    <s v="12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10393582"/>
    <n v="901807897"/>
    <s v=""/>
    <s v=""/>
    <s v="42"/>
    <x v="2"/>
    <s v="EU"/>
    <s v="12"/>
    <s v="1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827"/>
    <n v="-1000007893"/>
    <s v=""/>
    <s v=""/>
    <s v="52"/>
    <x v="0"/>
    <s v="EU"/>
    <s v="13"/>
    <s v="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409785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77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499"/>
    <n v="-1000013311"/>
    <s v=""/>
    <s v=""/>
    <s v="42"/>
    <x v="2"/>
    <s v="EU"/>
    <s v="12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666"/>
    <n v="901807897"/>
    <s v=""/>
    <s v=""/>
    <s v="52"/>
    <x v="0"/>
    <s v="EU"/>
    <s v="13"/>
    <s v="3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625"/>
    <n v="-1000007893"/>
    <s v=""/>
    <s v=""/>
    <s v="42"/>
    <x v="2"/>
    <s v="EU"/>
    <s v="12"/>
    <s v="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10393606"/>
    <n v="901807897"/>
    <s v=""/>
    <s v=""/>
    <s v="42"/>
    <x v="2"/>
    <s v="EU"/>
    <s v="12"/>
    <s v="1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58"/>
    <n v="901807897"/>
    <s v="0"/>
    <s v=""/>
    <s v="42"/>
    <x v="2"/>
    <s v="EU"/>
    <s v="12"/>
    <s v="3"/>
    <s v="Scales"/>
    <n v="2126660001"/>
    <s v="2 SCALES ACROSS PER FISH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73754"/>
  </r>
  <r>
    <n v="-1003534829"/>
    <n v="-1000007893"/>
    <s v=""/>
    <s v=""/>
    <s v="42"/>
    <x v="2"/>
    <s v="EU"/>
    <s v="12"/>
    <s v="1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569"/>
    <n v="-1000007891"/>
    <s v=""/>
    <s v=""/>
    <s v="42"/>
    <x v="2"/>
    <s v="EU"/>
    <s v="12"/>
    <s v="5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743"/>
    <n v="-1000007893"/>
    <s v=""/>
    <s v=""/>
    <s v="42"/>
    <x v="2"/>
    <s v="EU"/>
    <s v="12"/>
    <s v="1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825"/>
    <n v="-1000013311"/>
    <s v=""/>
    <s v=""/>
    <s v="2M"/>
    <x v="3"/>
    <s v="MY"/>
    <s v="2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2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67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75"/>
    <n v="-1000013311"/>
    <s v=""/>
    <s v=""/>
    <s v="41"/>
    <x v="1"/>
    <s v="EU"/>
    <s v="03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731"/>
    <n v="-1000013311"/>
    <s v=""/>
    <s v=""/>
    <s v="42"/>
    <x v="2"/>
    <s v="EU"/>
    <s v="12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10393717"/>
    <n v="901807897"/>
    <s v=""/>
    <s v=""/>
    <s v="42"/>
    <x v="2"/>
    <s v="EU"/>
    <s v="12"/>
    <s v="5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789"/>
    <n v="-1000007893"/>
    <s v=""/>
    <s v="W"/>
    <s v=""/>
    <x v="6"/>
    <s v=""/>
    <s v=""/>
    <s v="1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727"/>
    <n v="-1000007893"/>
    <s v=""/>
    <s v=""/>
    <s v="52"/>
    <x v="0"/>
    <s v="EU"/>
    <s v="13"/>
    <s v="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10393573"/>
    <n v="901807897"/>
    <s v=""/>
    <s v=""/>
    <s v="42"/>
    <x v="2"/>
    <s v="EU"/>
    <s v="12"/>
    <s v="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668"/>
    <n v="1621560383"/>
    <s v=""/>
    <s v=""/>
    <s v="42"/>
    <x v="2"/>
    <s v="EU"/>
    <s v="12"/>
    <s v="19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781"/>
    <n v="-1000007893"/>
    <s v=""/>
    <s v="RG"/>
    <s v=""/>
    <x v="6"/>
    <s v=""/>
    <s v=""/>
    <s v="1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52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534511"/>
    <n v="-1000007891"/>
    <s v=""/>
    <s v=""/>
    <s v="42"/>
    <x v="2"/>
    <s v="EU"/>
    <s v="12"/>
    <s v="1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10393642"/>
    <n v="901807897"/>
    <s v=""/>
    <s v=""/>
    <s v="42"/>
    <x v="2"/>
    <s v="EU"/>
    <s v="12"/>
    <s v="3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77"/>
    <n v="901807897"/>
    <s v=""/>
    <s v=""/>
    <s v="42"/>
    <x v="2"/>
    <s v="EU"/>
    <s v="12"/>
    <s v="7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72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2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517"/>
    <n v="-1000013311"/>
    <s v=""/>
    <s v=""/>
    <s v="42"/>
    <x v="2"/>
    <s v="EU"/>
    <s v="1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615"/>
    <n v="-1000013311"/>
    <s v=""/>
    <s v=""/>
    <s v="42"/>
    <x v="2"/>
    <s v="EU"/>
    <s v="12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10393651"/>
    <n v="901807897"/>
    <s v=""/>
    <s v=""/>
    <s v="42"/>
    <x v="2"/>
    <s v="EU"/>
    <s v="12"/>
    <s v="3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26"/>
    <n v="901807897"/>
    <s v=""/>
    <s v=""/>
    <s v="42"/>
    <x v="2"/>
    <s v="EU"/>
    <s v="12"/>
    <s v="5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38"/>
    <n v="901807897"/>
    <s v=""/>
    <s v=""/>
    <s v="42"/>
    <x v="2"/>
    <s v="EU"/>
    <s v="12"/>
    <s v="6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33"/>
    <n v="901807897"/>
    <s v=""/>
    <s v=""/>
    <s v="42"/>
    <x v="2"/>
    <s v="EU"/>
    <s v="12"/>
    <s v="2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08"/>
    <n v="901807897"/>
    <s v=""/>
    <s v=""/>
    <s v="42"/>
    <x v="2"/>
    <s v="EU"/>
    <s v="12"/>
    <s v="5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740"/>
    <n v="1621560383"/>
    <s v=""/>
    <s v=""/>
    <s v="42"/>
    <x v="2"/>
    <s v="EU"/>
    <s v="12"/>
    <s v="43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87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3534893"/>
    <n v="-1000007893"/>
    <s v=""/>
    <s v=""/>
    <s v="52"/>
    <x v="0"/>
    <s v="EU"/>
    <s v="13"/>
    <s v="1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861"/>
    <n v="-1000007893"/>
    <s v=""/>
    <s v=""/>
    <s v="31"/>
    <x v="7"/>
    <s v="EU"/>
    <s v="02"/>
    <s v="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10393699"/>
    <n v="901807897"/>
    <s v=""/>
    <s v=""/>
    <s v="52"/>
    <x v="0"/>
    <s v="EU"/>
    <s v="13"/>
    <s v="5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819"/>
    <n v="-1000007893"/>
    <s v=""/>
    <s v=""/>
    <s v="42"/>
    <x v="2"/>
    <s v="EU"/>
    <s v="12"/>
    <s v="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675"/>
    <n v="-1000007893"/>
    <s v=""/>
    <s v="RG"/>
    <s v=""/>
    <x v="6"/>
    <s v=""/>
    <s v=""/>
    <s v="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587"/>
    <n v="-1000007891"/>
    <s v=""/>
    <s v=""/>
    <s v="42"/>
    <x v="2"/>
    <s v="EU"/>
    <s v="12"/>
    <s v="14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773"/>
    <n v="-1000007893"/>
    <s v=""/>
    <s v="NP"/>
    <s v=""/>
    <x v="6"/>
    <s v=""/>
    <s v=""/>
    <s v="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779"/>
    <n v="-1000007893"/>
    <s v=""/>
    <s v="W"/>
    <s v=""/>
    <x v="6"/>
    <s v=""/>
    <s v=""/>
    <s v="1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775"/>
    <n v="-1000007893"/>
    <s v=""/>
    <s v="NP"/>
    <s v=""/>
    <x v="6"/>
    <s v=""/>
    <s v=""/>
    <s v="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779"/>
    <n v="-1000013311"/>
    <s v=""/>
    <s v="W"/>
    <s v=""/>
    <x v="6"/>
    <s v=""/>
    <s v="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875"/>
    <n v="-1000013311"/>
    <s v=""/>
    <s v=""/>
    <s v="42"/>
    <x v="2"/>
    <s v="EU"/>
    <s v="12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49"/>
    <n v="-1000013311"/>
    <s v=""/>
    <s v=""/>
    <s v="53"/>
    <x v="4"/>
    <s v="EU"/>
    <s v="22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7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785"/>
    <n v="-1000013311"/>
    <s v=""/>
    <s v=""/>
    <s v="2M"/>
    <x v="3"/>
    <s v="MY"/>
    <s v="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645"/>
    <n v="-1000013311"/>
    <s v=""/>
    <s v=""/>
    <s v="41"/>
    <x v="1"/>
    <s v="EU"/>
    <s v="03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543"/>
    <n v="-1000013311"/>
    <s v=""/>
    <s v=""/>
    <s v="42"/>
    <x v="2"/>
    <s v="EU"/>
    <s v="12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95"/>
    <n v="-1000013311"/>
    <s v=""/>
    <s v=""/>
    <s v="2M"/>
    <x v="3"/>
    <s v="MY"/>
    <s v="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3534529"/>
    <n v="-1000007891"/>
    <s v=""/>
    <s v=""/>
    <s v="42"/>
    <x v="2"/>
    <s v="EU"/>
    <s v="12"/>
    <s v="10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4097887"/>
    <n v="-1000013311"/>
    <s v=""/>
    <s v=""/>
    <s v="42"/>
    <x v="2"/>
    <s v="EU"/>
    <s v="12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10393663"/>
    <n v="901807897"/>
    <s v=""/>
    <s v=""/>
    <s v="42"/>
    <x v="2"/>
    <s v="EU"/>
    <s v="12"/>
    <s v="3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507"/>
    <n v="-1000013311"/>
    <s v=""/>
    <s v=""/>
    <s v="42"/>
    <x v="2"/>
    <s v="EU"/>
    <s v="1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6926749"/>
    <n v="1621560383"/>
    <s v=""/>
    <s v=""/>
    <s v="41"/>
    <x v="1"/>
    <s v="EU"/>
    <s v="03"/>
    <s v="46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607"/>
    <n v="-1000007891"/>
    <s v=""/>
    <s v=""/>
    <s v="53"/>
    <x v="4"/>
    <s v="EU"/>
    <s v="22"/>
    <s v="24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909"/>
    <n v="-1000007893"/>
    <s v=""/>
    <s v=""/>
    <s v="41"/>
    <x v="1"/>
    <s v="EU"/>
    <s v="03"/>
    <s v="2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619"/>
    <n v="-1000007893"/>
    <s v=""/>
    <s v=""/>
    <s v="41"/>
    <x v="1"/>
    <s v="EU"/>
    <s v="03"/>
    <s v="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6926665"/>
    <n v="1621560383"/>
    <s v=""/>
    <s v=""/>
    <s v="41"/>
    <x v="1"/>
    <s v="EU"/>
    <s v="03"/>
    <s v="18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786"/>
    <n v="901807897"/>
    <s v=""/>
    <s v=""/>
    <s v="53"/>
    <x v="4"/>
    <s v="EU"/>
    <s v="22"/>
    <s v="7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629"/>
    <n v="-1000007893"/>
    <s v=""/>
    <s v="RG"/>
    <s v=""/>
    <x v="6"/>
    <s v=""/>
    <s v=""/>
    <s v="1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4097749"/>
    <n v="-1000013311"/>
    <s v=""/>
    <s v=""/>
    <s v="42"/>
    <x v="2"/>
    <s v="EU"/>
    <s v="12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73"/>
    <n v="-1000013311"/>
    <s v=""/>
    <s v="W"/>
    <s v=""/>
    <x v="6"/>
    <s v=""/>
    <s v="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10393747"/>
    <n v="901807897"/>
    <s v=""/>
    <s v="UM"/>
    <s v="S2"/>
    <x v="15"/>
    <s v="FW"/>
    <s v="1"/>
    <s v="6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14"/>
    <n v="901807897"/>
    <s v=""/>
    <s v=""/>
    <s v="42"/>
    <x v="2"/>
    <s v="EU"/>
    <s v="12"/>
    <s v="5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21"/>
    <n v="901807897"/>
    <s v=""/>
    <s v=""/>
    <s v="42"/>
    <x v="2"/>
    <s v="EU"/>
    <s v="12"/>
    <s v="2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733"/>
    <n v="-1000007893"/>
    <s v=""/>
    <s v="W"/>
    <s v=""/>
    <x v="6"/>
    <s v=""/>
    <s v=""/>
    <s v="1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69"/>
    <n v="-1000007893"/>
    <s v=""/>
    <s v="W"/>
    <s v=""/>
    <x v="6"/>
    <s v=""/>
    <s v=""/>
    <s v="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11"/>
    <n v="-1000007893"/>
    <s v=""/>
    <s v="RG"/>
    <s v=""/>
    <x v="6"/>
    <s v=""/>
    <s v=""/>
    <s v="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577"/>
    <n v="-1000007891"/>
    <s v=""/>
    <s v=""/>
    <s v="42"/>
    <x v="2"/>
    <s v="EU"/>
    <s v="12"/>
    <s v="9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10393672"/>
    <n v="901807897"/>
    <s v=""/>
    <s v=""/>
    <s v="52"/>
    <x v="0"/>
    <s v="EU"/>
    <s v="13"/>
    <s v="4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15"/>
    <n v="901807897"/>
    <s v=""/>
    <s v=""/>
    <s v="52"/>
    <x v="0"/>
    <s v="EU"/>
    <s v="13"/>
    <s v="2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07"/>
    <n v="901807897"/>
    <s v=""/>
    <s v=""/>
    <s v="42"/>
    <x v="2"/>
    <s v="EU"/>
    <s v="12"/>
    <s v="8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13"/>
    <n v="901807897"/>
    <s v=""/>
    <s v=""/>
    <s v="42"/>
    <x v="2"/>
    <s v="EU"/>
    <s v="12"/>
    <s v="8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16"/>
    <n v="901807897"/>
    <s v=""/>
    <s v=""/>
    <s v="42"/>
    <x v="2"/>
    <s v="EU"/>
    <s v="12"/>
    <s v="8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25"/>
    <n v="901807897"/>
    <s v=""/>
    <s v=""/>
    <s v="52"/>
    <x v="0"/>
    <s v="EU"/>
    <s v="13"/>
    <s v="9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34"/>
    <n v="901807897"/>
    <s v=""/>
    <s v=""/>
    <s v="42"/>
    <x v="2"/>
    <s v="EU"/>
    <s v="12"/>
    <s v="9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40"/>
    <n v="901807897"/>
    <s v=""/>
    <s v=""/>
    <s v="42"/>
    <x v="2"/>
    <s v="EU"/>
    <s v="12"/>
    <s v="9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46"/>
    <n v="901807897"/>
    <s v=""/>
    <s v=""/>
    <s v="42"/>
    <x v="2"/>
    <s v="EU"/>
    <s v="12"/>
    <s v="9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52"/>
    <n v="901807897"/>
    <s v="1"/>
    <s v=""/>
    <s v="42"/>
    <x v="2"/>
    <s v="EU"/>
    <s v="12"/>
    <s v="1"/>
    <s v="Scales"/>
    <n v="2126660001"/>
    <s v="2 SCALES ACROSS PER FISH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73754"/>
  </r>
  <r>
    <n v="10393855"/>
    <n v="901807897"/>
    <s v="1"/>
    <s v=""/>
    <s v="52"/>
    <x v="0"/>
    <s v="EU"/>
    <s v="13"/>
    <s v="2"/>
    <s v="Scales"/>
    <n v="2126660001"/>
    <s v="2 SCALES ACROSS PER FISH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73754"/>
  </r>
  <r>
    <n v="10393639"/>
    <n v="901807897"/>
    <s v=""/>
    <s v=""/>
    <s v="42"/>
    <x v="2"/>
    <s v="EU"/>
    <s v="12"/>
    <s v="3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36"/>
    <n v="901807897"/>
    <s v=""/>
    <s v=""/>
    <s v="42"/>
    <x v="2"/>
    <s v="EU"/>
    <s v="12"/>
    <s v="2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54"/>
    <n v="901807897"/>
    <s v=""/>
    <s v=""/>
    <s v="42"/>
    <x v="2"/>
    <s v="EU"/>
    <s v="12"/>
    <s v="3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84"/>
    <n v="901807897"/>
    <s v=""/>
    <s v=""/>
    <s v="42"/>
    <x v="2"/>
    <s v="EU"/>
    <s v="12"/>
    <s v="4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87"/>
    <n v="901807897"/>
    <s v=""/>
    <s v=""/>
    <s v="52"/>
    <x v="0"/>
    <s v="EU"/>
    <s v="13"/>
    <s v="4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02"/>
    <n v="901807897"/>
    <s v=""/>
    <s v="UM"/>
    <s v="S2"/>
    <x v="15"/>
    <s v="FW"/>
    <s v="1"/>
    <s v="5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23"/>
    <n v="901807897"/>
    <s v=""/>
    <s v=""/>
    <s v="42"/>
    <x v="2"/>
    <s v="EU"/>
    <s v="12"/>
    <s v="5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35"/>
    <n v="901807897"/>
    <s v=""/>
    <s v=""/>
    <s v="42"/>
    <x v="2"/>
    <s v="EU"/>
    <s v="12"/>
    <s v="6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44"/>
    <n v="901807897"/>
    <s v=""/>
    <s v=""/>
    <s v="42"/>
    <x v="2"/>
    <s v="EU"/>
    <s v="12"/>
    <s v="6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56"/>
    <n v="901807897"/>
    <s v=""/>
    <s v=""/>
    <s v="42"/>
    <x v="2"/>
    <s v="EU"/>
    <s v="12"/>
    <s v="6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68"/>
    <n v="901807897"/>
    <s v=""/>
    <s v=""/>
    <s v="42"/>
    <x v="2"/>
    <s v="EU"/>
    <s v="12"/>
    <s v="7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80"/>
    <n v="901807897"/>
    <s v=""/>
    <s v=""/>
    <s v="42"/>
    <x v="2"/>
    <s v="EU"/>
    <s v="12"/>
    <s v="7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555"/>
    <n v="901807897"/>
    <s v=""/>
    <s v=""/>
    <s v="42"/>
    <x v="2"/>
    <s v="EU"/>
    <s v="12"/>
    <s v="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24"/>
    <n v="901807897"/>
    <s v=""/>
    <s v=""/>
    <s v="42"/>
    <x v="2"/>
    <s v="EU"/>
    <s v="12"/>
    <s v="2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561"/>
    <n v="901807897"/>
    <s v=""/>
    <s v=""/>
    <s v="42"/>
    <x v="2"/>
    <s v="EU"/>
    <s v="12"/>
    <s v="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576"/>
    <n v="901807897"/>
    <s v=""/>
    <s v=""/>
    <s v="32"/>
    <x v="11"/>
    <s v="EU"/>
    <s v="11"/>
    <s v="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579"/>
    <n v="901807897"/>
    <s v=""/>
    <s v=""/>
    <s v="42"/>
    <x v="2"/>
    <s v="EU"/>
    <s v="12"/>
    <s v="1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585"/>
    <n v="901807897"/>
    <s v=""/>
    <s v=""/>
    <s v="42"/>
    <x v="2"/>
    <s v="EU"/>
    <s v="12"/>
    <s v="1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591"/>
    <n v="901807897"/>
    <s v=""/>
    <s v=""/>
    <s v="42"/>
    <x v="2"/>
    <s v="EU"/>
    <s v="12"/>
    <s v="1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601"/>
    <n v="-1000013311"/>
    <s v=""/>
    <s v=""/>
    <s v="52"/>
    <x v="0"/>
    <s v="EU"/>
    <s v="13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10393753"/>
    <n v="901807897"/>
    <s v=""/>
    <s v=""/>
    <s v="42"/>
    <x v="2"/>
    <s v="EU"/>
    <s v="12"/>
    <s v="6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03"/>
    <n v="901807897"/>
    <s v=""/>
    <s v=""/>
    <s v="42"/>
    <x v="2"/>
    <s v="EU"/>
    <s v="12"/>
    <s v="1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45"/>
    <n v="901807897"/>
    <s v=""/>
    <s v=""/>
    <s v="42"/>
    <x v="2"/>
    <s v="EU"/>
    <s v="12"/>
    <s v="3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01"/>
    <n v="901807897"/>
    <s v=""/>
    <s v=""/>
    <s v="42"/>
    <x v="2"/>
    <s v="EU"/>
    <s v="12"/>
    <s v="8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78"/>
    <n v="901807897"/>
    <s v=""/>
    <s v=""/>
    <s v="42"/>
    <x v="2"/>
    <s v="EU"/>
    <s v="12"/>
    <s v="4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673"/>
    <n v="-1000007893"/>
    <s v=""/>
    <s v="NP"/>
    <s v=""/>
    <x v="6"/>
    <s v=""/>
    <s v=""/>
    <s v="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409750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503"/>
    <n v="-1000013311"/>
    <s v=""/>
    <s v=""/>
    <s v="42"/>
    <x v="2"/>
    <s v="EU"/>
    <s v="12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534693"/>
    <n v="-1000007893"/>
    <s v=""/>
    <s v=""/>
    <s v="42"/>
    <x v="2"/>
    <s v="EU"/>
    <s v="12"/>
    <s v="1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821"/>
    <n v="-1000007893"/>
    <s v=""/>
    <s v=""/>
    <s v="42"/>
    <x v="2"/>
    <s v="EU"/>
    <s v="12"/>
    <s v="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4097563"/>
    <n v="-1000013311"/>
    <s v=""/>
    <s v=""/>
    <s v="52"/>
    <x v="0"/>
    <s v="EU"/>
    <s v="13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857"/>
    <n v="-1000013311"/>
    <s v=""/>
    <s v=""/>
    <s v="2M"/>
    <x v="3"/>
    <s v="MY"/>
    <s v="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717"/>
    <n v="-1000013311"/>
    <s v=""/>
    <s v=""/>
    <s v="53"/>
    <x v="4"/>
    <s v="EU"/>
    <s v="2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10393789"/>
    <n v="901807897"/>
    <s v=""/>
    <s v=""/>
    <s v="42"/>
    <x v="2"/>
    <s v="EU"/>
    <s v="12"/>
    <s v="8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525"/>
    <n v="-1000007891"/>
    <s v=""/>
    <s v="RG"/>
    <s v=""/>
    <x v="6"/>
    <s v=""/>
    <s v=""/>
    <s v="8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907"/>
    <n v="-1000007893"/>
    <s v=""/>
    <s v="RG"/>
    <s v=""/>
    <x v="6"/>
    <s v=""/>
    <s v=""/>
    <s v="2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665"/>
    <n v="-1000007893"/>
    <s v=""/>
    <s v="W"/>
    <s v=""/>
    <x v="6"/>
    <s v=""/>
    <s v=""/>
    <s v="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409772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10393558"/>
    <n v="901807897"/>
    <s v=""/>
    <s v=""/>
    <s v="42"/>
    <x v="2"/>
    <s v="EU"/>
    <s v="12"/>
    <s v="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813"/>
    <n v="-1000013311"/>
    <s v=""/>
    <s v="W"/>
    <s v=""/>
    <x v="6"/>
    <s v=""/>
    <s v="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3534749"/>
    <n v="-1000007893"/>
    <s v=""/>
    <s v="RG"/>
    <s v=""/>
    <x v="6"/>
    <s v=""/>
    <s v=""/>
    <s v="2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635"/>
    <n v="-1000013311"/>
    <s v=""/>
    <s v=""/>
    <s v="42"/>
    <x v="2"/>
    <s v="EU"/>
    <s v="1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701"/>
    <n v="-1000013311"/>
    <s v=""/>
    <s v=""/>
    <s v="42"/>
    <x v="2"/>
    <s v="EU"/>
    <s v="12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89"/>
    <n v="-1000013311"/>
    <s v=""/>
    <s v=""/>
    <s v="42"/>
    <x v="2"/>
    <s v="EU"/>
    <s v="1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709"/>
    <n v="-1000013311"/>
    <s v=""/>
    <s v=""/>
    <s v="43"/>
    <x v="10"/>
    <s v="EU"/>
    <s v="21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10393612"/>
    <n v="901807897"/>
    <s v=""/>
    <s v=""/>
    <s v="42"/>
    <x v="2"/>
    <s v="EU"/>
    <s v="12"/>
    <s v="2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90"/>
    <n v="901807897"/>
    <s v=""/>
    <s v=""/>
    <s v="42"/>
    <x v="2"/>
    <s v="EU"/>
    <s v="12"/>
    <s v="4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95"/>
    <n v="901807897"/>
    <s v=""/>
    <s v=""/>
    <s v="42"/>
    <x v="2"/>
    <s v="EU"/>
    <s v="12"/>
    <s v="8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773"/>
    <n v="1621560383"/>
    <s v=""/>
    <s v=""/>
    <s v="52"/>
    <x v="0"/>
    <s v="EU"/>
    <s v="13"/>
    <s v="54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25"/>
    <n v="1621560383"/>
    <s v=""/>
    <s v=""/>
    <s v="41"/>
    <x v="1"/>
    <s v="EU"/>
    <s v="03"/>
    <s v="38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28"/>
    <n v="1621560383"/>
    <s v=""/>
    <s v=""/>
    <s v="41"/>
    <x v="1"/>
    <s v="EU"/>
    <s v="03"/>
    <s v="39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29"/>
    <n v="1621560383"/>
    <s v=""/>
    <s v=""/>
    <s v="52"/>
    <x v="0"/>
    <s v="EU"/>
    <s v="13"/>
    <s v="6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71"/>
    <n v="1621560383"/>
    <s v=""/>
    <s v=""/>
    <s v="42"/>
    <x v="2"/>
    <s v="EU"/>
    <s v="12"/>
    <s v="20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696"/>
    <n v="901807897"/>
    <s v=""/>
    <s v=""/>
    <s v="53"/>
    <x v="4"/>
    <s v="EU"/>
    <s v="22"/>
    <s v="49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743"/>
    <n v="1621560383"/>
    <s v=""/>
    <s v=""/>
    <s v="52"/>
    <x v="0"/>
    <s v="EU"/>
    <s v="13"/>
    <s v="44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01"/>
    <n v="1621560383"/>
    <s v=""/>
    <s v=""/>
    <s v="52"/>
    <x v="0"/>
    <s v="EU"/>
    <s v="13"/>
    <s v="30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10"/>
    <n v="1621560383"/>
    <s v=""/>
    <s v=""/>
    <s v="42"/>
    <x v="2"/>
    <s v="EU"/>
    <s v="12"/>
    <s v="33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34"/>
    <n v="1621560383"/>
    <s v=""/>
    <s v=""/>
    <s v="41"/>
    <x v="1"/>
    <s v="EU"/>
    <s v="03"/>
    <s v="41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779"/>
    <n v="1621560383"/>
    <s v=""/>
    <s v=""/>
    <s v="42"/>
    <x v="2"/>
    <s v="EU"/>
    <s v="12"/>
    <s v="56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57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3534795"/>
    <n v="-1000007893"/>
    <s v=""/>
    <s v=""/>
    <s v="31"/>
    <x v="7"/>
    <s v="EU"/>
    <s v="02"/>
    <s v="1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689"/>
    <n v="-1000007893"/>
    <s v=""/>
    <s v=""/>
    <s v="41"/>
    <x v="1"/>
    <s v="EU"/>
    <s v="03"/>
    <s v="1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713"/>
    <n v="-1000007893"/>
    <s v=""/>
    <s v="RG"/>
    <s v=""/>
    <x v="6"/>
    <s v=""/>
    <s v=""/>
    <s v="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663"/>
    <n v="-1000013311"/>
    <s v=""/>
    <s v=""/>
    <s v="52"/>
    <x v="0"/>
    <s v="EU"/>
    <s v="13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3534873"/>
    <n v="-1000007893"/>
    <s v=""/>
    <s v="NP"/>
    <s v=""/>
    <x v="6"/>
    <s v=""/>
    <s v=""/>
    <s v="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621"/>
    <n v="-1000007893"/>
    <s v=""/>
    <s v="RG"/>
    <s v=""/>
    <x v="6"/>
    <s v=""/>
    <s v=""/>
    <s v="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409775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57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491"/>
    <n v="-1000013311"/>
    <s v=""/>
    <s v=""/>
    <s v="S2"/>
    <x v="15"/>
    <s v="FW"/>
    <s v="1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534745"/>
    <n v="-1000007893"/>
    <s v=""/>
    <s v=""/>
    <s v="31"/>
    <x v="7"/>
    <s v="EU"/>
    <s v="02"/>
    <s v="1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885"/>
    <n v="-1000007893"/>
    <s v=""/>
    <s v=""/>
    <s v="42"/>
    <x v="2"/>
    <s v="EU"/>
    <s v="12"/>
    <s v="1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637"/>
    <n v="-1000007893"/>
    <s v=""/>
    <s v=""/>
    <s v="31"/>
    <x v="7"/>
    <s v="EU"/>
    <s v="02"/>
    <s v="1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787"/>
    <n v="-1000007893"/>
    <s v=""/>
    <s v="NP"/>
    <s v=""/>
    <x v="6"/>
    <s v=""/>
    <s v=""/>
    <s v="1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765"/>
    <n v="-1000007893"/>
    <s v=""/>
    <s v=""/>
    <s v="31"/>
    <x v="7"/>
    <s v="EU"/>
    <s v="02"/>
    <s v="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33"/>
    <n v="-1000007893"/>
    <s v=""/>
    <s v=""/>
    <s v="42"/>
    <x v="2"/>
    <s v="EU"/>
    <s v="12"/>
    <s v="1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535"/>
    <n v="-1000007891"/>
    <s v=""/>
    <s v=""/>
    <s v="32"/>
    <x v="11"/>
    <s v="EU"/>
    <s v="11"/>
    <s v="13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555"/>
    <n v="-1000007891"/>
    <s v=""/>
    <s v=""/>
    <s v="42"/>
    <x v="2"/>
    <s v="EU"/>
    <s v="12"/>
    <s v="23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757"/>
    <n v="-1000007893"/>
    <s v=""/>
    <s v=""/>
    <s v="52"/>
    <x v="0"/>
    <s v="EU"/>
    <s v="13"/>
    <s v="2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52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765"/>
    <n v="901807897"/>
    <s v=""/>
    <s v=""/>
    <s v="42"/>
    <x v="2"/>
    <s v="EU"/>
    <s v="12"/>
    <s v="7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31"/>
    <n v="901807897"/>
    <s v=""/>
    <s v=""/>
    <s v="42"/>
    <x v="2"/>
    <s v="EU"/>
    <s v="12"/>
    <s v="9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713"/>
    <n v="-1000013311"/>
    <s v=""/>
    <s v=""/>
    <s v="42"/>
    <x v="2"/>
    <s v="EU"/>
    <s v="12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60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6926623"/>
    <n v="1621560383"/>
    <s v=""/>
    <s v=""/>
    <s v="42"/>
    <x v="2"/>
    <s v="EU"/>
    <s v="12"/>
    <s v="4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501"/>
    <n v="-1000013311"/>
    <s v=""/>
    <s v=""/>
    <s v="42"/>
    <x v="2"/>
    <s v="EU"/>
    <s v="12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6926770"/>
    <n v="1621560383"/>
    <s v=""/>
    <s v=""/>
    <s v="52"/>
    <x v="0"/>
    <s v="EU"/>
    <s v="13"/>
    <s v="53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797"/>
    <n v="-1000007893"/>
    <s v=""/>
    <s v=""/>
    <s v="52"/>
    <x v="0"/>
    <s v="EU"/>
    <s v="13"/>
    <s v="1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567"/>
    <n v="-1000013311"/>
    <s v=""/>
    <s v=""/>
    <s v="42"/>
    <x v="2"/>
    <s v="EU"/>
    <s v="1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3534663"/>
    <n v="-1000007893"/>
    <s v=""/>
    <s v="W"/>
    <s v=""/>
    <x v="6"/>
    <s v=""/>
    <s v=""/>
    <s v="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719"/>
    <n v="-1000007893"/>
    <s v=""/>
    <s v=""/>
    <s v="31"/>
    <x v="7"/>
    <s v="EU"/>
    <s v="02"/>
    <s v="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891"/>
    <n v="-1000007893"/>
    <s v=""/>
    <s v="NP"/>
    <s v=""/>
    <x v="6"/>
    <s v=""/>
    <s v=""/>
    <s v="1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649"/>
    <n v="-1000007893"/>
    <s v=""/>
    <s v=""/>
    <s v="41"/>
    <x v="1"/>
    <s v="EU"/>
    <s v="03"/>
    <s v="2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887"/>
    <n v="-1000007893"/>
    <s v=""/>
    <s v=""/>
    <s v="31"/>
    <x v="7"/>
    <s v="EU"/>
    <s v="02"/>
    <s v="1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793"/>
    <n v="-1000007893"/>
    <s v=""/>
    <s v=""/>
    <s v="42"/>
    <x v="2"/>
    <s v="EU"/>
    <s v="12"/>
    <s v="1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571"/>
    <n v="-1000007891"/>
    <s v=""/>
    <s v=""/>
    <s v="42"/>
    <x v="2"/>
    <s v="EU"/>
    <s v="12"/>
    <s v="6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4097881"/>
    <n v="-1000013311"/>
    <s v=""/>
    <s v=""/>
    <s v="42"/>
    <x v="2"/>
    <s v="EU"/>
    <s v="12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3534519"/>
    <n v="-1000007891"/>
    <s v=""/>
    <s v=""/>
    <s v="31"/>
    <x v="7"/>
    <s v="EU"/>
    <s v="02"/>
    <s v="5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783"/>
    <n v="-1000007893"/>
    <s v=""/>
    <s v=""/>
    <s v="42"/>
    <x v="2"/>
    <s v="EU"/>
    <s v="12"/>
    <s v="1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643"/>
    <n v="-1000013311"/>
    <s v=""/>
    <s v=""/>
    <s v="52"/>
    <x v="0"/>
    <s v="EU"/>
    <s v="13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585"/>
    <n v="-1000013311"/>
    <s v=""/>
    <s v=""/>
    <s v="42"/>
    <x v="2"/>
    <s v="EU"/>
    <s v="1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93"/>
    <n v="-1000013311"/>
    <s v=""/>
    <s v=""/>
    <s v="42"/>
    <x v="2"/>
    <s v="EU"/>
    <s v="12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741"/>
    <n v="-1000013311"/>
    <s v=""/>
    <s v="W"/>
    <s v=""/>
    <x v="6"/>
    <s v=""/>
    <s v="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51"/>
    <n v="-1000013311"/>
    <s v=""/>
    <s v="W"/>
    <s v=""/>
    <x v="6"/>
    <s v=""/>
    <s v="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3534875"/>
    <n v="-1000007893"/>
    <s v=""/>
    <s v=""/>
    <s v="41"/>
    <x v="1"/>
    <s v="EU"/>
    <s v="03"/>
    <s v="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4097681"/>
    <n v="-1000013311"/>
    <s v=""/>
    <s v=""/>
    <s v="42"/>
    <x v="2"/>
    <s v="EU"/>
    <s v="12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553"/>
    <n v="-1000013311"/>
    <s v=""/>
    <s v=""/>
    <s v="42"/>
    <x v="2"/>
    <s v="EU"/>
    <s v="12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6926662"/>
    <n v="1621560383"/>
    <s v=""/>
    <s v=""/>
    <s v="41"/>
    <x v="1"/>
    <s v="EU"/>
    <s v="03"/>
    <s v="17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564"/>
    <n v="901807897"/>
    <s v=""/>
    <s v=""/>
    <s v="42"/>
    <x v="2"/>
    <s v="EU"/>
    <s v="12"/>
    <s v="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50"/>
    <n v="901807897"/>
    <s v=""/>
    <s v=""/>
    <s v="42"/>
    <x v="2"/>
    <s v="EU"/>
    <s v="12"/>
    <s v="6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755"/>
    <n v="-1000007893"/>
    <s v=""/>
    <s v=""/>
    <s v="31"/>
    <x v="7"/>
    <s v="EU"/>
    <s v="02"/>
    <s v="2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687"/>
    <n v="-1000007893"/>
    <s v=""/>
    <s v=""/>
    <s v="31"/>
    <x v="7"/>
    <s v="EU"/>
    <s v="02"/>
    <s v="1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531"/>
    <n v="-1000007891"/>
    <s v=""/>
    <s v=""/>
    <s v="42"/>
    <x v="2"/>
    <s v="EU"/>
    <s v="12"/>
    <s v="11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585"/>
    <n v="-1000007891"/>
    <s v=""/>
    <s v=""/>
    <s v="53"/>
    <x v="4"/>
    <s v="EU"/>
    <s v="22"/>
    <s v="13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679"/>
    <n v="-1000007893"/>
    <s v=""/>
    <s v="RG"/>
    <s v=""/>
    <x v="6"/>
    <s v=""/>
    <s v=""/>
    <s v="1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905"/>
    <n v="-1000007893"/>
    <s v=""/>
    <s v=""/>
    <s v="31"/>
    <x v="7"/>
    <s v="EU"/>
    <s v="02"/>
    <s v="2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409787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707"/>
    <n v="-1000013311"/>
    <s v=""/>
    <s v="RG"/>
    <s v=""/>
    <x v="6"/>
    <s v=""/>
    <s v="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571"/>
    <n v="-1000013311"/>
    <s v=""/>
    <s v=""/>
    <s v="42"/>
    <x v="2"/>
    <s v="EU"/>
    <s v="1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5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551"/>
    <n v="-1000013311"/>
    <s v=""/>
    <s v=""/>
    <s v="42"/>
    <x v="2"/>
    <s v="EU"/>
    <s v="12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493"/>
    <n v="-1000013311"/>
    <s v=""/>
    <s v=""/>
    <s v="2M"/>
    <x v="3"/>
    <s v="MY"/>
    <s v="2"/>
    <s v="2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657"/>
    <n v="901807897"/>
    <s v=""/>
    <s v=""/>
    <s v="42"/>
    <x v="2"/>
    <s v="EU"/>
    <s v="12"/>
    <s v="3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847"/>
    <n v="-1000007893"/>
    <s v=""/>
    <s v=""/>
    <s v="42"/>
    <x v="2"/>
    <s v="EU"/>
    <s v="12"/>
    <s v="1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729"/>
    <n v="-1000007893"/>
    <s v=""/>
    <s v=""/>
    <s v="42"/>
    <x v="2"/>
    <s v="EU"/>
    <s v="12"/>
    <s v="1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879"/>
    <n v="-1000007893"/>
    <s v=""/>
    <s v=""/>
    <s v="41"/>
    <x v="1"/>
    <s v="EU"/>
    <s v="03"/>
    <s v="10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615"/>
    <n v="-1000007893"/>
    <s v=""/>
    <s v=""/>
    <s v="52"/>
    <x v="0"/>
    <s v="EU"/>
    <s v="13"/>
    <s v="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553"/>
    <n v="-1000007891"/>
    <s v=""/>
    <s v=""/>
    <s v="42"/>
    <x v="2"/>
    <s v="EU"/>
    <s v="12"/>
    <s v="22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683"/>
    <n v="-1000007893"/>
    <s v=""/>
    <s v=""/>
    <s v="31"/>
    <x v="7"/>
    <s v="EU"/>
    <s v="02"/>
    <s v="1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593"/>
    <n v="-1000007891"/>
    <s v=""/>
    <s v=""/>
    <s v="42"/>
    <x v="2"/>
    <s v="EU"/>
    <s v="12"/>
    <s v="17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97"/>
    <n v="-1000007891"/>
    <s v=""/>
    <s v=""/>
    <s v="42"/>
    <x v="2"/>
    <s v="EU"/>
    <s v="12"/>
    <s v="19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4097845"/>
    <n v="-1000013311"/>
    <s v=""/>
    <s v=""/>
    <s v="42"/>
    <x v="2"/>
    <s v="EU"/>
    <s v="12"/>
    <s v="2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2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6926719"/>
    <n v="1621560383"/>
    <s v=""/>
    <s v=""/>
    <s v="32"/>
    <x v="11"/>
    <s v="EU"/>
    <s v="11"/>
    <s v="36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693"/>
    <n v="901807897"/>
    <s v=""/>
    <s v=""/>
    <s v="52"/>
    <x v="0"/>
    <s v="EU"/>
    <s v="13"/>
    <s v="4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764"/>
    <n v="1621560383"/>
    <s v=""/>
    <s v=""/>
    <s v="31"/>
    <x v="7"/>
    <s v="EU"/>
    <s v="02"/>
    <s v="51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575"/>
    <n v="-1000013311"/>
    <s v=""/>
    <s v=""/>
    <s v="42"/>
    <x v="2"/>
    <s v="EU"/>
    <s v="12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69"/>
    <n v="-1000013311"/>
    <s v=""/>
    <s v=""/>
    <s v="42"/>
    <x v="2"/>
    <s v="EU"/>
    <s v="1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75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3534721"/>
    <n v="-1000007893"/>
    <s v=""/>
    <s v="W"/>
    <s v=""/>
    <x v="6"/>
    <s v=""/>
    <s v=""/>
    <s v="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3534771"/>
    <n v="-1000007893"/>
    <s v=""/>
    <s v=""/>
    <s v="42"/>
    <x v="2"/>
    <s v="EU"/>
    <s v="12"/>
    <s v="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83"/>
    <n v="-1000007893"/>
    <s v=""/>
    <s v=""/>
    <s v="52"/>
    <x v="0"/>
    <s v="EU"/>
    <s v="13"/>
    <s v="1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513"/>
    <n v="-1000007891"/>
    <s v=""/>
    <s v="RG"/>
    <s v=""/>
    <x v="6"/>
    <s v=""/>
    <s v=""/>
    <s v="2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573"/>
    <n v="-1000007891"/>
    <s v=""/>
    <s v=""/>
    <s v="42"/>
    <x v="2"/>
    <s v="EU"/>
    <s v="12"/>
    <s v="7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4097771"/>
    <n v="-1000013311"/>
    <s v=""/>
    <s v=""/>
    <s v="2M"/>
    <x v="3"/>
    <s v="MY"/>
    <s v="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80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29"/>
    <n v="-1000013311"/>
    <s v=""/>
    <s v=""/>
    <s v="42"/>
    <x v="2"/>
    <s v="EU"/>
    <s v="12"/>
    <s v="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62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73"/>
    <n v="-1000013311"/>
    <s v=""/>
    <s v=""/>
    <s v="42"/>
    <x v="2"/>
    <s v="EU"/>
    <s v="12"/>
    <s v="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769"/>
    <n v="-1000013311"/>
    <s v=""/>
    <s v=""/>
    <s v="2M"/>
    <x v="3"/>
    <s v="MY"/>
    <s v="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3534633"/>
    <n v="-1000007893"/>
    <s v=""/>
    <s v=""/>
    <s v="42"/>
    <x v="2"/>
    <s v="EU"/>
    <s v="12"/>
    <s v="1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4097535"/>
    <n v="-1000013311"/>
    <s v=""/>
    <s v=""/>
    <s v="42"/>
    <x v="2"/>
    <s v="EU"/>
    <s v="1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660"/>
    <n v="901807897"/>
    <s v=""/>
    <s v=""/>
    <s v="42"/>
    <x v="2"/>
    <s v="EU"/>
    <s v="12"/>
    <s v="3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711"/>
    <n v="-1000007893"/>
    <s v=""/>
    <s v=""/>
    <s v="42"/>
    <x v="2"/>
    <s v="EU"/>
    <s v="12"/>
    <s v="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537"/>
    <n v="-1000013311"/>
    <s v=""/>
    <s v=""/>
    <s v="42"/>
    <x v="2"/>
    <s v="EU"/>
    <s v="12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534617"/>
    <n v="-1000007893"/>
    <s v=""/>
    <s v=""/>
    <s v="52"/>
    <x v="0"/>
    <s v="EU"/>
    <s v="13"/>
    <s v="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6926614"/>
    <n v="1621560383"/>
    <s v=""/>
    <s v=""/>
    <s v="42"/>
    <x v="2"/>
    <s v="EU"/>
    <s v="12"/>
    <s v="1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552"/>
    <n v="901807897"/>
    <s v=""/>
    <s v=""/>
    <s v="42"/>
    <x v="2"/>
    <s v="EU"/>
    <s v="12"/>
    <s v="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22"/>
    <n v="901807897"/>
    <s v=""/>
    <s v=""/>
    <s v="42"/>
    <x v="2"/>
    <s v="EU"/>
    <s v="12"/>
    <s v="9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81"/>
    <n v="901807897"/>
    <s v=""/>
    <s v=""/>
    <s v="42"/>
    <x v="2"/>
    <s v="EU"/>
    <s v="12"/>
    <s v="4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59"/>
    <n v="901807897"/>
    <s v=""/>
    <s v=""/>
    <s v="42"/>
    <x v="2"/>
    <s v="EU"/>
    <s v="12"/>
    <s v="7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20"/>
    <n v="901807897"/>
    <s v=""/>
    <s v=""/>
    <s v="42"/>
    <x v="2"/>
    <s v="EU"/>
    <s v="12"/>
    <s v="5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98"/>
    <n v="901807897"/>
    <s v=""/>
    <s v=""/>
    <s v="42"/>
    <x v="2"/>
    <s v="EU"/>
    <s v="12"/>
    <s v="8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603"/>
    <n v="-1000013311"/>
    <s v=""/>
    <s v=""/>
    <s v="52"/>
    <x v="0"/>
    <s v="EU"/>
    <s v="13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6926674"/>
    <n v="1621560383"/>
    <s v=""/>
    <s v=""/>
    <s v="42"/>
    <x v="2"/>
    <s v="EU"/>
    <s v="12"/>
    <s v="21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38"/>
    <n v="1621560383"/>
    <s v=""/>
    <s v=""/>
    <s v="42"/>
    <x v="2"/>
    <s v="EU"/>
    <s v="12"/>
    <s v="9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747"/>
    <n v="-1000007893"/>
    <s v=""/>
    <s v=""/>
    <s v="42"/>
    <x v="2"/>
    <s v="EU"/>
    <s v="12"/>
    <s v="1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6926737"/>
    <n v="1621560383"/>
    <s v=""/>
    <s v=""/>
    <s v="31"/>
    <x v="7"/>
    <s v="EU"/>
    <s v="02"/>
    <s v="42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763"/>
    <n v="-1000013311"/>
    <s v=""/>
    <s v=""/>
    <s v="42"/>
    <x v="2"/>
    <s v="EU"/>
    <s v="12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3534715"/>
    <n v="-1000007893"/>
    <s v=""/>
    <s v=""/>
    <s v="42"/>
    <x v="2"/>
    <s v="EU"/>
    <s v="12"/>
    <s v="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515"/>
    <n v="-1000013311"/>
    <s v=""/>
    <s v=""/>
    <s v="42"/>
    <x v="2"/>
    <s v="EU"/>
    <s v="12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534557"/>
    <n v="-1000007891"/>
    <s v=""/>
    <s v=""/>
    <s v="42"/>
    <x v="2"/>
    <s v="EU"/>
    <s v="12"/>
    <s v="24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581"/>
    <n v="-1000007891"/>
    <s v=""/>
    <s v=""/>
    <s v="42"/>
    <x v="2"/>
    <s v="EU"/>
    <s v="12"/>
    <s v="11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-1003534539"/>
    <n v="-1000007891"/>
    <s v=""/>
    <s v=""/>
    <s v="53"/>
    <x v="4"/>
    <s v="EU"/>
    <s v="22"/>
    <s v="15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831"/>
    <n v="-1000007893"/>
    <s v=""/>
    <s v=""/>
    <s v="52"/>
    <x v="0"/>
    <s v="EU"/>
    <s v="13"/>
    <s v="1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10393819"/>
    <n v="901807897"/>
    <s v=""/>
    <s v=""/>
    <s v="52"/>
    <x v="0"/>
    <s v="EU"/>
    <s v="13"/>
    <s v="9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781"/>
    <n v="-1000013311"/>
    <s v=""/>
    <s v="W"/>
    <s v=""/>
    <x v="6"/>
    <s v=""/>
    <s v="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10393828"/>
    <n v="901807897"/>
    <s v=""/>
    <s v=""/>
    <s v="52"/>
    <x v="0"/>
    <s v="EU"/>
    <s v="13"/>
    <s v="9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657"/>
    <n v="-1000007893"/>
    <s v=""/>
    <s v="NP"/>
    <s v=""/>
    <x v="6"/>
    <s v=""/>
    <s v=""/>
    <s v="2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10393861"/>
    <n v="901807897"/>
    <s v="0"/>
    <s v="RG"/>
    <s v="2M"/>
    <x v="3"/>
    <s v="MY"/>
    <s v="2"/>
    <s v="4"/>
    <s v="Scales"/>
    <n v="2126660001"/>
    <s v="2 SCALES ACROSS PER FISH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73754"/>
  </r>
  <r>
    <n v="-1004097661"/>
    <n v="-1000013311"/>
    <s v=""/>
    <s v=""/>
    <s v="53"/>
    <x v="4"/>
    <s v="EU"/>
    <s v="2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10393600"/>
    <n v="901807897"/>
    <s v=""/>
    <s v="UM"/>
    <s v="S2"/>
    <x v="15"/>
    <s v="FW"/>
    <s v="1"/>
    <s v="1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651"/>
    <n v="-1000007893"/>
    <s v=""/>
    <s v=""/>
    <s v="31"/>
    <x v="7"/>
    <s v="EU"/>
    <s v="02"/>
    <s v="2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6926731"/>
    <n v="1621560383"/>
    <s v=""/>
    <s v=""/>
    <s v="41"/>
    <x v="1"/>
    <s v="EU"/>
    <s v="03"/>
    <s v="40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761"/>
    <n v="-1000013311"/>
    <s v=""/>
    <s v=""/>
    <s v="2M"/>
    <x v="3"/>
    <s v="MY"/>
    <s v="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6926776"/>
    <n v="1621560383"/>
    <s v=""/>
    <s v=""/>
    <s v="42"/>
    <x v="2"/>
    <s v="EU"/>
    <s v="12"/>
    <s v="55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609"/>
    <n v="901807897"/>
    <s v=""/>
    <s v=""/>
    <s v="42"/>
    <x v="2"/>
    <s v="EU"/>
    <s v="12"/>
    <s v="2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691"/>
    <n v="-1000007893"/>
    <s v=""/>
    <s v="RG"/>
    <s v=""/>
    <x v="6"/>
    <s v=""/>
    <s v=""/>
    <s v="1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10393594"/>
    <n v="901807897"/>
    <s v=""/>
    <s v=""/>
    <s v="42"/>
    <x v="2"/>
    <s v="EU"/>
    <s v="12"/>
    <s v="1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895"/>
    <n v="-1000007893"/>
    <s v=""/>
    <s v=""/>
    <s v="32"/>
    <x v="11"/>
    <s v="EU"/>
    <s v="11"/>
    <s v="1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6926713"/>
    <n v="1621560383"/>
    <s v=""/>
    <s v=""/>
    <s v="41"/>
    <x v="1"/>
    <s v="EU"/>
    <s v="03"/>
    <s v="34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639"/>
    <n v="-1000007893"/>
    <s v=""/>
    <s v=""/>
    <s v="42"/>
    <x v="2"/>
    <s v="EU"/>
    <s v="12"/>
    <s v="1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6926755"/>
    <n v="1621560383"/>
    <s v=""/>
    <s v=""/>
    <s v="41"/>
    <x v="1"/>
    <s v="EU"/>
    <s v="03"/>
    <s v="48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787"/>
    <n v="-1000013311"/>
    <s v=""/>
    <s v="W"/>
    <s v=""/>
    <x v="6"/>
    <s v=""/>
    <s v="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539"/>
    <n v="-1000013311"/>
    <s v=""/>
    <s v=""/>
    <s v="42"/>
    <x v="2"/>
    <s v="EU"/>
    <s v="1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711"/>
    <n v="-1000013311"/>
    <s v=""/>
    <s v=""/>
    <s v="53"/>
    <x v="4"/>
    <s v="EU"/>
    <s v="2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3534815"/>
    <n v="-1000007893"/>
    <s v=""/>
    <s v=""/>
    <s v="42"/>
    <x v="2"/>
    <s v="EU"/>
    <s v="12"/>
    <s v="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4097797"/>
    <n v="-1000013311"/>
    <s v=""/>
    <s v=""/>
    <s v="42"/>
    <x v="2"/>
    <s v="EU"/>
    <s v="12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55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861"/>
    <n v="-1000013311"/>
    <s v=""/>
    <s v=""/>
    <s v="42"/>
    <x v="2"/>
    <s v="EU"/>
    <s v="1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519"/>
    <n v="-1000013311"/>
    <s v=""/>
    <s v=""/>
    <s v="42"/>
    <x v="2"/>
    <s v="EU"/>
    <s v="12"/>
    <s v="1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837"/>
    <n v="901807897"/>
    <s v=""/>
    <s v=""/>
    <s v="42"/>
    <x v="2"/>
    <s v="EU"/>
    <s v="12"/>
    <s v="9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810"/>
    <n v="901807897"/>
    <s v=""/>
    <s v=""/>
    <s v="52"/>
    <x v="0"/>
    <s v="EU"/>
    <s v="13"/>
    <s v="8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851"/>
    <n v="-1000007893"/>
    <s v=""/>
    <s v=""/>
    <s v="31"/>
    <x v="7"/>
    <s v="EU"/>
    <s v="02"/>
    <s v="2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10393783"/>
    <n v="901807897"/>
    <s v=""/>
    <s v=""/>
    <s v="42"/>
    <x v="2"/>
    <s v="EU"/>
    <s v="12"/>
    <s v="7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547"/>
    <n v="-1000007891"/>
    <s v=""/>
    <s v=""/>
    <s v="42"/>
    <x v="2"/>
    <s v="EU"/>
    <s v="12"/>
    <s v="19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609"/>
    <n v="-1000007891"/>
    <s v=""/>
    <s v=""/>
    <s v="42"/>
    <x v="2"/>
    <s v="EU"/>
    <s v="12"/>
    <s v="25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6926689"/>
    <n v="1621560383"/>
    <s v=""/>
    <s v=""/>
    <s v="42"/>
    <x v="2"/>
    <s v="EU"/>
    <s v="12"/>
    <s v="26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761"/>
    <n v="-1000007893"/>
    <s v=""/>
    <s v="W"/>
    <s v=""/>
    <x v="6"/>
    <s v=""/>
    <s v=""/>
    <s v="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6926782"/>
    <n v="1621560383"/>
    <s v=""/>
    <s v=""/>
    <s v="52"/>
    <x v="0"/>
    <s v="EU"/>
    <s v="13"/>
    <s v="57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647"/>
    <n v="-1000007893"/>
    <s v=""/>
    <s v=""/>
    <s v="42"/>
    <x v="2"/>
    <s v="EU"/>
    <s v="12"/>
    <s v="1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4097815"/>
    <n v="-1000013311"/>
    <s v=""/>
    <s v=""/>
    <s v="42"/>
    <x v="2"/>
    <s v="EU"/>
    <s v="12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47"/>
    <n v="-1000013311"/>
    <s v=""/>
    <s v="RG"/>
    <s v=""/>
    <x v="6"/>
    <s v=""/>
    <s v="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587"/>
    <n v="-1000013311"/>
    <s v=""/>
    <s v=""/>
    <s v="42"/>
    <x v="2"/>
    <s v="EU"/>
    <s v="12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10393597"/>
    <n v="901807897"/>
    <s v=""/>
    <s v=""/>
    <s v="42"/>
    <x v="2"/>
    <s v="EU"/>
    <s v="12"/>
    <s v="1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11"/>
    <n v="901807897"/>
    <s v=""/>
    <s v=""/>
    <s v="42"/>
    <x v="2"/>
    <s v="EU"/>
    <s v="12"/>
    <s v="5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831"/>
    <n v="-1000013311"/>
    <s v=""/>
    <s v="W"/>
    <s v=""/>
    <x v="6"/>
    <s v=""/>
    <s v="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3534881"/>
    <n v="-1000007893"/>
    <s v=""/>
    <s v=""/>
    <s v="41"/>
    <x v="1"/>
    <s v="EU"/>
    <s v="03"/>
    <s v="1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3534405"/>
    <n v="-1000007887"/>
    <s v=""/>
    <s v=""/>
    <s v=""/>
    <x v="6"/>
    <s v=""/>
    <s v=""/>
    <s v="2"/>
    <s v="Scales"/>
    <n v="2126660001"/>
    <s v="10 SCALES ACROSS PER FISH"/>
    <n v="-1000005620"/>
    <s v="ATNARKO ESCAPEMENT-1989"/>
    <n v="968"/>
    <s v="BELLA COOLA RIVER"/>
    <x v="17"/>
    <s v="107"/>
    <n v="1"/>
    <s v="SOCKEYE SALMON"/>
    <n v="2086090006"/>
    <x v="0"/>
    <n v="11"/>
    <s v="Other Gillnet/Set Net"/>
    <s v="Adult"/>
    <d v="1989-06-20T00:00:00"/>
    <d v="1989-06-20T00:00:00"/>
    <s v="1989310010747954"/>
  </r>
  <r>
    <n v="-1003534623"/>
    <n v="-1000007893"/>
    <s v=""/>
    <s v="RG"/>
    <s v=""/>
    <x v="6"/>
    <s v=""/>
    <s v=""/>
    <s v="7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6926626"/>
    <n v="1621560383"/>
    <s v=""/>
    <s v=""/>
    <s v="52"/>
    <x v="0"/>
    <s v="EU"/>
    <s v="13"/>
    <s v="5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10393804"/>
    <n v="901807897"/>
    <s v=""/>
    <s v=""/>
    <s v="42"/>
    <x v="2"/>
    <s v="EU"/>
    <s v="12"/>
    <s v="8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659"/>
    <n v="1621560383"/>
    <s v=""/>
    <s v=""/>
    <s v="41"/>
    <x v="1"/>
    <s v="EU"/>
    <s v="03"/>
    <s v="16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581"/>
    <n v="-1000013311"/>
    <s v=""/>
    <s v=""/>
    <s v="42"/>
    <x v="2"/>
    <s v="EU"/>
    <s v="12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53"/>
    <n v="-1000013311"/>
    <s v=""/>
    <s v=""/>
    <s v="42"/>
    <x v="2"/>
    <s v="EU"/>
    <s v="12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65"/>
    <n v="-1000013311"/>
    <s v=""/>
    <s v="RG"/>
    <s v=""/>
    <x v="6"/>
    <s v=""/>
    <s v="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691"/>
    <n v="-1000013311"/>
    <s v=""/>
    <s v="RG"/>
    <s v=""/>
    <x v="6"/>
    <s v=""/>
    <s v="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6926758"/>
    <n v="1621560383"/>
    <s v=""/>
    <s v=""/>
    <s v="41"/>
    <x v="1"/>
    <s v="EU"/>
    <s v="03"/>
    <s v="49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53"/>
    <n v="1621560383"/>
    <s v=""/>
    <s v=""/>
    <s v="41"/>
    <x v="1"/>
    <s v="EU"/>
    <s v="03"/>
    <s v="14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549"/>
    <n v="-1000007891"/>
    <s v=""/>
    <s v=""/>
    <s v="42"/>
    <x v="2"/>
    <s v="EU"/>
    <s v="12"/>
    <s v="20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4097853"/>
    <n v="-1000013311"/>
    <s v=""/>
    <s v=""/>
    <s v="42"/>
    <x v="2"/>
    <s v="EU"/>
    <s v="12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3534705"/>
    <n v="-1000007893"/>
    <s v=""/>
    <s v=""/>
    <s v=""/>
    <x v="6"/>
    <s v=""/>
    <s v=""/>
    <s v="2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10393732"/>
    <n v="901807897"/>
    <s v=""/>
    <s v="UM"/>
    <s v="S2"/>
    <x v="15"/>
    <s v="FW"/>
    <s v="1"/>
    <s v="6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759"/>
    <n v="-1000007893"/>
    <s v=""/>
    <s v="W"/>
    <s v=""/>
    <x v="6"/>
    <s v=""/>
    <s v=""/>
    <s v="2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677"/>
    <n v="-1000013311"/>
    <s v=""/>
    <s v=""/>
    <s v="42"/>
    <x v="2"/>
    <s v="EU"/>
    <s v="12"/>
    <s v="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10393849"/>
    <n v="901807897"/>
    <s v=""/>
    <s v=""/>
    <s v="42"/>
    <x v="2"/>
    <s v="EU"/>
    <s v="12"/>
    <s v="10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63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10393618"/>
    <n v="901807897"/>
    <s v=""/>
    <s v=""/>
    <s v="42"/>
    <x v="2"/>
    <s v="EU"/>
    <s v="12"/>
    <s v="2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48"/>
    <n v="901807897"/>
    <s v=""/>
    <s v=""/>
    <s v="42"/>
    <x v="2"/>
    <s v="EU"/>
    <s v="12"/>
    <s v="3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27"/>
    <n v="901807897"/>
    <s v=""/>
    <s v=""/>
    <s v="42"/>
    <x v="2"/>
    <s v="EU"/>
    <s v="12"/>
    <s v="2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801"/>
    <n v="-1000013311"/>
    <s v=""/>
    <s v=""/>
    <s v="42"/>
    <x v="2"/>
    <s v="EU"/>
    <s v="12"/>
    <s v="1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863"/>
    <n v="-1000013311"/>
    <s v=""/>
    <s v=""/>
    <s v="52"/>
    <x v="0"/>
    <s v="EU"/>
    <s v="13"/>
    <s v="1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735"/>
    <n v="-1000013311"/>
    <s v=""/>
    <s v=""/>
    <s v="42"/>
    <x v="2"/>
    <s v="EU"/>
    <s v="1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4097509"/>
    <n v="-1000013311"/>
    <s v=""/>
    <s v=""/>
    <s v="42"/>
    <x v="2"/>
    <s v="EU"/>
    <s v="12"/>
    <s v="1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4097803"/>
    <n v="-1000013311"/>
    <s v=""/>
    <s v="W"/>
    <s v=""/>
    <x v="6"/>
    <s v=""/>
    <s v=""/>
    <s v="18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6926620"/>
    <n v="1621560383"/>
    <s v=""/>
    <s v=""/>
    <s v="52"/>
    <x v="0"/>
    <s v="EU"/>
    <s v="13"/>
    <s v="3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807"/>
    <n v="-1000013311"/>
    <s v=""/>
    <s v=""/>
    <s v="42"/>
    <x v="2"/>
    <s v="EU"/>
    <s v="1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10393567"/>
    <n v="901807897"/>
    <s v=""/>
    <s v=""/>
    <s v="42"/>
    <x v="2"/>
    <s v="EU"/>
    <s v="12"/>
    <s v="6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561"/>
    <n v="-1000007891"/>
    <s v=""/>
    <s v=""/>
    <s v="42"/>
    <x v="2"/>
    <s v="EU"/>
    <s v="12"/>
    <s v="1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10393705"/>
    <n v="901807897"/>
    <s v=""/>
    <s v=""/>
    <s v="42"/>
    <x v="2"/>
    <s v="EU"/>
    <s v="12"/>
    <s v="5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565"/>
    <n v="-1000013311"/>
    <s v=""/>
    <s v=""/>
    <s v="42"/>
    <x v="2"/>
    <s v="EU"/>
    <s v="12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10393771"/>
    <n v="901807897"/>
    <s v=""/>
    <s v=""/>
    <s v="42"/>
    <x v="2"/>
    <s v="EU"/>
    <s v="12"/>
    <s v="7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6926767"/>
    <n v="1621560383"/>
    <s v=""/>
    <s v=""/>
    <s v="41"/>
    <x v="1"/>
    <s v="EU"/>
    <s v="03"/>
    <s v="52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767"/>
    <n v="-1000007893"/>
    <s v=""/>
    <s v=""/>
    <s v="42"/>
    <x v="2"/>
    <s v="EU"/>
    <s v="12"/>
    <s v="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531"/>
    <n v="-1000013311"/>
    <s v=""/>
    <s v=""/>
    <s v="42"/>
    <x v="2"/>
    <s v="EU"/>
    <s v="12"/>
    <s v="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729"/>
    <n v="901807897"/>
    <s v=""/>
    <s v=""/>
    <s v="42"/>
    <x v="2"/>
    <s v="EU"/>
    <s v="12"/>
    <s v="6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725"/>
    <n v="-1000007893"/>
    <s v=""/>
    <s v=""/>
    <s v="42"/>
    <x v="2"/>
    <s v="EU"/>
    <s v="12"/>
    <s v="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6926707"/>
    <n v="1621560383"/>
    <s v=""/>
    <s v=""/>
    <s v="31"/>
    <x v="7"/>
    <s v="EU"/>
    <s v="02"/>
    <s v="32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6926635"/>
    <n v="1621560383"/>
    <s v=""/>
    <s v=""/>
    <s v="41"/>
    <x v="1"/>
    <s v="EU"/>
    <s v="03"/>
    <s v="8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362377"/>
    <n v="-1000014997"/>
    <s v=""/>
    <s v=""/>
    <s v="42"/>
    <x v="2"/>
    <s v="EU"/>
    <s v="12"/>
    <s v="1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-1004097561"/>
    <n v="-1000013311"/>
    <s v=""/>
    <s v=""/>
    <s v="42"/>
    <x v="2"/>
    <s v="EU"/>
    <s v="1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362393"/>
    <n v="-1000014997"/>
    <s v=""/>
    <s v=""/>
    <s v="52"/>
    <x v="0"/>
    <s v="EU"/>
    <s v="13"/>
    <s v="3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-1004362405"/>
    <n v="-1000014997"/>
    <s v=""/>
    <s v=""/>
    <s v="52"/>
    <x v="0"/>
    <s v="EU"/>
    <s v="13"/>
    <s v="7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-1004362407"/>
    <n v="-1000014997"/>
    <s v=""/>
    <s v=""/>
    <s v="42"/>
    <x v="2"/>
    <s v="EU"/>
    <s v="12"/>
    <s v="6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-1004362415"/>
    <n v="-1000014997"/>
    <s v=""/>
    <s v=""/>
    <s v="41"/>
    <x v="1"/>
    <s v="EU"/>
    <s v="03"/>
    <s v="2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-1004360475"/>
    <n v="-1000014991"/>
    <s v=""/>
    <s v=""/>
    <s v="42"/>
    <x v="2"/>
    <s v="EU"/>
    <s v="12"/>
    <s v="9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-1004360489"/>
    <n v="-1000014991"/>
    <s v=""/>
    <s v=""/>
    <s v="41"/>
    <x v="1"/>
    <s v="EU"/>
    <s v="03"/>
    <s v="2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-1004360491"/>
    <n v="-1000014991"/>
    <s v=""/>
    <s v=""/>
    <s v="41"/>
    <x v="1"/>
    <s v="EU"/>
    <s v="03"/>
    <s v="1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-1004360497"/>
    <n v="-1000014991"/>
    <s v=""/>
    <s v=""/>
    <s v="42"/>
    <x v="2"/>
    <s v="EU"/>
    <s v="12"/>
    <s v="8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4360499"/>
    <n v="-1000014991"/>
    <s v=""/>
    <s v=""/>
    <s v="42"/>
    <x v="2"/>
    <s v="EU"/>
    <s v="12"/>
    <s v="7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4360511"/>
    <n v="-1000014991"/>
    <s v=""/>
    <s v=""/>
    <s v="42"/>
    <x v="2"/>
    <s v="EU"/>
    <s v="12"/>
    <s v="1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4360519"/>
    <n v="-1000014991"/>
    <s v=""/>
    <s v=""/>
    <s v="52"/>
    <x v="0"/>
    <s v="EU"/>
    <s v="13"/>
    <s v="7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-1004360523"/>
    <n v="-1000014991"/>
    <s v=""/>
    <s v=""/>
    <s v="52"/>
    <x v="0"/>
    <s v="EU"/>
    <s v="13"/>
    <s v="5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-1004360531"/>
    <n v="-1000014991"/>
    <s v=""/>
    <s v=""/>
    <s v="42"/>
    <x v="2"/>
    <s v="EU"/>
    <s v="12"/>
    <s v="1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-1004360533"/>
    <n v="-1000014991"/>
    <s v=""/>
    <s v=""/>
    <s v="41"/>
    <x v="1"/>
    <s v="EU"/>
    <s v="03"/>
    <s v="10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35"/>
    <n v="-1000014991"/>
    <s v=""/>
    <s v=""/>
    <s v="52"/>
    <x v="0"/>
    <s v="EU"/>
    <s v="13"/>
    <s v="9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41"/>
    <n v="-1000014991"/>
    <s v=""/>
    <s v=""/>
    <s v="42"/>
    <x v="2"/>
    <s v="EU"/>
    <s v="12"/>
    <s v="6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45"/>
    <n v="-1000014991"/>
    <s v=""/>
    <s v=""/>
    <s v="41"/>
    <x v="1"/>
    <s v="EU"/>
    <s v="03"/>
    <s v="4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47"/>
    <n v="-1000014991"/>
    <s v=""/>
    <s v=""/>
    <s v="42"/>
    <x v="2"/>
    <s v="EU"/>
    <s v="12"/>
    <s v="3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51"/>
    <n v="-1000014991"/>
    <s v=""/>
    <s v=""/>
    <s v="52"/>
    <x v="0"/>
    <s v="EU"/>
    <s v="13"/>
    <s v="1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49"/>
    <n v="-1000014991"/>
    <s v=""/>
    <s v=""/>
    <s v="42"/>
    <x v="2"/>
    <s v="EU"/>
    <s v="12"/>
    <s v="2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0553"/>
    <n v="-1000014991"/>
    <s v=""/>
    <s v=""/>
    <s v="41"/>
    <x v="1"/>
    <s v="EU"/>
    <s v="03"/>
    <s v="10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4360559"/>
    <n v="-1000014991"/>
    <s v=""/>
    <s v=""/>
    <s v="42"/>
    <x v="2"/>
    <s v="EU"/>
    <s v="12"/>
    <s v="7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4360567"/>
    <n v="-1000014991"/>
    <s v=""/>
    <s v=""/>
    <s v="42"/>
    <x v="2"/>
    <s v="EU"/>
    <s v="12"/>
    <s v="3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3534645"/>
    <n v="-1000007893"/>
    <s v=""/>
    <s v=""/>
    <s v="42"/>
    <x v="2"/>
    <s v="EU"/>
    <s v="12"/>
    <s v="1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3534669"/>
    <n v="-1000007893"/>
    <s v=""/>
    <s v=""/>
    <s v="42"/>
    <x v="2"/>
    <s v="EU"/>
    <s v="12"/>
    <s v="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409778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-1004097799"/>
    <n v="-1000013311"/>
    <s v=""/>
    <s v=""/>
    <s v="41"/>
    <x v="1"/>
    <s v="EU"/>
    <s v="03"/>
    <s v="20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70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3534515"/>
    <n v="-1000007891"/>
    <s v=""/>
    <s v=""/>
    <s v="42"/>
    <x v="2"/>
    <s v="EU"/>
    <s v="12"/>
    <s v="3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731"/>
    <n v="-1000007893"/>
    <s v=""/>
    <s v="W"/>
    <s v=""/>
    <x v="6"/>
    <s v=""/>
    <s v=""/>
    <s v="1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n v="-1004097775"/>
    <n v="-1000013311"/>
    <s v=""/>
    <s v="W"/>
    <s v=""/>
    <x v="6"/>
    <s v=""/>
    <s v=""/>
    <s v="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10393570"/>
    <n v="901807897"/>
    <s v=""/>
    <s v=""/>
    <s v="42"/>
    <x v="2"/>
    <s v="EU"/>
    <s v="12"/>
    <s v="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765"/>
    <n v="-1000013311"/>
    <s v=""/>
    <s v=""/>
    <s v="2M"/>
    <x v="3"/>
    <s v="MY"/>
    <s v="2"/>
    <s v="1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10393669"/>
    <n v="901807897"/>
    <s v=""/>
    <s v=""/>
    <s v="42"/>
    <x v="2"/>
    <s v="EU"/>
    <s v="12"/>
    <s v="40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41"/>
    <n v="901807897"/>
    <s v=""/>
    <s v=""/>
    <s v="42"/>
    <x v="2"/>
    <s v="EU"/>
    <s v="12"/>
    <s v="64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792"/>
    <n v="901807897"/>
    <s v=""/>
    <s v=""/>
    <s v="42"/>
    <x v="2"/>
    <s v="EU"/>
    <s v="12"/>
    <s v="8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10393630"/>
    <n v="901807897"/>
    <s v=""/>
    <s v=""/>
    <s v="42"/>
    <x v="2"/>
    <s v="EU"/>
    <s v="12"/>
    <s v="27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541"/>
    <n v="-1000013311"/>
    <s v=""/>
    <s v=""/>
    <s v="42"/>
    <x v="2"/>
    <s v="EU"/>
    <s v="12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21"/>
    <n v="-1000013311"/>
    <s v=""/>
    <s v=""/>
    <s v="42"/>
    <x v="2"/>
    <s v="EU"/>
    <s v="1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3534563"/>
    <n v="-1000007891"/>
    <s v=""/>
    <s v="W"/>
    <s v=""/>
    <x v="6"/>
    <s v=""/>
    <s v=""/>
    <s v="2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5"/>
  </r>
  <r>
    <n v="10393774"/>
    <n v="901807897"/>
    <s v=""/>
    <s v=""/>
    <s v="42"/>
    <x v="2"/>
    <s v="EU"/>
    <s v="12"/>
    <s v="75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801"/>
    <n v="-1000007893"/>
    <s v=""/>
    <s v=""/>
    <s v="41"/>
    <x v="1"/>
    <s v="EU"/>
    <s v="03"/>
    <s v="21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737"/>
    <n v="-1000013311"/>
    <s v=""/>
    <s v=""/>
    <s v="53"/>
    <x v="4"/>
    <s v="EU"/>
    <s v="22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4"/>
  </r>
  <r>
    <n v="-1003534791"/>
    <n v="-1000007893"/>
    <s v=""/>
    <s v=""/>
    <s v="42"/>
    <x v="2"/>
    <s v="EU"/>
    <s v="12"/>
    <s v="16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4097885"/>
    <n v="-1000013311"/>
    <s v=""/>
    <s v="W"/>
    <s v=""/>
    <x v="6"/>
    <s v=""/>
    <s v="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6926692"/>
    <n v="1621560383"/>
    <s v=""/>
    <s v=""/>
    <s v="42"/>
    <x v="2"/>
    <s v="EU"/>
    <s v="12"/>
    <s v="27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511"/>
    <n v="-1000013311"/>
    <s v=""/>
    <s v=""/>
    <s v="42"/>
    <x v="2"/>
    <s v="EU"/>
    <s v="1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-1003534709"/>
    <n v="-1000007893"/>
    <s v=""/>
    <s v=""/>
    <s v="42"/>
    <x v="2"/>
    <s v="EU"/>
    <s v="12"/>
    <s v="2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4097657"/>
    <n v="-1000013311"/>
    <s v=""/>
    <s v=""/>
    <s v="42"/>
    <x v="2"/>
    <s v="EU"/>
    <s v="1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10393762"/>
    <n v="901807897"/>
    <s v=""/>
    <s v=""/>
    <s v="42"/>
    <x v="2"/>
    <s v="EU"/>
    <s v="12"/>
    <s v="71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543"/>
    <n v="-1000007891"/>
    <s v=""/>
    <s v="NP"/>
    <s v=""/>
    <x v="6"/>
    <s v=""/>
    <s v=""/>
    <s v="17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6926650"/>
    <n v="1621560383"/>
    <s v=""/>
    <s v=""/>
    <s v="52"/>
    <x v="0"/>
    <s v="EU"/>
    <s v="13"/>
    <s v="13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3534559"/>
    <n v="-1000007891"/>
    <s v=""/>
    <s v=""/>
    <s v="42"/>
    <x v="2"/>
    <s v="EU"/>
    <s v="12"/>
    <s v="25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3534809"/>
    <n v="-1000007893"/>
    <s v=""/>
    <s v=""/>
    <s v="31"/>
    <x v="7"/>
    <s v="EU"/>
    <s v="02"/>
    <s v="2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n v="-1003534845"/>
    <n v="-1000007893"/>
    <s v=""/>
    <s v=""/>
    <s v="42"/>
    <x v="2"/>
    <s v="EU"/>
    <s v="12"/>
    <s v="1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703"/>
    <n v="-1000007893"/>
    <s v=""/>
    <s v=""/>
    <s v="42"/>
    <x v="2"/>
    <s v="EU"/>
    <s v="12"/>
    <s v="22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n v="-1003534545"/>
    <n v="-1000007891"/>
    <s v=""/>
    <s v="RG"/>
    <s v=""/>
    <x v="6"/>
    <s v=""/>
    <s v=""/>
    <s v="18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4097667"/>
    <n v="-1000013311"/>
    <s v=""/>
    <s v=""/>
    <s v="42"/>
    <x v="2"/>
    <s v="EU"/>
    <s v="1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3534877"/>
    <n v="-1000007893"/>
    <s v=""/>
    <s v=""/>
    <s v="31"/>
    <x v="7"/>
    <s v="EU"/>
    <s v="02"/>
    <s v="9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10393588"/>
    <n v="901807897"/>
    <s v=""/>
    <s v=""/>
    <s v="52"/>
    <x v="0"/>
    <s v="EU"/>
    <s v="13"/>
    <s v="13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3534537"/>
    <n v="-1000007891"/>
    <s v=""/>
    <s v=""/>
    <s v="42"/>
    <x v="2"/>
    <s v="EU"/>
    <s v="12"/>
    <s v="14"/>
    <s v="Scales"/>
    <n v="2126660001"/>
    <s v="2 SCALES ACROSS PER FISH"/>
    <n v="-1000005620"/>
    <s v="ATNARKO ESCAPEMENT-1989"/>
    <n v="3109"/>
    <s v="8"/>
    <x v="17"/>
    <s v="233"/>
    <n v="1"/>
    <s v="SOCKEYE SALMON"/>
    <n v="2086090006"/>
    <x v="0"/>
    <n v="11"/>
    <s v="Other Gillnet/Set Net"/>
    <s v="Adult"/>
    <d v="1989-07-26T00:00:00"/>
    <d v="1989-07-26T00:00:00"/>
    <s v="1989310023347334"/>
  </r>
  <r>
    <n v="-1004097589"/>
    <n v="-1000013311"/>
    <s v=""/>
    <s v=""/>
    <s v="42"/>
    <x v="2"/>
    <s v="EU"/>
    <s v="12"/>
    <s v="25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3534825"/>
    <n v="-1000007893"/>
    <s v=""/>
    <s v=""/>
    <s v="31"/>
    <x v="7"/>
    <s v="EU"/>
    <s v="02"/>
    <s v="8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4097687"/>
    <n v="-1000013311"/>
    <s v=""/>
    <s v=""/>
    <s v="42"/>
    <x v="2"/>
    <s v="EU"/>
    <s v="12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3534835"/>
    <n v="-1000007893"/>
    <s v=""/>
    <s v="W"/>
    <s v=""/>
    <x v="6"/>
    <s v=""/>
    <s v=""/>
    <s v="13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37"/>
    <n v="-1000007893"/>
    <s v=""/>
    <s v=""/>
    <s v="42"/>
    <x v="2"/>
    <s v="EU"/>
    <s v="12"/>
    <s v="1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3534867"/>
    <n v="-1000007893"/>
    <s v=""/>
    <s v=""/>
    <s v="31"/>
    <x v="7"/>
    <s v="EU"/>
    <s v="02"/>
    <s v="4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n v="-1004097821"/>
    <n v="-1000013311"/>
    <s v=""/>
    <s v=""/>
    <s v="42"/>
    <x v="2"/>
    <s v="EU"/>
    <s v="12"/>
    <s v="9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3534839"/>
    <n v="-1000007893"/>
    <s v=""/>
    <s v=""/>
    <s v="42"/>
    <x v="2"/>
    <s v="EU"/>
    <s v="12"/>
    <s v="1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n v="-1004097641"/>
    <n v="-1000013311"/>
    <s v=""/>
    <s v=""/>
    <s v="42"/>
    <x v="2"/>
    <s v="EU"/>
    <s v="12"/>
    <s v="2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3534659"/>
    <n v="-1000007893"/>
    <s v=""/>
    <s v=""/>
    <s v="32"/>
    <x v="11"/>
    <s v="EU"/>
    <s v="11"/>
    <s v="25"/>
    <s v="Scales"/>
    <n v="2126660001"/>
    <s v="2 SCALES ACROSS PER FISH"/>
    <n v="-1000005620"/>
    <s v="ATNARKO ESCAPEMENT-1989"/>
    <n v="968"/>
    <s v="BELLA COOLA RIVER"/>
    <x v="17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n v="-1004097617"/>
    <n v="-1000013311"/>
    <s v=""/>
    <s v=""/>
    <s v="42"/>
    <x v="2"/>
    <s v="EU"/>
    <s v="12"/>
    <s v="1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883"/>
    <n v="-1000013311"/>
    <s v=""/>
    <s v=""/>
    <s v="42"/>
    <x v="2"/>
    <s v="EU"/>
    <s v="12"/>
    <s v="3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7"/>
  </r>
  <r>
    <n v="-1004097811"/>
    <n v="-1000013311"/>
    <s v=""/>
    <s v=""/>
    <s v="42"/>
    <x v="2"/>
    <s v="EU"/>
    <s v="12"/>
    <s v="14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6"/>
  </r>
  <r>
    <n v="-1004097497"/>
    <n v="-1000013311"/>
    <s v=""/>
    <s v=""/>
    <s v="42"/>
    <x v="2"/>
    <s v="EU"/>
    <s v="12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0"/>
  </r>
  <r>
    <n v="10393843"/>
    <n v="901807897"/>
    <s v=""/>
    <s v=""/>
    <s v="52"/>
    <x v="0"/>
    <s v="EU"/>
    <s v="13"/>
    <s v="98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-100409755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1"/>
  </r>
  <r>
    <n v="-1004097685"/>
    <n v="-1000013311"/>
    <s v=""/>
    <s v=""/>
    <s v="42"/>
    <x v="2"/>
    <s v="EU"/>
    <s v="12"/>
    <s v="2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6926641"/>
    <n v="1621560383"/>
    <s v=""/>
    <s v="MF"/>
    <s v=""/>
    <x v="6"/>
    <s v="EU"/>
    <s v=""/>
    <s v="10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-1004097607"/>
    <n v="-1000013311"/>
    <s v=""/>
    <s v=""/>
    <s v="42"/>
    <x v="2"/>
    <s v="EU"/>
    <s v="12"/>
    <s v="16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37"/>
    <n v="-1000013311"/>
    <s v=""/>
    <s v=""/>
    <s v="52"/>
    <x v="0"/>
    <s v="EU"/>
    <s v="13"/>
    <s v="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2"/>
  </r>
  <r>
    <n v="-1004097655"/>
    <n v="-1000013311"/>
    <s v=""/>
    <s v=""/>
    <s v="42"/>
    <x v="2"/>
    <s v="EU"/>
    <s v="12"/>
    <s v="17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3"/>
  </r>
  <r>
    <n v="-1004097747"/>
    <n v="-1000013311"/>
    <s v=""/>
    <s v=""/>
    <s v="2M"/>
    <x v="3"/>
    <s v="MY"/>
    <s v="2"/>
    <s v="21"/>
    <s v="Scales"/>
    <n v="2126660001"/>
    <s v="2 SCALES ACROSS PER FISH"/>
    <n v="-1000000907"/>
    <s v="BELLA COOLA COMMERCIAL SAMPLING PROGRAM-1991"/>
    <n v="3317"/>
    <s v="123"/>
    <x v="1"/>
    <s v="942"/>
    <n v="1"/>
    <s v="SOCKEYE SALMON"/>
    <n v="2086090003"/>
    <x v="2"/>
    <n v="10"/>
    <s v="Salmon Gillnet, Commercial"/>
    <s v="Adult"/>
    <d v="1991-07-15T00:00:00"/>
    <d v="1991-07-15T00:00:00"/>
    <s v="1991310594262825"/>
  </r>
  <r>
    <n v="6926677"/>
    <n v="1621560383"/>
    <s v=""/>
    <s v=""/>
    <s v="52"/>
    <x v="0"/>
    <s v="EU"/>
    <s v="13"/>
    <s v="22"/>
    <s v="Scales"/>
    <n v="2126660001"/>
    <s v="1 OTOLITH ACROSS (TRAY)"/>
    <n v="6248627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n v="8115716"/>
    <n v="1676851198"/>
    <s v=""/>
    <s v=""/>
    <s v="52"/>
    <x v="0"/>
    <s v="EU"/>
    <s v="13"/>
    <s v="3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0393675"/>
    <n v="901807897"/>
    <s v=""/>
    <s v=""/>
    <s v="42"/>
    <x v="2"/>
    <s v="EU"/>
    <s v="12"/>
    <s v="42"/>
    <s v="Otolith - Surface"/>
    <n v="2126660002"/>
    <s v="1 OTOLITH ACROSS (TRAY)"/>
    <n v="9848001"/>
    <s v="ATNARKO ESCAPEMENT - 2017"/>
    <n v="2840"/>
    <s v="LONESOME LAKE"/>
    <x v="19"/>
    <s v="2017/0505"/>
    <n v="1"/>
    <s v="SOCKEYE SALMON"/>
    <n v="2086090012"/>
    <x v="1"/>
    <n v="11"/>
    <s v="Other Gillnet/Set Net"/>
    <s v="Adult"/>
    <d v="2017-09-27T00:00:00"/>
    <d v="2017-09-27T00:00:00"/>
    <s v="Oto Tray#1"/>
  </r>
  <r>
    <n v="8115734"/>
    <n v="1676851198"/>
    <s v=""/>
    <s v=""/>
    <s v="41"/>
    <x v="1"/>
    <s v="EU"/>
    <s v="03"/>
    <s v="4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37"/>
    <n v="1676851198"/>
    <s v=""/>
    <s v=""/>
    <s v="42"/>
    <x v="2"/>
    <s v="EU"/>
    <s v="12"/>
    <s v="4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43"/>
    <n v="1676851198"/>
    <s v=""/>
    <s v=""/>
    <s v="52"/>
    <x v="0"/>
    <s v="EU"/>
    <s v="13"/>
    <s v="4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52"/>
    <n v="1676851198"/>
    <s v=""/>
    <s v=""/>
    <s v="41"/>
    <x v="1"/>
    <s v="EU"/>
    <s v="03"/>
    <s v="4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58"/>
    <n v="1676851198"/>
    <s v=""/>
    <s v=""/>
    <s v="52"/>
    <x v="0"/>
    <s v="EU"/>
    <s v="13"/>
    <s v="4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73"/>
    <n v="1676851198"/>
    <s v=""/>
    <s v=""/>
    <s v="42"/>
    <x v="2"/>
    <s v="EU"/>
    <s v="12"/>
    <s v="5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76"/>
    <n v="1676851198"/>
    <s v=""/>
    <s v=""/>
    <s v="52"/>
    <x v="0"/>
    <s v="EU"/>
    <s v="13"/>
    <s v="5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85"/>
    <n v="1676851198"/>
    <s v=""/>
    <s v=""/>
    <s v="42"/>
    <x v="2"/>
    <s v="EU"/>
    <s v="12"/>
    <s v="5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91"/>
    <n v="1676851198"/>
    <s v=""/>
    <s v=""/>
    <s v="52"/>
    <x v="0"/>
    <s v="EU"/>
    <s v="13"/>
    <s v="6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00"/>
    <n v="1676851198"/>
    <s v=""/>
    <s v=""/>
    <s v="52"/>
    <x v="0"/>
    <s v="EU"/>
    <s v="13"/>
    <s v="6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09"/>
    <n v="1676851198"/>
    <s v=""/>
    <s v=""/>
    <s v="52"/>
    <x v="0"/>
    <s v="EU"/>
    <s v="13"/>
    <s v="6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12"/>
    <n v="1676851198"/>
    <s v=""/>
    <s v=""/>
    <s v="52"/>
    <x v="0"/>
    <s v="EU"/>
    <s v="13"/>
    <s v="6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938"/>
    <n v="1676851198"/>
    <s v=""/>
    <s v=""/>
    <s v="52"/>
    <x v="0"/>
    <s v="EU"/>
    <s v="13"/>
    <s v="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65"/>
    <n v="1676851198"/>
    <s v=""/>
    <s v=""/>
    <s v="42"/>
    <x v="2"/>
    <s v="EU"/>
    <s v="12"/>
    <s v="1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71"/>
    <n v="1676851198"/>
    <s v=""/>
    <s v=""/>
    <s v="52"/>
    <x v="0"/>
    <s v="EU"/>
    <s v="13"/>
    <s v="1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74"/>
    <n v="1676851198"/>
    <s v=""/>
    <s v=""/>
    <s v="31"/>
    <x v="7"/>
    <s v="EU"/>
    <s v="02"/>
    <s v="1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80"/>
    <n v="1676851198"/>
    <s v=""/>
    <s v=""/>
    <s v="42"/>
    <x v="2"/>
    <s v="EU"/>
    <s v="12"/>
    <s v="1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815"/>
    <n v="1676851198"/>
    <s v=""/>
    <s v=""/>
    <s v="41"/>
    <x v="1"/>
    <s v="EU"/>
    <s v="03"/>
    <s v="6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21"/>
    <n v="1676851198"/>
    <s v=""/>
    <s v=""/>
    <s v="41"/>
    <x v="1"/>
    <s v="EU"/>
    <s v="03"/>
    <s v="7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24"/>
    <n v="1676851198"/>
    <s v=""/>
    <s v=""/>
    <s v="52"/>
    <x v="0"/>
    <s v="EU"/>
    <s v="13"/>
    <s v="7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27"/>
    <n v="1676851198"/>
    <s v=""/>
    <s v=""/>
    <s v="52"/>
    <x v="0"/>
    <s v="EU"/>
    <s v="13"/>
    <s v="7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33"/>
    <n v="1676851198"/>
    <s v=""/>
    <s v=""/>
    <s v="52"/>
    <x v="0"/>
    <s v="EU"/>
    <s v="13"/>
    <s v="7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36"/>
    <n v="1676851198"/>
    <s v=""/>
    <s v=""/>
    <s v="42"/>
    <x v="2"/>
    <s v="EU"/>
    <s v="12"/>
    <s v="7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57"/>
    <n v="1676851198"/>
    <s v=""/>
    <s v=""/>
    <s v="41"/>
    <x v="1"/>
    <s v="EU"/>
    <s v="03"/>
    <s v="8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136"/>
    <n v="1676851198"/>
    <s v=""/>
    <s v=""/>
    <s v="42"/>
    <x v="2"/>
    <s v="EU"/>
    <s v="12"/>
    <s v="7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863"/>
    <n v="1676851198"/>
    <s v=""/>
    <s v=""/>
    <s v="52"/>
    <x v="0"/>
    <s v="EU"/>
    <s v="13"/>
    <s v="8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145"/>
    <n v="1676851198"/>
    <s v=""/>
    <s v=""/>
    <s v="52"/>
    <x v="0"/>
    <s v="EU"/>
    <s v="13"/>
    <s v="7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57"/>
    <n v="1676851198"/>
    <s v=""/>
    <s v=""/>
    <s v="42"/>
    <x v="2"/>
    <s v="EU"/>
    <s v="12"/>
    <s v="7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60"/>
    <n v="1676851198"/>
    <s v=""/>
    <s v=""/>
    <s v="42"/>
    <x v="2"/>
    <s v="EU"/>
    <s v="12"/>
    <s v="7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69"/>
    <n v="1676851198"/>
    <s v=""/>
    <s v=""/>
    <s v="52"/>
    <x v="0"/>
    <s v="EU"/>
    <s v="13"/>
    <s v="8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78"/>
    <n v="1676851198"/>
    <s v=""/>
    <s v=""/>
    <s v="31"/>
    <x v="7"/>
    <s v="EU"/>
    <s v="02"/>
    <s v="8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81"/>
    <n v="1676851198"/>
    <s v=""/>
    <s v=""/>
    <s v="42"/>
    <x v="2"/>
    <s v="EU"/>
    <s v="12"/>
    <s v="8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05"/>
    <n v="1676851198"/>
    <s v=""/>
    <s v=""/>
    <s v="42"/>
    <x v="2"/>
    <s v="EU"/>
    <s v="12"/>
    <s v="9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08"/>
    <n v="1676851198"/>
    <s v=""/>
    <s v=""/>
    <s v="42"/>
    <x v="2"/>
    <s v="EU"/>
    <s v="12"/>
    <s v="9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14"/>
    <n v="1676851198"/>
    <s v=""/>
    <s v=""/>
    <s v="41"/>
    <x v="1"/>
    <s v="EU"/>
    <s v="03"/>
    <s v="9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20"/>
    <n v="1676851198"/>
    <s v=""/>
    <s v=""/>
    <s v="42"/>
    <x v="2"/>
    <s v="EU"/>
    <s v="12"/>
    <s v="9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26"/>
    <n v="1676851198"/>
    <s v=""/>
    <s v=""/>
    <s v="41"/>
    <x v="1"/>
    <s v="EU"/>
    <s v="03"/>
    <s v="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247"/>
    <n v="1676851198"/>
    <s v=""/>
    <s v=""/>
    <s v="42"/>
    <x v="2"/>
    <s v="EU"/>
    <s v="12"/>
    <s v="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986"/>
    <n v="1676851198"/>
    <s v=""/>
    <s v=""/>
    <s v="41"/>
    <x v="1"/>
    <s v="EU"/>
    <s v="03"/>
    <s v="2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98"/>
    <n v="1676851198"/>
    <s v=""/>
    <s v=""/>
    <s v="41"/>
    <x v="1"/>
    <s v="EU"/>
    <s v="03"/>
    <s v="2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07"/>
    <n v="1676851198"/>
    <s v=""/>
    <s v=""/>
    <s v="41"/>
    <x v="1"/>
    <s v="EU"/>
    <s v="03"/>
    <s v="2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10"/>
    <n v="1676851198"/>
    <s v=""/>
    <s v=""/>
    <s v="41"/>
    <x v="1"/>
    <s v="EU"/>
    <s v="03"/>
    <s v="2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13"/>
    <n v="1676851198"/>
    <s v=""/>
    <s v=""/>
    <s v="41"/>
    <x v="1"/>
    <s v="EU"/>
    <s v="03"/>
    <s v="3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19"/>
    <n v="1676851198"/>
    <s v=""/>
    <s v=""/>
    <s v="52"/>
    <x v="0"/>
    <s v="EU"/>
    <s v="13"/>
    <s v="3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22"/>
    <n v="1676851198"/>
    <s v=""/>
    <s v=""/>
    <s v="52"/>
    <x v="0"/>
    <s v="EU"/>
    <s v="13"/>
    <s v="3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25"/>
    <n v="1676851198"/>
    <s v=""/>
    <s v=""/>
    <s v="42"/>
    <x v="2"/>
    <s v="EU"/>
    <s v="12"/>
    <s v="3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40"/>
    <n v="1676851198"/>
    <s v=""/>
    <s v=""/>
    <s v="41"/>
    <x v="1"/>
    <s v="EU"/>
    <s v="03"/>
    <s v="3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55"/>
    <n v="1676851198"/>
    <s v=""/>
    <s v=""/>
    <s v="42"/>
    <x v="2"/>
    <s v="EU"/>
    <s v="12"/>
    <s v="4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58"/>
    <n v="1676851198"/>
    <s v=""/>
    <s v=""/>
    <s v="52"/>
    <x v="0"/>
    <s v="EU"/>
    <s v="13"/>
    <s v="4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61"/>
    <n v="1676851198"/>
    <s v=""/>
    <s v=""/>
    <s v="52"/>
    <x v="0"/>
    <s v="EU"/>
    <s v="13"/>
    <s v="4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70"/>
    <n v="1676851198"/>
    <s v=""/>
    <s v=""/>
    <s v="41"/>
    <x v="1"/>
    <s v="EU"/>
    <s v="03"/>
    <s v="4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79"/>
    <n v="1676851198"/>
    <s v=""/>
    <s v=""/>
    <s v="52"/>
    <x v="0"/>
    <s v="EU"/>
    <s v="13"/>
    <s v="5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82"/>
    <n v="1676851198"/>
    <s v=""/>
    <s v=""/>
    <s v="42"/>
    <x v="2"/>
    <s v="EU"/>
    <s v="12"/>
    <s v="5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85"/>
    <n v="1676851198"/>
    <s v=""/>
    <s v=""/>
    <s v="31"/>
    <x v="7"/>
    <s v="EU"/>
    <s v="02"/>
    <s v="5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88"/>
    <n v="1676851198"/>
    <s v=""/>
    <s v=""/>
    <s v="52"/>
    <x v="0"/>
    <s v="EU"/>
    <s v="13"/>
    <s v="5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94"/>
    <n v="1676851198"/>
    <s v=""/>
    <s v=""/>
    <s v="41"/>
    <x v="1"/>
    <s v="EU"/>
    <s v="03"/>
    <s v="5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97"/>
    <n v="1676851198"/>
    <s v=""/>
    <s v=""/>
    <s v="42"/>
    <x v="2"/>
    <s v="EU"/>
    <s v="12"/>
    <s v="5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12"/>
    <n v="1676851198"/>
    <s v=""/>
    <s v=""/>
    <s v="41"/>
    <x v="1"/>
    <s v="EU"/>
    <s v="03"/>
    <s v="6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15"/>
    <n v="1676851198"/>
    <s v=""/>
    <s v=""/>
    <s v="52"/>
    <x v="0"/>
    <s v="EU"/>
    <s v="13"/>
    <s v="6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26"/>
    <n v="1676851198"/>
    <s v=""/>
    <s v=""/>
    <s v="32"/>
    <x v="11"/>
    <s v="EU"/>
    <s v="11"/>
    <s v="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32"/>
    <n v="1676851198"/>
    <s v=""/>
    <s v=""/>
    <s v="52"/>
    <x v="0"/>
    <s v="EU"/>
    <s v="13"/>
    <s v="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35"/>
    <n v="1676851198"/>
    <s v=""/>
    <s v=""/>
    <s v="42"/>
    <x v="2"/>
    <s v="EU"/>
    <s v="12"/>
    <s v="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83"/>
    <n v="1676851198"/>
    <s v=""/>
    <s v=""/>
    <s v="62"/>
    <x v="13"/>
    <s v="EU"/>
    <s v="14"/>
    <s v="2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289"/>
    <n v="1676851198"/>
    <s v=""/>
    <s v=""/>
    <s v="52"/>
    <x v="0"/>
    <s v="EU"/>
    <s v="13"/>
    <s v="2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295"/>
    <n v="1676851198"/>
    <s v=""/>
    <s v=""/>
    <s v="52"/>
    <x v="0"/>
    <s v="EU"/>
    <s v="13"/>
    <s v="2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298"/>
    <n v="1676851198"/>
    <s v=""/>
    <s v=""/>
    <s v="42"/>
    <x v="2"/>
    <s v="EU"/>
    <s v="12"/>
    <s v="2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04"/>
    <n v="1676851198"/>
    <s v=""/>
    <s v=""/>
    <s v="52"/>
    <x v="0"/>
    <s v="EU"/>
    <s v="13"/>
    <s v="2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07"/>
    <n v="1676851198"/>
    <s v=""/>
    <s v=""/>
    <s v="51"/>
    <x v="19"/>
    <s v="EU"/>
    <s v="04"/>
    <s v="2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680"/>
    <n v="1676851198"/>
    <s v=""/>
    <s v=""/>
    <s v="42"/>
    <x v="2"/>
    <s v="EU"/>
    <s v="12"/>
    <s v="2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83"/>
    <n v="1676851198"/>
    <s v=""/>
    <s v=""/>
    <s v="52"/>
    <x v="0"/>
    <s v="EU"/>
    <s v="13"/>
    <s v="2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86"/>
    <n v="1676851198"/>
    <s v=""/>
    <s v=""/>
    <s v="42"/>
    <x v="2"/>
    <s v="EU"/>
    <s v="12"/>
    <s v="2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89"/>
    <n v="1676851198"/>
    <s v=""/>
    <s v=""/>
    <s v="52"/>
    <x v="0"/>
    <s v="EU"/>
    <s v="13"/>
    <s v="2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92"/>
    <n v="1676851198"/>
    <s v=""/>
    <s v=""/>
    <s v="42"/>
    <x v="2"/>
    <s v="EU"/>
    <s v="12"/>
    <s v="2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95"/>
    <n v="1676851198"/>
    <s v=""/>
    <s v=""/>
    <s v="41"/>
    <x v="1"/>
    <s v="EU"/>
    <s v="03"/>
    <s v="2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98"/>
    <n v="1676851198"/>
    <s v=""/>
    <s v=""/>
    <s v="52"/>
    <x v="0"/>
    <s v="EU"/>
    <s v="13"/>
    <s v="2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10"/>
    <n v="1676851198"/>
    <s v=""/>
    <s v=""/>
    <s v="42"/>
    <x v="2"/>
    <s v="EU"/>
    <s v="12"/>
    <s v="2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13"/>
    <n v="1676851198"/>
    <s v=""/>
    <s v=""/>
    <s v="52"/>
    <x v="0"/>
    <s v="EU"/>
    <s v="13"/>
    <s v="3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31"/>
    <n v="1676851198"/>
    <s v=""/>
    <s v=""/>
    <s v="42"/>
    <x v="2"/>
    <s v="EU"/>
    <s v="12"/>
    <s v="3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43"/>
    <n v="1676851198"/>
    <s v=""/>
    <s v=""/>
    <s v="52"/>
    <x v="0"/>
    <s v="EU"/>
    <s v="13"/>
    <s v="4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46"/>
    <n v="1676851198"/>
    <s v=""/>
    <s v=""/>
    <s v="52"/>
    <x v="0"/>
    <s v="EU"/>
    <s v="13"/>
    <s v="4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49"/>
    <n v="1676851198"/>
    <s v=""/>
    <s v=""/>
    <s v="52"/>
    <x v="0"/>
    <s v="EU"/>
    <s v="13"/>
    <s v="4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52"/>
    <n v="1676851198"/>
    <s v=""/>
    <s v=""/>
    <s v="41"/>
    <x v="1"/>
    <s v="EU"/>
    <s v="03"/>
    <s v="4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99"/>
    <n v="1676851198"/>
    <s v=""/>
    <s v=""/>
    <s v="52"/>
    <x v="0"/>
    <s v="EU"/>
    <s v="13"/>
    <s v="9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96"/>
    <n v="1676851198"/>
    <s v=""/>
    <s v=""/>
    <s v="52"/>
    <x v="0"/>
    <s v="EU"/>
    <s v="13"/>
    <s v="9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508"/>
    <n v="1676851198"/>
    <s v=""/>
    <s v=""/>
    <s v="41"/>
    <x v="1"/>
    <s v="EU"/>
    <s v="03"/>
    <s v="9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511"/>
    <n v="1676851198"/>
    <s v=""/>
    <s v=""/>
    <s v="42"/>
    <x v="2"/>
    <s v="EU"/>
    <s v="12"/>
    <s v="9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523"/>
    <n v="1676851198"/>
    <s v=""/>
    <s v=""/>
    <s v="32"/>
    <x v="11"/>
    <s v="EU"/>
    <s v="11"/>
    <s v="10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526"/>
    <n v="1676851198"/>
    <s v=""/>
    <s v=""/>
    <s v="32"/>
    <x v="11"/>
    <s v="EU"/>
    <s v="11"/>
    <s v="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n v="8116532"/>
    <n v="1676851198"/>
    <s v=""/>
    <s v=""/>
    <s v="52"/>
    <x v="0"/>
    <s v="EU"/>
    <s v="13"/>
    <s v="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n v="8116538"/>
    <n v="1676851198"/>
    <s v=""/>
    <s v="NA"/>
    <s v=""/>
    <x v="6"/>
    <s v="EU"/>
    <s v=""/>
    <s v="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n v="8115878"/>
    <n v="1676851198"/>
    <s v=""/>
    <s v=""/>
    <s v="41"/>
    <x v="1"/>
    <s v="EU"/>
    <s v="03"/>
    <s v="8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72"/>
    <n v="1676851198"/>
    <s v=""/>
    <s v=""/>
    <s v="42"/>
    <x v="2"/>
    <s v="EU"/>
    <s v="12"/>
    <s v="8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84"/>
    <n v="1676851198"/>
    <s v=""/>
    <s v=""/>
    <s v="52"/>
    <x v="0"/>
    <s v="EU"/>
    <s v="13"/>
    <s v="9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902"/>
    <n v="1676851198"/>
    <s v=""/>
    <s v=""/>
    <s v="42"/>
    <x v="2"/>
    <s v="EU"/>
    <s v="12"/>
    <s v="9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38"/>
    <n v="1676851198"/>
    <s v=""/>
    <s v=""/>
    <s v="52"/>
    <x v="0"/>
    <s v="EU"/>
    <s v="13"/>
    <s v="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17"/>
    <n v="1676851198"/>
    <s v=""/>
    <s v=""/>
    <s v="52"/>
    <x v="0"/>
    <s v="EU"/>
    <s v="13"/>
    <s v="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41"/>
    <n v="1676851198"/>
    <s v=""/>
    <s v=""/>
    <s v="41"/>
    <x v="1"/>
    <s v="EU"/>
    <s v="03"/>
    <s v="1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47"/>
    <n v="1676851198"/>
    <s v=""/>
    <s v=""/>
    <s v="52"/>
    <x v="0"/>
    <s v="EU"/>
    <s v="13"/>
    <s v="1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50"/>
    <n v="1676851198"/>
    <s v=""/>
    <s v=""/>
    <s v="41"/>
    <x v="1"/>
    <s v="EU"/>
    <s v="03"/>
    <s v="1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53"/>
    <n v="1676851198"/>
    <s v=""/>
    <s v=""/>
    <s v="52"/>
    <x v="0"/>
    <s v="EU"/>
    <s v="13"/>
    <s v="1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56"/>
    <n v="1676851198"/>
    <s v=""/>
    <s v=""/>
    <s v="41"/>
    <x v="1"/>
    <s v="EU"/>
    <s v="03"/>
    <s v="1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59"/>
    <n v="1676851198"/>
    <s v=""/>
    <s v=""/>
    <s v="42"/>
    <x v="2"/>
    <s v="EU"/>
    <s v="12"/>
    <s v="1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71"/>
    <n v="1676851198"/>
    <s v=""/>
    <s v=""/>
    <s v="42"/>
    <x v="2"/>
    <s v="EU"/>
    <s v="12"/>
    <s v="2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58"/>
    <n v="1676851198"/>
    <s v=""/>
    <s v=""/>
    <s v="52"/>
    <x v="0"/>
    <s v="EU"/>
    <s v="13"/>
    <s v="4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67"/>
    <n v="1676851198"/>
    <s v=""/>
    <s v=""/>
    <s v="42"/>
    <x v="2"/>
    <s v="EU"/>
    <s v="12"/>
    <s v="4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76"/>
    <n v="1676851198"/>
    <s v=""/>
    <s v=""/>
    <s v="32"/>
    <x v="11"/>
    <s v="EU"/>
    <s v="11"/>
    <s v="5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82"/>
    <n v="1676851198"/>
    <s v=""/>
    <s v=""/>
    <s v="52"/>
    <x v="0"/>
    <s v="EU"/>
    <s v="13"/>
    <s v="5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88"/>
    <n v="1676851198"/>
    <s v=""/>
    <s v=""/>
    <s v="42"/>
    <x v="2"/>
    <s v="EU"/>
    <s v="12"/>
    <s v="5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09"/>
    <n v="1676851198"/>
    <s v=""/>
    <s v=""/>
    <s v="42"/>
    <x v="2"/>
    <s v="EU"/>
    <s v="12"/>
    <s v="6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21"/>
    <n v="1676851198"/>
    <s v=""/>
    <s v=""/>
    <s v="41"/>
    <x v="1"/>
    <s v="EU"/>
    <s v="03"/>
    <s v="6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24"/>
    <n v="1676851198"/>
    <s v=""/>
    <s v=""/>
    <s v="52"/>
    <x v="0"/>
    <s v="EU"/>
    <s v="13"/>
    <s v="6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27"/>
    <n v="1676851198"/>
    <s v=""/>
    <s v=""/>
    <s v="42"/>
    <x v="2"/>
    <s v="EU"/>
    <s v="12"/>
    <s v="6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33"/>
    <n v="1676851198"/>
    <s v=""/>
    <s v=""/>
    <s v="52"/>
    <x v="0"/>
    <s v="EU"/>
    <s v="13"/>
    <s v="7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36"/>
    <n v="1676851198"/>
    <s v=""/>
    <s v=""/>
    <s v="42"/>
    <x v="2"/>
    <s v="EU"/>
    <s v="12"/>
    <s v="7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63"/>
    <n v="1676851198"/>
    <s v=""/>
    <s v=""/>
    <s v="52"/>
    <x v="0"/>
    <s v="EU"/>
    <s v="13"/>
    <s v="8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54"/>
    <n v="1676851198"/>
    <s v=""/>
    <s v=""/>
    <s v="42"/>
    <x v="2"/>
    <s v="EU"/>
    <s v="12"/>
    <s v="7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69"/>
    <n v="1676851198"/>
    <s v=""/>
    <s v=""/>
    <s v="53"/>
    <x v="4"/>
    <s v="EU"/>
    <s v="22"/>
    <s v="8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75"/>
    <n v="1676851198"/>
    <s v=""/>
    <s v=""/>
    <s v="42"/>
    <x v="2"/>
    <s v="EU"/>
    <s v="12"/>
    <s v="8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78"/>
    <n v="1676851198"/>
    <s v=""/>
    <s v=""/>
    <s v="41"/>
    <x v="1"/>
    <s v="EU"/>
    <s v="03"/>
    <s v="8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84"/>
    <n v="1676851198"/>
    <s v=""/>
    <s v=""/>
    <s v="42"/>
    <x v="2"/>
    <s v="EU"/>
    <s v="12"/>
    <s v="8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93"/>
    <n v="1676851198"/>
    <s v=""/>
    <s v=""/>
    <s v="42"/>
    <x v="2"/>
    <s v="EU"/>
    <s v="12"/>
    <s v="9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598"/>
    <n v="1612784443"/>
    <s v=""/>
    <s v=""/>
    <s v="42"/>
    <x v="2"/>
    <s v="EU"/>
    <s v="12"/>
    <s v="8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613"/>
    <n v="1612784443"/>
    <s v=""/>
    <s v=""/>
    <s v="42"/>
    <x v="2"/>
    <s v="EU"/>
    <s v="12"/>
    <s v="8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616"/>
    <n v="1612784443"/>
    <s v=""/>
    <s v=""/>
    <s v="42"/>
    <x v="2"/>
    <s v="EU"/>
    <s v="12"/>
    <s v="8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692"/>
    <n v="1839088084"/>
    <s v=""/>
    <s v=""/>
    <s v="42"/>
    <x v="2"/>
    <s v="EU"/>
    <s v="12"/>
    <s v="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683"/>
    <n v="1839088084"/>
    <s v=""/>
    <s v=""/>
    <s v="41"/>
    <x v="1"/>
    <s v="EU"/>
    <s v="03"/>
    <s v="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698"/>
    <n v="1839088084"/>
    <s v=""/>
    <s v=""/>
    <s v="42"/>
    <x v="2"/>
    <s v="EU"/>
    <s v="12"/>
    <s v="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28"/>
    <n v="1839088084"/>
    <s v=""/>
    <s v=""/>
    <s v="42"/>
    <x v="2"/>
    <s v="EU"/>
    <s v="12"/>
    <s v="1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37"/>
    <n v="1839088084"/>
    <s v=""/>
    <s v=""/>
    <s v="42"/>
    <x v="2"/>
    <s v="EU"/>
    <s v="12"/>
    <s v="2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46"/>
    <n v="1839088084"/>
    <s v=""/>
    <s v=""/>
    <s v="42"/>
    <x v="2"/>
    <s v="EU"/>
    <s v="12"/>
    <s v="2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49"/>
    <n v="1839088084"/>
    <s v=""/>
    <s v=""/>
    <s v="42"/>
    <x v="2"/>
    <s v="EU"/>
    <s v="12"/>
    <s v="2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52"/>
    <n v="1839088084"/>
    <s v=""/>
    <s v=""/>
    <s v="42"/>
    <x v="2"/>
    <s v="EU"/>
    <s v="12"/>
    <s v="2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61"/>
    <n v="1839088084"/>
    <s v=""/>
    <s v=""/>
    <s v="42"/>
    <x v="2"/>
    <s v="EU"/>
    <s v="12"/>
    <s v="2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73"/>
    <n v="1839088084"/>
    <s v=""/>
    <s v=""/>
    <s v="42"/>
    <x v="2"/>
    <s v="EU"/>
    <s v="12"/>
    <s v="3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91"/>
    <n v="1839088084"/>
    <s v=""/>
    <s v=""/>
    <s v="42"/>
    <x v="2"/>
    <s v="EU"/>
    <s v="12"/>
    <s v="3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94"/>
    <n v="1839088084"/>
    <s v=""/>
    <s v=""/>
    <s v="42"/>
    <x v="2"/>
    <s v="EU"/>
    <s v="12"/>
    <s v="4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15"/>
    <n v="1839088084"/>
    <s v=""/>
    <s v=""/>
    <s v="42"/>
    <x v="2"/>
    <s v="EU"/>
    <s v="12"/>
    <s v="4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3018"/>
    <n v="1993655330"/>
    <s v="2"/>
    <s v="RS"/>
    <s v=""/>
    <x v="6"/>
    <s v="EU"/>
    <s v=""/>
    <s v="2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3030"/>
    <n v="1993655330"/>
    <s v="2"/>
    <s v="RS"/>
    <s v="S1"/>
    <x v="16"/>
    <s v="FW"/>
    <s v="0"/>
    <s v="6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3036"/>
    <n v="1993655330"/>
    <s v="2"/>
    <s v="RS"/>
    <s v="S2"/>
    <x v="15"/>
    <s v="FW"/>
    <s v="1"/>
    <s v="8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3045"/>
    <n v="1993655330"/>
    <s v="2"/>
    <s v="RS"/>
    <s v="S1"/>
    <x v="16"/>
    <s v="FW"/>
    <s v="0"/>
    <s v="11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3042"/>
    <n v="1993655330"/>
    <s v="2"/>
    <s v="RS"/>
    <s v="S1"/>
    <x v="16"/>
    <s v="FW"/>
    <s v="0"/>
    <s v="10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3057"/>
    <n v="1993655330"/>
    <s v="2"/>
    <s v="RS"/>
    <s v="S1"/>
    <x v="16"/>
    <s v="FW"/>
    <s v="0"/>
    <s v="15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3063"/>
    <n v="1993655330"/>
    <s v="2"/>
    <s v="RS"/>
    <s v=""/>
    <x v="6"/>
    <s v="EU"/>
    <s v=""/>
    <s v="17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4827"/>
    <n v="1839088084"/>
    <s v=""/>
    <s v=""/>
    <s v="42"/>
    <x v="2"/>
    <s v="EU"/>
    <s v="12"/>
    <s v="5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526"/>
    <n v="1612784443"/>
    <s v=""/>
    <s v=""/>
    <s v="42"/>
    <x v="2"/>
    <s v="EU"/>
    <s v="12"/>
    <s v="5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5280"/>
    <n v="368670609"/>
    <s v=""/>
    <s v=""/>
    <s v="41"/>
    <x v="1"/>
    <s v="EU"/>
    <s v="03"/>
    <s v="5"/>
    <s v="Otolith - Surface"/>
    <n v="2126660002"/>
    <s v="1 OTOLITH ACROSS (TRAY)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Oto Box 3"/>
  </r>
  <r>
    <n v="11729254"/>
    <n v="363003608"/>
    <s v="2"/>
    <s v="RS"/>
    <s v="S1"/>
    <x v="16"/>
    <s v="FW"/>
    <s v="0"/>
    <s v="4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11725286"/>
    <n v="368670609"/>
    <s v="2"/>
    <s v="RS"/>
    <s v="S2"/>
    <x v="15"/>
    <s v="FW"/>
    <s v="1"/>
    <s v="2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11725307"/>
    <n v="368670609"/>
    <s v="2"/>
    <s v="RS"/>
    <s v=""/>
    <x v="6"/>
    <s v="EU"/>
    <s v=""/>
    <s v="9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11725475"/>
    <n v="1156302723"/>
    <s v=""/>
    <s v=""/>
    <s v="41"/>
    <x v="1"/>
    <s v="EU"/>
    <s v="03"/>
    <s v="5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5481"/>
    <n v="1156302723"/>
    <s v=""/>
    <s v=""/>
    <s v="42"/>
    <x v="2"/>
    <s v="EU"/>
    <s v="12"/>
    <s v="7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5490"/>
    <n v="1156302723"/>
    <s v=""/>
    <s v=""/>
    <s v="42"/>
    <x v="2"/>
    <s v="EU"/>
    <s v="12"/>
    <s v="10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5514"/>
    <n v="1156302723"/>
    <s v=""/>
    <s v=""/>
    <s v="42"/>
    <x v="2"/>
    <s v="EU"/>
    <s v="12"/>
    <s v="18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5526"/>
    <n v="1156302723"/>
    <s v=""/>
    <s v=""/>
    <s v="31"/>
    <x v="7"/>
    <s v="EU"/>
    <s v="02"/>
    <s v="22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5529"/>
    <n v="1156302723"/>
    <s v=""/>
    <s v=""/>
    <s v="42"/>
    <x v="2"/>
    <s v="EU"/>
    <s v="12"/>
    <s v="23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9062"/>
    <n v="1973161987"/>
    <s v=""/>
    <s v=""/>
    <s v="31"/>
    <x v="7"/>
    <s v="EU"/>
    <s v="02"/>
    <s v="91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9065"/>
    <n v="1973161987"/>
    <s v=""/>
    <s v=""/>
    <s v="42"/>
    <x v="2"/>
    <s v="EU"/>
    <s v="12"/>
    <s v="92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9068"/>
    <n v="1973161987"/>
    <s v=""/>
    <s v=""/>
    <s v="42"/>
    <x v="2"/>
    <s v="EU"/>
    <s v="12"/>
    <s v="93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9083"/>
    <n v="1973161987"/>
    <s v=""/>
    <s v=""/>
    <s v="32"/>
    <x v="11"/>
    <s v="EU"/>
    <s v="11"/>
    <s v="98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9089"/>
    <n v="1973161987"/>
    <s v=""/>
    <s v=""/>
    <s v="42"/>
    <x v="2"/>
    <s v="EU"/>
    <s v="12"/>
    <s v="100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4851"/>
    <n v="1839088084"/>
    <s v=""/>
    <s v=""/>
    <s v="42"/>
    <x v="2"/>
    <s v="EU"/>
    <s v="12"/>
    <s v="5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57"/>
    <n v="1839088084"/>
    <s v=""/>
    <s v=""/>
    <s v="42"/>
    <x v="2"/>
    <s v="EU"/>
    <s v="12"/>
    <s v="6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66"/>
    <n v="1839088084"/>
    <s v=""/>
    <s v=""/>
    <s v="42"/>
    <x v="2"/>
    <s v="EU"/>
    <s v="12"/>
    <s v="6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78"/>
    <n v="1839088084"/>
    <s v=""/>
    <s v=""/>
    <s v="42"/>
    <x v="2"/>
    <s v="EU"/>
    <s v="12"/>
    <s v="6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751"/>
    <n v="1612784443"/>
    <s v="2"/>
    <s v="RS"/>
    <s v="S2"/>
    <x v="15"/>
    <s v="FW"/>
    <s v="1"/>
    <s v="9"/>
    <s v="Scales"/>
    <n v="2126660001"/>
    <s v="2 SCALES ACROSS PER FISH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4T00:00:00"/>
    <s v="1010764"/>
  </r>
  <r>
    <n v="11724884"/>
    <n v="1839088084"/>
    <s v=""/>
    <s v=""/>
    <s v="42"/>
    <x v="2"/>
    <s v="EU"/>
    <s v="12"/>
    <s v="7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81"/>
    <n v="1839088084"/>
    <s v=""/>
    <s v=""/>
    <s v="42"/>
    <x v="2"/>
    <s v="EU"/>
    <s v="12"/>
    <s v="6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90"/>
    <n v="1839088084"/>
    <s v=""/>
    <s v=""/>
    <s v="42"/>
    <x v="2"/>
    <s v="EU"/>
    <s v="12"/>
    <s v="7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05"/>
    <n v="1839088084"/>
    <s v=""/>
    <s v=""/>
    <s v="42"/>
    <x v="2"/>
    <s v="EU"/>
    <s v="12"/>
    <s v="7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14"/>
    <n v="1839088084"/>
    <s v=""/>
    <s v=""/>
    <s v="42"/>
    <x v="2"/>
    <s v="EU"/>
    <s v="12"/>
    <s v="8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20"/>
    <n v="1839088084"/>
    <s v=""/>
    <s v=""/>
    <s v="42"/>
    <x v="2"/>
    <s v="EU"/>
    <s v="12"/>
    <s v="8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23"/>
    <n v="1839088084"/>
    <s v=""/>
    <s v=""/>
    <s v="42"/>
    <x v="2"/>
    <s v="EU"/>
    <s v="12"/>
    <s v="8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26"/>
    <n v="1839088084"/>
    <s v=""/>
    <s v=""/>
    <s v="42"/>
    <x v="2"/>
    <s v="EU"/>
    <s v="12"/>
    <s v="8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35"/>
    <n v="1839088084"/>
    <s v=""/>
    <s v=""/>
    <s v="42"/>
    <x v="2"/>
    <s v="EU"/>
    <s v="12"/>
    <s v="8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38"/>
    <n v="1839088084"/>
    <s v=""/>
    <s v=""/>
    <s v="42"/>
    <x v="2"/>
    <s v="EU"/>
    <s v="12"/>
    <s v="8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218"/>
    <n v="363003608"/>
    <s v="2"/>
    <s v="RS"/>
    <s v=""/>
    <x v="6"/>
    <s v="EU"/>
    <s v=""/>
    <s v="2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11729227"/>
    <n v="363003608"/>
    <s v="2"/>
    <s v="RS"/>
    <s v="S2"/>
    <x v="15"/>
    <s v="FW"/>
    <s v="1"/>
    <s v="5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11729242"/>
    <n v="363003608"/>
    <s v="2"/>
    <s v="RS"/>
    <s v="S1"/>
    <x v="16"/>
    <s v="FW"/>
    <s v="0"/>
    <s v="10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11729245"/>
    <n v="363003608"/>
    <s v=""/>
    <s v="RG"/>
    <s v=""/>
    <x v="6"/>
    <s v="EU"/>
    <s v=""/>
    <s v="1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11729251"/>
    <n v="363003608"/>
    <s v="2"/>
    <s v="RS"/>
    <s v="S2"/>
    <x v="15"/>
    <s v="FW"/>
    <s v="1"/>
    <s v="3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11729257"/>
    <n v="363003608"/>
    <s v="2"/>
    <s v="RS"/>
    <s v="S2"/>
    <x v="15"/>
    <s v="FW"/>
    <s v="1"/>
    <s v="5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11729260"/>
    <n v="363003608"/>
    <s v="2"/>
    <s v="RS"/>
    <s v="S1"/>
    <x v="16"/>
    <s v="FW"/>
    <s v="0"/>
    <s v="6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11729275"/>
    <n v="363003608"/>
    <s v=""/>
    <s v="NS"/>
    <s v=""/>
    <x v="6"/>
    <s v="EU"/>
    <s v=""/>
    <s v="1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11729278"/>
    <n v="363003608"/>
    <s v="2"/>
    <s v="RS"/>
    <s v="S1"/>
    <x v="16"/>
    <s v="FW"/>
    <s v="0"/>
    <s v="2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11729281"/>
    <n v="363003608"/>
    <s v="2"/>
    <s v="RS"/>
    <s v="S1"/>
    <x v="16"/>
    <s v="FW"/>
    <s v="0"/>
    <s v="3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11729290"/>
    <n v="363003608"/>
    <s v="2"/>
    <s v="RS"/>
    <s v="S1"/>
    <x v="16"/>
    <s v="FW"/>
    <s v="0"/>
    <s v="6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4885414"/>
    <n v="679771232"/>
    <s v=""/>
    <s v=""/>
    <s v="42"/>
    <x v="2"/>
    <s v="EU"/>
    <s v="12"/>
    <s v="1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11722430"/>
    <n v="1612784443"/>
    <s v=""/>
    <s v=""/>
    <s v="42"/>
    <x v="2"/>
    <s v="EU"/>
    <s v="12"/>
    <s v="2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-1004362367"/>
    <n v="-1000014997"/>
    <s v=""/>
    <s v=""/>
    <s v="52"/>
    <x v="0"/>
    <s v="EU"/>
    <s v="13"/>
    <s v="6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11722442"/>
    <n v="1612784443"/>
    <s v=""/>
    <s v=""/>
    <s v="42"/>
    <x v="2"/>
    <s v="EU"/>
    <s v="12"/>
    <s v="3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48"/>
    <n v="1612784443"/>
    <s v=""/>
    <s v=""/>
    <s v="42"/>
    <x v="2"/>
    <s v="EU"/>
    <s v="12"/>
    <s v="3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54"/>
    <n v="1612784443"/>
    <s v=""/>
    <s v="NS"/>
    <s v=""/>
    <x v="6"/>
    <s v="EU"/>
    <s v=""/>
    <s v="3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72"/>
    <n v="1612784443"/>
    <s v=""/>
    <s v=""/>
    <s v="42"/>
    <x v="2"/>
    <s v="EU"/>
    <s v="12"/>
    <s v="4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81"/>
    <n v="1612784443"/>
    <s v=""/>
    <s v=""/>
    <s v="52"/>
    <x v="0"/>
    <s v="EU"/>
    <s v="13"/>
    <s v="4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84"/>
    <n v="1612784443"/>
    <s v=""/>
    <s v=""/>
    <s v="42"/>
    <x v="2"/>
    <s v="EU"/>
    <s v="12"/>
    <s v="4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96"/>
    <n v="1612784443"/>
    <s v=""/>
    <s v=""/>
    <s v="42"/>
    <x v="2"/>
    <s v="EU"/>
    <s v="12"/>
    <s v="4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05"/>
    <n v="1612784443"/>
    <s v=""/>
    <s v=""/>
    <s v="42"/>
    <x v="2"/>
    <s v="EU"/>
    <s v="12"/>
    <s v="5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08"/>
    <n v="1612784443"/>
    <s v=""/>
    <s v=""/>
    <s v="42"/>
    <x v="2"/>
    <s v="EU"/>
    <s v="12"/>
    <s v="5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17"/>
    <n v="1612784443"/>
    <s v=""/>
    <s v=""/>
    <s v="42"/>
    <x v="2"/>
    <s v="EU"/>
    <s v="12"/>
    <s v="5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20"/>
    <n v="1612784443"/>
    <s v=""/>
    <s v=""/>
    <s v="42"/>
    <x v="2"/>
    <s v="EU"/>
    <s v="12"/>
    <s v="5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23"/>
    <n v="1612784443"/>
    <s v=""/>
    <s v=""/>
    <s v="42"/>
    <x v="2"/>
    <s v="EU"/>
    <s v="12"/>
    <s v="5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29"/>
    <n v="1612784443"/>
    <s v=""/>
    <s v=""/>
    <s v="42"/>
    <x v="2"/>
    <s v="EU"/>
    <s v="12"/>
    <s v="6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35"/>
    <n v="1612784443"/>
    <s v=""/>
    <s v=""/>
    <s v="42"/>
    <x v="2"/>
    <s v="EU"/>
    <s v="12"/>
    <s v="6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58"/>
    <n v="1612784443"/>
    <s v=""/>
    <s v=""/>
    <s v="42"/>
    <x v="2"/>
    <s v="EU"/>
    <s v="12"/>
    <s v="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55"/>
    <n v="1612784443"/>
    <s v=""/>
    <s v=""/>
    <s v="42"/>
    <x v="2"/>
    <s v="EU"/>
    <s v="12"/>
    <s v="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64"/>
    <n v="1612784443"/>
    <s v=""/>
    <s v=""/>
    <s v="42"/>
    <x v="2"/>
    <s v="EU"/>
    <s v="12"/>
    <s v="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73"/>
    <n v="1612784443"/>
    <s v=""/>
    <s v=""/>
    <s v="42"/>
    <x v="2"/>
    <s v="EU"/>
    <s v="12"/>
    <s v="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76"/>
    <n v="1612784443"/>
    <s v=""/>
    <s v=""/>
    <s v="42"/>
    <x v="2"/>
    <s v="EU"/>
    <s v="12"/>
    <s v="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94"/>
    <n v="1612784443"/>
    <s v=""/>
    <s v=""/>
    <s v="42"/>
    <x v="2"/>
    <s v="EU"/>
    <s v="12"/>
    <s v="1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06"/>
    <n v="1612784443"/>
    <s v=""/>
    <s v=""/>
    <s v="42"/>
    <x v="2"/>
    <s v="EU"/>
    <s v="12"/>
    <s v="1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12"/>
    <n v="1612784443"/>
    <s v=""/>
    <s v=""/>
    <s v="42"/>
    <x v="2"/>
    <s v="EU"/>
    <s v="12"/>
    <s v="2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15"/>
    <n v="1612784443"/>
    <s v=""/>
    <s v=""/>
    <s v="42"/>
    <x v="2"/>
    <s v="EU"/>
    <s v="12"/>
    <s v="2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18"/>
    <n v="1612784443"/>
    <s v=""/>
    <s v=""/>
    <s v="42"/>
    <x v="2"/>
    <s v="EU"/>
    <s v="12"/>
    <s v="2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24"/>
    <n v="1612784443"/>
    <s v=""/>
    <s v=""/>
    <s v="42"/>
    <x v="2"/>
    <s v="EU"/>
    <s v="12"/>
    <s v="2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9293"/>
    <n v="363003608"/>
    <s v="2"/>
    <s v="RS"/>
    <s v="S1"/>
    <x v="16"/>
    <s v="FW"/>
    <s v="0"/>
    <s v="7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11729299"/>
    <n v="363003608"/>
    <s v="2"/>
    <s v="RS"/>
    <s v="S1"/>
    <x v="16"/>
    <s v="FW"/>
    <s v="0"/>
    <s v="9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11729302"/>
    <n v="363003608"/>
    <s v="2"/>
    <s v="RS"/>
    <s v="S1"/>
    <x v="16"/>
    <s v="FW"/>
    <s v="0"/>
    <s v="10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11729326"/>
    <n v="363003608"/>
    <s v="2"/>
    <s v="RS"/>
    <s v="S1"/>
    <x v="16"/>
    <s v="FW"/>
    <s v="0"/>
    <s v="8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9305"/>
    <n v="363003608"/>
    <s v="2"/>
    <s v="RS"/>
    <s v="S1"/>
    <x v="16"/>
    <s v="FW"/>
    <s v="0"/>
    <s v="1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9332"/>
    <n v="363003608"/>
    <s v="2"/>
    <s v="RS"/>
    <s v="S1"/>
    <x v="16"/>
    <s v="FW"/>
    <s v="0"/>
    <s v="10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9368"/>
    <n v="1451931796"/>
    <s v="2"/>
    <s v="RS"/>
    <s v="S1"/>
    <x v="16"/>
    <s v="FW"/>
    <s v="0"/>
    <s v="5"/>
    <s v="Scales"/>
    <n v="2126660001"/>
    <s v="5 SCALES DOWN PER FISH"/>
    <n v="11378932"/>
    <s v="ATNARKO ESCAPEMENT - 2020"/>
    <n v="970"/>
    <s v="ATNARKO RIVER"/>
    <x v="22"/>
    <s v="2020/0236"/>
    <n v="1"/>
    <s v="SOCKEYE SALMON"/>
    <n v="2086090012"/>
    <x v="1"/>
    <n v="83"/>
    <s v="Gaff (Deadpitch)"/>
    <s v="Adult"/>
    <d v="2020-09-21T00:00:00"/>
    <d v="2020-09-21T00:00:00"/>
    <s v="1003943"/>
  </r>
  <r>
    <n v="11722562"/>
    <n v="1612784443"/>
    <s v=""/>
    <s v=""/>
    <s v="42"/>
    <x v="2"/>
    <s v="EU"/>
    <s v="12"/>
    <s v="7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47"/>
    <n v="1612784443"/>
    <s v=""/>
    <s v=""/>
    <s v="52"/>
    <x v="0"/>
    <s v="EU"/>
    <s v="13"/>
    <s v="6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74"/>
    <n v="1612784443"/>
    <s v=""/>
    <s v=""/>
    <s v="42"/>
    <x v="2"/>
    <s v="EU"/>
    <s v="12"/>
    <s v="7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89"/>
    <n v="1612784443"/>
    <s v=""/>
    <s v=""/>
    <s v="42"/>
    <x v="2"/>
    <s v="EU"/>
    <s v="12"/>
    <s v="8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147"/>
    <n v="679771232"/>
    <s v=""/>
    <s v=""/>
    <s v="42"/>
    <x v="2"/>
    <s v="EU"/>
    <s v="12"/>
    <s v="3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44"/>
    <n v="679771232"/>
    <s v=""/>
    <s v=""/>
    <s v="42"/>
    <x v="2"/>
    <s v="EU"/>
    <s v="12"/>
    <s v="3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56"/>
    <n v="679771232"/>
    <s v=""/>
    <s v=""/>
    <s v="52"/>
    <x v="0"/>
    <s v="EU"/>
    <s v="13"/>
    <s v="3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68"/>
    <n v="679771232"/>
    <s v=""/>
    <s v=""/>
    <s v="42"/>
    <x v="2"/>
    <s v="EU"/>
    <s v="12"/>
    <s v="3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77"/>
    <n v="679771232"/>
    <s v=""/>
    <s v=""/>
    <s v="42"/>
    <x v="2"/>
    <s v="EU"/>
    <s v="12"/>
    <s v="4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83"/>
    <n v="679771232"/>
    <s v=""/>
    <s v="DM"/>
    <s v="2M"/>
    <x v="3"/>
    <s v="MY"/>
    <s v="2"/>
    <s v="4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98"/>
    <n v="679771232"/>
    <s v=""/>
    <s v=""/>
    <s v="42"/>
    <x v="2"/>
    <s v="EU"/>
    <s v="12"/>
    <s v="4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16"/>
    <n v="679771232"/>
    <s v=""/>
    <s v=""/>
    <s v="41"/>
    <x v="1"/>
    <s v="EU"/>
    <s v="03"/>
    <s v="5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22"/>
    <n v="679771232"/>
    <s v=""/>
    <s v=""/>
    <s v="42"/>
    <x v="2"/>
    <s v="EU"/>
    <s v="12"/>
    <s v="5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40"/>
    <n v="679771232"/>
    <s v=""/>
    <s v=""/>
    <s v="42"/>
    <x v="2"/>
    <s v="EU"/>
    <s v="12"/>
    <s v="6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43"/>
    <n v="679771232"/>
    <s v=""/>
    <s v=""/>
    <s v="42"/>
    <x v="2"/>
    <s v="EU"/>
    <s v="12"/>
    <s v="6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4958"/>
    <n v="1288148969"/>
    <s v=""/>
    <s v=""/>
    <s v="42"/>
    <x v="2"/>
    <s v="EU"/>
    <s v="12"/>
    <s v="9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4964"/>
    <n v="1288148969"/>
    <s v=""/>
    <s v=""/>
    <s v="42"/>
    <x v="2"/>
    <s v="EU"/>
    <s v="12"/>
    <s v="11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4982"/>
    <n v="1288148969"/>
    <s v=""/>
    <s v="RG"/>
    <s v="2M"/>
    <x v="3"/>
    <s v="MY"/>
    <s v="2"/>
    <s v="17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5021"/>
    <n v="1288148969"/>
    <s v="0"/>
    <s v=""/>
    <s v="42"/>
    <x v="2"/>
    <s v="EU"/>
    <s v="12"/>
    <s v="5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033"/>
    <n v="1288148969"/>
    <s v=""/>
    <s v=""/>
    <s v="42"/>
    <x v="2"/>
    <s v="EU"/>
    <s v="12"/>
    <s v="9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036"/>
    <n v="1288148969"/>
    <s v="0"/>
    <s v=""/>
    <s v="42"/>
    <x v="2"/>
    <s v="EU"/>
    <s v="12"/>
    <s v="10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051"/>
    <n v="1288148969"/>
    <s v=""/>
    <s v="RG"/>
    <s v=""/>
    <x v="6"/>
    <s v="EU"/>
    <s v=""/>
    <s v="15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054"/>
    <n v="1288148969"/>
    <s v=""/>
    <s v=""/>
    <s v="42"/>
    <x v="2"/>
    <s v="EU"/>
    <s v="12"/>
    <s v="16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246"/>
    <n v="679771232"/>
    <s v=""/>
    <s v=""/>
    <s v="42"/>
    <x v="2"/>
    <s v="EU"/>
    <s v="12"/>
    <s v="6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52"/>
    <n v="679771232"/>
    <s v=""/>
    <s v=""/>
    <s v="42"/>
    <x v="2"/>
    <s v="EU"/>
    <s v="12"/>
    <s v="6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55"/>
    <n v="679771232"/>
    <s v=""/>
    <s v=""/>
    <s v="42"/>
    <x v="2"/>
    <s v="EU"/>
    <s v="12"/>
    <s v="6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58"/>
    <n v="679771232"/>
    <s v=""/>
    <s v=""/>
    <s v="42"/>
    <x v="2"/>
    <s v="EU"/>
    <s v="12"/>
    <s v="6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79"/>
    <n v="679771232"/>
    <s v=""/>
    <s v=""/>
    <s v="52"/>
    <x v="0"/>
    <s v="EU"/>
    <s v="13"/>
    <s v="7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82"/>
    <n v="679771232"/>
    <s v=""/>
    <s v=""/>
    <s v="42"/>
    <x v="2"/>
    <s v="EU"/>
    <s v="12"/>
    <s v="7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85"/>
    <n v="679771232"/>
    <s v=""/>
    <s v=""/>
    <s v="42"/>
    <x v="2"/>
    <s v="EU"/>
    <s v="12"/>
    <s v="7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88"/>
    <n v="679771232"/>
    <s v=""/>
    <s v=""/>
    <s v="41"/>
    <x v="1"/>
    <s v="EU"/>
    <s v="03"/>
    <s v="7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03"/>
    <n v="679771232"/>
    <s v=""/>
    <s v=""/>
    <s v="31"/>
    <x v="7"/>
    <s v="EU"/>
    <s v="02"/>
    <s v="8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09"/>
    <n v="679771232"/>
    <s v=""/>
    <s v=""/>
    <s v="41"/>
    <x v="1"/>
    <s v="EU"/>
    <s v="03"/>
    <s v="8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15"/>
    <n v="679771232"/>
    <s v=""/>
    <s v=""/>
    <s v="41"/>
    <x v="1"/>
    <s v="EU"/>
    <s v="03"/>
    <s v="8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18"/>
    <n v="679771232"/>
    <s v=""/>
    <s v=""/>
    <s v="31"/>
    <x v="7"/>
    <s v="EU"/>
    <s v="02"/>
    <s v="8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30"/>
    <n v="679771232"/>
    <s v=""/>
    <s v=""/>
    <s v="52"/>
    <x v="0"/>
    <s v="EU"/>
    <s v="13"/>
    <s v="9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33"/>
    <n v="679771232"/>
    <s v=""/>
    <s v=""/>
    <s v="31"/>
    <x v="7"/>
    <s v="EU"/>
    <s v="02"/>
    <s v="9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36"/>
    <n v="679771232"/>
    <s v=""/>
    <s v=""/>
    <s v="31"/>
    <x v="7"/>
    <s v="EU"/>
    <s v="02"/>
    <s v="9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45"/>
    <n v="679771232"/>
    <s v=""/>
    <s v=""/>
    <s v="52"/>
    <x v="0"/>
    <s v="EU"/>
    <s v="13"/>
    <s v="9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66"/>
    <n v="679771232"/>
    <s v=""/>
    <s v=""/>
    <s v="31"/>
    <x v="7"/>
    <s v="EU"/>
    <s v="02"/>
    <s v="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372"/>
    <n v="679771232"/>
    <s v=""/>
    <s v=""/>
    <s v="42"/>
    <x v="2"/>
    <s v="EU"/>
    <s v="12"/>
    <s v="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381"/>
    <n v="679771232"/>
    <s v=""/>
    <s v=""/>
    <s v="42"/>
    <x v="2"/>
    <s v="EU"/>
    <s v="12"/>
    <s v="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390"/>
    <n v="679771232"/>
    <s v=""/>
    <s v=""/>
    <s v="42"/>
    <x v="2"/>
    <s v="EU"/>
    <s v="12"/>
    <s v="1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399"/>
    <n v="679771232"/>
    <s v=""/>
    <s v=""/>
    <s v="42"/>
    <x v="2"/>
    <s v="EU"/>
    <s v="12"/>
    <s v="1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02"/>
    <n v="679771232"/>
    <s v=""/>
    <s v=""/>
    <s v="42"/>
    <x v="2"/>
    <s v="EU"/>
    <s v="12"/>
    <s v="1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05"/>
    <n v="679771232"/>
    <s v=""/>
    <s v=""/>
    <s v="42"/>
    <x v="2"/>
    <s v="EU"/>
    <s v="12"/>
    <s v="1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20"/>
    <n v="679771232"/>
    <s v=""/>
    <s v=""/>
    <s v="42"/>
    <x v="2"/>
    <s v="EU"/>
    <s v="12"/>
    <s v="2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26"/>
    <n v="679771232"/>
    <s v=""/>
    <s v=""/>
    <s v="42"/>
    <x v="2"/>
    <s v="EU"/>
    <s v="12"/>
    <s v="2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35"/>
    <n v="679771232"/>
    <s v=""/>
    <s v=""/>
    <s v="42"/>
    <x v="2"/>
    <s v="EU"/>
    <s v="12"/>
    <s v="2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38"/>
    <n v="2094383124"/>
    <s v="1"/>
    <s v=""/>
    <s v="42"/>
    <x v="2"/>
    <s v="EU"/>
    <s v="12"/>
    <s v="1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47"/>
    <n v="2094383124"/>
    <s v="1"/>
    <s v="RG"/>
    <s v="2M"/>
    <x v="3"/>
    <s v="MY"/>
    <s v="2"/>
    <s v="4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50"/>
    <n v="2094383124"/>
    <s v="1"/>
    <s v=""/>
    <s v="42"/>
    <x v="2"/>
    <s v="EU"/>
    <s v="12"/>
    <s v="5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56"/>
    <n v="2094383124"/>
    <s v=""/>
    <s v="MF"/>
    <s v=""/>
    <x v="6"/>
    <s v="EU"/>
    <s v=""/>
    <s v="7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68"/>
    <n v="2094383124"/>
    <s v="2"/>
    <s v="RS"/>
    <s v="S2"/>
    <x v="15"/>
    <s v="FW"/>
    <s v="1"/>
    <s v="11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80"/>
    <n v="2094383124"/>
    <s v="1"/>
    <s v=""/>
    <s v="42"/>
    <x v="2"/>
    <s v="EU"/>
    <s v="12"/>
    <s v="15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83"/>
    <n v="2094383124"/>
    <s v="2"/>
    <s v="RS"/>
    <s v="S2"/>
    <x v="15"/>
    <s v="FW"/>
    <s v="1"/>
    <s v="16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92"/>
    <n v="2094383124"/>
    <s v="1"/>
    <s v=""/>
    <s v="42"/>
    <x v="2"/>
    <s v="EU"/>
    <s v="12"/>
    <s v="19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95"/>
    <n v="2094383124"/>
    <s v="1"/>
    <s v=""/>
    <s v="42"/>
    <x v="2"/>
    <s v="EU"/>
    <s v="12"/>
    <s v="20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98"/>
    <n v="2094383124"/>
    <s v="1"/>
    <s v=""/>
    <s v="52"/>
    <x v="0"/>
    <s v="EU"/>
    <s v="13"/>
    <s v="21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504"/>
    <n v="2094383124"/>
    <s v="0"/>
    <s v=""/>
    <s v="52"/>
    <x v="0"/>
    <s v="EU"/>
    <s v="13"/>
    <s v="23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507"/>
    <n v="2094383124"/>
    <s v="2"/>
    <s v="RS"/>
    <s v="S2"/>
    <x v="15"/>
    <s v="FW"/>
    <s v="1"/>
    <s v="24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060"/>
    <n v="679771232"/>
    <s v=""/>
    <s v=""/>
    <s v="42"/>
    <x v="2"/>
    <s v="EU"/>
    <s v="12"/>
    <s v="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063"/>
    <n v="679771232"/>
    <s v=""/>
    <s v=""/>
    <s v="42"/>
    <x v="2"/>
    <s v="EU"/>
    <s v="12"/>
    <s v="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075"/>
    <n v="679771232"/>
    <s v=""/>
    <s v=""/>
    <s v="42"/>
    <x v="2"/>
    <s v="EU"/>
    <s v="12"/>
    <s v="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096"/>
    <n v="679771232"/>
    <s v=""/>
    <s v=""/>
    <s v="42"/>
    <x v="2"/>
    <s v="EU"/>
    <s v="12"/>
    <s v="1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17"/>
    <n v="679771232"/>
    <s v=""/>
    <s v=""/>
    <s v="42"/>
    <x v="2"/>
    <s v="EU"/>
    <s v="12"/>
    <s v="2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26"/>
    <n v="679771232"/>
    <s v=""/>
    <s v=""/>
    <s v="42"/>
    <x v="2"/>
    <s v="EU"/>
    <s v="12"/>
    <s v="2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4928"/>
    <n v="1288148969"/>
    <s v=""/>
    <s v=""/>
    <s v="42"/>
    <x v="2"/>
    <s v="EU"/>
    <s v="12"/>
    <s v="1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6-19T00:00:00"/>
    <d v="2008-07-08T00:00:00"/>
    <s v="67356"/>
  </r>
  <r>
    <n v="4884940"/>
    <n v="1288148969"/>
    <s v=""/>
    <s v=""/>
    <s v="42"/>
    <x v="2"/>
    <s v="EU"/>
    <s v="12"/>
    <s v="3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4946"/>
    <n v="1288148969"/>
    <s v=""/>
    <s v="UF"/>
    <s v="3M"/>
    <x v="5"/>
    <s v="MY"/>
    <s v="3"/>
    <s v="5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5525"/>
    <n v="2094383124"/>
    <s v="1"/>
    <s v=""/>
    <s v="42"/>
    <x v="2"/>
    <s v="EU"/>
    <s v="12"/>
    <s v="5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4949"/>
    <n v="1288148969"/>
    <s v=""/>
    <s v=""/>
    <s v="42"/>
    <x v="2"/>
    <s v="EU"/>
    <s v="12"/>
    <s v="6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5531"/>
    <n v="2094383124"/>
    <s v="1"/>
    <s v="W"/>
    <s v="2M"/>
    <x v="3"/>
    <s v="MY"/>
    <s v="2"/>
    <s v="7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537"/>
    <n v="2094383124"/>
    <s v="0"/>
    <s v=""/>
    <s v="52"/>
    <x v="0"/>
    <s v="EU"/>
    <s v="13"/>
    <s v="9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543"/>
    <n v="2094383124"/>
    <s v="1"/>
    <s v=""/>
    <s v="42"/>
    <x v="2"/>
    <s v="EU"/>
    <s v="12"/>
    <s v="11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549"/>
    <n v="2094383124"/>
    <s v="0"/>
    <s v=""/>
    <s v="42"/>
    <x v="2"/>
    <s v="EU"/>
    <s v="12"/>
    <s v="13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552"/>
    <n v="2094383124"/>
    <s v="1"/>
    <s v=""/>
    <s v="41"/>
    <x v="1"/>
    <s v="EU"/>
    <s v="03"/>
    <s v="14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564"/>
    <n v="2094383124"/>
    <s v="1"/>
    <s v=""/>
    <s v="52"/>
    <x v="0"/>
    <s v="EU"/>
    <s v="13"/>
    <s v="18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-1005773897"/>
    <n v="-1000024927"/>
    <s v=""/>
    <s v="UD"/>
    <s v=""/>
    <x v="6"/>
    <s v=""/>
    <s v=""/>
    <s v="15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4360503"/>
    <n v="-1000014991"/>
    <s v=""/>
    <s v=""/>
    <s v="42"/>
    <x v="2"/>
    <s v="EU"/>
    <s v="12"/>
    <s v="5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5773919"/>
    <n v="-1000024927"/>
    <s v=""/>
    <s v=""/>
    <s v="52"/>
    <x v="0"/>
    <s v="EU"/>
    <s v="13"/>
    <s v="4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891"/>
    <n v="-1000024927"/>
    <s v=""/>
    <s v="UD"/>
    <s v=""/>
    <x v="6"/>
    <s v=""/>
    <s v=""/>
    <s v="18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899"/>
    <n v="-1000024927"/>
    <s v=""/>
    <s v=""/>
    <s v="3M"/>
    <x v="5"/>
    <s v="MY"/>
    <s v="3"/>
    <s v="14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901"/>
    <n v="-1000024927"/>
    <s v=""/>
    <s v=""/>
    <s v="41"/>
    <x v="1"/>
    <s v="EU"/>
    <s v="03"/>
    <s v="13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903"/>
    <n v="-1000024927"/>
    <s v=""/>
    <s v="UD"/>
    <s v=""/>
    <x v="6"/>
    <s v=""/>
    <s v=""/>
    <s v="12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913"/>
    <n v="-1000024927"/>
    <s v=""/>
    <s v="UD"/>
    <s v=""/>
    <x v="6"/>
    <s v=""/>
    <s v=""/>
    <s v="7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925"/>
    <n v="-1000024927"/>
    <s v=""/>
    <s v=""/>
    <s v="63"/>
    <x v="8"/>
    <s v="EU"/>
    <s v="23"/>
    <s v="1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927"/>
    <n v="-1000024927"/>
    <s v=""/>
    <s v=""/>
    <s v="52"/>
    <x v="0"/>
    <s v="EU"/>
    <s v="13"/>
    <s v="12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5773931"/>
    <n v="-1000024927"/>
    <s v=""/>
    <s v="UD"/>
    <s v=""/>
    <x v="6"/>
    <s v=""/>
    <s v=""/>
    <s v="10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5773945"/>
    <n v="-1000024927"/>
    <s v=""/>
    <s v=""/>
    <s v="52"/>
    <x v="0"/>
    <s v="EU"/>
    <s v="13"/>
    <s v="3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5773965"/>
    <n v="-1000024927"/>
    <s v=""/>
    <s v=""/>
    <s v="52"/>
    <x v="0"/>
    <s v="EU"/>
    <s v="13"/>
    <s v="1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31T00:00:00"/>
    <d v="1998-08-31T00:00:00"/>
    <s v="1998310536578877"/>
  </r>
  <r>
    <n v="-1004362375"/>
    <n v="-1000014997"/>
    <s v=""/>
    <s v=""/>
    <s v="52"/>
    <x v="0"/>
    <s v="EU"/>
    <s v="13"/>
    <s v="2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-1004362385"/>
    <n v="-1000014997"/>
    <s v=""/>
    <s v=""/>
    <s v="42"/>
    <x v="2"/>
    <s v="EU"/>
    <s v="12"/>
    <s v="7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-1005773949"/>
    <n v="-1000024927"/>
    <s v=""/>
    <s v=""/>
    <s v="42"/>
    <x v="2"/>
    <s v="EU"/>
    <s v="12"/>
    <s v="1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4360473"/>
    <n v="-1000014991"/>
    <s v=""/>
    <s v=""/>
    <s v="42"/>
    <x v="2"/>
    <s v="EU"/>
    <s v="12"/>
    <s v="10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11729077"/>
    <n v="1973161987"/>
    <s v=""/>
    <s v=""/>
    <s v="42"/>
    <x v="2"/>
    <s v="EU"/>
    <s v="12"/>
    <s v="96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8116370"/>
    <n v="1676851198"/>
    <s v=""/>
    <s v=""/>
    <s v="42"/>
    <x v="2"/>
    <s v="EU"/>
    <s v="12"/>
    <s v="4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187"/>
    <n v="1676851198"/>
    <s v=""/>
    <s v=""/>
    <s v="42"/>
    <x v="2"/>
    <s v="EU"/>
    <s v="12"/>
    <s v="8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44"/>
    <n v="1676851198"/>
    <s v=""/>
    <s v=""/>
    <s v="52"/>
    <x v="0"/>
    <s v="EU"/>
    <s v="13"/>
    <s v="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4976"/>
    <n v="1288148969"/>
    <s v=""/>
    <s v=""/>
    <s v="52"/>
    <x v="0"/>
    <s v="EU"/>
    <s v="13"/>
    <s v="15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11729365"/>
    <n v="1451931796"/>
    <s v="2"/>
    <s v="RS"/>
    <s v="S2"/>
    <x v="15"/>
    <s v="FW"/>
    <s v="1"/>
    <s v="4"/>
    <s v="Scales"/>
    <n v="2126660001"/>
    <s v="5 SCALES DOWN PER FISH"/>
    <n v="11378932"/>
    <s v="ATNARKO ESCAPEMENT - 2020"/>
    <n v="970"/>
    <s v="ATNARKO RIVER"/>
    <x v="22"/>
    <s v="2020/0236"/>
    <n v="1"/>
    <s v="SOCKEYE SALMON"/>
    <n v="2086090012"/>
    <x v="1"/>
    <n v="83"/>
    <s v="Gaff (Deadpitch)"/>
    <s v="Adult"/>
    <d v="2020-09-21T00:00:00"/>
    <d v="2020-09-21T00:00:00"/>
    <s v="1003943"/>
  </r>
  <r>
    <n v="-1004362369"/>
    <n v="-1000014997"/>
    <s v=""/>
    <s v=""/>
    <s v="31"/>
    <x v="7"/>
    <s v="EU"/>
    <s v="02"/>
    <s v="5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11724929"/>
    <n v="1839088084"/>
    <s v=""/>
    <s v=""/>
    <s v="42"/>
    <x v="2"/>
    <s v="EU"/>
    <s v="12"/>
    <s v="8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610"/>
    <n v="1612784443"/>
    <s v=""/>
    <s v=""/>
    <s v="42"/>
    <x v="2"/>
    <s v="EU"/>
    <s v="12"/>
    <s v="8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5022"/>
    <n v="1839088084"/>
    <s v=""/>
    <s v="RG"/>
    <s v=""/>
    <x v="6"/>
    <s v="EU"/>
    <s v=""/>
    <s v="3"/>
    <s v="Scales"/>
    <n v="2126660001"/>
    <s v="5 SCALES DOWN PER FISH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5T00:00:00"/>
    <d v="2020-09-25T00:00:00"/>
    <s v="1003930"/>
  </r>
  <r>
    <n v="11722457"/>
    <n v="1612784443"/>
    <s v=""/>
    <s v=""/>
    <s v="42"/>
    <x v="2"/>
    <s v="EU"/>
    <s v="12"/>
    <s v="3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-1005773955"/>
    <n v="-1000024927"/>
    <s v=""/>
    <s v=""/>
    <s v="52"/>
    <x v="0"/>
    <s v="EU"/>
    <s v="13"/>
    <s v="6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31T00:00:00"/>
    <d v="1998-08-31T00:00:00"/>
    <s v="1998310536578877"/>
  </r>
  <r>
    <n v="4885444"/>
    <n v="2094383124"/>
    <s v="2"/>
    <s v="RS"/>
    <s v="S2"/>
    <x v="15"/>
    <s v="FW"/>
    <s v="1"/>
    <s v="3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11723021"/>
    <n v="1993655330"/>
    <s v=""/>
    <s v="UD"/>
    <s v=""/>
    <x v="6"/>
    <s v="EU"/>
    <s v=""/>
    <s v="3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5496"/>
    <n v="1156302723"/>
    <s v=""/>
    <s v=""/>
    <s v="42"/>
    <x v="2"/>
    <s v="EU"/>
    <s v="12"/>
    <s v="12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4884961"/>
    <n v="1288148969"/>
    <s v=""/>
    <s v="UF"/>
    <s v="2M"/>
    <x v="3"/>
    <s v="MY"/>
    <s v="2"/>
    <s v="10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8116127"/>
    <n v="1676851198"/>
    <s v=""/>
    <s v=""/>
    <s v="42"/>
    <x v="2"/>
    <s v="EU"/>
    <s v="12"/>
    <s v="6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529"/>
    <n v="1676851198"/>
    <s v=""/>
    <s v=""/>
    <s v="42"/>
    <x v="2"/>
    <s v="EU"/>
    <s v="12"/>
    <s v="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n v="4885186"/>
    <n v="679771232"/>
    <s v=""/>
    <s v=""/>
    <s v="42"/>
    <x v="2"/>
    <s v="EU"/>
    <s v="12"/>
    <s v="4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379"/>
    <n v="1676851198"/>
    <s v=""/>
    <s v=""/>
    <s v="41"/>
    <x v="1"/>
    <s v="EU"/>
    <s v="03"/>
    <s v="5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42"/>
    <n v="1676851198"/>
    <s v=""/>
    <s v=""/>
    <s v="52"/>
    <x v="0"/>
    <s v="EU"/>
    <s v="13"/>
    <s v="7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261"/>
    <n v="679771232"/>
    <s v=""/>
    <s v=""/>
    <s v="42"/>
    <x v="2"/>
    <s v="EU"/>
    <s v="12"/>
    <s v="6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71"/>
    <n v="679771232"/>
    <s v=""/>
    <s v=""/>
    <s v="42"/>
    <x v="2"/>
    <s v="EU"/>
    <s v="12"/>
    <s v="3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462"/>
    <n v="2094383124"/>
    <s v="1"/>
    <s v=""/>
    <s v="52"/>
    <x v="0"/>
    <s v="EU"/>
    <s v="13"/>
    <s v="9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8115848"/>
    <n v="1676851198"/>
    <s v=""/>
    <s v=""/>
    <s v="52"/>
    <x v="0"/>
    <s v="EU"/>
    <s v="13"/>
    <s v="7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166"/>
    <n v="1676851198"/>
    <s v=""/>
    <s v=""/>
    <s v="41"/>
    <x v="1"/>
    <s v="EU"/>
    <s v="03"/>
    <s v="8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99"/>
    <n v="1676851198"/>
    <s v=""/>
    <s v=""/>
    <s v="52"/>
    <x v="0"/>
    <s v="EU"/>
    <s v="13"/>
    <s v="9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276"/>
    <n v="679771232"/>
    <s v=""/>
    <s v=""/>
    <s v="42"/>
    <x v="2"/>
    <s v="EU"/>
    <s v="12"/>
    <s v="7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19"/>
    <n v="679771232"/>
    <s v=""/>
    <s v=""/>
    <s v="42"/>
    <x v="2"/>
    <s v="EU"/>
    <s v="12"/>
    <s v="5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69"/>
    <n v="679771232"/>
    <s v="2"/>
    <s v="RS"/>
    <s v="S2"/>
    <x v="15"/>
    <s v="FW"/>
    <s v="1"/>
    <s v="21"/>
    <s v="Scales"/>
    <n v="2126660001"/>
    <s v="2 SCALES ACROSS PER FISH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09-30T00:00:00"/>
    <s v="67931"/>
  </r>
  <r>
    <n v="4885459"/>
    <n v="2094383124"/>
    <s v="2"/>
    <s v="RS"/>
    <s v="S2"/>
    <x v="15"/>
    <s v="FW"/>
    <s v="1"/>
    <s v="8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-1004360555"/>
    <n v="-1000014991"/>
    <s v=""/>
    <s v=""/>
    <s v="52"/>
    <x v="0"/>
    <s v="EU"/>
    <s v="13"/>
    <s v="9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4362397"/>
    <n v="-1000014997"/>
    <s v=""/>
    <s v=""/>
    <s v="42"/>
    <x v="2"/>
    <s v="EU"/>
    <s v="12"/>
    <s v="1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4884994"/>
    <n v="1288148969"/>
    <s v="0"/>
    <s v=""/>
    <s v="42"/>
    <x v="2"/>
    <s v="EU"/>
    <s v="12"/>
    <s v="21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4967"/>
    <n v="1288148969"/>
    <s v="0"/>
    <s v=""/>
    <s v="42"/>
    <x v="2"/>
    <s v="EU"/>
    <s v="12"/>
    <s v="12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-1005773959"/>
    <n v="-1000024927"/>
    <s v=""/>
    <s v=""/>
    <s v="52"/>
    <x v="0"/>
    <s v="EU"/>
    <s v="13"/>
    <s v="4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31T00:00:00"/>
    <d v="1998-08-31T00:00:00"/>
    <s v="1998310536578877"/>
  </r>
  <r>
    <n v="-1005773951"/>
    <n v="-1000024927"/>
    <s v=""/>
    <s v="RS"/>
    <s v=""/>
    <x v="6"/>
    <s v=""/>
    <s v=""/>
    <s v="8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31T00:00:00"/>
    <d v="1998-08-31T00:00:00"/>
    <s v="1998310536578877"/>
  </r>
  <r>
    <n v="4885225"/>
    <n v="679771232"/>
    <s v=""/>
    <s v=""/>
    <s v="42"/>
    <x v="2"/>
    <s v="EU"/>
    <s v="12"/>
    <s v="5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604"/>
    <n v="1612784443"/>
    <s v=""/>
    <s v=""/>
    <s v="42"/>
    <x v="2"/>
    <s v="EU"/>
    <s v="12"/>
    <s v="8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234"/>
    <n v="679771232"/>
    <s v=""/>
    <s v=""/>
    <s v="42"/>
    <x v="2"/>
    <s v="EU"/>
    <s v="12"/>
    <s v="6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73"/>
    <n v="679771232"/>
    <s v=""/>
    <s v=""/>
    <s v="42"/>
    <x v="2"/>
    <s v="EU"/>
    <s v="12"/>
    <s v="7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540"/>
    <n v="2094383124"/>
    <s v="2"/>
    <s v="RS"/>
    <s v="S2"/>
    <x v="15"/>
    <s v="FW"/>
    <s v="1"/>
    <s v="10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-1005773915"/>
    <n v="-1000024927"/>
    <s v=""/>
    <s v=""/>
    <s v="42"/>
    <x v="2"/>
    <s v="EU"/>
    <s v="12"/>
    <s v="6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4885573"/>
    <n v="2094383124"/>
    <s v="1"/>
    <s v="W"/>
    <s v="2M"/>
    <x v="3"/>
    <s v="MY"/>
    <s v="2"/>
    <s v="21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11722502"/>
    <n v="1612784443"/>
    <s v=""/>
    <s v=""/>
    <s v="42"/>
    <x v="2"/>
    <s v="EU"/>
    <s v="12"/>
    <s v="5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03"/>
    <n v="1612784443"/>
    <s v=""/>
    <s v=""/>
    <s v="42"/>
    <x v="2"/>
    <s v="EU"/>
    <s v="12"/>
    <s v="1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45"/>
    <n v="1612784443"/>
    <s v=""/>
    <s v=""/>
    <s v="42"/>
    <x v="2"/>
    <s v="EU"/>
    <s v="12"/>
    <s v="3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845"/>
    <n v="1839088084"/>
    <s v=""/>
    <s v=""/>
    <s v="42"/>
    <x v="2"/>
    <s v="EU"/>
    <s v="12"/>
    <s v="5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48"/>
    <n v="1839088084"/>
    <s v=""/>
    <s v=""/>
    <s v="42"/>
    <x v="2"/>
    <s v="EU"/>
    <s v="12"/>
    <s v="5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5268"/>
    <n v="368670609"/>
    <s v=""/>
    <s v=""/>
    <s v="31"/>
    <x v="7"/>
    <s v="EU"/>
    <s v="02"/>
    <s v="1"/>
    <s v="Otolith - Surface"/>
    <n v="2126660002"/>
    <s v="1 OTOLITH ACROSS (TRAY)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Oto Box 3"/>
  </r>
  <r>
    <n v="11725271"/>
    <n v="368670609"/>
    <s v=""/>
    <s v=""/>
    <s v="41"/>
    <x v="1"/>
    <s v="EU"/>
    <s v="03"/>
    <s v="2"/>
    <s v="Otolith - Surface"/>
    <n v="2126660002"/>
    <s v="1 OTOLITH ACROSS (TRAY)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Oto Box 3"/>
  </r>
  <r>
    <n v="11722541"/>
    <n v="1612784443"/>
    <s v=""/>
    <s v=""/>
    <s v="42"/>
    <x v="2"/>
    <s v="EU"/>
    <s v="12"/>
    <s v="6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5749"/>
    <n v="1676851198"/>
    <s v=""/>
    <s v=""/>
    <s v="41"/>
    <x v="1"/>
    <s v="EU"/>
    <s v="03"/>
    <s v="4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854"/>
    <n v="1839088084"/>
    <s v=""/>
    <s v=""/>
    <s v="42"/>
    <x v="2"/>
    <s v="EU"/>
    <s v="12"/>
    <s v="6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5950"/>
    <n v="1676851198"/>
    <s v=""/>
    <s v=""/>
    <s v="52"/>
    <x v="0"/>
    <s v="EU"/>
    <s v="13"/>
    <s v="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33"/>
    <n v="1676851198"/>
    <s v=""/>
    <s v=""/>
    <s v="41"/>
    <x v="1"/>
    <s v="EU"/>
    <s v="03"/>
    <s v="7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9092"/>
    <n v="1839088084"/>
    <s v=""/>
    <s v=""/>
    <s v="42"/>
    <x v="2"/>
    <s v="EU"/>
    <s v="12"/>
    <s v="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363"/>
    <n v="679771232"/>
    <s v=""/>
    <s v=""/>
    <s v="2M"/>
    <x v="3"/>
    <s v="MY"/>
    <s v="2"/>
    <s v="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159"/>
    <n v="679771232"/>
    <s v=""/>
    <s v=""/>
    <s v="42"/>
    <x v="2"/>
    <s v="EU"/>
    <s v="12"/>
    <s v="3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072"/>
    <n v="679771232"/>
    <s v=""/>
    <s v=""/>
    <s v="42"/>
    <x v="2"/>
    <s v="EU"/>
    <s v="12"/>
    <s v="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14"/>
    <n v="679771232"/>
    <s v=""/>
    <s v=""/>
    <s v="41"/>
    <x v="1"/>
    <s v="EU"/>
    <s v="03"/>
    <s v="2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5665"/>
    <n v="1676851198"/>
    <s v=""/>
    <s v=""/>
    <s v="41"/>
    <x v="1"/>
    <s v="EU"/>
    <s v="03"/>
    <s v="1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911"/>
    <n v="1676851198"/>
    <s v=""/>
    <s v=""/>
    <s v="52"/>
    <x v="0"/>
    <s v="EU"/>
    <s v="13"/>
    <s v="10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719"/>
    <n v="1839088084"/>
    <s v=""/>
    <s v=""/>
    <s v="42"/>
    <x v="2"/>
    <s v="EU"/>
    <s v="12"/>
    <s v="1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5905"/>
    <n v="1676851198"/>
    <s v=""/>
    <s v=""/>
    <s v="42"/>
    <x v="2"/>
    <s v="EU"/>
    <s v="12"/>
    <s v="9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28"/>
    <n v="1676851198"/>
    <s v=""/>
    <s v=""/>
    <s v="41"/>
    <x v="1"/>
    <s v="EU"/>
    <s v="03"/>
    <s v="3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740"/>
    <n v="1676851198"/>
    <s v=""/>
    <s v=""/>
    <s v="52"/>
    <x v="0"/>
    <s v="EU"/>
    <s v="13"/>
    <s v="4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130"/>
    <n v="1676851198"/>
    <s v=""/>
    <s v=""/>
    <s v="41"/>
    <x v="1"/>
    <s v="EU"/>
    <s v="03"/>
    <s v="6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88"/>
    <n v="1676851198"/>
    <s v=""/>
    <s v=""/>
    <s v="42"/>
    <x v="2"/>
    <s v="EU"/>
    <s v="12"/>
    <s v="5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256"/>
    <n v="1676851198"/>
    <s v=""/>
    <s v=""/>
    <s v="42"/>
    <x v="2"/>
    <s v="EU"/>
    <s v="12"/>
    <s v="1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962"/>
    <n v="1676851198"/>
    <s v=""/>
    <s v=""/>
    <s v="41"/>
    <x v="1"/>
    <s v="EU"/>
    <s v="03"/>
    <s v="1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28"/>
    <n v="1676851198"/>
    <s v=""/>
    <s v=""/>
    <s v="52"/>
    <x v="0"/>
    <s v="EU"/>
    <s v="13"/>
    <s v="3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743"/>
    <n v="1839088084"/>
    <s v=""/>
    <s v=""/>
    <s v="42"/>
    <x v="2"/>
    <s v="EU"/>
    <s v="12"/>
    <s v="2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5944"/>
    <n v="1676851198"/>
    <s v=""/>
    <s v=""/>
    <s v="41"/>
    <x v="1"/>
    <s v="EU"/>
    <s v="03"/>
    <s v="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72"/>
    <n v="1676851198"/>
    <s v=""/>
    <s v=""/>
    <s v="42"/>
    <x v="2"/>
    <s v="EU"/>
    <s v="12"/>
    <s v="8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093"/>
    <n v="679771232"/>
    <s v=""/>
    <s v=""/>
    <s v="42"/>
    <x v="2"/>
    <s v="EU"/>
    <s v="12"/>
    <s v="1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193"/>
    <n v="1676851198"/>
    <s v=""/>
    <s v=""/>
    <s v="52"/>
    <x v="0"/>
    <s v="EU"/>
    <s v="13"/>
    <s v="9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4360557"/>
    <n v="-1000014991"/>
    <s v=""/>
    <s v=""/>
    <s v="52"/>
    <x v="0"/>
    <s v="EU"/>
    <s v="13"/>
    <s v="8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8115626"/>
    <n v="1676851198"/>
    <s v=""/>
    <s v=""/>
    <s v="52"/>
    <x v="0"/>
    <s v="EU"/>
    <s v="13"/>
    <s v="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430"/>
    <n v="1676851198"/>
    <s v=""/>
    <s v=""/>
    <s v="42"/>
    <x v="2"/>
    <s v="EU"/>
    <s v="12"/>
    <s v="6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37"/>
    <n v="1676851198"/>
    <s v=""/>
    <s v=""/>
    <s v="52"/>
    <x v="0"/>
    <s v="EU"/>
    <s v="13"/>
    <s v="3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493"/>
    <n v="-1000014991"/>
    <s v=""/>
    <s v=""/>
    <s v="41"/>
    <x v="1"/>
    <s v="EU"/>
    <s v="03"/>
    <s v="10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8115893"/>
    <n v="1676851198"/>
    <s v=""/>
    <s v=""/>
    <s v="42"/>
    <x v="2"/>
    <s v="EU"/>
    <s v="12"/>
    <s v="9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2580"/>
    <n v="1612784443"/>
    <s v=""/>
    <s v=""/>
    <s v="42"/>
    <x v="2"/>
    <s v="EU"/>
    <s v="12"/>
    <s v="7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4937"/>
    <n v="1288148969"/>
    <s v=""/>
    <s v=""/>
    <s v="42"/>
    <x v="2"/>
    <s v="EU"/>
    <s v="12"/>
    <s v="2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4997"/>
    <n v="1288148969"/>
    <s v="0"/>
    <s v=""/>
    <s v="42"/>
    <x v="2"/>
    <s v="EU"/>
    <s v="12"/>
    <s v="22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8116124"/>
    <n v="1676851198"/>
    <s v=""/>
    <s v=""/>
    <s v="52"/>
    <x v="0"/>
    <s v="EU"/>
    <s v="13"/>
    <s v="6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9323"/>
    <n v="363003608"/>
    <s v="2"/>
    <s v="RS"/>
    <s v=""/>
    <x v="6"/>
    <s v="EU"/>
    <s v=""/>
    <s v="7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4885042"/>
    <n v="1288148969"/>
    <s v=""/>
    <s v=""/>
    <s v="42"/>
    <x v="2"/>
    <s v="EU"/>
    <s v="12"/>
    <s v="12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11729353"/>
    <n v="1451931796"/>
    <s v=""/>
    <s v=""/>
    <s v="42"/>
    <x v="2"/>
    <s v="EU"/>
    <s v="12"/>
    <s v="1"/>
    <s v="Otolith - Surface"/>
    <n v="2126660002"/>
    <s v="1 OTOLITH ACROSS (TRAY)"/>
    <n v="11378932"/>
    <s v="ATNARKO ESCAPEMENT - 2020"/>
    <n v="970"/>
    <s v="ATNARKO RIVER"/>
    <x v="22"/>
    <s v="2020/0236"/>
    <n v="1"/>
    <s v="SOCKEYE SALMON"/>
    <n v="2086090012"/>
    <x v="1"/>
    <n v="83"/>
    <s v="Gaff (Deadpitch)"/>
    <s v="Adult"/>
    <d v="2020-09-21T00:00:00"/>
    <d v="2020-09-21T00:00:00"/>
    <s v="Oto Box 5"/>
  </r>
  <r>
    <n v="11725277"/>
    <n v="368670609"/>
    <s v=""/>
    <s v=""/>
    <s v="41"/>
    <x v="1"/>
    <s v="EU"/>
    <s v="03"/>
    <s v="4"/>
    <s v="Otolith - Surface"/>
    <n v="2126660002"/>
    <s v="1 OTOLITH ACROSS (TRAY)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Oto Box 3"/>
  </r>
  <r>
    <n v="11725505"/>
    <n v="1156302723"/>
    <s v=""/>
    <s v=""/>
    <s v="21"/>
    <x v="9"/>
    <s v="EU"/>
    <s v="01"/>
    <s v="15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9080"/>
    <n v="1973161987"/>
    <s v=""/>
    <s v=""/>
    <s v="42"/>
    <x v="2"/>
    <s v="EU"/>
    <s v="12"/>
    <s v="97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4893"/>
    <n v="1839088084"/>
    <s v=""/>
    <s v=""/>
    <s v="42"/>
    <x v="2"/>
    <s v="EU"/>
    <s v="12"/>
    <s v="7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239"/>
    <n v="363003608"/>
    <s v=""/>
    <s v="NS"/>
    <s v=""/>
    <x v="6"/>
    <s v="EU"/>
    <s v=""/>
    <s v="9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11729269"/>
    <n v="363003608"/>
    <s v="2"/>
    <s v="RS"/>
    <s v=""/>
    <x v="6"/>
    <s v="EU"/>
    <s v=""/>
    <s v="9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-1004362411"/>
    <n v="-1000014997"/>
    <s v=""/>
    <s v=""/>
    <s v="52"/>
    <x v="0"/>
    <s v="EU"/>
    <s v="13"/>
    <s v="4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11722475"/>
    <n v="1612784443"/>
    <s v=""/>
    <s v=""/>
    <s v="42"/>
    <x v="2"/>
    <s v="EU"/>
    <s v="12"/>
    <s v="4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069"/>
    <n v="679771232"/>
    <s v=""/>
    <s v=""/>
    <s v="42"/>
    <x v="2"/>
    <s v="EU"/>
    <s v="12"/>
    <s v="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511"/>
    <n v="1612784443"/>
    <s v=""/>
    <s v=""/>
    <s v="42"/>
    <x v="2"/>
    <s v="EU"/>
    <s v="12"/>
    <s v="5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764"/>
    <n v="1839088084"/>
    <s v=""/>
    <s v=""/>
    <s v="42"/>
    <x v="2"/>
    <s v="EU"/>
    <s v="12"/>
    <s v="3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70"/>
    <n v="1839088084"/>
    <s v=""/>
    <s v=""/>
    <s v="42"/>
    <x v="2"/>
    <s v="EU"/>
    <s v="12"/>
    <s v="3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201"/>
    <n v="679771232"/>
    <s v=""/>
    <s v=""/>
    <s v="42"/>
    <x v="2"/>
    <s v="EU"/>
    <s v="12"/>
    <s v="4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5818"/>
    <n v="1676851198"/>
    <s v=""/>
    <s v=""/>
    <s v="41"/>
    <x v="1"/>
    <s v="EU"/>
    <s v="03"/>
    <s v="6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4884988"/>
    <n v="1288148969"/>
    <s v="0"/>
    <s v=""/>
    <s v="42"/>
    <x v="2"/>
    <s v="EU"/>
    <s v="12"/>
    <s v="19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8116139"/>
    <n v="1676851198"/>
    <s v=""/>
    <s v=""/>
    <s v="41"/>
    <x v="1"/>
    <s v="EU"/>
    <s v="03"/>
    <s v="7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59"/>
    <n v="1676851198"/>
    <s v=""/>
    <s v=""/>
    <s v="42"/>
    <x v="2"/>
    <s v="EU"/>
    <s v="12"/>
    <s v="1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052"/>
    <n v="1676851198"/>
    <s v=""/>
    <s v=""/>
    <s v="52"/>
    <x v="0"/>
    <s v="EU"/>
    <s v="13"/>
    <s v="4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48"/>
    <n v="1676851198"/>
    <s v=""/>
    <s v=""/>
    <s v="52"/>
    <x v="0"/>
    <s v="EU"/>
    <s v="13"/>
    <s v="7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01"/>
    <n v="1676851198"/>
    <s v=""/>
    <s v=""/>
    <s v="52"/>
    <x v="0"/>
    <s v="EU"/>
    <s v="13"/>
    <s v="3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25"/>
    <n v="1676851198"/>
    <s v=""/>
    <s v=""/>
    <s v="42"/>
    <x v="2"/>
    <s v="EU"/>
    <s v="12"/>
    <s v="3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571"/>
    <n v="1612784443"/>
    <s v=""/>
    <s v=""/>
    <s v="42"/>
    <x v="2"/>
    <s v="EU"/>
    <s v="12"/>
    <s v="7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725"/>
    <n v="1839088084"/>
    <s v=""/>
    <s v=""/>
    <s v="42"/>
    <x v="2"/>
    <s v="EU"/>
    <s v="12"/>
    <s v="1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391"/>
    <n v="1676851198"/>
    <s v=""/>
    <s v=""/>
    <s v="42"/>
    <x v="2"/>
    <s v="EU"/>
    <s v="12"/>
    <s v="5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623"/>
    <n v="1676851198"/>
    <s v=""/>
    <s v=""/>
    <s v="52"/>
    <x v="0"/>
    <s v="EU"/>
    <s v="13"/>
    <s v="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457"/>
    <n v="1676851198"/>
    <s v=""/>
    <s v=""/>
    <s v="42"/>
    <x v="2"/>
    <s v="EU"/>
    <s v="12"/>
    <s v="7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001"/>
    <n v="1676851198"/>
    <s v=""/>
    <s v=""/>
    <s v="41"/>
    <x v="1"/>
    <s v="EU"/>
    <s v="03"/>
    <s v="2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006"/>
    <n v="1288148969"/>
    <s v=""/>
    <s v=""/>
    <s v="42"/>
    <x v="2"/>
    <s v="EU"/>
    <s v="12"/>
    <s v="25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11723060"/>
    <n v="1993655330"/>
    <s v="2"/>
    <s v="RS"/>
    <s v="S2"/>
    <x v="15"/>
    <s v="FW"/>
    <s v="1"/>
    <s v="16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4896"/>
    <n v="1839088084"/>
    <s v=""/>
    <s v=""/>
    <s v="42"/>
    <x v="2"/>
    <s v="EU"/>
    <s v="12"/>
    <s v="7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33"/>
    <n v="1839088084"/>
    <s v=""/>
    <s v=""/>
    <s v="42"/>
    <x v="2"/>
    <s v="EU"/>
    <s v="12"/>
    <s v="5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3054"/>
    <n v="1993655330"/>
    <s v=""/>
    <s v="RG"/>
    <s v=""/>
    <x v="6"/>
    <s v="EU"/>
    <s v=""/>
    <s v="14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9230"/>
    <n v="363003608"/>
    <s v="2"/>
    <s v="RS"/>
    <s v=""/>
    <x v="6"/>
    <s v="EU"/>
    <s v=""/>
    <s v="6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8116406"/>
    <n v="1676851198"/>
    <s v=""/>
    <s v=""/>
    <s v="42"/>
    <x v="2"/>
    <s v="EU"/>
    <s v="12"/>
    <s v="6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677"/>
    <n v="1676851198"/>
    <s v=""/>
    <s v=""/>
    <s v="42"/>
    <x v="2"/>
    <s v="EU"/>
    <s v="12"/>
    <s v="2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4885204"/>
    <n v="679771232"/>
    <s v=""/>
    <s v=""/>
    <s v="42"/>
    <x v="2"/>
    <s v="EU"/>
    <s v="12"/>
    <s v="5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-1004362417"/>
    <n v="-1000014997"/>
    <s v=""/>
    <s v=""/>
    <s v="42"/>
    <x v="2"/>
    <s v="EU"/>
    <s v="12"/>
    <s v="1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4885291"/>
    <n v="679771232"/>
    <s v=""/>
    <s v=""/>
    <s v="42"/>
    <x v="2"/>
    <s v="EU"/>
    <s v="12"/>
    <s v="7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558"/>
    <n v="2094383124"/>
    <s v="1"/>
    <s v=""/>
    <s v="42"/>
    <x v="2"/>
    <s v="EU"/>
    <s v="12"/>
    <s v="16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141"/>
    <n v="679771232"/>
    <s v=""/>
    <s v=""/>
    <s v="42"/>
    <x v="2"/>
    <s v="EU"/>
    <s v="12"/>
    <s v="2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280"/>
    <n v="1676851198"/>
    <s v=""/>
    <s v=""/>
    <s v="52"/>
    <x v="0"/>
    <s v="EU"/>
    <s v="13"/>
    <s v="1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477"/>
    <n v="2094383124"/>
    <s v="1"/>
    <s v=""/>
    <s v="42"/>
    <x v="2"/>
    <s v="EU"/>
    <s v="12"/>
    <s v="14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8116445"/>
    <n v="1676851198"/>
    <s v=""/>
    <s v=""/>
    <s v="52"/>
    <x v="0"/>
    <s v="EU"/>
    <s v="13"/>
    <s v="7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565"/>
    <n v="1612784443"/>
    <s v=""/>
    <s v=""/>
    <s v="42"/>
    <x v="2"/>
    <s v="EU"/>
    <s v="12"/>
    <s v="7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519"/>
    <n v="2094383124"/>
    <s v="1"/>
    <s v=""/>
    <s v="53"/>
    <x v="4"/>
    <s v="EU"/>
    <s v="22"/>
    <s v="3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123"/>
    <n v="679771232"/>
    <s v=""/>
    <s v=""/>
    <s v="42"/>
    <x v="2"/>
    <s v="EU"/>
    <s v="12"/>
    <s v="2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932"/>
    <n v="1839088084"/>
    <s v=""/>
    <s v=""/>
    <s v="S2"/>
    <x v="15"/>
    <s v="FW"/>
    <s v="1"/>
    <s v="8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066"/>
    <n v="679771232"/>
    <s v=""/>
    <s v=""/>
    <s v="42"/>
    <x v="2"/>
    <s v="EU"/>
    <s v="12"/>
    <s v="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268"/>
    <n v="1676851198"/>
    <s v=""/>
    <s v=""/>
    <s v="52"/>
    <x v="0"/>
    <s v="EU"/>
    <s v="13"/>
    <s v="1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348"/>
    <n v="679771232"/>
    <s v=""/>
    <s v=""/>
    <s v="41"/>
    <x v="1"/>
    <s v="EU"/>
    <s v="03"/>
    <s v="9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513"/>
    <n v="2094383124"/>
    <s v="0"/>
    <s v=""/>
    <s v="52"/>
    <x v="0"/>
    <s v="EU"/>
    <s v="13"/>
    <s v="1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8116232"/>
    <n v="1676851198"/>
    <s v=""/>
    <s v=""/>
    <s v="42"/>
    <x v="2"/>
    <s v="EU"/>
    <s v="12"/>
    <s v="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779"/>
    <n v="1676851198"/>
    <s v=""/>
    <s v=""/>
    <s v="62"/>
    <x v="13"/>
    <s v="EU"/>
    <s v="14"/>
    <s v="5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271"/>
    <n v="1676851198"/>
    <s v=""/>
    <s v=""/>
    <s v="42"/>
    <x v="2"/>
    <s v="EU"/>
    <s v="12"/>
    <s v="1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427"/>
    <n v="1612784443"/>
    <s v=""/>
    <s v=""/>
    <s v="42"/>
    <x v="2"/>
    <s v="EU"/>
    <s v="12"/>
    <s v="2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9311"/>
    <n v="363003608"/>
    <s v="2"/>
    <s v="RG"/>
    <s v=""/>
    <x v="6"/>
    <s v="EU"/>
    <s v=""/>
    <s v="3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9296"/>
    <n v="363003608"/>
    <s v="2"/>
    <s v="RS"/>
    <s v="S1"/>
    <x v="16"/>
    <s v="FW"/>
    <s v="0"/>
    <s v="8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-1004360563"/>
    <n v="-1000014991"/>
    <s v=""/>
    <s v=""/>
    <s v="42"/>
    <x v="2"/>
    <s v="EU"/>
    <s v="12"/>
    <s v="5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4362365"/>
    <n v="-1000014997"/>
    <s v=""/>
    <s v=""/>
    <s v="42"/>
    <x v="2"/>
    <s v="EU"/>
    <s v="12"/>
    <s v="7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4885165"/>
    <n v="679771232"/>
    <s v=""/>
    <s v=""/>
    <s v="42"/>
    <x v="2"/>
    <s v="EU"/>
    <s v="12"/>
    <s v="3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-1004360529"/>
    <n v="-1000014991"/>
    <s v=""/>
    <s v=""/>
    <s v="52"/>
    <x v="0"/>
    <s v="EU"/>
    <s v="13"/>
    <s v="2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4885249"/>
    <n v="679771232"/>
    <s v=""/>
    <s v=""/>
    <s v="42"/>
    <x v="2"/>
    <s v="EU"/>
    <s v="12"/>
    <s v="6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403"/>
    <n v="1676851198"/>
    <s v=""/>
    <s v=""/>
    <s v="42"/>
    <x v="2"/>
    <s v="EU"/>
    <s v="12"/>
    <s v="6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565"/>
    <n v="-1000014991"/>
    <s v=""/>
    <s v=""/>
    <s v="41"/>
    <x v="1"/>
    <s v="EU"/>
    <s v="03"/>
    <s v="4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11725304"/>
    <n v="368670609"/>
    <s v="2"/>
    <s v="RS"/>
    <s v=""/>
    <x v="6"/>
    <s v="EU"/>
    <s v=""/>
    <s v="8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8115797"/>
    <n v="1676851198"/>
    <s v=""/>
    <s v=""/>
    <s v="41"/>
    <x v="1"/>
    <s v="EU"/>
    <s v="03"/>
    <s v="6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5466"/>
    <n v="1156302723"/>
    <s v=""/>
    <s v=""/>
    <s v="42"/>
    <x v="2"/>
    <s v="EU"/>
    <s v="12"/>
    <s v="2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8116091"/>
    <n v="1676851198"/>
    <s v=""/>
    <s v=""/>
    <s v="41"/>
    <x v="1"/>
    <s v="EU"/>
    <s v="03"/>
    <s v="5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138"/>
    <n v="679771232"/>
    <s v=""/>
    <s v=""/>
    <s v="42"/>
    <x v="2"/>
    <s v="EU"/>
    <s v="12"/>
    <s v="2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5899"/>
    <n v="1676851198"/>
    <s v=""/>
    <s v=""/>
    <s v="52"/>
    <x v="0"/>
    <s v="EU"/>
    <s v="13"/>
    <s v="9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90"/>
    <n v="1676851198"/>
    <s v=""/>
    <s v=""/>
    <s v="41"/>
    <x v="1"/>
    <s v="EU"/>
    <s v="03"/>
    <s v="9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34"/>
    <n v="1676851198"/>
    <s v=""/>
    <s v=""/>
    <s v="52"/>
    <x v="0"/>
    <s v="EU"/>
    <s v="13"/>
    <s v="3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527"/>
    <n v="-1000014991"/>
    <s v=""/>
    <s v="RG"/>
    <s v=""/>
    <x v="6"/>
    <s v=""/>
    <s v=""/>
    <s v="3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8116340"/>
    <n v="1676851198"/>
    <s v=""/>
    <s v=""/>
    <s v="41"/>
    <x v="1"/>
    <s v="EU"/>
    <s v="03"/>
    <s v="3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507"/>
    <n v="-1000014991"/>
    <s v=""/>
    <s v=""/>
    <s v="42"/>
    <x v="2"/>
    <s v="EU"/>
    <s v="12"/>
    <s v="3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4362359"/>
    <n v="-1000014997"/>
    <s v=""/>
    <s v=""/>
    <s v="42"/>
    <x v="2"/>
    <s v="EU"/>
    <s v="12"/>
    <s v="10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-1005773941"/>
    <n v="-1000024927"/>
    <s v=""/>
    <s v=""/>
    <s v="41"/>
    <x v="1"/>
    <s v="EU"/>
    <s v="03"/>
    <s v="5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4360487"/>
    <n v="-1000014991"/>
    <s v=""/>
    <s v=""/>
    <s v="1M"/>
    <x v="14"/>
    <s v="MY"/>
    <s v="1"/>
    <s v="3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11729314"/>
    <n v="363003608"/>
    <s v="2"/>
    <s v="RS"/>
    <s v="S1"/>
    <x v="16"/>
    <s v="FW"/>
    <s v="0"/>
    <s v="4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8116211"/>
    <n v="1676851198"/>
    <s v=""/>
    <s v=""/>
    <s v="41"/>
    <x v="1"/>
    <s v="EU"/>
    <s v="03"/>
    <s v="9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5484"/>
    <n v="1156302723"/>
    <s v=""/>
    <s v=""/>
    <s v="42"/>
    <x v="2"/>
    <s v="EU"/>
    <s v="12"/>
    <s v="8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8116109"/>
    <n v="1676851198"/>
    <s v=""/>
    <s v=""/>
    <s v="41"/>
    <x v="1"/>
    <s v="EU"/>
    <s v="03"/>
    <s v="6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5773957"/>
    <n v="-1000024927"/>
    <s v=""/>
    <s v=""/>
    <s v="53"/>
    <x v="4"/>
    <s v="EU"/>
    <s v="22"/>
    <s v="5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31T00:00:00"/>
    <d v="1998-08-31T00:00:00"/>
    <s v="1998310536578877"/>
  </r>
  <r>
    <n v="8115770"/>
    <n v="1676851198"/>
    <s v=""/>
    <s v=""/>
    <s v="42"/>
    <x v="2"/>
    <s v="EU"/>
    <s v="12"/>
    <s v="5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962"/>
    <n v="1839088084"/>
    <s v="1"/>
    <s v=""/>
    <s v="42"/>
    <x v="2"/>
    <s v="EU"/>
    <s v="12"/>
    <s v="7"/>
    <s v="Scales"/>
    <n v="2126660001"/>
    <s v="5 SCALES DOWN PER FISH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4T00:00:00"/>
    <s v="1003927"/>
  </r>
  <r>
    <n v="8115854"/>
    <n v="1676851198"/>
    <s v=""/>
    <s v=""/>
    <s v="41"/>
    <x v="1"/>
    <s v="EU"/>
    <s v="03"/>
    <s v="8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2652"/>
    <n v="1612784443"/>
    <s v="0"/>
    <s v=""/>
    <s v="42"/>
    <x v="2"/>
    <s v="EU"/>
    <s v="12"/>
    <s v="1"/>
    <s v="Scales"/>
    <n v="2126660001"/>
    <s v="2 SCALES ACROSS PER FISH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4T00:00:00"/>
    <s v="1010763"/>
  </r>
  <r>
    <n v="11729263"/>
    <n v="363003608"/>
    <s v="2"/>
    <s v="RS"/>
    <s v="S1"/>
    <x v="16"/>
    <s v="FW"/>
    <s v="0"/>
    <s v="7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8115674"/>
    <n v="1676851198"/>
    <s v=""/>
    <s v=""/>
    <s v="52"/>
    <x v="0"/>
    <s v="EU"/>
    <s v="13"/>
    <s v="2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4885045"/>
    <n v="1288148969"/>
    <s v=""/>
    <s v=""/>
    <s v="42"/>
    <x v="2"/>
    <s v="EU"/>
    <s v="12"/>
    <s v="13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-1005773893"/>
    <n v="-1000024927"/>
    <s v=""/>
    <s v=""/>
    <s v="53"/>
    <x v="4"/>
    <s v="EU"/>
    <s v="22"/>
    <s v="17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11724839"/>
    <n v="1839088084"/>
    <s v=""/>
    <s v=""/>
    <s v="42"/>
    <x v="2"/>
    <s v="EU"/>
    <s v="12"/>
    <s v="5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493"/>
    <n v="1612784443"/>
    <s v=""/>
    <s v=""/>
    <s v="52"/>
    <x v="0"/>
    <s v="EU"/>
    <s v="13"/>
    <s v="4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312"/>
    <n v="679771232"/>
    <s v=""/>
    <s v=""/>
    <s v="41"/>
    <x v="1"/>
    <s v="EU"/>
    <s v="03"/>
    <s v="8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4952"/>
    <n v="1288148969"/>
    <s v="0"/>
    <s v=""/>
    <s v="31"/>
    <x v="7"/>
    <s v="EU"/>
    <s v="02"/>
    <s v="7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11725502"/>
    <n v="1156302723"/>
    <s v=""/>
    <s v=""/>
    <s v="42"/>
    <x v="2"/>
    <s v="EU"/>
    <s v="12"/>
    <s v="14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5298"/>
    <n v="368670609"/>
    <s v=""/>
    <s v="UD"/>
    <s v=""/>
    <x v="6"/>
    <s v="EU"/>
    <s v=""/>
    <s v="6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11724875"/>
    <n v="1839088084"/>
    <s v=""/>
    <s v=""/>
    <s v="42"/>
    <x v="2"/>
    <s v="EU"/>
    <s v="12"/>
    <s v="6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043"/>
    <n v="1676851198"/>
    <s v=""/>
    <s v=""/>
    <s v="52"/>
    <x v="0"/>
    <s v="EU"/>
    <s v="13"/>
    <s v="4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000"/>
    <n v="1288148969"/>
    <s v=""/>
    <s v=""/>
    <s v="31"/>
    <x v="7"/>
    <s v="EU"/>
    <s v="02"/>
    <s v="23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11722382"/>
    <n v="1612784443"/>
    <s v=""/>
    <s v=""/>
    <s v="42"/>
    <x v="2"/>
    <s v="EU"/>
    <s v="12"/>
    <s v="1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5620"/>
    <n v="1676851198"/>
    <s v=""/>
    <s v=""/>
    <s v="41"/>
    <x v="1"/>
    <s v="EU"/>
    <s v="03"/>
    <s v="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87"/>
    <n v="1676851198"/>
    <s v=""/>
    <s v=""/>
    <s v="52"/>
    <x v="0"/>
    <s v="EU"/>
    <s v="13"/>
    <s v="9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64"/>
    <n v="1676851198"/>
    <s v=""/>
    <s v=""/>
    <s v="31"/>
    <x v="7"/>
    <s v="EU"/>
    <s v="02"/>
    <s v="4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4689"/>
    <n v="1839088084"/>
    <s v=""/>
    <s v=""/>
    <s v="42"/>
    <x v="2"/>
    <s v="EU"/>
    <s v="12"/>
    <s v="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397"/>
    <n v="1676851198"/>
    <s v=""/>
    <s v=""/>
    <s v="52"/>
    <x v="0"/>
    <s v="EU"/>
    <s v="13"/>
    <s v="5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538"/>
    <n v="1612784443"/>
    <s v=""/>
    <s v=""/>
    <s v="42"/>
    <x v="2"/>
    <s v="EU"/>
    <s v="12"/>
    <s v="6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601"/>
    <n v="1612784443"/>
    <s v=""/>
    <s v=""/>
    <s v="42"/>
    <x v="2"/>
    <s v="EU"/>
    <s v="12"/>
    <s v="8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297"/>
    <n v="679771232"/>
    <s v=""/>
    <s v=""/>
    <s v="52"/>
    <x v="0"/>
    <s v="EU"/>
    <s v="13"/>
    <s v="8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-1005773921"/>
    <n v="-1000024927"/>
    <s v=""/>
    <s v=""/>
    <s v="42"/>
    <x v="2"/>
    <s v="EU"/>
    <s v="12"/>
    <s v="3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4362381"/>
    <n v="-1000014997"/>
    <s v=""/>
    <s v=""/>
    <s v="52"/>
    <x v="0"/>
    <s v="EU"/>
    <s v="13"/>
    <s v="9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4885087"/>
    <n v="679771232"/>
    <s v=""/>
    <s v=""/>
    <s v="42"/>
    <x v="2"/>
    <s v="EU"/>
    <s v="12"/>
    <s v="1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039"/>
    <n v="1288148969"/>
    <s v=""/>
    <s v=""/>
    <s v="42"/>
    <x v="2"/>
    <s v="EU"/>
    <s v="12"/>
    <s v="11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486"/>
    <n v="2094383124"/>
    <s v="1"/>
    <s v=""/>
    <s v="42"/>
    <x v="2"/>
    <s v="EU"/>
    <s v="12"/>
    <s v="17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396"/>
    <n v="679771232"/>
    <s v=""/>
    <s v=""/>
    <s v="42"/>
    <x v="2"/>
    <s v="EU"/>
    <s v="12"/>
    <s v="1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8116265"/>
    <n v="1676851198"/>
    <s v=""/>
    <s v=""/>
    <s v="42"/>
    <x v="2"/>
    <s v="EU"/>
    <s v="12"/>
    <s v="1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2361"/>
    <n v="-1000014997"/>
    <s v=""/>
    <s v=""/>
    <s v="42"/>
    <x v="2"/>
    <s v="EU"/>
    <s v="12"/>
    <s v="9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4885528"/>
    <n v="2094383124"/>
    <s v="1"/>
    <s v="RG"/>
    <s v="3M"/>
    <x v="5"/>
    <s v="MY"/>
    <s v="3"/>
    <s v="6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030"/>
    <n v="1288148969"/>
    <s v="0"/>
    <s v=""/>
    <s v="42"/>
    <x v="2"/>
    <s v="EU"/>
    <s v="12"/>
    <s v="8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8115989"/>
    <n v="1676851198"/>
    <s v=""/>
    <s v=""/>
    <s v="52"/>
    <x v="0"/>
    <s v="EU"/>
    <s v="13"/>
    <s v="2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64"/>
    <n v="1676851198"/>
    <s v=""/>
    <s v=""/>
    <s v="52"/>
    <x v="0"/>
    <s v="EU"/>
    <s v="13"/>
    <s v="5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004"/>
    <n v="1676851198"/>
    <s v=""/>
    <s v=""/>
    <s v="52"/>
    <x v="0"/>
    <s v="EU"/>
    <s v="13"/>
    <s v="2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92"/>
    <n v="1676851198"/>
    <s v=""/>
    <s v=""/>
    <s v="41"/>
    <x v="1"/>
    <s v="EU"/>
    <s v="03"/>
    <s v="2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4812"/>
    <n v="1839088084"/>
    <s v=""/>
    <s v=""/>
    <s v="42"/>
    <x v="2"/>
    <s v="EU"/>
    <s v="12"/>
    <s v="4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5995"/>
    <n v="1676851198"/>
    <s v=""/>
    <s v=""/>
    <s v="52"/>
    <x v="0"/>
    <s v="EU"/>
    <s v="13"/>
    <s v="2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012"/>
    <n v="1288148969"/>
    <s v="0"/>
    <s v="RG"/>
    <s v="2M"/>
    <x v="3"/>
    <s v="MY"/>
    <s v="2"/>
    <s v="2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8116514"/>
    <n v="1676851198"/>
    <s v=""/>
    <s v=""/>
    <s v="52"/>
    <x v="0"/>
    <s v="EU"/>
    <s v="13"/>
    <s v="9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015"/>
    <n v="1288148969"/>
    <s v="0"/>
    <s v=""/>
    <s v="42"/>
    <x v="2"/>
    <s v="EU"/>
    <s v="12"/>
    <s v="3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-1004362379"/>
    <n v="-1000014997"/>
    <s v=""/>
    <s v=""/>
    <s v="41"/>
    <x v="1"/>
    <s v="EU"/>
    <s v="03"/>
    <s v="10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11722532"/>
    <n v="1612784443"/>
    <s v=""/>
    <s v=""/>
    <s v="42"/>
    <x v="2"/>
    <s v="EU"/>
    <s v="12"/>
    <s v="6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238"/>
    <n v="1676851198"/>
    <s v=""/>
    <s v=""/>
    <s v="41"/>
    <x v="1"/>
    <s v="EU"/>
    <s v="03"/>
    <s v="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477"/>
    <n v="-1000014991"/>
    <s v=""/>
    <s v=""/>
    <s v="42"/>
    <x v="2"/>
    <s v="EU"/>
    <s v="12"/>
    <s v="8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4885270"/>
    <n v="679771232"/>
    <s v=""/>
    <s v=""/>
    <s v="42"/>
    <x v="2"/>
    <s v="EU"/>
    <s v="12"/>
    <s v="7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514"/>
    <n v="1612784443"/>
    <s v=""/>
    <s v=""/>
    <s v="42"/>
    <x v="2"/>
    <s v="EU"/>
    <s v="12"/>
    <s v="5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189"/>
    <n v="679771232"/>
    <s v=""/>
    <s v=""/>
    <s v="42"/>
    <x v="2"/>
    <s v="EU"/>
    <s v="12"/>
    <s v="4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686"/>
    <n v="1839088084"/>
    <s v=""/>
    <s v=""/>
    <s v="42"/>
    <x v="2"/>
    <s v="EU"/>
    <s v="12"/>
    <s v="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441"/>
    <n v="2094383124"/>
    <s v="2"/>
    <s v="RS"/>
    <s v="S2"/>
    <x v="15"/>
    <s v="FW"/>
    <s v="1"/>
    <s v="2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510"/>
    <n v="2094383124"/>
    <s v="2"/>
    <s v="RS"/>
    <s v="S2"/>
    <x v="15"/>
    <s v="FW"/>
    <s v="1"/>
    <s v="25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11724716"/>
    <n v="1839088084"/>
    <s v=""/>
    <s v=""/>
    <s v="42"/>
    <x v="2"/>
    <s v="EU"/>
    <s v="12"/>
    <s v="1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553"/>
    <n v="1612784443"/>
    <s v=""/>
    <s v=""/>
    <s v="42"/>
    <x v="2"/>
    <s v="EU"/>
    <s v="12"/>
    <s v="6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50"/>
    <n v="1612784443"/>
    <s v=""/>
    <s v=""/>
    <s v="42"/>
    <x v="2"/>
    <s v="EU"/>
    <s v="12"/>
    <s v="6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911"/>
    <n v="1839088084"/>
    <s v=""/>
    <s v=""/>
    <s v="42"/>
    <x v="2"/>
    <s v="EU"/>
    <s v="12"/>
    <s v="7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758"/>
    <n v="1839088084"/>
    <s v=""/>
    <s v=""/>
    <s v="32"/>
    <x v="11"/>
    <s v="EU"/>
    <s v="11"/>
    <s v="2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60"/>
    <n v="1839088084"/>
    <s v=""/>
    <s v=""/>
    <s v="42"/>
    <x v="2"/>
    <s v="EU"/>
    <s v="12"/>
    <s v="6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4985"/>
    <n v="1288148969"/>
    <s v=""/>
    <s v=""/>
    <s v="52"/>
    <x v="0"/>
    <s v="EU"/>
    <s v="13"/>
    <s v="18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5294"/>
    <n v="679771232"/>
    <s v=""/>
    <s v=""/>
    <s v="42"/>
    <x v="2"/>
    <s v="EU"/>
    <s v="12"/>
    <s v="8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67"/>
    <n v="679771232"/>
    <s v=""/>
    <s v=""/>
    <s v="41"/>
    <x v="1"/>
    <s v="EU"/>
    <s v="03"/>
    <s v="7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474"/>
    <n v="2094383124"/>
    <s v="2"/>
    <s v="RS"/>
    <s v=""/>
    <x v="6"/>
    <s v="EU"/>
    <s v=""/>
    <s v="13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516"/>
    <n v="2094383124"/>
    <s v=""/>
    <s v="UD"/>
    <s v=""/>
    <x v="6"/>
    <s v="EU"/>
    <s v=""/>
    <s v="2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8115710"/>
    <n v="1676851198"/>
    <s v=""/>
    <s v=""/>
    <s v="42"/>
    <x v="2"/>
    <s v="EU"/>
    <s v="12"/>
    <s v="3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4885084"/>
    <n v="679771232"/>
    <s v=""/>
    <s v=""/>
    <s v="42"/>
    <x v="2"/>
    <s v="EU"/>
    <s v="12"/>
    <s v="1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5761"/>
    <n v="1676851198"/>
    <s v=""/>
    <s v=""/>
    <s v="52"/>
    <x v="0"/>
    <s v="EU"/>
    <s v="13"/>
    <s v="5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22"/>
    <n v="1676851198"/>
    <s v=""/>
    <s v=""/>
    <s v="42"/>
    <x v="2"/>
    <s v="EU"/>
    <s v="12"/>
    <s v="3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977"/>
    <n v="1676851198"/>
    <s v=""/>
    <s v=""/>
    <s v="32"/>
    <x v="11"/>
    <s v="EU"/>
    <s v="11"/>
    <s v="1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51"/>
    <n v="1676851198"/>
    <s v=""/>
    <s v=""/>
    <s v="31"/>
    <x v="7"/>
    <s v="EU"/>
    <s v="02"/>
    <s v="7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4776"/>
    <n v="1839088084"/>
    <s v=""/>
    <s v=""/>
    <s v="42"/>
    <x v="2"/>
    <s v="EU"/>
    <s v="12"/>
    <s v="3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-1005773933"/>
    <n v="-1000024927"/>
    <s v=""/>
    <s v=""/>
    <s v="3M"/>
    <x v="5"/>
    <s v="MY"/>
    <s v="3"/>
    <s v="9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11722583"/>
    <n v="1612784443"/>
    <s v=""/>
    <s v=""/>
    <s v="42"/>
    <x v="2"/>
    <s v="EU"/>
    <s v="12"/>
    <s v="7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385"/>
    <n v="1676851198"/>
    <s v=""/>
    <s v=""/>
    <s v="42"/>
    <x v="2"/>
    <s v="EU"/>
    <s v="12"/>
    <s v="5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48"/>
    <n v="1676851198"/>
    <s v=""/>
    <s v=""/>
    <s v="42"/>
    <x v="2"/>
    <s v="EU"/>
    <s v="12"/>
    <s v="7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2399"/>
    <n v="-1000014997"/>
    <s v=""/>
    <s v=""/>
    <s v="42"/>
    <x v="2"/>
    <s v="EU"/>
    <s v="12"/>
    <s v="10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8116073"/>
    <n v="1676851198"/>
    <s v=""/>
    <s v=""/>
    <s v="31"/>
    <x v="7"/>
    <s v="EU"/>
    <s v="02"/>
    <s v="5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17"/>
    <n v="1676851198"/>
    <s v=""/>
    <s v=""/>
    <s v="42"/>
    <x v="2"/>
    <s v="EU"/>
    <s v="12"/>
    <s v="9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4917"/>
    <n v="1839088084"/>
    <s v=""/>
    <s v=""/>
    <s v="52"/>
    <x v="0"/>
    <s v="EU"/>
    <s v="13"/>
    <s v="8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02"/>
    <n v="1839088084"/>
    <s v=""/>
    <s v=""/>
    <s v="42"/>
    <x v="2"/>
    <s v="EU"/>
    <s v="12"/>
    <s v="7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3027"/>
    <n v="1993655330"/>
    <s v="2"/>
    <s v="RS"/>
    <s v="S2"/>
    <x v="15"/>
    <s v="FW"/>
    <s v="1"/>
    <s v="5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-1005773889"/>
    <n v="-1000024927"/>
    <s v=""/>
    <s v=""/>
    <s v="52"/>
    <x v="0"/>
    <s v="EU"/>
    <s v="13"/>
    <s v="19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8115896"/>
    <n v="1676851198"/>
    <s v=""/>
    <s v=""/>
    <s v="41"/>
    <x v="1"/>
    <s v="EU"/>
    <s v="03"/>
    <s v="9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2466"/>
    <n v="1612784443"/>
    <s v=""/>
    <s v="NS"/>
    <s v=""/>
    <x v="6"/>
    <s v="EU"/>
    <s v=""/>
    <s v="3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5632"/>
    <n v="1676851198"/>
    <s v=""/>
    <s v=""/>
    <s v="52"/>
    <x v="0"/>
    <s v="EU"/>
    <s v="13"/>
    <s v="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35"/>
    <n v="1676851198"/>
    <s v=""/>
    <s v=""/>
    <s v="52"/>
    <x v="0"/>
    <s v="EU"/>
    <s v="13"/>
    <s v="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460"/>
    <n v="1676851198"/>
    <s v=""/>
    <s v=""/>
    <s v="42"/>
    <x v="2"/>
    <s v="EU"/>
    <s v="12"/>
    <s v="7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9266"/>
    <n v="363003608"/>
    <s v="2"/>
    <s v="RS"/>
    <s v="S1"/>
    <x v="16"/>
    <s v="FW"/>
    <s v="0"/>
    <s v="8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4885570"/>
    <n v="2094383124"/>
    <s v="1"/>
    <s v=""/>
    <s v="42"/>
    <x v="2"/>
    <s v="EU"/>
    <s v="12"/>
    <s v="20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11725508"/>
    <n v="1156302723"/>
    <s v=""/>
    <s v=""/>
    <s v="42"/>
    <x v="2"/>
    <s v="EU"/>
    <s v="12"/>
    <s v="16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4885213"/>
    <n v="679771232"/>
    <s v=""/>
    <s v=""/>
    <s v="31"/>
    <x v="7"/>
    <s v="EU"/>
    <s v="02"/>
    <s v="5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62"/>
    <n v="679771232"/>
    <s v=""/>
    <s v=""/>
    <s v="42"/>
    <x v="2"/>
    <s v="EU"/>
    <s v="12"/>
    <s v="3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57"/>
    <n v="679771232"/>
    <s v=""/>
    <s v=""/>
    <s v="3M"/>
    <x v="5"/>
    <s v="MY"/>
    <s v="3"/>
    <s v="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387"/>
    <n v="679771232"/>
    <s v=""/>
    <s v=""/>
    <s v="42"/>
    <x v="2"/>
    <s v="EU"/>
    <s v="12"/>
    <s v="1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8116322"/>
    <n v="1676851198"/>
    <s v=""/>
    <s v=""/>
    <s v="42"/>
    <x v="2"/>
    <s v="EU"/>
    <s v="12"/>
    <s v="3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409"/>
    <n v="1612784443"/>
    <s v=""/>
    <s v=""/>
    <s v="42"/>
    <x v="2"/>
    <s v="EU"/>
    <s v="12"/>
    <s v="2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740"/>
    <n v="1839088084"/>
    <s v=""/>
    <s v=""/>
    <s v="42"/>
    <x v="2"/>
    <s v="EU"/>
    <s v="12"/>
    <s v="2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567"/>
    <n v="2094383124"/>
    <s v="1"/>
    <s v=""/>
    <s v="42"/>
    <x v="2"/>
    <s v="EU"/>
    <s v="12"/>
    <s v="19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11725517"/>
    <n v="1156302723"/>
    <s v=""/>
    <s v=""/>
    <s v="41"/>
    <x v="1"/>
    <s v="EU"/>
    <s v="03"/>
    <s v="19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9074"/>
    <n v="1973161987"/>
    <s v=""/>
    <s v=""/>
    <s v="42"/>
    <x v="2"/>
    <s v="EU"/>
    <s v="12"/>
    <s v="95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11722556"/>
    <n v="1612784443"/>
    <s v=""/>
    <s v=""/>
    <s v="42"/>
    <x v="2"/>
    <s v="EU"/>
    <s v="12"/>
    <s v="6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9248"/>
    <n v="363003608"/>
    <s v="2"/>
    <s v="RS"/>
    <s v="S2"/>
    <x v="15"/>
    <s v="FW"/>
    <s v="1"/>
    <s v="2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11723039"/>
    <n v="1993655330"/>
    <s v="2"/>
    <s v="RS"/>
    <s v=""/>
    <x v="6"/>
    <s v="EU"/>
    <s v=""/>
    <s v="9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9236"/>
    <n v="363003608"/>
    <s v="2"/>
    <s v="RS"/>
    <s v=""/>
    <x v="6"/>
    <s v="EU"/>
    <s v=""/>
    <s v="8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11725511"/>
    <n v="1156302723"/>
    <s v=""/>
    <s v=""/>
    <s v="41"/>
    <x v="1"/>
    <s v="EU"/>
    <s v="03"/>
    <s v="17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4710"/>
    <n v="1839088084"/>
    <s v=""/>
    <s v=""/>
    <s v="42"/>
    <x v="2"/>
    <s v="EU"/>
    <s v="12"/>
    <s v="1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102"/>
    <n v="679771232"/>
    <s v=""/>
    <s v=""/>
    <s v="42"/>
    <x v="2"/>
    <s v="EU"/>
    <s v="12"/>
    <s v="1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-1004362395"/>
    <n v="-1000014997"/>
    <s v=""/>
    <s v=""/>
    <s v="42"/>
    <x v="2"/>
    <s v="EU"/>
    <s v="12"/>
    <s v="2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11722544"/>
    <n v="1612784443"/>
    <s v=""/>
    <s v=""/>
    <s v="42"/>
    <x v="2"/>
    <s v="EU"/>
    <s v="12"/>
    <s v="65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722"/>
    <n v="1839088084"/>
    <s v=""/>
    <s v=""/>
    <s v="42"/>
    <x v="2"/>
    <s v="EU"/>
    <s v="12"/>
    <s v="1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595"/>
    <n v="1612784443"/>
    <s v=""/>
    <s v=""/>
    <s v="42"/>
    <x v="2"/>
    <s v="EU"/>
    <s v="12"/>
    <s v="8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9317"/>
    <n v="363003608"/>
    <s v="2"/>
    <s v="RS"/>
    <s v=""/>
    <x v="6"/>
    <s v="EU"/>
    <s v=""/>
    <s v="5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4821"/>
    <n v="1839088084"/>
    <s v=""/>
    <s v=""/>
    <s v="42"/>
    <x v="2"/>
    <s v="EU"/>
    <s v="12"/>
    <s v="4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5731"/>
    <n v="1676851198"/>
    <s v=""/>
    <s v=""/>
    <s v="42"/>
    <x v="2"/>
    <s v="EU"/>
    <s v="12"/>
    <s v="4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016"/>
    <n v="1676851198"/>
    <s v=""/>
    <s v=""/>
    <s v="41"/>
    <x v="1"/>
    <s v="EU"/>
    <s v="03"/>
    <s v="3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64"/>
    <n v="1676851198"/>
    <s v=""/>
    <s v=""/>
    <s v="42"/>
    <x v="2"/>
    <s v="EU"/>
    <s v="12"/>
    <s v="4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00"/>
    <n v="1676851198"/>
    <s v=""/>
    <s v=""/>
    <s v="52"/>
    <x v="0"/>
    <s v="EU"/>
    <s v="13"/>
    <s v="5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5773905"/>
    <n v="-1000024927"/>
    <s v=""/>
    <s v=""/>
    <s v="3M"/>
    <x v="5"/>
    <s v="MY"/>
    <s v="3"/>
    <s v="11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8115842"/>
    <n v="1676851198"/>
    <s v=""/>
    <s v=""/>
    <s v="52"/>
    <x v="0"/>
    <s v="EU"/>
    <s v="13"/>
    <s v="7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968"/>
    <n v="1676851198"/>
    <s v=""/>
    <s v=""/>
    <s v="32"/>
    <x v="11"/>
    <s v="EU"/>
    <s v="11"/>
    <s v="1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23"/>
    <n v="1676851198"/>
    <s v=""/>
    <s v=""/>
    <s v="52"/>
    <x v="0"/>
    <s v="EU"/>
    <s v="13"/>
    <s v="10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121"/>
    <n v="1676851198"/>
    <s v=""/>
    <s v=""/>
    <s v="31"/>
    <x v="7"/>
    <s v="EU"/>
    <s v="02"/>
    <s v="6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316"/>
    <n v="1676851198"/>
    <s v=""/>
    <s v=""/>
    <s v="52"/>
    <x v="0"/>
    <s v="EU"/>
    <s v="13"/>
    <s v="3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525"/>
    <n v="-1000014991"/>
    <s v=""/>
    <s v=""/>
    <s v="42"/>
    <x v="2"/>
    <s v="EU"/>
    <s v="12"/>
    <s v="4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-1004360517"/>
    <n v="-1000014991"/>
    <s v=""/>
    <s v=""/>
    <s v="42"/>
    <x v="2"/>
    <s v="EU"/>
    <s v="12"/>
    <s v="8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8116520"/>
    <n v="1676851198"/>
    <s v=""/>
    <s v=""/>
    <s v="52"/>
    <x v="0"/>
    <s v="EU"/>
    <s v="13"/>
    <s v="9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569"/>
    <n v="-1000014991"/>
    <s v=""/>
    <s v=""/>
    <s v="52"/>
    <x v="0"/>
    <s v="EU"/>
    <s v="13"/>
    <s v="2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4885003"/>
    <n v="1288148969"/>
    <s v=""/>
    <s v=""/>
    <s v="42"/>
    <x v="2"/>
    <s v="EU"/>
    <s v="12"/>
    <s v="24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8115992"/>
    <n v="1676851198"/>
    <s v=""/>
    <s v=""/>
    <s v="42"/>
    <x v="2"/>
    <s v="EU"/>
    <s v="12"/>
    <s v="2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4360539"/>
    <n v="-1000014991"/>
    <s v=""/>
    <s v=""/>
    <s v="52"/>
    <x v="0"/>
    <s v="EU"/>
    <s v="13"/>
    <s v="7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8116034"/>
    <n v="1676851198"/>
    <s v=""/>
    <s v=""/>
    <s v="42"/>
    <x v="2"/>
    <s v="EU"/>
    <s v="12"/>
    <s v="3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83"/>
    <n v="1676851198"/>
    <s v=""/>
    <s v=""/>
    <s v="42"/>
    <x v="2"/>
    <s v="EU"/>
    <s v="12"/>
    <s v="2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806"/>
    <n v="1676851198"/>
    <s v=""/>
    <s v=""/>
    <s v="31"/>
    <x v="7"/>
    <s v="EU"/>
    <s v="02"/>
    <s v="6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2559"/>
    <n v="1612784443"/>
    <s v=""/>
    <s v=""/>
    <s v="42"/>
    <x v="2"/>
    <s v="EU"/>
    <s v="12"/>
    <s v="7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5875"/>
    <n v="1676851198"/>
    <s v=""/>
    <s v=""/>
    <s v="42"/>
    <x v="2"/>
    <s v="EU"/>
    <s v="12"/>
    <s v="8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-1004362387"/>
    <n v="-1000014997"/>
    <s v=""/>
    <s v=""/>
    <s v="41"/>
    <x v="1"/>
    <s v="EU"/>
    <s v="03"/>
    <s v="6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8116439"/>
    <n v="1676851198"/>
    <s v=""/>
    <s v=""/>
    <s v="42"/>
    <x v="2"/>
    <s v="EU"/>
    <s v="12"/>
    <s v="7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947"/>
    <n v="1676851198"/>
    <s v=""/>
    <s v=""/>
    <s v="41"/>
    <x v="1"/>
    <s v="EU"/>
    <s v="03"/>
    <s v="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4360479"/>
    <n v="-1000014991"/>
    <s v=""/>
    <s v=""/>
    <s v="42"/>
    <x v="2"/>
    <s v="EU"/>
    <s v="12"/>
    <s v="7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4885324"/>
    <n v="679771232"/>
    <s v=""/>
    <s v="UF"/>
    <s v="2M"/>
    <x v="3"/>
    <s v="MY"/>
    <s v="2"/>
    <s v="9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-1004360481"/>
    <n v="-1000014991"/>
    <s v=""/>
    <s v=""/>
    <s v="42"/>
    <x v="2"/>
    <s v="EU"/>
    <s v="12"/>
    <s v="6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4885378"/>
    <n v="679771232"/>
    <s v=""/>
    <s v=""/>
    <s v="42"/>
    <x v="2"/>
    <s v="EU"/>
    <s v="12"/>
    <s v="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393"/>
    <n v="679771232"/>
    <s v=""/>
    <s v=""/>
    <s v="42"/>
    <x v="2"/>
    <s v="EU"/>
    <s v="12"/>
    <s v="1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11724941"/>
    <n v="1839088084"/>
    <s v=""/>
    <s v=""/>
    <s v="42"/>
    <x v="2"/>
    <s v="EU"/>
    <s v="12"/>
    <s v="8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264"/>
    <n v="679771232"/>
    <s v=""/>
    <s v=""/>
    <s v="42"/>
    <x v="2"/>
    <s v="EU"/>
    <s v="12"/>
    <s v="7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869"/>
    <n v="1839088084"/>
    <s v=""/>
    <s v=""/>
    <s v="42"/>
    <x v="2"/>
    <s v="EU"/>
    <s v="12"/>
    <s v="6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-1005773923"/>
    <n v="-1000024927"/>
    <s v=""/>
    <s v=""/>
    <s v="42"/>
    <x v="2"/>
    <s v="EU"/>
    <s v="12"/>
    <s v="2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907"/>
    <n v="-1000024927"/>
    <s v=""/>
    <s v="UD"/>
    <s v=""/>
    <x v="6"/>
    <s v=""/>
    <s v=""/>
    <s v="10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8115803"/>
    <n v="1676851198"/>
    <s v=""/>
    <s v=""/>
    <s v="52"/>
    <x v="0"/>
    <s v="EU"/>
    <s v="13"/>
    <s v="6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82"/>
    <n v="1676851198"/>
    <s v=""/>
    <s v=""/>
    <s v="62"/>
    <x v="13"/>
    <s v="EU"/>
    <s v="14"/>
    <s v="5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067"/>
    <n v="1676851198"/>
    <s v=""/>
    <s v=""/>
    <s v="52"/>
    <x v="0"/>
    <s v="EU"/>
    <s v="13"/>
    <s v="4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228"/>
    <n v="679771232"/>
    <s v=""/>
    <s v=""/>
    <s v="42"/>
    <x v="2"/>
    <s v="EU"/>
    <s v="12"/>
    <s v="5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731"/>
    <n v="1839088084"/>
    <s v=""/>
    <s v=""/>
    <s v="42"/>
    <x v="2"/>
    <s v="EU"/>
    <s v="12"/>
    <s v="1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-1005773953"/>
    <n v="-1000024927"/>
    <s v=""/>
    <s v=""/>
    <s v="42"/>
    <x v="2"/>
    <s v="EU"/>
    <s v="12"/>
    <s v="7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31T00:00:00"/>
    <d v="1998-08-31T00:00:00"/>
    <s v="1998310536578877"/>
  </r>
  <r>
    <n v="11724818"/>
    <n v="1839088084"/>
    <s v=""/>
    <s v=""/>
    <s v="42"/>
    <x v="2"/>
    <s v="EU"/>
    <s v="12"/>
    <s v="4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5283"/>
    <n v="368670609"/>
    <s v="2"/>
    <s v="RS"/>
    <s v="S2"/>
    <x v="15"/>
    <s v="FW"/>
    <s v="1"/>
    <s v="1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8115629"/>
    <n v="1676851198"/>
    <s v=""/>
    <s v=""/>
    <s v="52"/>
    <x v="0"/>
    <s v="EU"/>
    <s v="13"/>
    <s v="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25"/>
    <n v="1676851198"/>
    <s v=""/>
    <s v=""/>
    <s v="52"/>
    <x v="0"/>
    <s v="EU"/>
    <s v="13"/>
    <s v="3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490"/>
    <n v="1676851198"/>
    <s v=""/>
    <s v=""/>
    <s v="52"/>
    <x v="0"/>
    <s v="EU"/>
    <s v="13"/>
    <s v="8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707"/>
    <n v="1676851198"/>
    <s v=""/>
    <s v=""/>
    <s v="52"/>
    <x v="0"/>
    <s v="EU"/>
    <s v="13"/>
    <s v="3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30"/>
    <n v="1676851198"/>
    <s v=""/>
    <s v=""/>
    <s v="62"/>
    <x v="13"/>
    <s v="EU"/>
    <s v="14"/>
    <s v="7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031"/>
    <n v="1676851198"/>
    <s v=""/>
    <s v=""/>
    <s v="42"/>
    <x v="2"/>
    <s v="EU"/>
    <s v="12"/>
    <s v="3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037"/>
    <n v="1676851198"/>
    <s v=""/>
    <s v=""/>
    <s v="52"/>
    <x v="0"/>
    <s v="EU"/>
    <s v="13"/>
    <s v="3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929"/>
    <n v="1676851198"/>
    <s v=""/>
    <s v=""/>
    <s v="42"/>
    <x v="2"/>
    <s v="EU"/>
    <s v="12"/>
    <s v="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2367"/>
    <n v="1612784443"/>
    <s v=""/>
    <s v=""/>
    <s v="42"/>
    <x v="2"/>
    <s v="EU"/>
    <s v="12"/>
    <s v="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5860"/>
    <n v="1676851198"/>
    <s v=""/>
    <s v=""/>
    <s v="42"/>
    <x v="2"/>
    <s v="EU"/>
    <s v="12"/>
    <s v="8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5478"/>
    <n v="1156302723"/>
    <s v=""/>
    <s v=""/>
    <s v="41"/>
    <x v="1"/>
    <s v="EU"/>
    <s v="03"/>
    <s v="6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4872"/>
    <n v="1839088084"/>
    <s v=""/>
    <s v=""/>
    <s v="42"/>
    <x v="2"/>
    <s v="EU"/>
    <s v="12"/>
    <s v="6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5845"/>
    <n v="1676851198"/>
    <s v=""/>
    <s v=""/>
    <s v="31"/>
    <x v="7"/>
    <s v="EU"/>
    <s v="02"/>
    <s v="7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704"/>
    <n v="1676851198"/>
    <s v=""/>
    <s v=""/>
    <s v="52"/>
    <x v="0"/>
    <s v="EU"/>
    <s v="13"/>
    <s v="3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253"/>
    <n v="1676851198"/>
    <s v=""/>
    <s v=""/>
    <s v="42"/>
    <x v="2"/>
    <s v="EU"/>
    <s v="12"/>
    <s v="1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679"/>
    <n v="1612784443"/>
    <s v="1"/>
    <s v=""/>
    <s v="42"/>
    <x v="2"/>
    <s v="EU"/>
    <s v="12"/>
    <s v="10"/>
    <s v="Scales"/>
    <n v="2126660001"/>
    <s v="2 SCALES ACROSS PER FISH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4T00:00:00"/>
    <s v="1010763"/>
  </r>
  <r>
    <n v="8116142"/>
    <n v="1676851198"/>
    <s v=""/>
    <s v=""/>
    <s v="42"/>
    <x v="2"/>
    <s v="EU"/>
    <s v="12"/>
    <s v="7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4360513"/>
    <n v="-1000014991"/>
    <s v=""/>
    <s v=""/>
    <s v="42"/>
    <x v="2"/>
    <s v="EU"/>
    <s v="12"/>
    <s v="10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8116049"/>
    <n v="1676851198"/>
    <s v=""/>
    <s v=""/>
    <s v="52"/>
    <x v="0"/>
    <s v="EU"/>
    <s v="13"/>
    <s v="4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9221"/>
    <n v="363003608"/>
    <s v="2"/>
    <s v="RS"/>
    <s v="S2"/>
    <x v="15"/>
    <s v="FW"/>
    <s v="1"/>
    <s v="3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4885153"/>
    <n v="679771232"/>
    <s v=""/>
    <s v=""/>
    <s v="52"/>
    <x v="0"/>
    <s v="EU"/>
    <s v="13"/>
    <s v="33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5523"/>
    <n v="1156302723"/>
    <s v=""/>
    <s v=""/>
    <s v="42"/>
    <x v="2"/>
    <s v="EU"/>
    <s v="12"/>
    <s v="21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8116418"/>
    <n v="1676851198"/>
    <s v=""/>
    <s v=""/>
    <s v="42"/>
    <x v="2"/>
    <s v="EU"/>
    <s v="12"/>
    <s v="6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4970"/>
    <n v="1288148969"/>
    <s v=""/>
    <s v="RG"/>
    <s v="2M"/>
    <x v="3"/>
    <s v="MY"/>
    <s v="2"/>
    <s v="13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-1004360495"/>
    <n v="-1000014991"/>
    <s v=""/>
    <s v=""/>
    <s v="42"/>
    <x v="2"/>
    <s v="EU"/>
    <s v="12"/>
    <s v="9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4360485"/>
    <n v="-1000014991"/>
    <s v=""/>
    <s v=""/>
    <s v="41"/>
    <x v="1"/>
    <s v="EU"/>
    <s v="03"/>
    <s v="4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4885471"/>
    <n v="2094383124"/>
    <s v="0"/>
    <s v=""/>
    <s v="42"/>
    <x v="2"/>
    <s v="EU"/>
    <s v="12"/>
    <s v="12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5429"/>
    <n v="679771232"/>
    <s v=""/>
    <s v=""/>
    <s v="42"/>
    <x v="2"/>
    <s v="EU"/>
    <s v="12"/>
    <s v="2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11722463"/>
    <n v="1612784443"/>
    <s v=""/>
    <s v="NS"/>
    <s v=""/>
    <x v="6"/>
    <s v="EU"/>
    <s v=""/>
    <s v="3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481"/>
    <n v="1676851198"/>
    <s v=""/>
    <s v=""/>
    <s v="52"/>
    <x v="0"/>
    <s v="EU"/>
    <s v="13"/>
    <s v="8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4842"/>
    <n v="1839088084"/>
    <s v=""/>
    <s v=""/>
    <s v="42"/>
    <x v="2"/>
    <s v="EU"/>
    <s v="12"/>
    <s v="5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090"/>
    <n v="679771232"/>
    <s v=""/>
    <s v=""/>
    <s v="42"/>
    <x v="2"/>
    <s v="EU"/>
    <s v="12"/>
    <s v="1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824"/>
    <n v="1839088084"/>
    <s v=""/>
    <s v=""/>
    <s v="42"/>
    <x v="2"/>
    <s v="EU"/>
    <s v="12"/>
    <s v="5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2439"/>
    <n v="1612784443"/>
    <s v=""/>
    <s v=""/>
    <s v="42"/>
    <x v="2"/>
    <s v="EU"/>
    <s v="12"/>
    <s v="3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-1004360571"/>
    <n v="-1000014991"/>
    <s v=""/>
    <s v=""/>
    <s v="41"/>
    <x v="1"/>
    <s v="EU"/>
    <s v="03"/>
    <s v="1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4360561"/>
    <n v="-1000014991"/>
    <s v=""/>
    <s v=""/>
    <s v="42"/>
    <x v="2"/>
    <s v="EU"/>
    <s v="12"/>
    <s v="6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n v="-1005773909"/>
    <n v="-1000024927"/>
    <s v=""/>
    <s v=""/>
    <s v="31"/>
    <x v="7"/>
    <s v="EU"/>
    <s v="02"/>
    <s v="9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11725289"/>
    <n v="368670609"/>
    <s v=""/>
    <s v="RG"/>
    <s v=""/>
    <x v="6"/>
    <s v="EU"/>
    <s v=""/>
    <s v="3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8115956"/>
    <n v="1676851198"/>
    <s v=""/>
    <s v=""/>
    <s v="42"/>
    <x v="2"/>
    <s v="EU"/>
    <s v="12"/>
    <s v="1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41"/>
    <n v="1676851198"/>
    <s v=""/>
    <s v=""/>
    <s v="42"/>
    <x v="2"/>
    <s v="EU"/>
    <s v="12"/>
    <s v="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01"/>
    <n v="1676851198"/>
    <s v=""/>
    <s v=""/>
    <s v="42"/>
    <x v="2"/>
    <s v="EU"/>
    <s v="12"/>
    <s v="2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15"/>
    <n v="1676851198"/>
    <s v=""/>
    <s v=""/>
    <s v="41"/>
    <x v="1"/>
    <s v="EU"/>
    <s v="03"/>
    <s v="6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505"/>
    <n v="1676851198"/>
    <s v=""/>
    <s v=""/>
    <s v="41"/>
    <x v="1"/>
    <s v="EU"/>
    <s v="03"/>
    <s v="9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9284"/>
    <n v="363003608"/>
    <s v=""/>
    <s v="RS"/>
    <s v="S1"/>
    <x v="16"/>
    <s v="FW"/>
    <s v="0"/>
    <s v="4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8115662"/>
    <n v="1676851198"/>
    <s v=""/>
    <s v=""/>
    <s v="41"/>
    <x v="1"/>
    <s v="EU"/>
    <s v="03"/>
    <s v="1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412"/>
    <n v="1676851198"/>
    <s v=""/>
    <s v=""/>
    <s v="42"/>
    <x v="2"/>
    <s v="EU"/>
    <s v="12"/>
    <s v="6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028"/>
    <n v="1676851198"/>
    <s v=""/>
    <s v=""/>
    <s v="52"/>
    <x v="0"/>
    <s v="EU"/>
    <s v="13"/>
    <s v="3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9272"/>
    <n v="363003608"/>
    <s v="2"/>
    <s v="RS"/>
    <s v=""/>
    <x v="6"/>
    <s v="EU"/>
    <s v=""/>
    <s v="10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8"/>
  </r>
  <r>
    <n v="-1004360543"/>
    <n v="-1000014991"/>
    <s v=""/>
    <s v=""/>
    <s v="41"/>
    <x v="1"/>
    <s v="EU"/>
    <s v="03"/>
    <s v="5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-1004362391"/>
    <n v="-1000014997"/>
    <s v=""/>
    <s v=""/>
    <s v="41"/>
    <x v="1"/>
    <s v="EU"/>
    <s v="03"/>
    <s v="4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4885465"/>
    <n v="2094383124"/>
    <s v="1"/>
    <s v=""/>
    <s v="42"/>
    <x v="2"/>
    <s v="EU"/>
    <s v="12"/>
    <s v="10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-1004360501"/>
    <n v="-1000014991"/>
    <s v=""/>
    <s v=""/>
    <s v="42"/>
    <x v="2"/>
    <s v="EU"/>
    <s v="12"/>
    <s v="6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-1004362409"/>
    <n v="-1000014997"/>
    <s v=""/>
    <s v=""/>
    <s v="42"/>
    <x v="2"/>
    <s v="EU"/>
    <s v="12"/>
    <s v="5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11729233"/>
    <n v="363003608"/>
    <s v="2"/>
    <s v="RS"/>
    <s v=""/>
    <x v="6"/>
    <s v="EU"/>
    <s v=""/>
    <s v="7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11722469"/>
    <n v="1612784443"/>
    <s v=""/>
    <s v="NS"/>
    <s v=""/>
    <x v="6"/>
    <s v="EU"/>
    <s v=""/>
    <s v="4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5472"/>
    <n v="1156302723"/>
    <s v=""/>
    <s v=""/>
    <s v="42"/>
    <x v="2"/>
    <s v="EU"/>
    <s v="12"/>
    <s v="4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2478"/>
    <n v="1612784443"/>
    <s v=""/>
    <s v=""/>
    <s v="42"/>
    <x v="2"/>
    <s v="EU"/>
    <s v="12"/>
    <s v="4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184"/>
    <n v="1676851198"/>
    <s v=""/>
    <s v=""/>
    <s v="42"/>
    <x v="2"/>
    <s v="EU"/>
    <s v="12"/>
    <s v="8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46"/>
    <n v="1676851198"/>
    <s v=""/>
    <s v=""/>
    <s v="42"/>
    <x v="2"/>
    <s v="EU"/>
    <s v="12"/>
    <s v="4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4885417"/>
    <n v="679771232"/>
    <s v=""/>
    <s v=""/>
    <s v="32"/>
    <x v="11"/>
    <s v="EU"/>
    <s v="11"/>
    <s v="2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111"/>
    <n v="679771232"/>
    <s v=""/>
    <s v=""/>
    <s v="42"/>
    <x v="2"/>
    <s v="EU"/>
    <s v="12"/>
    <s v="1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361"/>
    <n v="1612784443"/>
    <s v=""/>
    <s v=""/>
    <s v="42"/>
    <x v="2"/>
    <s v="EU"/>
    <s v="12"/>
    <s v="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108"/>
    <n v="679771232"/>
    <s v=""/>
    <s v=""/>
    <s v="42"/>
    <x v="2"/>
    <s v="EU"/>
    <s v="12"/>
    <s v="1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517"/>
    <n v="1676851198"/>
    <s v=""/>
    <s v=""/>
    <s v="52"/>
    <x v="0"/>
    <s v="EU"/>
    <s v="13"/>
    <s v="9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5773943"/>
    <n v="-1000024927"/>
    <s v=""/>
    <s v=""/>
    <s v="42"/>
    <x v="2"/>
    <s v="EU"/>
    <s v="12"/>
    <s v="4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4884979"/>
    <n v="1288148969"/>
    <s v="0"/>
    <s v=""/>
    <s v="41"/>
    <x v="1"/>
    <s v="EU"/>
    <s v="03"/>
    <s v="16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4885150"/>
    <n v="679771232"/>
    <s v=""/>
    <s v=""/>
    <s v="42"/>
    <x v="2"/>
    <s v="EU"/>
    <s v="12"/>
    <s v="3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103"/>
    <n v="1676851198"/>
    <s v=""/>
    <s v=""/>
    <s v="52"/>
    <x v="0"/>
    <s v="EU"/>
    <s v="13"/>
    <s v="6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120"/>
    <n v="679771232"/>
    <s v=""/>
    <s v=""/>
    <s v="42"/>
    <x v="2"/>
    <s v="EU"/>
    <s v="12"/>
    <s v="2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411"/>
    <n v="679771232"/>
    <s v=""/>
    <s v=""/>
    <s v="42"/>
    <x v="2"/>
    <s v="EU"/>
    <s v="12"/>
    <s v="1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099"/>
    <n v="679771232"/>
    <s v=""/>
    <s v=""/>
    <s v="42"/>
    <x v="2"/>
    <s v="EU"/>
    <s v="12"/>
    <s v="1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713"/>
    <n v="1839088084"/>
    <s v=""/>
    <s v=""/>
    <s v="41"/>
    <x v="1"/>
    <s v="EU"/>
    <s v="03"/>
    <s v="1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830"/>
    <n v="1839088084"/>
    <s v=""/>
    <s v=""/>
    <s v="42"/>
    <x v="2"/>
    <s v="EU"/>
    <s v="12"/>
    <s v="5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466"/>
    <n v="1676851198"/>
    <s v=""/>
    <s v=""/>
    <s v="3M"/>
    <x v="5"/>
    <s v="MY"/>
    <s v="3"/>
    <s v="8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3024"/>
    <n v="1993655330"/>
    <s v="2"/>
    <s v="RS"/>
    <s v=""/>
    <x v="6"/>
    <s v="EU"/>
    <s v=""/>
    <s v="4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4899"/>
    <n v="1839088084"/>
    <s v=""/>
    <s v=""/>
    <s v="42"/>
    <x v="2"/>
    <s v="EU"/>
    <s v="12"/>
    <s v="7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-1004362389"/>
    <n v="-1000014997"/>
    <s v=""/>
    <s v=""/>
    <s v="42"/>
    <x v="2"/>
    <s v="EU"/>
    <s v="12"/>
    <s v="5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4884991"/>
    <n v="1288148969"/>
    <s v=""/>
    <s v=""/>
    <s v="42"/>
    <x v="2"/>
    <s v="EU"/>
    <s v="12"/>
    <s v="20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8116076"/>
    <n v="1676851198"/>
    <s v=""/>
    <s v=""/>
    <s v="52"/>
    <x v="0"/>
    <s v="EU"/>
    <s v="13"/>
    <s v="5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55"/>
    <n v="1676851198"/>
    <s v=""/>
    <s v=""/>
    <s v="42"/>
    <x v="2"/>
    <s v="EU"/>
    <s v="12"/>
    <s v="4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701"/>
    <n v="1839088084"/>
    <s v=""/>
    <s v=""/>
    <s v="42"/>
    <x v="2"/>
    <s v="EU"/>
    <s v="12"/>
    <s v="9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359"/>
    <n v="1451931796"/>
    <s v="2"/>
    <s v="RS"/>
    <s v="S2"/>
    <x v="15"/>
    <s v="FW"/>
    <s v="1"/>
    <s v="1"/>
    <s v="Scales"/>
    <n v="2126660001"/>
    <s v="5 SCALES DOWN PER FISH"/>
    <n v="11378932"/>
    <s v="ATNARKO ESCAPEMENT - 2020"/>
    <n v="970"/>
    <s v="ATNARKO RIVER"/>
    <x v="22"/>
    <s v="2020/0236"/>
    <n v="1"/>
    <s v="SOCKEYE SALMON"/>
    <n v="2086090012"/>
    <x v="1"/>
    <n v="83"/>
    <s v="Gaff (Deadpitch)"/>
    <s v="Adult"/>
    <d v="2020-09-21T00:00:00"/>
    <d v="2020-09-21T00:00:00"/>
    <s v="1003943"/>
  </r>
  <r>
    <n v="11725463"/>
    <n v="1156302723"/>
    <s v=""/>
    <s v=""/>
    <s v="41"/>
    <x v="1"/>
    <s v="EU"/>
    <s v="03"/>
    <s v="1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2586"/>
    <n v="1612784443"/>
    <s v=""/>
    <s v=""/>
    <s v="42"/>
    <x v="2"/>
    <s v="EU"/>
    <s v="12"/>
    <s v="7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592"/>
    <n v="1612784443"/>
    <s v=""/>
    <s v=""/>
    <s v="42"/>
    <x v="2"/>
    <s v="EU"/>
    <s v="12"/>
    <s v="81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974"/>
    <n v="1839088084"/>
    <s v="2"/>
    <s v="RS"/>
    <s v="S2"/>
    <x v="15"/>
    <s v="FW"/>
    <s v="1"/>
    <s v="1"/>
    <s v="Scales"/>
    <n v="2126660001"/>
    <s v="5 SCALES DOWN PER FISH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4T00:00:00"/>
    <s v="1003928"/>
  </r>
  <r>
    <n v="11723015"/>
    <n v="1993655330"/>
    <s v=""/>
    <s v="NS"/>
    <s v=""/>
    <x v="6"/>
    <s v="EU"/>
    <s v=""/>
    <s v="1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2397"/>
    <n v="1612784443"/>
    <s v=""/>
    <s v=""/>
    <s v="42"/>
    <x v="2"/>
    <s v="EU"/>
    <s v="12"/>
    <s v="1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180"/>
    <n v="679771232"/>
    <s v=""/>
    <s v="UF"/>
    <s v="3M"/>
    <x v="5"/>
    <s v="MY"/>
    <s v="3"/>
    <s v="4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432"/>
    <n v="679771232"/>
    <s v=""/>
    <s v=""/>
    <s v="42"/>
    <x v="2"/>
    <s v="EU"/>
    <s v="12"/>
    <s v="2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453"/>
    <n v="2094383124"/>
    <s v="2"/>
    <s v="RS"/>
    <s v=""/>
    <x v="6"/>
    <s v="EU"/>
    <s v=""/>
    <s v="6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4884934"/>
    <n v="1288148969"/>
    <s v=""/>
    <s v="UD"/>
    <s v=""/>
    <x v="6"/>
    <s v="EU"/>
    <s v=""/>
    <s v="1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-1005773929"/>
    <n v="-1000024927"/>
    <s v=""/>
    <s v=""/>
    <s v="41"/>
    <x v="1"/>
    <s v="EU"/>
    <s v="03"/>
    <s v="11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8115953"/>
    <n v="1676851198"/>
    <s v=""/>
    <s v=""/>
    <s v="52"/>
    <x v="0"/>
    <s v="EU"/>
    <s v="13"/>
    <s v="1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5773935"/>
    <n v="-1000024927"/>
    <s v=""/>
    <s v=""/>
    <s v="3M"/>
    <x v="5"/>
    <s v="MY"/>
    <s v="3"/>
    <s v="8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5773939"/>
    <n v="-1000024927"/>
    <s v=""/>
    <s v="RG"/>
    <s v=""/>
    <x v="6"/>
    <s v=""/>
    <s v=""/>
    <s v="6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-1004362413"/>
    <n v="-1000014997"/>
    <s v=""/>
    <s v=""/>
    <s v="41"/>
    <x v="1"/>
    <s v="EU"/>
    <s v="03"/>
    <s v="3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-1004362383"/>
    <n v="-1000014997"/>
    <s v=""/>
    <s v=""/>
    <s v="42"/>
    <x v="2"/>
    <s v="EU"/>
    <s v="12"/>
    <s v="8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n v="11725301"/>
    <n v="368670609"/>
    <s v="2"/>
    <s v="RS"/>
    <s v="S2"/>
    <x v="15"/>
    <s v="FW"/>
    <s v="1"/>
    <s v="7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11724836"/>
    <n v="1839088084"/>
    <s v=""/>
    <s v=""/>
    <s v="41"/>
    <x v="1"/>
    <s v="EU"/>
    <s v="03"/>
    <s v="5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5520"/>
    <n v="1156302723"/>
    <s v=""/>
    <s v=""/>
    <s v="21"/>
    <x v="9"/>
    <s v="EU"/>
    <s v="01"/>
    <s v="20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9071"/>
    <n v="1973161987"/>
    <s v=""/>
    <s v=""/>
    <s v="42"/>
    <x v="2"/>
    <s v="EU"/>
    <s v="12"/>
    <s v="94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-1005773937"/>
    <n v="-1000024927"/>
    <s v=""/>
    <s v="RS"/>
    <s v=""/>
    <x v="6"/>
    <s v=""/>
    <s v=""/>
    <s v="7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11723048"/>
    <n v="1993655330"/>
    <s v="2"/>
    <s v="RS"/>
    <s v=""/>
    <x v="6"/>
    <s v="EU"/>
    <s v=""/>
    <s v="12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11725295"/>
    <n v="368670609"/>
    <s v="2"/>
    <s v="RS"/>
    <s v=""/>
    <x v="6"/>
    <s v="EU"/>
    <s v=""/>
    <s v="5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11724779"/>
    <n v="1839088084"/>
    <s v=""/>
    <s v=""/>
    <s v="42"/>
    <x v="2"/>
    <s v="EU"/>
    <s v="12"/>
    <s v="3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196"/>
    <n v="1676851198"/>
    <s v=""/>
    <s v=""/>
    <s v="42"/>
    <x v="2"/>
    <s v="EU"/>
    <s v="12"/>
    <s v="9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2607"/>
    <n v="1612784443"/>
    <s v=""/>
    <s v=""/>
    <s v="42"/>
    <x v="2"/>
    <s v="EU"/>
    <s v="12"/>
    <s v="8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250"/>
    <n v="1676851198"/>
    <s v=""/>
    <s v=""/>
    <s v="52"/>
    <x v="0"/>
    <s v="EU"/>
    <s v="13"/>
    <s v="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2373"/>
    <n v="-1000014997"/>
    <s v=""/>
    <s v=""/>
    <s v="42"/>
    <x v="2"/>
    <s v="EU"/>
    <s v="12"/>
    <s v="3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8116118"/>
    <n v="1676851198"/>
    <s v=""/>
    <s v=""/>
    <s v="63"/>
    <x v="8"/>
    <s v="EU"/>
    <s v="23"/>
    <s v="6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4767"/>
    <n v="1839088084"/>
    <s v=""/>
    <s v=""/>
    <s v="42"/>
    <x v="2"/>
    <s v="EU"/>
    <s v="12"/>
    <s v="3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451"/>
    <n v="1676851198"/>
    <s v=""/>
    <s v=""/>
    <s v="42"/>
    <x v="2"/>
    <s v="EU"/>
    <s v="12"/>
    <s v="7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202"/>
    <n v="1676851198"/>
    <s v=""/>
    <s v=""/>
    <s v="42"/>
    <x v="2"/>
    <s v="EU"/>
    <s v="12"/>
    <s v="9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2400"/>
    <n v="1612784443"/>
    <s v=""/>
    <s v=""/>
    <s v="42"/>
    <x v="2"/>
    <s v="EU"/>
    <s v="12"/>
    <s v="1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5866"/>
    <n v="1676851198"/>
    <s v=""/>
    <s v=""/>
    <s v="52"/>
    <x v="0"/>
    <s v="EU"/>
    <s v="13"/>
    <s v="85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869"/>
    <n v="1676851198"/>
    <s v=""/>
    <s v=""/>
    <s v="52"/>
    <x v="0"/>
    <s v="EU"/>
    <s v="13"/>
    <s v="8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644"/>
    <n v="1676851198"/>
    <s v=""/>
    <s v=""/>
    <s v="52"/>
    <x v="0"/>
    <s v="EU"/>
    <s v="13"/>
    <s v="1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487"/>
    <n v="1676851198"/>
    <s v=""/>
    <s v=""/>
    <s v="32"/>
    <x v="11"/>
    <s v="EU"/>
    <s v="11"/>
    <s v="8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0515"/>
    <n v="-1000014991"/>
    <s v=""/>
    <s v=""/>
    <s v="52"/>
    <x v="0"/>
    <s v="EU"/>
    <s v="13"/>
    <s v="9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4885048"/>
    <n v="1288148969"/>
    <s v=""/>
    <s v="W"/>
    <s v="2M"/>
    <x v="3"/>
    <s v="MY"/>
    <s v="2"/>
    <s v="14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8115851"/>
    <n v="1676851198"/>
    <s v=""/>
    <s v=""/>
    <s v="42"/>
    <x v="2"/>
    <s v="EU"/>
    <s v="12"/>
    <s v="8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4885342"/>
    <n v="679771232"/>
    <s v=""/>
    <s v=""/>
    <s v="31"/>
    <x v="7"/>
    <s v="EU"/>
    <s v="02"/>
    <s v="9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487"/>
    <n v="1612784443"/>
    <s v=""/>
    <s v=""/>
    <s v="52"/>
    <x v="0"/>
    <s v="EU"/>
    <s v="13"/>
    <s v="4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384"/>
    <n v="679771232"/>
    <s v=""/>
    <s v=""/>
    <s v="42"/>
    <x v="2"/>
    <s v="EU"/>
    <s v="12"/>
    <s v="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135"/>
    <n v="679771232"/>
    <s v=""/>
    <s v=""/>
    <s v="42"/>
    <x v="2"/>
    <s v="EU"/>
    <s v="12"/>
    <s v="2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5064"/>
    <n v="1839088084"/>
    <s v="1"/>
    <s v=""/>
    <s v="42"/>
    <x v="2"/>
    <s v="EU"/>
    <s v="12"/>
    <s v="7"/>
    <s v="Scales"/>
    <n v="2126660001"/>
    <s v="5 SCALES DOWN PER FISH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5T00:00:00"/>
    <d v="2020-09-25T00:00:00"/>
    <s v="1003931"/>
  </r>
  <r>
    <n v="11729215"/>
    <n v="363003608"/>
    <s v="2"/>
    <s v="RS"/>
    <s v="S1"/>
    <x v="16"/>
    <s v="FW"/>
    <s v="0"/>
    <s v="1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4885009"/>
    <n v="1288148969"/>
    <s v=""/>
    <s v=""/>
    <s v="52"/>
    <x v="0"/>
    <s v="EU"/>
    <s v="13"/>
    <s v="1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489"/>
    <n v="2094383124"/>
    <s v="0"/>
    <s v="RG"/>
    <s v="3M"/>
    <x v="5"/>
    <s v="MY"/>
    <s v="3"/>
    <s v="18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-1005773911"/>
    <n v="-1000024927"/>
    <s v=""/>
    <s v="UD"/>
    <s v=""/>
    <x v="6"/>
    <s v=""/>
    <s v=""/>
    <s v="8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-1005773895"/>
    <n v="-1000024927"/>
    <s v=""/>
    <s v="UD"/>
    <s v=""/>
    <x v="6"/>
    <s v=""/>
    <s v=""/>
    <s v="16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7-22T00:00:00"/>
    <d v="1998-07-22T00:00:00"/>
    <s v="1998310536578839"/>
  </r>
  <r>
    <n v="11725499"/>
    <n v="1156302723"/>
    <s v=""/>
    <s v=""/>
    <s v="41"/>
    <x v="1"/>
    <s v="EU"/>
    <s v="03"/>
    <s v="13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4785"/>
    <n v="1839088084"/>
    <s v=""/>
    <s v=""/>
    <s v="42"/>
    <x v="2"/>
    <s v="EU"/>
    <s v="12"/>
    <s v="37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-1003536175"/>
    <n v="-1000007907"/>
    <s v=""/>
    <s v=""/>
    <s v="52"/>
    <x v="0"/>
    <s v="EU"/>
    <s v="13"/>
    <s v="11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8115767"/>
    <n v="1676851198"/>
    <s v=""/>
    <s v=""/>
    <s v="52"/>
    <x v="0"/>
    <s v="EU"/>
    <s v="13"/>
    <s v="5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-1003536623"/>
    <n v="-1000007921"/>
    <s v=""/>
    <s v=""/>
    <s v="42"/>
    <x v="2"/>
    <s v="EU"/>
    <s v="12"/>
    <s v="2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611"/>
    <n v="-1000007921"/>
    <s v=""/>
    <s v=""/>
    <s v="42"/>
    <x v="2"/>
    <s v="EU"/>
    <s v="12"/>
    <s v="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649"/>
    <n v="-1000007921"/>
    <s v=""/>
    <s v=""/>
    <s v="42"/>
    <x v="2"/>
    <s v="EU"/>
    <s v="12"/>
    <s v="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765"/>
    <n v="-1000007925"/>
    <s v=""/>
    <s v=""/>
    <s v="42"/>
    <x v="2"/>
    <s v="EU"/>
    <s v="12"/>
    <s v="14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767"/>
    <n v="-1000007925"/>
    <s v=""/>
    <s v=""/>
    <s v="41"/>
    <x v="1"/>
    <s v="EU"/>
    <s v="03"/>
    <s v="13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775"/>
    <n v="-1000007925"/>
    <s v=""/>
    <s v=""/>
    <s v="42"/>
    <x v="2"/>
    <s v="EU"/>
    <s v="12"/>
    <s v="9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779"/>
    <n v="-1000007925"/>
    <s v=""/>
    <s v=""/>
    <s v="42"/>
    <x v="2"/>
    <s v="EU"/>
    <s v="12"/>
    <s v="7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781"/>
    <n v="-1000007925"/>
    <s v=""/>
    <s v=""/>
    <s v="42"/>
    <x v="2"/>
    <s v="EU"/>
    <s v="12"/>
    <s v="6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783"/>
    <n v="-1000007925"/>
    <s v=""/>
    <s v=""/>
    <s v="42"/>
    <x v="2"/>
    <s v="EU"/>
    <s v="12"/>
    <s v="5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437"/>
    <n v="-1000007917"/>
    <s v=""/>
    <s v=""/>
    <s v="42"/>
    <x v="2"/>
    <s v="EU"/>
    <s v="12"/>
    <s v="6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-1003536439"/>
    <n v="-1000007917"/>
    <s v=""/>
    <s v="RG"/>
    <s v=""/>
    <x v="6"/>
    <s v=""/>
    <s v=""/>
    <s v="5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-1003536441"/>
    <n v="-1000007917"/>
    <s v=""/>
    <s v=""/>
    <s v="53"/>
    <x v="4"/>
    <s v="EU"/>
    <s v="22"/>
    <s v="4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-1003536475"/>
    <n v="-1000007921"/>
    <s v=""/>
    <s v=""/>
    <s v="52"/>
    <x v="0"/>
    <s v="EU"/>
    <s v="13"/>
    <s v="1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479"/>
    <n v="-1000007921"/>
    <s v=""/>
    <s v=""/>
    <s v="42"/>
    <x v="2"/>
    <s v="EU"/>
    <s v="12"/>
    <s v="1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499"/>
    <n v="-1000007921"/>
    <s v=""/>
    <s v=""/>
    <s v="52"/>
    <x v="0"/>
    <s v="EU"/>
    <s v="13"/>
    <s v="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07"/>
    <n v="-1000007921"/>
    <s v=""/>
    <s v=""/>
    <s v="42"/>
    <x v="2"/>
    <s v="EU"/>
    <s v="12"/>
    <s v="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25"/>
    <n v="-1000007921"/>
    <s v=""/>
    <s v=""/>
    <s v="42"/>
    <x v="2"/>
    <s v="EU"/>
    <s v="12"/>
    <s v="1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33"/>
    <n v="-1000007921"/>
    <s v=""/>
    <s v=""/>
    <s v="42"/>
    <x v="2"/>
    <s v="EU"/>
    <s v="12"/>
    <s v="1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37"/>
    <n v="-1000007921"/>
    <s v=""/>
    <s v=""/>
    <s v="42"/>
    <x v="2"/>
    <s v="EU"/>
    <s v="12"/>
    <s v="1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39"/>
    <n v="-1000007921"/>
    <s v=""/>
    <s v=""/>
    <s v="42"/>
    <x v="2"/>
    <s v="EU"/>
    <s v="12"/>
    <s v="1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41"/>
    <n v="-1000007921"/>
    <s v=""/>
    <s v=""/>
    <s v="52"/>
    <x v="0"/>
    <s v="EU"/>
    <s v="13"/>
    <s v="1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43"/>
    <n v="-1000007921"/>
    <s v=""/>
    <s v=""/>
    <s v="42"/>
    <x v="2"/>
    <s v="EU"/>
    <s v="12"/>
    <s v="1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49"/>
    <n v="-1000007921"/>
    <s v=""/>
    <s v=""/>
    <s v="52"/>
    <x v="0"/>
    <s v="EU"/>
    <s v="13"/>
    <s v="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61"/>
    <n v="-1000007921"/>
    <s v=""/>
    <s v="RG"/>
    <s v=""/>
    <x v="6"/>
    <s v=""/>
    <s v=""/>
    <s v="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65"/>
    <n v="-1000007921"/>
    <s v=""/>
    <s v=""/>
    <s v="42"/>
    <x v="2"/>
    <s v="EU"/>
    <s v="12"/>
    <s v="2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67"/>
    <n v="-1000007921"/>
    <s v=""/>
    <s v=""/>
    <s v="52"/>
    <x v="0"/>
    <s v="EU"/>
    <s v="13"/>
    <s v="2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69"/>
    <n v="-1000007921"/>
    <s v=""/>
    <s v="NP"/>
    <s v=""/>
    <x v="6"/>
    <s v=""/>
    <s v=""/>
    <s v="2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73"/>
    <n v="-1000007921"/>
    <s v=""/>
    <s v=""/>
    <s v="42"/>
    <x v="2"/>
    <s v="EU"/>
    <s v="12"/>
    <s v="2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75"/>
    <n v="-1000007921"/>
    <s v=""/>
    <s v="RS"/>
    <s v=""/>
    <x v="6"/>
    <s v=""/>
    <s v=""/>
    <s v="1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77"/>
    <n v="-1000007921"/>
    <s v=""/>
    <s v=""/>
    <s v="42"/>
    <x v="2"/>
    <s v="EU"/>
    <s v="12"/>
    <s v="1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83"/>
    <n v="-1000007921"/>
    <s v=""/>
    <s v=""/>
    <s v="42"/>
    <x v="2"/>
    <s v="EU"/>
    <s v="12"/>
    <s v="1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91"/>
    <n v="-1000007921"/>
    <s v=""/>
    <s v=""/>
    <s v="42"/>
    <x v="2"/>
    <s v="EU"/>
    <s v="12"/>
    <s v="1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601"/>
    <n v="-1000007921"/>
    <s v=""/>
    <s v="W"/>
    <s v=""/>
    <x v="6"/>
    <s v=""/>
    <s v=""/>
    <s v="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603"/>
    <n v="-1000007921"/>
    <s v=""/>
    <s v=""/>
    <s v="42"/>
    <x v="2"/>
    <s v="EU"/>
    <s v="12"/>
    <s v="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116502"/>
    <n v="1676851198"/>
    <s v=""/>
    <s v=""/>
    <s v="63"/>
    <x v="8"/>
    <s v="EU"/>
    <s v="23"/>
    <s v="9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959"/>
    <n v="1676851198"/>
    <s v=""/>
    <s v=""/>
    <s v="41"/>
    <x v="1"/>
    <s v="EU"/>
    <s v="03"/>
    <s v="1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361"/>
    <n v="1676851198"/>
    <s v=""/>
    <s v=""/>
    <s v="32"/>
    <x v="11"/>
    <s v="EU"/>
    <s v="11"/>
    <s v="4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321"/>
    <n v="679771232"/>
    <s v=""/>
    <s v=""/>
    <s v="31"/>
    <x v="7"/>
    <s v="EU"/>
    <s v="02"/>
    <s v="8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577"/>
    <n v="1612784443"/>
    <s v=""/>
    <s v=""/>
    <s v="42"/>
    <x v="2"/>
    <s v="EU"/>
    <s v="12"/>
    <s v="76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5469"/>
    <n v="1156302723"/>
    <s v=""/>
    <s v=""/>
    <s v="42"/>
    <x v="2"/>
    <s v="EU"/>
    <s v="12"/>
    <s v="3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-1004360521"/>
    <n v="-1000014991"/>
    <s v=""/>
    <s v=""/>
    <s v="42"/>
    <x v="2"/>
    <s v="EU"/>
    <s v="12"/>
    <s v="6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n v="4885555"/>
    <n v="2094383124"/>
    <s v="0"/>
    <s v=""/>
    <s v="42"/>
    <x v="2"/>
    <s v="EU"/>
    <s v="12"/>
    <s v="15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4943"/>
    <n v="1288148969"/>
    <s v=""/>
    <s v=""/>
    <s v="42"/>
    <x v="2"/>
    <s v="EU"/>
    <s v="12"/>
    <s v="4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n v="11722499"/>
    <n v="1612784443"/>
    <s v=""/>
    <s v=""/>
    <s v="42"/>
    <x v="2"/>
    <s v="EU"/>
    <s v="12"/>
    <s v="50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-1004362363"/>
    <n v="-1000014997"/>
    <s v=""/>
    <s v=""/>
    <s v="42"/>
    <x v="2"/>
    <s v="EU"/>
    <s v="12"/>
    <s v="8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-1004360537"/>
    <n v="-1000014991"/>
    <s v=""/>
    <s v="RG"/>
    <s v=""/>
    <x v="6"/>
    <s v=""/>
    <s v=""/>
    <s v="8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n v="4885195"/>
    <n v="679771232"/>
    <s v=""/>
    <s v=""/>
    <s v="42"/>
    <x v="2"/>
    <s v="EU"/>
    <s v="12"/>
    <s v="4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490"/>
    <n v="1612784443"/>
    <s v=""/>
    <s v=""/>
    <s v="42"/>
    <x v="2"/>
    <s v="EU"/>
    <s v="12"/>
    <s v="4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207"/>
    <n v="679771232"/>
    <s v=""/>
    <s v=""/>
    <s v="42"/>
    <x v="2"/>
    <s v="EU"/>
    <s v="12"/>
    <s v="5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06"/>
    <n v="679771232"/>
    <s v=""/>
    <s v=""/>
    <s v="42"/>
    <x v="2"/>
    <s v="EU"/>
    <s v="12"/>
    <s v="84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27"/>
    <n v="679771232"/>
    <s v=""/>
    <s v=""/>
    <s v="31"/>
    <x v="7"/>
    <s v="EU"/>
    <s v="02"/>
    <s v="9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501"/>
    <n v="2094383124"/>
    <s v="1"/>
    <s v=""/>
    <s v="42"/>
    <x v="2"/>
    <s v="EU"/>
    <s v="12"/>
    <s v="22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n v="8116229"/>
    <n v="1676851198"/>
    <s v=""/>
    <s v=""/>
    <s v="42"/>
    <x v="2"/>
    <s v="EU"/>
    <s v="12"/>
    <s v="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546"/>
    <n v="2094383124"/>
    <s v="0"/>
    <s v=""/>
    <s v="52"/>
    <x v="0"/>
    <s v="EU"/>
    <s v="13"/>
    <s v="12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8116046"/>
    <n v="1676851198"/>
    <s v=""/>
    <s v=""/>
    <s v="42"/>
    <x v="2"/>
    <s v="EU"/>
    <s v="12"/>
    <s v="4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286"/>
    <n v="1676851198"/>
    <s v=""/>
    <s v=""/>
    <s v="41"/>
    <x v="1"/>
    <s v="EU"/>
    <s v="03"/>
    <s v="2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319"/>
    <n v="1676851198"/>
    <s v=""/>
    <s v=""/>
    <s v="41"/>
    <x v="1"/>
    <s v="EU"/>
    <s v="03"/>
    <s v="32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719"/>
    <n v="1676851198"/>
    <s v=""/>
    <s v=""/>
    <s v="52"/>
    <x v="0"/>
    <s v="EU"/>
    <s v="13"/>
    <s v="3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9329"/>
    <n v="363003608"/>
    <s v="2"/>
    <s v="RS"/>
    <s v="S1"/>
    <x v="16"/>
    <s v="FW"/>
    <s v="0"/>
    <s v="9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-1005773947"/>
    <n v="-1000024927"/>
    <s v=""/>
    <s v=""/>
    <s v="3M"/>
    <x v="5"/>
    <s v="MY"/>
    <s v="3"/>
    <s v="2"/>
    <s v="Scales"/>
    <n v="2126660001"/>
    <s v="2 SCALES ACROSS PER FISH"/>
    <n v="-1000000925"/>
    <s v="BELLA COOLA COMMERCIAL SAMPLING PROGRAM-1998"/>
    <n v="3109"/>
    <s v="8"/>
    <x v="24"/>
    <s v="365"/>
    <n v="1"/>
    <s v="SOCKEYE SALMON"/>
    <n v="2086090003"/>
    <x v="2"/>
    <n v="10"/>
    <s v="Salmon Gillnet, Commercial"/>
    <s v="Adult"/>
    <d v="1998-08-25T00:00:00"/>
    <d v="1998-08-25T00:00:00"/>
    <s v="1998310536578875"/>
  </r>
  <r>
    <n v="11724803"/>
    <n v="1839088084"/>
    <s v=""/>
    <s v=""/>
    <s v="52"/>
    <x v="0"/>
    <s v="EU"/>
    <s v="13"/>
    <s v="4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5487"/>
    <n v="1156302723"/>
    <s v=""/>
    <s v=""/>
    <s v="41"/>
    <x v="1"/>
    <s v="EU"/>
    <s v="03"/>
    <s v="9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8115881"/>
    <n v="1676851198"/>
    <s v=""/>
    <s v=""/>
    <s v="42"/>
    <x v="2"/>
    <s v="EU"/>
    <s v="12"/>
    <s v="9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3033"/>
    <n v="1993655330"/>
    <s v="2"/>
    <s v="RS"/>
    <s v=""/>
    <x v="6"/>
    <s v="EU"/>
    <s v=""/>
    <s v="7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8116373"/>
    <n v="1676851198"/>
    <s v=""/>
    <s v=""/>
    <s v="52"/>
    <x v="0"/>
    <s v="EU"/>
    <s v="13"/>
    <s v="5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5794"/>
    <n v="1676851198"/>
    <s v=""/>
    <s v=""/>
    <s v="52"/>
    <x v="0"/>
    <s v="EU"/>
    <s v="13"/>
    <s v="6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5941"/>
    <n v="1676851198"/>
    <s v=""/>
    <s v=""/>
    <s v="41"/>
    <x v="1"/>
    <s v="EU"/>
    <s v="03"/>
    <s v="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839"/>
    <n v="1676851198"/>
    <s v=""/>
    <s v=""/>
    <s v="31"/>
    <x v="7"/>
    <s v="EU"/>
    <s v="02"/>
    <s v="7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277"/>
    <n v="1676851198"/>
    <s v=""/>
    <s v=""/>
    <s v="52"/>
    <x v="0"/>
    <s v="EU"/>
    <s v="13"/>
    <s v="18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4734"/>
    <n v="1839088084"/>
    <s v=""/>
    <s v=""/>
    <s v="42"/>
    <x v="2"/>
    <s v="EU"/>
    <s v="12"/>
    <s v="2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086"/>
    <n v="1973161987"/>
    <s v=""/>
    <s v=""/>
    <s v="32"/>
    <x v="11"/>
    <s v="EU"/>
    <s v="11"/>
    <s v="99"/>
    <s v="Otolith - Surface"/>
    <n v="2126660002"/>
    <s v="1 OTOLITH ACROSS (TRAY)"/>
    <n v="11378932"/>
    <s v="ATNARKO ESCAPEMENT - 2020"/>
    <n v="23701"/>
    <s v="S ATNARKO ABOVE LONESOME"/>
    <x v="22"/>
    <s v="2020/0151"/>
    <n v="1"/>
    <s v="SOCKEYE SALMON"/>
    <n v="2086090012"/>
    <x v="1"/>
    <n v="83"/>
    <s v="Gaff (Deadpitch)"/>
    <s v="Adult"/>
    <d v="2020-09-23T00:00:00"/>
    <d v="2020-09-23T00:00:00"/>
    <s v="Oto Box 1"/>
  </r>
  <r>
    <n v="4885024"/>
    <n v="1288148969"/>
    <s v="0"/>
    <s v=""/>
    <s v="42"/>
    <x v="2"/>
    <s v="EU"/>
    <s v="12"/>
    <s v="6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11724806"/>
    <n v="1839088084"/>
    <s v=""/>
    <s v=""/>
    <s v="42"/>
    <x v="2"/>
    <s v="EU"/>
    <s v="12"/>
    <s v="44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320"/>
    <n v="363003608"/>
    <s v="2"/>
    <s v="RS"/>
    <s v="S1"/>
    <x v="16"/>
    <s v="FW"/>
    <s v="0"/>
    <s v="6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5493"/>
    <n v="1156302723"/>
    <s v=""/>
    <s v=""/>
    <s v="41"/>
    <x v="1"/>
    <s v="EU"/>
    <s v="03"/>
    <s v="11"/>
    <s v="Otolith - Surface"/>
    <n v="2126660002"/>
    <s v="1 OTOLITH ACROSS (TRAY)"/>
    <n v="11378932"/>
    <s v="ATNARKO ESCAPEMENT - 2020"/>
    <n v="970"/>
    <s v="ATNARKO RIVER"/>
    <x v="22"/>
    <s v="2020/0155"/>
    <n v="1"/>
    <s v="SOCKEYE SALMON"/>
    <n v="2086090012"/>
    <x v="1"/>
    <n v="8"/>
    <s v="Tangle Net"/>
    <s v="Adult"/>
    <d v="2020-09-21T00:00:00"/>
    <d v="2020-10-05T00:00:00"/>
    <s v="Oto Box 4"/>
  </r>
  <r>
    <n v="11724947"/>
    <n v="1839088084"/>
    <s v="2"/>
    <s v="RS"/>
    <s v="S2"/>
    <x v="15"/>
    <s v="FW"/>
    <s v="1"/>
    <s v="2"/>
    <s v="Scales"/>
    <n v="2126660001"/>
    <s v="5 SCALES DOWN PER FISH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4T00:00:00"/>
    <s v="1003927"/>
  </r>
  <r>
    <n v="-1004360483"/>
    <n v="-1000014991"/>
    <s v=""/>
    <s v=""/>
    <s v="52"/>
    <x v="0"/>
    <s v="EU"/>
    <s v="13"/>
    <s v="5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n v="11722391"/>
    <n v="1612784443"/>
    <s v=""/>
    <s v=""/>
    <s v="42"/>
    <x v="2"/>
    <s v="EU"/>
    <s v="12"/>
    <s v="1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-1004360505"/>
    <n v="-1000014991"/>
    <s v=""/>
    <s v=""/>
    <s v="42"/>
    <x v="2"/>
    <s v="EU"/>
    <s v="12"/>
    <s v="4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4885423"/>
    <n v="679771232"/>
    <s v=""/>
    <s v=""/>
    <s v="42"/>
    <x v="2"/>
    <s v="EU"/>
    <s v="12"/>
    <s v="2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078"/>
    <n v="679771232"/>
    <s v=""/>
    <s v=""/>
    <s v="42"/>
    <x v="2"/>
    <s v="EU"/>
    <s v="12"/>
    <s v="8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74"/>
    <n v="679771232"/>
    <s v=""/>
    <s v=""/>
    <s v="42"/>
    <x v="2"/>
    <s v="EU"/>
    <s v="12"/>
    <s v="4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154"/>
    <n v="1676851198"/>
    <s v=""/>
    <s v=""/>
    <s v="32"/>
    <x v="11"/>
    <s v="EU"/>
    <s v="11"/>
    <s v="7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5713"/>
    <n v="1676851198"/>
    <s v=""/>
    <s v=""/>
    <s v="52"/>
    <x v="0"/>
    <s v="EU"/>
    <s v="13"/>
    <s v="3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190"/>
    <n v="1676851198"/>
    <s v=""/>
    <s v=""/>
    <s v="42"/>
    <x v="2"/>
    <s v="EU"/>
    <s v="12"/>
    <s v="8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-1004362371"/>
    <n v="-1000014997"/>
    <s v=""/>
    <s v=""/>
    <s v="52"/>
    <x v="0"/>
    <s v="EU"/>
    <s v="13"/>
    <s v="4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n v="-1004362401"/>
    <n v="-1000014997"/>
    <s v=""/>
    <s v=""/>
    <s v="52"/>
    <x v="0"/>
    <s v="EU"/>
    <s v="13"/>
    <s v="9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8116541"/>
    <n v="1676851198"/>
    <s v=""/>
    <s v=""/>
    <s v="52"/>
    <x v="0"/>
    <s v="EU"/>
    <s v="13"/>
    <s v="6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n v="8115908"/>
    <n v="1676851198"/>
    <s v=""/>
    <s v=""/>
    <s v="41"/>
    <x v="1"/>
    <s v="EU"/>
    <s v="03"/>
    <s v="9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809"/>
    <n v="1839088084"/>
    <s v=""/>
    <s v=""/>
    <s v="42"/>
    <x v="2"/>
    <s v="EU"/>
    <s v="12"/>
    <s v="45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210"/>
    <n v="679771232"/>
    <s v=""/>
    <s v=""/>
    <s v="42"/>
    <x v="2"/>
    <s v="EU"/>
    <s v="12"/>
    <s v="5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4887"/>
    <n v="1839088084"/>
    <s v=""/>
    <s v=""/>
    <s v="31"/>
    <x v="7"/>
    <s v="EU"/>
    <s v="02"/>
    <s v="71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339"/>
    <n v="679771232"/>
    <s v=""/>
    <s v=""/>
    <s v="32"/>
    <x v="11"/>
    <s v="EU"/>
    <s v="11"/>
    <s v="9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11722370"/>
    <n v="1612784443"/>
    <s v=""/>
    <s v=""/>
    <s v="42"/>
    <x v="2"/>
    <s v="EU"/>
    <s v="12"/>
    <s v="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535"/>
    <n v="1676851198"/>
    <s v=""/>
    <s v=""/>
    <s v="52"/>
    <x v="0"/>
    <s v="EU"/>
    <s v="13"/>
    <s v="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n v="11729362"/>
    <n v="1451931796"/>
    <s v="2"/>
    <s v="RS"/>
    <s v="S2"/>
    <x v="15"/>
    <s v="FW"/>
    <s v="1"/>
    <s v="3"/>
    <s v="Scales"/>
    <n v="2126660001"/>
    <s v="5 SCALES DOWN PER FISH"/>
    <n v="11378932"/>
    <s v="ATNARKO ESCAPEMENT - 2020"/>
    <n v="970"/>
    <s v="ATNARKO RIVER"/>
    <x v="22"/>
    <s v="2020/0236"/>
    <n v="1"/>
    <s v="SOCKEYE SALMON"/>
    <n v="2086090012"/>
    <x v="1"/>
    <n v="83"/>
    <s v="Gaff (Deadpitch)"/>
    <s v="Adult"/>
    <d v="2020-09-21T00:00:00"/>
    <d v="2020-09-21T00:00:00"/>
    <s v="1003943"/>
  </r>
  <r>
    <n v="8115668"/>
    <n v="1676851198"/>
    <s v=""/>
    <s v=""/>
    <s v="52"/>
    <x v="0"/>
    <s v="EU"/>
    <s v="13"/>
    <s v="1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8116394"/>
    <n v="1676851198"/>
    <s v=""/>
    <s v=""/>
    <s v="42"/>
    <x v="2"/>
    <s v="EU"/>
    <s v="12"/>
    <s v="5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400"/>
    <n v="1676851198"/>
    <s v=""/>
    <s v=""/>
    <s v="31"/>
    <x v="7"/>
    <s v="EU"/>
    <s v="02"/>
    <s v="59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-1004362403"/>
    <n v="-1000014997"/>
    <s v=""/>
    <s v=""/>
    <s v="42"/>
    <x v="2"/>
    <s v="EU"/>
    <s v="12"/>
    <s v="8"/>
    <s v="Scales"/>
    <n v="2126660001"/>
    <s v="5 SCALES DOWN PER FISH"/>
    <n v="-1000005629"/>
    <s v="ATNARKO ESCAPEMENT-1992"/>
    <n v="968"/>
    <s v="BELLA COOLA RIVER"/>
    <x v="20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n v="8116355"/>
    <n v="1676851198"/>
    <s v=""/>
    <s v=""/>
    <s v="31"/>
    <x v="7"/>
    <s v="EU"/>
    <s v="02"/>
    <s v="4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163"/>
    <n v="1676851198"/>
    <s v=""/>
    <s v=""/>
    <s v="42"/>
    <x v="2"/>
    <s v="EU"/>
    <s v="12"/>
    <s v="80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4885057"/>
    <n v="679771232"/>
    <s v=""/>
    <s v=""/>
    <s v="42"/>
    <x v="2"/>
    <s v="EU"/>
    <s v="12"/>
    <s v="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018"/>
    <n v="1288148969"/>
    <s v="0"/>
    <s v=""/>
    <s v="42"/>
    <x v="2"/>
    <s v="EU"/>
    <s v="12"/>
    <s v="4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8116262"/>
    <n v="1676851198"/>
    <s v=""/>
    <s v=""/>
    <s v="41"/>
    <x v="1"/>
    <s v="EU"/>
    <s v="03"/>
    <s v="1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8116235"/>
    <n v="1676851198"/>
    <s v=""/>
    <s v=""/>
    <s v="52"/>
    <x v="0"/>
    <s v="EU"/>
    <s v="13"/>
    <s v="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4885375"/>
    <n v="679771232"/>
    <s v=""/>
    <s v=""/>
    <s v="42"/>
    <x v="2"/>
    <s v="EU"/>
    <s v="12"/>
    <s v="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4885231"/>
    <n v="679771232"/>
    <s v=""/>
    <s v=""/>
    <s v="42"/>
    <x v="2"/>
    <s v="EU"/>
    <s v="12"/>
    <s v="5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522"/>
    <n v="2094383124"/>
    <s v="2"/>
    <s v="RS"/>
    <s v="S2"/>
    <x v="15"/>
    <s v="FW"/>
    <s v="1"/>
    <s v="4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027"/>
    <n v="1288148969"/>
    <s v="0"/>
    <s v="UF"/>
    <s v="2M"/>
    <x v="3"/>
    <s v="MY"/>
    <s v="2"/>
    <s v="7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n v="4885354"/>
    <n v="679771232"/>
    <s v=""/>
    <s v=""/>
    <s v="42"/>
    <x v="2"/>
    <s v="EU"/>
    <s v="12"/>
    <s v="100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51"/>
    <n v="679771232"/>
    <s v=""/>
    <s v=""/>
    <s v="31"/>
    <x v="7"/>
    <s v="EU"/>
    <s v="02"/>
    <s v="9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408"/>
    <n v="679771232"/>
    <s v=""/>
    <s v=""/>
    <s v="52"/>
    <x v="0"/>
    <s v="EU"/>
    <s v="13"/>
    <s v="1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11729308"/>
    <n v="363003608"/>
    <s v="2"/>
    <s v="RS"/>
    <s v=""/>
    <x v="6"/>
    <s v="EU"/>
    <s v=""/>
    <s v="2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40"/>
  </r>
  <r>
    <n v="11724800"/>
    <n v="1839088084"/>
    <s v=""/>
    <s v=""/>
    <s v="42"/>
    <x v="2"/>
    <s v="EU"/>
    <s v="12"/>
    <s v="42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4885534"/>
    <n v="2094383124"/>
    <s v="2"/>
    <s v="RS"/>
    <s v=""/>
    <x v="6"/>
    <s v="EU"/>
    <s v=""/>
    <s v="8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11724863"/>
    <n v="1839088084"/>
    <s v=""/>
    <s v=""/>
    <s v="42"/>
    <x v="2"/>
    <s v="EU"/>
    <s v="12"/>
    <s v="63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4908"/>
    <n v="1839088084"/>
    <s v=""/>
    <s v=""/>
    <s v="42"/>
    <x v="2"/>
    <s v="EU"/>
    <s v="12"/>
    <s v="7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224"/>
    <n v="363003608"/>
    <s v="2"/>
    <s v="RS"/>
    <s v="S2"/>
    <x v="15"/>
    <s v="FW"/>
    <s v="1"/>
    <s v="4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7"/>
  </r>
  <r>
    <n v="4885360"/>
    <n v="679771232"/>
    <s v=""/>
    <s v=""/>
    <s v="31"/>
    <x v="7"/>
    <s v="EU"/>
    <s v="02"/>
    <s v="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n v="11725274"/>
    <n v="368670609"/>
    <s v=""/>
    <s v=""/>
    <s v="42"/>
    <x v="2"/>
    <s v="EU"/>
    <s v="12"/>
    <s v="3"/>
    <s v="Otolith - Surface"/>
    <n v="2126660002"/>
    <s v="1 OTOLITH ACROSS (TRAY)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Oto Box 3"/>
  </r>
  <r>
    <n v="4884931"/>
    <n v="1288148969"/>
    <s v="0"/>
    <s v=""/>
    <s v="42"/>
    <x v="2"/>
    <s v="EU"/>
    <s v="12"/>
    <s v="2"/>
    <s v="Scales"/>
    <n v="2126660001"/>
    <s v="2 SCALES ACROSS PER FISH"/>
    <n v="4268609"/>
    <s v="ATNARKO ESCAPEMENT - 2008"/>
    <n v="968"/>
    <s v="BELLA COOLA RIVER"/>
    <x v="23"/>
    <s v="2008/0396"/>
    <n v="1"/>
    <s v="SOCKEYE SALMON"/>
    <n v="2086090006"/>
    <x v="0"/>
    <n v="11"/>
    <s v="Other Gillnet/Set Net"/>
    <s v="Adult"/>
    <d v="2008-06-19T00:00:00"/>
    <d v="2008-07-08T00:00:00"/>
    <s v="67356"/>
  </r>
  <r>
    <n v="4885129"/>
    <n v="679771232"/>
    <s v=""/>
    <s v=""/>
    <s v="42"/>
    <x v="2"/>
    <s v="EU"/>
    <s v="12"/>
    <s v="25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92"/>
    <n v="679771232"/>
    <s v=""/>
    <s v=""/>
    <s v="42"/>
    <x v="2"/>
    <s v="EU"/>
    <s v="12"/>
    <s v="4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300"/>
    <n v="679771232"/>
    <s v=""/>
    <s v=""/>
    <s v="42"/>
    <x v="2"/>
    <s v="EU"/>
    <s v="12"/>
    <s v="82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237"/>
    <n v="679771232"/>
    <s v=""/>
    <s v=""/>
    <s v="42"/>
    <x v="2"/>
    <s v="EU"/>
    <s v="12"/>
    <s v="61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132"/>
    <n v="679771232"/>
    <s v=""/>
    <s v=""/>
    <s v="42"/>
    <x v="2"/>
    <s v="EU"/>
    <s v="12"/>
    <s v="26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4885561"/>
    <n v="2094383124"/>
    <s v="1"/>
    <s v="W"/>
    <s v="2M"/>
    <x v="3"/>
    <s v="MY"/>
    <s v="2"/>
    <s v="17"/>
    <s v="Scales"/>
    <n v="2126660001"/>
    <s v="2 SCALES ACROSS PER FISH"/>
    <n v="4268609"/>
    <s v="ATNARKO ESCAPEMENT - 2008"/>
    <n v="970"/>
    <s v="ATNARKO RIVER"/>
    <x v="2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n v="4885105"/>
    <n v="679771232"/>
    <s v=""/>
    <s v=""/>
    <s v="31"/>
    <x v="7"/>
    <s v="EU"/>
    <s v="02"/>
    <s v="17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6274"/>
    <n v="1676851198"/>
    <s v=""/>
    <s v=""/>
    <s v="52"/>
    <x v="0"/>
    <s v="EU"/>
    <s v="13"/>
    <s v="17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436"/>
    <n v="1612784443"/>
    <s v=""/>
    <s v=""/>
    <s v="42"/>
    <x v="2"/>
    <s v="EU"/>
    <s v="12"/>
    <s v="29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33"/>
    <n v="1612784443"/>
    <s v=""/>
    <s v=""/>
    <s v="42"/>
    <x v="2"/>
    <s v="EU"/>
    <s v="12"/>
    <s v="28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60"/>
    <n v="1612784443"/>
    <s v=""/>
    <s v="NS"/>
    <s v=""/>
    <x v="6"/>
    <s v="EU"/>
    <s v=""/>
    <s v="37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421"/>
    <n v="1612784443"/>
    <s v=""/>
    <s v=""/>
    <s v="42"/>
    <x v="2"/>
    <s v="EU"/>
    <s v="12"/>
    <s v="24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4885081"/>
    <n v="679771232"/>
    <s v=""/>
    <s v=""/>
    <s v="42"/>
    <x v="2"/>
    <s v="EU"/>
    <s v="12"/>
    <s v="9"/>
    <s v="Otolith - Surface"/>
    <n v="2126660002"/>
    <s v="1 OTOLITH ACROSS (TRAY)"/>
    <n v="4268609"/>
    <s v="ATNARKO ESCAPEMENT - 2008"/>
    <n v="970"/>
    <s v="ATNARKO RIVER"/>
    <x v="2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n v="8115614"/>
    <n v="1676851198"/>
    <s v=""/>
    <s v=""/>
    <s v="42"/>
    <x v="2"/>
    <s v="EU"/>
    <s v="12"/>
    <s v="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n v="11724704"/>
    <n v="1839088084"/>
    <s v=""/>
    <s v=""/>
    <s v="42"/>
    <x v="2"/>
    <s v="EU"/>
    <s v="12"/>
    <s v="10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8116175"/>
    <n v="1676851198"/>
    <s v=""/>
    <s v=""/>
    <s v="41"/>
    <x v="1"/>
    <s v="EU"/>
    <s v="03"/>
    <s v="84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11724782"/>
    <n v="1839088084"/>
    <s v=""/>
    <s v=""/>
    <s v="42"/>
    <x v="2"/>
    <s v="EU"/>
    <s v="12"/>
    <s v="36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5292"/>
    <n v="368670609"/>
    <s v="2"/>
    <s v="RS"/>
    <s v="S2"/>
    <x v="15"/>
    <s v="FW"/>
    <s v="1"/>
    <s v="4"/>
    <s v="Otolith - Surface"/>
    <n v="2126660002"/>
    <s v="5 SCALES DOWN PER FISH"/>
    <n v="11378932"/>
    <s v="ATNARKO ESCAPEMENT - 2020"/>
    <n v="23703"/>
    <s v="S ATNARKO ABOVE STILLWATER"/>
    <x v="22"/>
    <s v="2020/0154"/>
    <n v="1"/>
    <s v="SOCKEYE SALMON"/>
    <n v="2086090012"/>
    <x v="1"/>
    <n v="83"/>
    <s v="Gaff (Deadpitch)"/>
    <s v="Adult"/>
    <d v="2020-10-03T00:00:00"/>
    <d v="2020-10-03T00:00:00"/>
    <s v="1003941"/>
  </r>
  <r>
    <n v="11723051"/>
    <n v="1993655330"/>
    <s v="2"/>
    <s v="RS"/>
    <s v="S1"/>
    <x v="16"/>
    <s v="FW"/>
    <s v="0"/>
    <s v="13"/>
    <s v="Scales"/>
    <n v="2126660001"/>
    <s v="2 SCALES ACROSS PER FISH"/>
    <n v="11378932"/>
    <s v="ATNARKO ESCAPEMENT - 2020"/>
    <n v="23703"/>
    <s v="S ATNARKO ABOVE STILLWATER"/>
    <x v="22"/>
    <s v="2020/0152"/>
    <n v="1"/>
    <s v="SOCKEYE SALMON"/>
    <n v="2086090012"/>
    <x v="1"/>
    <n v="8"/>
    <s v="Tangle Net"/>
    <s v="Adult"/>
    <d v="2020-09-23T00:00:00"/>
    <d v="2020-09-23T00:00:00"/>
    <s v="1010762"/>
  </r>
  <r>
    <n v="-1004360509"/>
    <n v="-1000014991"/>
    <s v=""/>
    <s v=""/>
    <s v="52"/>
    <x v="0"/>
    <s v="EU"/>
    <s v="13"/>
    <s v="2"/>
    <s v="Scales"/>
    <n v="2126660001"/>
    <s v="5 SCALES DOWN PER FISH"/>
    <n v="-1000005629"/>
    <s v="ATNARKO ESCAPEMENT-1992"/>
    <n v="968"/>
    <s v="BELLA COOLA RIVER"/>
    <x v="20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n v="11722388"/>
    <n v="1612784443"/>
    <s v=""/>
    <s v=""/>
    <s v="42"/>
    <x v="2"/>
    <s v="EU"/>
    <s v="12"/>
    <s v="1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2385"/>
    <n v="1612784443"/>
    <s v=""/>
    <s v=""/>
    <s v="42"/>
    <x v="2"/>
    <s v="EU"/>
    <s v="12"/>
    <s v="12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8116106"/>
    <n v="1676851198"/>
    <s v=""/>
    <s v=""/>
    <s v="42"/>
    <x v="2"/>
    <s v="EU"/>
    <s v="12"/>
    <s v="61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n v="8116472"/>
    <n v="1676851198"/>
    <s v=""/>
    <s v=""/>
    <s v="63"/>
    <x v="8"/>
    <s v="EU"/>
    <s v="23"/>
    <s v="83"/>
    <s v="Otolith - Surface"/>
    <n v="2126660002"/>
    <s v="1 OTOLITH ACROSS (TRAY)"/>
    <n v="7582771"/>
    <s v="ATNARKO ESCAPEMENT - 2013"/>
    <n v="970"/>
    <s v="ATNARKO RIVER"/>
    <x v="21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n v="11722568"/>
    <n v="1612784443"/>
    <s v=""/>
    <s v=""/>
    <s v="42"/>
    <x v="2"/>
    <s v="EU"/>
    <s v="12"/>
    <s v="73"/>
    <s v="Otolith - Surface"/>
    <n v="2126660002"/>
    <s v="1 OTOLITH ACROSS (TRAY)"/>
    <n v="11378932"/>
    <s v="ATNARKO ESCAPEMENT - 2020"/>
    <n v="23701"/>
    <s v="S ATNARKO ABOVE LONESOME"/>
    <x v="22"/>
    <s v="2020/0150"/>
    <n v="1"/>
    <s v="SOCKEYE SALMON"/>
    <n v="2086090012"/>
    <x v="1"/>
    <n v="8"/>
    <s v="Tangle Net"/>
    <s v="Adult"/>
    <d v="2020-09-24T00:00:00"/>
    <d v="2020-09-25T00:00:00"/>
    <s v="Oto Box 1"/>
  </r>
  <r>
    <n v="11724788"/>
    <n v="1839088084"/>
    <s v=""/>
    <s v=""/>
    <s v="42"/>
    <x v="2"/>
    <s v="EU"/>
    <s v="12"/>
    <s v="38"/>
    <s v="Otolith - Surface"/>
    <n v="2126660002"/>
    <s v="1 OTOLITH ACROSS (TRAY)"/>
    <n v="11378932"/>
    <s v="ATNARKO ESCAPEMENT - 2020"/>
    <n v="23701"/>
    <s v="S ATNARKO ABOVE LONESOME"/>
    <x v="22"/>
    <s v="2020/0153"/>
    <n v="1"/>
    <s v="SOCKEYE SALMON"/>
    <n v="2086090012"/>
    <x v="1"/>
    <n v="8"/>
    <s v="Tangle Net"/>
    <s v="Adult"/>
    <d v="2020-09-24T00:00:00"/>
    <d v="2020-09-25T00:00:00"/>
    <s v="Oto Box 2"/>
  </r>
  <r>
    <n v="11729287"/>
    <n v="363003608"/>
    <s v="2"/>
    <s v="RS"/>
    <s v="S1"/>
    <x v="16"/>
    <s v="FW"/>
    <s v="0"/>
    <s v="5"/>
    <s v="Scales"/>
    <n v="2126660001"/>
    <s v="5 SCALES DOWN PER FISH"/>
    <n v="11378932"/>
    <s v="ATNARKO ESCAPEMENT - 2020"/>
    <n v="23703"/>
    <s v="S ATNARKO ABOVE STILLWATER"/>
    <x v="22"/>
    <s v="2020/0215"/>
    <n v="1"/>
    <s v="SOCKEYE SALMON"/>
    <n v="2086090012"/>
    <x v="1"/>
    <n v="8"/>
    <s v="Tangle Net"/>
    <s v="Adult"/>
    <d v="2020-10-03T00:00:00"/>
    <d v="2020-10-03T00:00:00"/>
    <s v="1003939"/>
  </r>
  <r>
    <n v="8679999"/>
    <n v="2135900996"/>
    <s v=""/>
    <s v=""/>
    <s v="42"/>
    <x v="2"/>
    <s v="EU"/>
    <s v="12"/>
    <s v="9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05"/>
    <n v="2135900996"/>
    <s v=""/>
    <s v=""/>
    <s v="42"/>
    <x v="2"/>
    <s v="EU"/>
    <s v="12"/>
    <s v="9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17"/>
    <n v="2135900996"/>
    <s v=""/>
    <s v=""/>
    <s v="31"/>
    <x v="7"/>
    <s v="EU"/>
    <s v="02"/>
    <s v="9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23"/>
    <n v="2135900996"/>
    <s v=""/>
    <s v=""/>
    <s v="41"/>
    <x v="1"/>
    <s v="EU"/>
    <s v="03"/>
    <s v="10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26"/>
    <n v="2135900996"/>
    <s v=""/>
    <s v=""/>
    <s v="31"/>
    <x v="7"/>
    <s v="EU"/>
    <s v="02"/>
    <s v="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35"/>
    <n v="2135900996"/>
    <s v=""/>
    <s v=""/>
    <s v="31"/>
    <x v="7"/>
    <s v="EU"/>
    <s v="02"/>
    <s v="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53"/>
    <n v="2135900996"/>
    <s v=""/>
    <s v=""/>
    <s v="42"/>
    <x v="2"/>
    <s v="EU"/>
    <s v="12"/>
    <s v="1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74"/>
    <n v="2135900996"/>
    <s v=""/>
    <s v=""/>
    <s v="42"/>
    <x v="2"/>
    <s v="EU"/>
    <s v="12"/>
    <s v="1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77"/>
    <n v="2135900996"/>
    <s v=""/>
    <s v=""/>
    <s v="42"/>
    <x v="2"/>
    <s v="EU"/>
    <s v="12"/>
    <s v="1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80"/>
    <n v="2135900996"/>
    <s v=""/>
    <s v=""/>
    <s v="31"/>
    <x v="7"/>
    <s v="EU"/>
    <s v="02"/>
    <s v="1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83"/>
    <n v="2135900996"/>
    <s v=""/>
    <s v=""/>
    <s v="52"/>
    <x v="0"/>
    <s v="EU"/>
    <s v="13"/>
    <s v="2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01"/>
    <n v="2135900996"/>
    <s v=""/>
    <s v=""/>
    <s v="32"/>
    <x v="11"/>
    <s v="EU"/>
    <s v="11"/>
    <s v="2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07"/>
    <n v="2135900996"/>
    <s v=""/>
    <s v=""/>
    <s v="42"/>
    <x v="2"/>
    <s v="EU"/>
    <s v="12"/>
    <s v="2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13"/>
    <n v="2135900996"/>
    <s v=""/>
    <s v=""/>
    <s v="42"/>
    <x v="2"/>
    <s v="EU"/>
    <s v="12"/>
    <s v="3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19"/>
    <n v="2135900996"/>
    <s v=""/>
    <s v=""/>
    <s v="42"/>
    <x v="2"/>
    <s v="EU"/>
    <s v="12"/>
    <s v="3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25"/>
    <n v="2135900996"/>
    <s v=""/>
    <s v=""/>
    <s v="42"/>
    <x v="2"/>
    <s v="EU"/>
    <s v="12"/>
    <s v="3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31"/>
    <n v="2135900996"/>
    <s v=""/>
    <s v=""/>
    <s v="42"/>
    <x v="2"/>
    <s v="EU"/>
    <s v="12"/>
    <s v="3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55"/>
    <n v="2135900996"/>
    <s v=""/>
    <s v=""/>
    <s v="42"/>
    <x v="2"/>
    <s v="EU"/>
    <s v="12"/>
    <s v="4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61"/>
    <n v="2135900996"/>
    <s v=""/>
    <s v=""/>
    <s v="42"/>
    <x v="2"/>
    <s v="EU"/>
    <s v="12"/>
    <s v="4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576"/>
    <n v="1320713006"/>
    <s v=""/>
    <s v=""/>
    <s v="31"/>
    <x v="7"/>
    <s v="EU"/>
    <s v="02"/>
    <s v="8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591"/>
    <n v="1320713006"/>
    <s v=""/>
    <s v=""/>
    <s v="52"/>
    <x v="0"/>
    <s v="EU"/>
    <s v="13"/>
    <s v="13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939"/>
    <n v="2135900996"/>
    <s v=""/>
    <s v=""/>
    <s v="32"/>
    <x v="11"/>
    <s v="EU"/>
    <s v="11"/>
    <s v="7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24"/>
    <n v="2135900996"/>
    <s v=""/>
    <s v=""/>
    <s v="42"/>
    <x v="2"/>
    <s v="EU"/>
    <s v="12"/>
    <s v="6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48"/>
    <n v="2135900996"/>
    <s v=""/>
    <s v=""/>
    <s v="42"/>
    <x v="2"/>
    <s v="EU"/>
    <s v="12"/>
    <s v="7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45"/>
    <n v="2135900996"/>
    <s v=""/>
    <s v=""/>
    <s v="31"/>
    <x v="7"/>
    <s v="EU"/>
    <s v="02"/>
    <s v="7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57"/>
    <n v="2135900996"/>
    <s v=""/>
    <s v=""/>
    <s v="42"/>
    <x v="2"/>
    <s v="EU"/>
    <s v="12"/>
    <s v="7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72"/>
    <n v="2135900996"/>
    <s v=""/>
    <s v=""/>
    <s v="42"/>
    <x v="2"/>
    <s v="EU"/>
    <s v="12"/>
    <s v="8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87"/>
    <n v="2135900996"/>
    <s v=""/>
    <s v=""/>
    <s v="41"/>
    <x v="1"/>
    <s v="EU"/>
    <s v="03"/>
    <s v="8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609"/>
    <n v="1320713006"/>
    <s v=""/>
    <s v=""/>
    <s v="31"/>
    <x v="7"/>
    <s v="EU"/>
    <s v="02"/>
    <s v="19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615"/>
    <n v="1320713006"/>
    <s v=""/>
    <s v=""/>
    <s v="52"/>
    <x v="0"/>
    <s v="EU"/>
    <s v="13"/>
    <s v="21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624"/>
    <n v="1320713006"/>
    <s v=""/>
    <s v=""/>
    <s v="52"/>
    <x v="0"/>
    <s v="EU"/>
    <s v="13"/>
    <s v="24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645"/>
    <n v="1320713006"/>
    <s v=""/>
    <s v=""/>
    <s v="52"/>
    <x v="0"/>
    <s v="EU"/>
    <s v="13"/>
    <s v="31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7343858"/>
    <n v="505236771"/>
    <s v=""/>
    <s v=""/>
    <s v="53"/>
    <x v="4"/>
    <s v="EU"/>
    <s v="22"/>
    <s v="9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64"/>
    <n v="505236771"/>
    <s v=""/>
    <s v=""/>
    <s v="42"/>
    <x v="2"/>
    <s v="EU"/>
    <s v="12"/>
    <s v="11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73"/>
    <n v="505236771"/>
    <s v=""/>
    <s v=""/>
    <s v="42"/>
    <x v="2"/>
    <s v="EU"/>
    <s v="12"/>
    <s v="14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82"/>
    <n v="505236771"/>
    <s v=""/>
    <s v=""/>
    <s v="42"/>
    <x v="2"/>
    <s v="EU"/>
    <s v="12"/>
    <s v="17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88"/>
    <n v="505236771"/>
    <s v=""/>
    <s v=""/>
    <s v="42"/>
    <x v="2"/>
    <s v="EU"/>
    <s v="12"/>
    <s v="19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97"/>
    <n v="505236771"/>
    <s v=""/>
    <s v=""/>
    <s v="42"/>
    <x v="2"/>
    <s v="EU"/>
    <s v="12"/>
    <s v="22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903"/>
    <n v="505236771"/>
    <s v=""/>
    <s v=""/>
    <s v="42"/>
    <x v="2"/>
    <s v="EU"/>
    <s v="12"/>
    <s v="24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909"/>
    <n v="505236771"/>
    <s v=""/>
    <s v=""/>
    <s v="42"/>
    <x v="2"/>
    <s v="EU"/>
    <s v="12"/>
    <s v="1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n v="7343918"/>
    <n v="505236771"/>
    <s v=""/>
    <s v=""/>
    <s v="31"/>
    <x v="7"/>
    <s v="EU"/>
    <s v="02"/>
    <s v="4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n v="8679819"/>
    <n v="2135900996"/>
    <s v=""/>
    <s v=""/>
    <s v="42"/>
    <x v="2"/>
    <s v="EU"/>
    <s v="12"/>
    <s v="3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13"/>
    <n v="2135900996"/>
    <s v=""/>
    <s v=""/>
    <s v="42"/>
    <x v="2"/>
    <s v="EU"/>
    <s v="12"/>
    <s v="3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22"/>
    <n v="2135900996"/>
    <s v=""/>
    <s v=""/>
    <s v="42"/>
    <x v="2"/>
    <s v="EU"/>
    <s v="12"/>
    <s v="3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25"/>
    <n v="2135900996"/>
    <s v=""/>
    <s v=""/>
    <s v="42"/>
    <x v="2"/>
    <s v="EU"/>
    <s v="12"/>
    <s v="3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31"/>
    <n v="2135900996"/>
    <s v=""/>
    <s v=""/>
    <s v="42"/>
    <x v="2"/>
    <s v="EU"/>
    <s v="12"/>
    <s v="3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37"/>
    <n v="2135900996"/>
    <s v=""/>
    <s v=""/>
    <s v="31"/>
    <x v="7"/>
    <s v="EU"/>
    <s v="02"/>
    <s v="3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40"/>
    <n v="2135900996"/>
    <s v=""/>
    <s v=""/>
    <s v="31"/>
    <x v="7"/>
    <s v="EU"/>
    <s v="02"/>
    <s v="3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49"/>
    <n v="2135900996"/>
    <s v=""/>
    <s v=""/>
    <s v="42"/>
    <x v="2"/>
    <s v="EU"/>
    <s v="12"/>
    <s v="4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67"/>
    <n v="2135900996"/>
    <s v=""/>
    <s v=""/>
    <s v="42"/>
    <x v="2"/>
    <s v="EU"/>
    <s v="12"/>
    <s v="4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70"/>
    <n v="2135900996"/>
    <s v=""/>
    <s v=""/>
    <s v="32"/>
    <x v="11"/>
    <s v="EU"/>
    <s v="11"/>
    <s v="4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79"/>
    <n v="2135900996"/>
    <s v=""/>
    <s v=""/>
    <s v="42"/>
    <x v="2"/>
    <s v="EU"/>
    <s v="12"/>
    <s v="5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12"/>
    <n v="2135900996"/>
    <s v=""/>
    <s v=""/>
    <s v="52"/>
    <x v="0"/>
    <s v="EU"/>
    <s v="13"/>
    <s v="6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15"/>
    <n v="2135900996"/>
    <s v=""/>
    <s v=""/>
    <s v="42"/>
    <x v="2"/>
    <s v="EU"/>
    <s v="12"/>
    <s v="6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21"/>
    <n v="2135900996"/>
    <s v=""/>
    <s v=""/>
    <s v="31"/>
    <x v="7"/>
    <s v="EU"/>
    <s v="02"/>
    <s v="6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74"/>
    <n v="2135900996"/>
    <s v=""/>
    <s v=""/>
    <s v="31"/>
    <x v="7"/>
    <s v="EU"/>
    <s v="02"/>
    <s v="1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68"/>
    <n v="2135900996"/>
    <s v=""/>
    <s v=""/>
    <s v="42"/>
    <x v="2"/>
    <s v="EU"/>
    <s v="12"/>
    <s v="1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77"/>
    <n v="2135900996"/>
    <s v=""/>
    <s v=""/>
    <s v="42"/>
    <x v="2"/>
    <s v="EU"/>
    <s v="12"/>
    <s v="1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80"/>
    <n v="2135900996"/>
    <s v=""/>
    <s v=""/>
    <s v="31"/>
    <x v="7"/>
    <s v="EU"/>
    <s v="02"/>
    <s v="1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83"/>
    <n v="2135900996"/>
    <s v=""/>
    <s v=""/>
    <s v="42"/>
    <x v="2"/>
    <s v="EU"/>
    <s v="12"/>
    <s v="2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86"/>
    <n v="2135900996"/>
    <s v=""/>
    <s v=""/>
    <s v="31"/>
    <x v="7"/>
    <s v="EU"/>
    <s v="02"/>
    <s v="2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401"/>
    <n v="2135900996"/>
    <s v=""/>
    <s v=""/>
    <s v="42"/>
    <x v="2"/>
    <s v="EU"/>
    <s v="12"/>
    <s v="2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404"/>
    <n v="2135900996"/>
    <s v=""/>
    <s v=""/>
    <s v="31"/>
    <x v="7"/>
    <s v="EU"/>
    <s v="02"/>
    <s v="2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407"/>
    <n v="2135900996"/>
    <s v=""/>
    <s v=""/>
    <s v="42"/>
    <x v="2"/>
    <s v="EU"/>
    <s v="12"/>
    <s v="2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413"/>
    <n v="2135900996"/>
    <s v=""/>
    <s v=""/>
    <s v="42"/>
    <x v="2"/>
    <s v="EU"/>
    <s v="12"/>
    <s v="3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564"/>
    <n v="1320713006"/>
    <s v=""/>
    <s v=""/>
    <s v="52"/>
    <x v="0"/>
    <s v="EU"/>
    <s v="13"/>
    <s v="4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570"/>
    <n v="1320713006"/>
    <s v=""/>
    <s v=""/>
    <s v="31"/>
    <x v="7"/>
    <s v="EU"/>
    <s v="02"/>
    <s v="6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756"/>
    <n v="2135900996"/>
    <s v=""/>
    <s v=""/>
    <s v="42"/>
    <x v="2"/>
    <s v="EU"/>
    <s v="12"/>
    <s v="1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44"/>
    <n v="2135900996"/>
    <s v=""/>
    <s v=""/>
    <s v="42"/>
    <x v="2"/>
    <s v="EU"/>
    <s v="12"/>
    <s v="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62"/>
    <n v="2135900996"/>
    <s v=""/>
    <s v=""/>
    <s v="42"/>
    <x v="2"/>
    <s v="EU"/>
    <s v="12"/>
    <s v="1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71"/>
    <n v="2135900996"/>
    <s v=""/>
    <s v=""/>
    <s v="42"/>
    <x v="2"/>
    <s v="EU"/>
    <s v="12"/>
    <s v="1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74"/>
    <n v="2135900996"/>
    <s v=""/>
    <s v=""/>
    <s v="42"/>
    <x v="2"/>
    <s v="EU"/>
    <s v="12"/>
    <s v="1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95"/>
    <n v="2135900996"/>
    <s v=""/>
    <s v=""/>
    <s v="41"/>
    <x v="1"/>
    <s v="EU"/>
    <s v="03"/>
    <s v="2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7343849"/>
    <n v="505236771"/>
    <s v="0"/>
    <s v=""/>
    <s v="42"/>
    <x v="2"/>
    <s v="EU"/>
    <s v="12"/>
    <s v="6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34"/>
    <n v="505236771"/>
    <s v="0"/>
    <s v=""/>
    <s v="42"/>
    <x v="2"/>
    <s v="EU"/>
    <s v="12"/>
    <s v="1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52"/>
    <n v="505236771"/>
    <s v="0"/>
    <s v=""/>
    <s v="53"/>
    <x v="4"/>
    <s v="EU"/>
    <s v="22"/>
    <s v="7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79735"/>
    <n v="2135900996"/>
    <s v=""/>
    <s v=""/>
    <s v="42"/>
    <x v="2"/>
    <s v="EU"/>
    <s v="12"/>
    <s v="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38"/>
    <n v="2135900996"/>
    <s v=""/>
    <s v=""/>
    <s v="42"/>
    <x v="2"/>
    <s v="EU"/>
    <s v="12"/>
    <s v="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91"/>
    <n v="2135900996"/>
    <s v=""/>
    <s v=""/>
    <s v="42"/>
    <x v="2"/>
    <s v="EU"/>
    <s v="12"/>
    <s v="5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09"/>
    <n v="2135900996"/>
    <s v=""/>
    <s v=""/>
    <s v="31"/>
    <x v="7"/>
    <s v="EU"/>
    <s v="02"/>
    <s v="6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24"/>
    <n v="2135900996"/>
    <s v=""/>
    <s v=""/>
    <s v="32"/>
    <x v="11"/>
    <s v="EU"/>
    <s v="11"/>
    <s v="6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39"/>
    <n v="2135900996"/>
    <s v=""/>
    <s v=""/>
    <s v="41"/>
    <x v="1"/>
    <s v="EU"/>
    <s v="03"/>
    <s v="7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48"/>
    <n v="2135900996"/>
    <s v=""/>
    <s v=""/>
    <s v="51"/>
    <x v="19"/>
    <s v="EU"/>
    <s v="04"/>
    <s v="7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51"/>
    <n v="2135900996"/>
    <s v=""/>
    <s v=""/>
    <s v="42"/>
    <x v="2"/>
    <s v="EU"/>
    <s v="12"/>
    <s v="7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02"/>
    <n v="2135900996"/>
    <s v=""/>
    <s v=""/>
    <s v="42"/>
    <x v="2"/>
    <s v="EU"/>
    <s v="12"/>
    <s v="9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14"/>
    <n v="2135900996"/>
    <s v=""/>
    <s v=""/>
    <s v="31"/>
    <x v="7"/>
    <s v="EU"/>
    <s v="02"/>
    <s v="9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26"/>
    <n v="2135900996"/>
    <s v=""/>
    <s v=""/>
    <s v="42"/>
    <x v="2"/>
    <s v="EU"/>
    <s v="12"/>
    <s v="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35"/>
    <n v="2135900996"/>
    <s v=""/>
    <s v=""/>
    <s v="42"/>
    <x v="2"/>
    <s v="EU"/>
    <s v="12"/>
    <s v="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79993"/>
    <n v="2135900996"/>
    <s v=""/>
    <s v=""/>
    <s v="42"/>
    <x v="2"/>
    <s v="EU"/>
    <s v="12"/>
    <s v="9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96"/>
    <n v="2135900996"/>
    <s v=""/>
    <s v=""/>
    <s v="42"/>
    <x v="2"/>
    <s v="EU"/>
    <s v="12"/>
    <s v="9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41"/>
    <n v="2135900996"/>
    <s v=""/>
    <s v=""/>
    <s v="42"/>
    <x v="2"/>
    <s v="EU"/>
    <s v="12"/>
    <s v="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47"/>
    <n v="2135900996"/>
    <s v=""/>
    <s v=""/>
    <s v="42"/>
    <x v="2"/>
    <s v="EU"/>
    <s v="12"/>
    <s v="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56"/>
    <n v="2135900996"/>
    <s v=""/>
    <s v=""/>
    <s v="42"/>
    <x v="2"/>
    <s v="EU"/>
    <s v="12"/>
    <s v="1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59"/>
    <n v="2135900996"/>
    <s v=""/>
    <s v=""/>
    <s v="42"/>
    <x v="2"/>
    <s v="EU"/>
    <s v="12"/>
    <s v="1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362"/>
    <n v="2135900996"/>
    <s v=""/>
    <s v=""/>
    <s v="42"/>
    <x v="2"/>
    <s v="EU"/>
    <s v="12"/>
    <s v="1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629"/>
    <n v="-1000007921"/>
    <s v=""/>
    <s v=""/>
    <s v="42"/>
    <x v="2"/>
    <s v="EU"/>
    <s v="12"/>
    <s v="1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489"/>
    <n v="-1000007921"/>
    <s v=""/>
    <s v=""/>
    <s v="42"/>
    <x v="2"/>
    <s v="EU"/>
    <s v="12"/>
    <s v="1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93"/>
    <n v="-1000007921"/>
    <s v=""/>
    <s v=""/>
    <s v="42"/>
    <x v="2"/>
    <s v="EU"/>
    <s v="12"/>
    <s v="1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63"/>
    <n v="-1000007921"/>
    <s v=""/>
    <s v=""/>
    <s v="42"/>
    <x v="2"/>
    <s v="EU"/>
    <s v="12"/>
    <s v="2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471"/>
    <n v="-1000007921"/>
    <s v=""/>
    <s v="RG"/>
    <s v=""/>
    <x v="6"/>
    <s v=""/>
    <s v=""/>
    <s v="2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651"/>
    <n v="-1000007921"/>
    <s v=""/>
    <s v=""/>
    <s v="42"/>
    <x v="2"/>
    <s v="EU"/>
    <s v="12"/>
    <s v="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447"/>
    <n v="-1000007917"/>
    <s v=""/>
    <s v=""/>
    <s v="52"/>
    <x v="0"/>
    <s v="EU"/>
    <s v="13"/>
    <s v="1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-1003536189"/>
    <n v="-1000007907"/>
    <s v=""/>
    <s v="RG"/>
    <s v=""/>
    <x v="6"/>
    <s v=""/>
    <s v=""/>
    <s v="4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183"/>
    <n v="-1000007907"/>
    <s v=""/>
    <s v=""/>
    <s v="42"/>
    <x v="2"/>
    <s v="EU"/>
    <s v="12"/>
    <s v="7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645"/>
    <n v="-1000007921"/>
    <s v=""/>
    <s v=""/>
    <s v="31"/>
    <x v="7"/>
    <s v="EU"/>
    <s v="02"/>
    <s v="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80065"/>
    <n v="2135900996"/>
    <s v=""/>
    <s v=""/>
    <s v="42"/>
    <x v="2"/>
    <s v="EU"/>
    <s v="12"/>
    <s v="1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98"/>
    <n v="2135900996"/>
    <s v=""/>
    <s v=""/>
    <s v="42"/>
    <x v="2"/>
    <s v="EU"/>
    <s v="12"/>
    <s v="2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215"/>
    <n v="2135900996"/>
    <s v=""/>
    <s v=""/>
    <s v="42"/>
    <x v="2"/>
    <s v="EU"/>
    <s v="12"/>
    <s v="6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7343843"/>
    <n v="505236771"/>
    <s v=""/>
    <s v=""/>
    <s v="52"/>
    <x v="0"/>
    <s v="EU"/>
    <s v="13"/>
    <s v="4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80227"/>
    <n v="2135900996"/>
    <s v=""/>
    <s v=""/>
    <s v="42"/>
    <x v="2"/>
    <s v="EU"/>
    <s v="12"/>
    <s v="6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7343885"/>
    <n v="505236771"/>
    <s v=""/>
    <s v=""/>
    <s v="42"/>
    <x v="2"/>
    <s v="EU"/>
    <s v="12"/>
    <s v="18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80284"/>
    <n v="2135900996"/>
    <s v=""/>
    <s v=""/>
    <s v="41"/>
    <x v="1"/>
    <s v="EU"/>
    <s v="03"/>
    <s v="8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14"/>
    <n v="2135900996"/>
    <s v="2"/>
    <s v="RS"/>
    <s v="S1"/>
    <x v="16"/>
    <s v="FW"/>
    <s v="0"/>
    <s v="22"/>
    <s v="Scales"/>
    <n v="2126660001"/>
    <s v="2 SCALES ACROSS PER FISH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73493"/>
  </r>
  <r>
    <n v="8679942"/>
    <n v="2135900996"/>
    <s v=""/>
    <s v=""/>
    <s v="42"/>
    <x v="2"/>
    <s v="EU"/>
    <s v="12"/>
    <s v="7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92"/>
    <n v="2135900996"/>
    <s v=""/>
    <s v=""/>
    <s v="32"/>
    <x v="11"/>
    <s v="EU"/>
    <s v="11"/>
    <s v="2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88"/>
    <n v="2135900996"/>
    <s v=""/>
    <s v=""/>
    <s v="42"/>
    <x v="2"/>
    <s v="EU"/>
    <s v="12"/>
    <s v="5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654"/>
    <n v="1320713006"/>
    <s v=""/>
    <s v=""/>
    <s v="31"/>
    <x v="7"/>
    <s v="EU"/>
    <s v="02"/>
    <s v="34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732"/>
    <n v="2135900996"/>
    <s v=""/>
    <s v=""/>
    <s v="42"/>
    <x v="2"/>
    <s v="EU"/>
    <s v="12"/>
    <s v="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287"/>
    <n v="2135900996"/>
    <s v=""/>
    <s v=""/>
    <s v="42"/>
    <x v="2"/>
    <s v="EU"/>
    <s v="12"/>
    <s v="8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50"/>
    <n v="2135900996"/>
    <s v=""/>
    <s v=""/>
    <s v="42"/>
    <x v="2"/>
    <s v="EU"/>
    <s v="12"/>
    <s v="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582"/>
    <n v="1320713006"/>
    <s v=""/>
    <s v=""/>
    <s v="52"/>
    <x v="0"/>
    <s v="EU"/>
    <s v="13"/>
    <s v="10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329"/>
    <n v="2135900996"/>
    <s v=""/>
    <s v=""/>
    <s v="42"/>
    <x v="2"/>
    <s v="EU"/>
    <s v="12"/>
    <s v="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773"/>
    <n v="-1000007925"/>
    <s v=""/>
    <s v=""/>
    <s v="42"/>
    <x v="2"/>
    <s v="EU"/>
    <s v="12"/>
    <s v="10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8679960"/>
    <n v="2135900996"/>
    <s v=""/>
    <s v=""/>
    <s v="42"/>
    <x v="2"/>
    <s v="EU"/>
    <s v="12"/>
    <s v="7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651"/>
    <n v="1320713006"/>
    <s v=""/>
    <s v=""/>
    <s v="31"/>
    <x v="7"/>
    <s v="EU"/>
    <s v="02"/>
    <s v="33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864"/>
    <n v="2135900996"/>
    <s v=""/>
    <s v=""/>
    <s v="42"/>
    <x v="2"/>
    <s v="EU"/>
    <s v="12"/>
    <s v="4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29"/>
    <n v="2135900996"/>
    <s v=""/>
    <s v=""/>
    <s v="42"/>
    <x v="2"/>
    <s v="EU"/>
    <s v="12"/>
    <s v="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09"/>
    <n v="-1000007921"/>
    <s v=""/>
    <s v=""/>
    <s v="52"/>
    <x v="0"/>
    <s v="EU"/>
    <s v="13"/>
    <s v="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8680597"/>
    <n v="1320713006"/>
    <s v=""/>
    <s v=""/>
    <s v="31"/>
    <x v="7"/>
    <s v="EU"/>
    <s v="02"/>
    <s v="15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-1003536547"/>
    <n v="-1000007921"/>
    <s v=""/>
    <s v=""/>
    <s v="42"/>
    <x v="2"/>
    <s v="EU"/>
    <s v="12"/>
    <s v="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086"/>
    <n v="2135900996"/>
    <s v=""/>
    <s v=""/>
    <s v="31"/>
    <x v="7"/>
    <s v="EU"/>
    <s v="02"/>
    <s v="2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40"/>
    <n v="2135900996"/>
    <s v=""/>
    <s v=""/>
    <s v="42"/>
    <x v="2"/>
    <s v="EU"/>
    <s v="12"/>
    <s v="3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06"/>
    <n v="2135900996"/>
    <s v=""/>
    <s v=""/>
    <s v="31"/>
    <x v="7"/>
    <s v="EU"/>
    <s v="02"/>
    <s v="6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627"/>
    <n v="1320713006"/>
    <s v=""/>
    <s v=""/>
    <s v="52"/>
    <x v="0"/>
    <s v="EU"/>
    <s v="13"/>
    <s v="25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642"/>
    <n v="1320713006"/>
    <s v=""/>
    <s v=""/>
    <s v="42"/>
    <x v="2"/>
    <s v="EU"/>
    <s v="12"/>
    <s v="30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726"/>
    <n v="2135900996"/>
    <s v=""/>
    <s v=""/>
    <s v="42"/>
    <x v="2"/>
    <s v="EU"/>
    <s v="12"/>
    <s v="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633"/>
    <n v="-1000007921"/>
    <s v=""/>
    <s v=""/>
    <s v="42"/>
    <x v="2"/>
    <s v="EU"/>
    <s v="12"/>
    <s v="1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657"/>
    <n v="-1000007921"/>
    <s v=""/>
    <s v=""/>
    <s v="42"/>
    <x v="2"/>
    <s v="EU"/>
    <s v="12"/>
    <s v="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79807"/>
    <n v="2135900996"/>
    <s v=""/>
    <s v=""/>
    <s v="31"/>
    <x v="7"/>
    <s v="EU"/>
    <s v="02"/>
    <s v="2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10"/>
    <n v="2135900996"/>
    <s v=""/>
    <s v=""/>
    <s v="42"/>
    <x v="2"/>
    <s v="EU"/>
    <s v="12"/>
    <s v="2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85"/>
    <n v="2135900996"/>
    <s v=""/>
    <s v=""/>
    <s v="42"/>
    <x v="2"/>
    <s v="EU"/>
    <s v="12"/>
    <s v="5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233"/>
    <n v="2135900996"/>
    <s v=""/>
    <s v=""/>
    <s v="42"/>
    <x v="2"/>
    <s v="EU"/>
    <s v="12"/>
    <s v="7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36"/>
    <n v="2135900996"/>
    <s v=""/>
    <s v=""/>
    <s v="42"/>
    <x v="2"/>
    <s v="EU"/>
    <s v="12"/>
    <s v="7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69"/>
    <n v="2135900996"/>
    <s v=""/>
    <s v=""/>
    <s v="31"/>
    <x v="7"/>
    <s v="EU"/>
    <s v="02"/>
    <s v="8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93"/>
    <n v="2135900996"/>
    <s v=""/>
    <s v=""/>
    <s v="42"/>
    <x v="2"/>
    <s v="EU"/>
    <s v="12"/>
    <s v="9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7343891"/>
    <n v="505236771"/>
    <s v=""/>
    <s v=""/>
    <s v="42"/>
    <x v="2"/>
    <s v="EU"/>
    <s v="12"/>
    <s v="20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-1003536599"/>
    <n v="-1000007921"/>
    <s v=""/>
    <s v=""/>
    <s v="42"/>
    <x v="2"/>
    <s v="EU"/>
    <s v="12"/>
    <s v="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635"/>
    <n v="-1000007921"/>
    <s v=""/>
    <s v=""/>
    <s v="31"/>
    <x v="7"/>
    <s v="EU"/>
    <s v="02"/>
    <s v="1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4683357"/>
    <n v="-1000016979"/>
    <s v=""/>
    <s v="UD"/>
    <s v=""/>
    <x v="6"/>
    <s v=""/>
    <s v=""/>
    <s v="3"/>
    <s v="Scales"/>
    <n v="2126660001"/>
    <s v="2 SCALES ACROSS PER FISH"/>
    <n v="-1000000910"/>
    <s v="BELLA COOLA COMMERCIAL SAMPLING PROGRAM-1993"/>
    <n v="3347"/>
    <s v="435"/>
    <x v="26"/>
    <s v="873"/>
    <n v="1"/>
    <s v="SOCKEYE SALMON"/>
    <n v="2086090003"/>
    <x v="2"/>
    <n v="10"/>
    <s v="Salmon Gillnet, Commercial"/>
    <s v="Adult"/>
    <d v="1993-07-13T00:00:00"/>
    <d v="1993-07-13T00:00:00"/>
    <s v="1993310587362862"/>
  </r>
  <r>
    <n v="8680143"/>
    <n v="2135900996"/>
    <s v=""/>
    <s v=""/>
    <s v="42"/>
    <x v="2"/>
    <s v="EU"/>
    <s v="12"/>
    <s v="4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769"/>
    <n v="-1000007925"/>
    <s v=""/>
    <s v=""/>
    <s v="42"/>
    <x v="2"/>
    <s v="EU"/>
    <s v="12"/>
    <s v="12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8680170"/>
    <n v="2135900996"/>
    <s v=""/>
    <s v=""/>
    <s v="42"/>
    <x v="2"/>
    <s v="EU"/>
    <s v="12"/>
    <s v="4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984"/>
    <n v="2135900996"/>
    <s v=""/>
    <s v="MF"/>
    <s v=""/>
    <x v="6"/>
    <s v="EU"/>
    <s v=""/>
    <s v="8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23"/>
    <n v="2135900996"/>
    <s v=""/>
    <s v=""/>
    <s v="42"/>
    <x v="2"/>
    <s v="EU"/>
    <s v="12"/>
    <s v="10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03"/>
    <n v="2135900996"/>
    <s v=""/>
    <s v=""/>
    <s v="31"/>
    <x v="7"/>
    <s v="EU"/>
    <s v="02"/>
    <s v="6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11"/>
    <n v="2135900996"/>
    <s v=""/>
    <s v=""/>
    <s v="31"/>
    <x v="7"/>
    <s v="EU"/>
    <s v="02"/>
    <s v="9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89"/>
    <n v="2135900996"/>
    <s v=""/>
    <s v=""/>
    <s v="42"/>
    <x v="2"/>
    <s v="EU"/>
    <s v="12"/>
    <s v="2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050"/>
    <n v="2135900996"/>
    <s v=""/>
    <s v=""/>
    <s v="42"/>
    <x v="2"/>
    <s v="EU"/>
    <s v="12"/>
    <s v="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900"/>
    <n v="2135900996"/>
    <s v=""/>
    <s v=""/>
    <s v="41"/>
    <x v="1"/>
    <s v="EU"/>
    <s v="03"/>
    <s v="5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97"/>
    <n v="2135900996"/>
    <s v=""/>
    <s v=""/>
    <s v="42"/>
    <x v="2"/>
    <s v="EU"/>
    <s v="12"/>
    <s v="5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30"/>
    <n v="2135900996"/>
    <s v=""/>
    <s v=""/>
    <s v="32"/>
    <x v="11"/>
    <s v="EU"/>
    <s v="11"/>
    <s v="6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99"/>
    <n v="2135900996"/>
    <s v=""/>
    <s v=""/>
    <s v="42"/>
    <x v="2"/>
    <s v="EU"/>
    <s v="12"/>
    <s v="9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71"/>
    <n v="2135900996"/>
    <s v=""/>
    <s v=""/>
    <s v="42"/>
    <x v="2"/>
    <s v="EU"/>
    <s v="12"/>
    <s v="1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648"/>
    <n v="1320713006"/>
    <s v=""/>
    <s v=""/>
    <s v="31"/>
    <x v="7"/>
    <s v="EU"/>
    <s v="02"/>
    <s v="32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933"/>
    <n v="2135900996"/>
    <s v=""/>
    <s v=""/>
    <s v="31"/>
    <x v="7"/>
    <s v="EU"/>
    <s v="02"/>
    <s v="7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257"/>
    <n v="2135900996"/>
    <s v=""/>
    <s v=""/>
    <s v="31"/>
    <x v="7"/>
    <s v="EU"/>
    <s v="02"/>
    <s v="7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38"/>
    <n v="2135900996"/>
    <s v=""/>
    <s v=""/>
    <s v="42"/>
    <x v="2"/>
    <s v="EU"/>
    <s v="12"/>
    <s v="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27"/>
    <n v="-1000007921"/>
    <s v=""/>
    <s v=""/>
    <s v="52"/>
    <x v="0"/>
    <s v="EU"/>
    <s v="13"/>
    <s v="1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191"/>
    <n v="-1000007907"/>
    <s v=""/>
    <s v=""/>
    <s v="42"/>
    <x v="2"/>
    <s v="EU"/>
    <s v="12"/>
    <s v="3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515"/>
    <n v="-1000007921"/>
    <s v=""/>
    <s v="RG"/>
    <s v=""/>
    <x v="6"/>
    <s v=""/>
    <s v=""/>
    <s v="2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519"/>
    <n v="-1000007921"/>
    <s v=""/>
    <s v=""/>
    <s v="52"/>
    <x v="0"/>
    <s v="EU"/>
    <s v="13"/>
    <s v="2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11699859"/>
    <n v="632014233"/>
    <s v=""/>
    <s v="RG"/>
    <s v="3M"/>
    <x v="5"/>
    <s v="MY"/>
    <s v="3"/>
    <s v="2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11699856"/>
    <n v="632014233"/>
    <s v=""/>
    <s v="W"/>
    <s v="S2"/>
    <x v="15"/>
    <s v="FW"/>
    <s v="1"/>
    <s v="1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11699871"/>
    <n v="632014233"/>
    <s v=""/>
    <s v=""/>
    <s v="42"/>
    <x v="2"/>
    <s v="EU"/>
    <s v="12"/>
    <s v="6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11699874"/>
    <n v="632014233"/>
    <s v=""/>
    <s v=""/>
    <s v="52"/>
    <x v="0"/>
    <s v="EU"/>
    <s v="13"/>
    <s v="7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11699877"/>
    <n v="632014233"/>
    <s v=""/>
    <s v=""/>
    <s v="42"/>
    <x v="2"/>
    <s v="EU"/>
    <s v="12"/>
    <s v="8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11699883"/>
    <n v="632014233"/>
    <s v=""/>
    <s v="RG"/>
    <s v="2M"/>
    <x v="3"/>
    <s v="MY"/>
    <s v="2"/>
    <s v="10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8680062"/>
    <n v="2135900996"/>
    <s v=""/>
    <s v=""/>
    <s v="42"/>
    <x v="2"/>
    <s v="EU"/>
    <s v="12"/>
    <s v="1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798"/>
    <n v="2135900996"/>
    <s v=""/>
    <s v=""/>
    <s v="42"/>
    <x v="2"/>
    <s v="EU"/>
    <s v="12"/>
    <s v="2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600"/>
    <n v="1320713006"/>
    <s v=""/>
    <s v=""/>
    <s v="31"/>
    <x v="7"/>
    <s v="EU"/>
    <s v="02"/>
    <s v="16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594"/>
    <n v="1320713006"/>
    <s v=""/>
    <s v=""/>
    <s v="52"/>
    <x v="0"/>
    <s v="EU"/>
    <s v="13"/>
    <s v="14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573"/>
    <n v="1320713006"/>
    <s v=""/>
    <s v=""/>
    <s v="42"/>
    <x v="2"/>
    <s v="EU"/>
    <s v="12"/>
    <s v="7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555"/>
    <n v="1320713006"/>
    <s v=""/>
    <s v=""/>
    <s v="42"/>
    <x v="2"/>
    <s v="EU"/>
    <s v="12"/>
    <s v="1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332"/>
    <n v="2135900996"/>
    <s v=""/>
    <s v=""/>
    <s v="31"/>
    <x v="7"/>
    <s v="EU"/>
    <s v="02"/>
    <s v="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607"/>
    <n v="-1000007921"/>
    <s v=""/>
    <s v=""/>
    <s v="42"/>
    <x v="2"/>
    <s v="EU"/>
    <s v="12"/>
    <s v="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05"/>
    <n v="-1000007921"/>
    <s v=""/>
    <s v=""/>
    <s v="42"/>
    <x v="2"/>
    <s v="EU"/>
    <s v="12"/>
    <s v="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8679765"/>
    <n v="2135900996"/>
    <s v=""/>
    <s v=""/>
    <s v="42"/>
    <x v="2"/>
    <s v="EU"/>
    <s v="12"/>
    <s v="1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80"/>
    <n v="2135900996"/>
    <s v=""/>
    <s v=""/>
    <s v="42"/>
    <x v="2"/>
    <s v="EU"/>
    <s v="12"/>
    <s v="1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68"/>
    <n v="2135900996"/>
    <s v=""/>
    <s v=""/>
    <s v="31"/>
    <x v="7"/>
    <s v="EU"/>
    <s v="02"/>
    <s v="1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76"/>
    <n v="2135900996"/>
    <s v=""/>
    <s v=""/>
    <s v="42"/>
    <x v="2"/>
    <s v="EU"/>
    <s v="12"/>
    <s v="5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625"/>
    <n v="-1000007921"/>
    <s v=""/>
    <s v=""/>
    <s v="53"/>
    <x v="4"/>
    <s v="EU"/>
    <s v="22"/>
    <s v="1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661"/>
    <n v="-1000007921"/>
    <s v=""/>
    <s v=""/>
    <s v="42"/>
    <x v="2"/>
    <s v="EU"/>
    <s v="12"/>
    <s v="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80110"/>
    <n v="2135900996"/>
    <s v=""/>
    <s v=""/>
    <s v="42"/>
    <x v="2"/>
    <s v="EU"/>
    <s v="12"/>
    <s v="2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443"/>
    <n v="-1000007917"/>
    <s v=""/>
    <s v=""/>
    <s v=""/>
    <x v="6"/>
    <s v=""/>
    <s v=""/>
    <s v="3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7343840"/>
    <n v="505236771"/>
    <s v="0"/>
    <s v=""/>
    <s v="52"/>
    <x v="0"/>
    <s v="EU"/>
    <s v="13"/>
    <s v="3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-1003536477"/>
    <n v="-1000007921"/>
    <s v=""/>
    <s v=""/>
    <s v="42"/>
    <x v="2"/>
    <s v="EU"/>
    <s v="12"/>
    <s v="1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4683359"/>
    <n v="-1000016979"/>
    <s v=""/>
    <s v=""/>
    <s v="53"/>
    <x v="4"/>
    <s v="EU"/>
    <s v="22"/>
    <s v="2"/>
    <s v="Scales"/>
    <n v="2126660001"/>
    <s v="2 SCALES ACROSS PER FISH"/>
    <n v="-1000000910"/>
    <s v="BELLA COOLA COMMERCIAL SAMPLING PROGRAM-1993"/>
    <n v="3347"/>
    <s v="435"/>
    <x v="26"/>
    <s v="873"/>
    <n v="1"/>
    <s v="SOCKEYE SALMON"/>
    <n v="2086090003"/>
    <x v="2"/>
    <n v="10"/>
    <s v="Salmon Gillnet, Commercial"/>
    <s v="Adult"/>
    <d v="1993-07-13T00:00:00"/>
    <d v="1993-07-13T00:00:00"/>
    <s v="1993310587362862"/>
  </r>
  <r>
    <n v="-1004683361"/>
    <n v="-1000016979"/>
    <s v=""/>
    <s v="NS"/>
    <s v=""/>
    <x v="6"/>
    <s v=""/>
    <s v=""/>
    <s v="1"/>
    <s v="Scales"/>
    <n v="2126660001"/>
    <s v="2 SCALES ACROSS PER FISH"/>
    <n v="-1000000910"/>
    <s v="BELLA COOLA COMMERCIAL SAMPLING PROGRAM-1993"/>
    <n v="3347"/>
    <s v="435"/>
    <x v="26"/>
    <s v="873"/>
    <n v="1"/>
    <s v="SOCKEYE SALMON"/>
    <n v="2086090003"/>
    <x v="2"/>
    <n v="10"/>
    <s v="Salmon Gillnet, Commercial"/>
    <s v="Adult"/>
    <d v="1993-07-13T00:00:00"/>
    <d v="1993-07-13T00:00:00"/>
    <s v="1993310587362862"/>
  </r>
  <r>
    <n v="8680194"/>
    <n v="2135900996"/>
    <s v=""/>
    <s v=""/>
    <s v="31"/>
    <x v="7"/>
    <s v="EU"/>
    <s v="02"/>
    <s v="5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777"/>
    <n v="2135900996"/>
    <s v=""/>
    <s v=""/>
    <s v="42"/>
    <x v="2"/>
    <s v="EU"/>
    <s v="12"/>
    <s v="1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41"/>
    <n v="2135900996"/>
    <s v=""/>
    <s v=""/>
    <s v="42"/>
    <x v="2"/>
    <s v="EU"/>
    <s v="12"/>
    <s v="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86"/>
    <n v="2135900996"/>
    <s v=""/>
    <s v=""/>
    <s v="42"/>
    <x v="2"/>
    <s v="EU"/>
    <s v="12"/>
    <s v="2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97"/>
    <n v="2135900996"/>
    <s v=""/>
    <s v=""/>
    <s v="42"/>
    <x v="2"/>
    <s v="EU"/>
    <s v="12"/>
    <s v="5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85"/>
    <n v="2135900996"/>
    <s v=""/>
    <s v=""/>
    <s v="42"/>
    <x v="2"/>
    <s v="EU"/>
    <s v="12"/>
    <s v="5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17"/>
    <n v="-1000007921"/>
    <s v=""/>
    <s v=""/>
    <s v="42"/>
    <x v="2"/>
    <s v="EU"/>
    <s v="12"/>
    <s v="2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79876"/>
    <n v="2135900996"/>
    <s v=""/>
    <s v=""/>
    <s v="42"/>
    <x v="2"/>
    <s v="EU"/>
    <s v="12"/>
    <s v="5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46"/>
    <n v="2135900996"/>
    <s v="1"/>
    <s v="W"/>
    <s v="2M"/>
    <x v="3"/>
    <s v="MY"/>
    <s v="2"/>
    <s v="16"/>
    <s v="Scales"/>
    <n v="2126660001"/>
    <s v="2 SCALES ACROSS PER FISH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73491"/>
  </r>
  <r>
    <n v="11699868"/>
    <n v="632014233"/>
    <s v=""/>
    <s v=""/>
    <s v="42"/>
    <x v="2"/>
    <s v="EU"/>
    <s v="12"/>
    <s v="5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8680561"/>
    <n v="1320713006"/>
    <s v=""/>
    <s v=""/>
    <s v="31"/>
    <x v="7"/>
    <s v="EU"/>
    <s v="02"/>
    <s v="3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-1003536487"/>
    <n v="-1000007921"/>
    <s v=""/>
    <s v=""/>
    <s v="42"/>
    <x v="2"/>
    <s v="EU"/>
    <s v="12"/>
    <s v="1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8679759"/>
    <n v="2135900996"/>
    <s v=""/>
    <s v=""/>
    <s v="42"/>
    <x v="2"/>
    <s v="EU"/>
    <s v="12"/>
    <s v="1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615"/>
    <n v="-1000007921"/>
    <s v=""/>
    <s v=""/>
    <s v="42"/>
    <x v="2"/>
    <s v="EU"/>
    <s v="12"/>
    <s v="2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653"/>
    <n v="-1000007921"/>
    <s v=""/>
    <s v=""/>
    <s v="42"/>
    <x v="2"/>
    <s v="EU"/>
    <s v="12"/>
    <s v="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467"/>
    <n v="-1000007921"/>
    <s v=""/>
    <s v=""/>
    <s v="42"/>
    <x v="2"/>
    <s v="EU"/>
    <s v="12"/>
    <s v="2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787"/>
    <n v="-1000007925"/>
    <s v=""/>
    <s v="RG"/>
    <s v=""/>
    <x v="6"/>
    <s v=""/>
    <s v=""/>
    <s v="3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8680618"/>
    <n v="1320713006"/>
    <s v=""/>
    <s v=""/>
    <s v="52"/>
    <x v="0"/>
    <s v="EU"/>
    <s v="13"/>
    <s v="22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122"/>
    <n v="2135900996"/>
    <s v=""/>
    <s v=""/>
    <s v="42"/>
    <x v="2"/>
    <s v="EU"/>
    <s v="12"/>
    <s v="3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639"/>
    <n v="1320713006"/>
    <s v=""/>
    <s v=""/>
    <s v="31"/>
    <x v="7"/>
    <s v="EU"/>
    <s v="02"/>
    <s v="29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059"/>
    <n v="2135900996"/>
    <s v=""/>
    <s v=""/>
    <s v="42"/>
    <x v="2"/>
    <s v="EU"/>
    <s v="12"/>
    <s v="1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67"/>
    <n v="2135900996"/>
    <s v=""/>
    <s v=""/>
    <s v="42"/>
    <x v="2"/>
    <s v="EU"/>
    <s v="12"/>
    <s v="4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08"/>
    <n v="2135900996"/>
    <s v=""/>
    <s v=""/>
    <s v="42"/>
    <x v="2"/>
    <s v="EU"/>
    <s v="12"/>
    <s v="9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34"/>
    <n v="2135900996"/>
    <s v=""/>
    <s v=""/>
    <s v="31"/>
    <x v="7"/>
    <s v="EU"/>
    <s v="02"/>
    <s v="3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843"/>
    <n v="2135900996"/>
    <s v=""/>
    <s v=""/>
    <s v="42"/>
    <x v="2"/>
    <s v="EU"/>
    <s v="12"/>
    <s v="4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18"/>
    <n v="2135900996"/>
    <s v=""/>
    <s v=""/>
    <s v="42"/>
    <x v="2"/>
    <s v="EU"/>
    <s v="12"/>
    <s v="6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08"/>
    <n v="2135900996"/>
    <s v=""/>
    <s v=""/>
    <s v="31"/>
    <x v="7"/>
    <s v="EU"/>
    <s v="02"/>
    <s v="9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777"/>
    <n v="-1000007925"/>
    <s v=""/>
    <s v=""/>
    <s v="42"/>
    <x v="2"/>
    <s v="EU"/>
    <s v="12"/>
    <s v="8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609"/>
    <n v="-1000007921"/>
    <s v=""/>
    <s v=""/>
    <s v="42"/>
    <x v="2"/>
    <s v="EU"/>
    <s v="12"/>
    <s v="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89"/>
    <n v="-1000007921"/>
    <s v=""/>
    <s v=""/>
    <s v="31"/>
    <x v="7"/>
    <s v="EU"/>
    <s v="02"/>
    <s v="1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97"/>
    <n v="-1000007921"/>
    <s v=""/>
    <s v=""/>
    <s v="42"/>
    <x v="2"/>
    <s v="EU"/>
    <s v="12"/>
    <s v="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679963"/>
    <n v="2135900996"/>
    <s v=""/>
    <s v=""/>
    <s v="42"/>
    <x v="2"/>
    <s v="EU"/>
    <s v="12"/>
    <s v="8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20"/>
    <n v="2135900996"/>
    <s v="2"/>
    <s v="RS"/>
    <s v="S2"/>
    <x v="15"/>
    <s v="FW"/>
    <s v="1"/>
    <s v="24"/>
    <s v="Scales"/>
    <n v="2126660001"/>
    <s v="2 SCALES ACROSS PER FISH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73497"/>
  </r>
  <r>
    <n v="-1003536659"/>
    <n v="-1000007921"/>
    <s v=""/>
    <s v=""/>
    <s v="42"/>
    <x v="2"/>
    <s v="EU"/>
    <s v="12"/>
    <s v="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79894"/>
    <n v="2135900996"/>
    <s v=""/>
    <s v=""/>
    <s v="42"/>
    <x v="2"/>
    <s v="EU"/>
    <s v="12"/>
    <s v="5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7343915"/>
    <n v="505236771"/>
    <s v=""/>
    <s v=""/>
    <s v="53"/>
    <x v="4"/>
    <s v="EU"/>
    <s v="22"/>
    <s v="3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n v="11699889"/>
    <n v="632014233"/>
    <s v=""/>
    <s v="W"/>
    <s v="2M"/>
    <x v="3"/>
    <s v="MY"/>
    <s v="2"/>
    <s v="12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-1004683355"/>
    <n v="-1000016979"/>
    <s v=""/>
    <s v=""/>
    <s v="53"/>
    <x v="4"/>
    <s v="EU"/>
    <s v="22"/>
    <s v="4"/>
    <s v="Scales"/>
    <n v="2126660001"/>
    <s v="2 SCALES ACROSS PER FISH"/>
    <n v="-1000000910"/>
    <s v="BELLA COOLA COMMERCIAL SAMPLING PROGRAM-1993"/>
    <n v="3347"/>
    <s v="435"/>
    <x v="26"/>
    <s v="873"/>
    <n v="1"/>
    <s v="SOCKEYE SALMON"/>
    <n v="2086090003"/>
    <x v="2"/>
    <n v="10"/>
    <s v="Salmon Gillnet, Commercial"/>
    <s v="Adult"/>
    <d v="1993-07-13T00:00:00"/>
    <d v="1993-07-13T00:00:00"/>
    <s v="1993310587362862"/>
  </r>
  <r>
    <n v="11699862"/>
    <n v="632014233"/>
    <s v=""/>
    <s v=""/>
    <s v="52"/>
    <x v="0"/>
    <s v="EU"/>
    <s v="13"/>
    <s v="3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8680116"/>
    <n v="2135900996"/>
    <s v=""/>
    <s v=""/>
    <s v="42"/>
    <x v="2"/>
    <s v="EU"/>
    <s v="12"/>
    <s v="3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633"/>
    <n v="1320713006"/>
    <s v=""/>
    <s v=""/>
    <s v="32"/>
    <x v="11"/>
    <s v="EU"/>
    <s v="11"/>
    <s v="27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281"/>
    <n v="2135900996"/>
    <s v=""/>
    <s v=""/>
    <s v="42"/>
    <x v="2"/>
    <s v="EU"/>
    <s v="12"/>
    <s v="8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88"/>
    <n v="2135900996"/>
    <s v=""/>
    <s v=""/>
    <s v="42"/>
    <x v="2"/>
    <s v="EU"/>
    <s v="12"/>
    <s v="5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35"/>
    <n v="-1000007921"/>
    <s v=""/>
    <s v=""/>
    <s v="53"/>
    <x v="4"/>
    <s v="EU"/>
    <s v="22"/>
    <s v="1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612"/>
    <n v="1320713006"/>
    <s v=""/>
    <s v=""/>
    <s v="42"/>
    <x v="2"/>
    <s v="EU"/>
    <s v="12"/>
    <s v="20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-1003536643"/>
    <n v="-1000007921"/>
    <s v=""/>
    <s v=""/>
    <s v="42"/>
    <x v="2"/>
    <s v="EU"/>
    <s v="12"/>
    <s v="1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7343837"/>
    <n v="505236771"/>
    <s v=""/>
    <s v=""/>
    <s v="42"/>
    <x v="2"/>
    <s v="EU"/>
    <s v="12"/>
    <s v="2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80182"/>
    <n v="2135900996"/>
    <s v=""/>
    <s v=""/>
    <s v="42"/>
    <x v="2"/>
    <s v="EU"/>
    <s v="12"/>
    <s v="5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903"/>
    <n v="2135900996"/>
    <s v=""/>
    <s v=""/>
    <s v="31"/>
    <x v="7"/>
    <s v="EU"/>
    <s v="02"/>
    <s v="6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513"/>
    <n v="-1000007921"/>
    <s v=""/>
    <s v=""/>
    <s v="42"/>
    <x v="2"/>
    <s v="EU"/>
    <s v="12"/>
    <s v="2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79906"/>
    <n v="2135900996"/>
    <s v=""/>
    <s v=""/>
    <s v="52"/>
    <x v="0"/>
    <s v="EU"/>
    <s v="13"/>
    <s v="6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20"/>
    <n v="2135900996"/>
    <s v=""/>
    <s v=""/>
    <s v="42"/>
    <x v="2"/>
    <s v="EU"/>
    <s v="12"/>
    <s v="9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44"/>
    <n v="2135900996"/>
    <s v=""/>
    <s v=""/>
    <s v="41"/>
    <x v="1"/>
    <s v="EU"/>
    <s v="03"/>
    <s v="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164"/>
    <n v="2135900996"/>
    <s v=""/>
    <s v=""/>
    <s v="42"/>
    <x v="2"/>
    <s v="EU"/>
    <s v="12"/>
    <s v="4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58"/>
    <n v="2135900996"/>
    <s v=""/>
    <s v=""/>
    <s v="42"/>
    <x v="2"/>
    <s v="EU"/>
    <s v="12"/>
    <s v="4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179"/>
    <n v="2135900996"/>
    <s v=""/>
    <s v=""/>
    <s v="42"/>
    <x v="2"/>
    <s v="EU"/>
    <s v="12"/>
    <s v="5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72"/>
    <n v="2135900996"/>
    <s v=""/>
    <s v=""/>
    <s v="42"/>
    <x v="2"/>
    <s v="EU"/>
    <s v="12"/>
    <s v="8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75"/>
    <n v="2135900996"/>
    <s v=""/>
    <s v=""/>
    <s v="42"/>
    <x v="2"/>
    <s v="EU"/>
    <s v="12"/>
    <s v="8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53"/>
    <n v="-1000007921"/>
    <s v=""/>
    <s v=""/>
    <s v="53"/>
    <x v="4"/>
    <s v="EU"/>
    <s v="22"/>
    <s v="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044"/>
    <n v="2135900996"/>
    <s v=""/>
    <s v=""/>
    <s v="42"/>
    <x v="2"/>
    <s v="EU"/>
    <s v="12"/>
    <s v="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636"/>
    <n v="1320713006"/>
    <s v=""/>
    <s v=""/>
    <s v="31"/>
    <x v="7"/>
    <s v="EU"/>
    <s v="02"/>
    <s v="28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146"/>
    <n v="2135900996"/>
    <s v=""/>
    <s v="W"/>
    <s v="1M"/>
    <x v="14"/>
    <s v="MY"/>
    <s v="1"/>
    <s v="16"/>
    <s v="Scales"/>
    <n v="2126660001"/>
    <s v="2 SCALES ACROSS PER FISH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73495"/>
  </r>
  <r>
    <n v="8680254"/>
    <n v="2135900996"/>
    <s v=""/>
    <s v=""/>
    <s v="31"/>
    <x v="7"/>
    <s v="EU"/>
    <s v="02"/>
    <s v="7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53"/>
    <n v="2135900996"/>
    <s v=""/>
    <s v=""/>
    <s v="42"/>
    <x v="2"/>
    <s v="EU"/>
    <s v="12"/>
    <s v="1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152"/>
    <n v="2135900996"/>
    <s v=""/>
    <s v=""/>
    <s v="32"/>
    <x v="11"/>
    <s v="EU"/>
    <s v="11"/>
    <s v="4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7343876"/>
    <n v="505236771"/>
    <s v=""/>
    <s v=""/>
    <s v="42"/>
    <x v="2"/>
    <s v="EU"/>
    <s v="12"/>
    <s v="15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11699865"/>
    <n v="632014233"/>
    <s v=""/>
    <s v=""/>
    <s v="52"/>
    <x v="0"/>
    <s v="EU"/>
    <s v="13"/>
    <s v="4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-1003536763"/>
    <n v="-1000007925"/>
    <s v=""/>
    <s v="RG"/>
    <s v=""/>
    <x v="6"/>
    <s v=""/>
    <s v=""/>
    <s v="15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613"/>
    <n v="-1000007921"/>
    <s v=""/>
    <s v=""/>
    <s v="42"/>
    <x v="2"/>
    <s v="EU"/>
    <s v="12"/>
    <s v="2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789"/>
    <n v="-1000007925"/>
    <s v=""/>
    <s v="NP"/>
    <s v=""/>
    <x v="6"/>
    <s v=""/>
    <s v=""/>
    <s v="2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469"/>
    <n v="-1000007921"/>
    <s v=""/>
    <s v="W"/>
    <s v=""/>
    <x v="6"/>
    <s v=""/>
    <s v=""/>
    <s v="2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29"/>
    <n v="-1000007921"/>
    <s v=""/>
    <s v="NA"/>
    <s v=""/>
    <x v="6"/>
    <s v=""/>
    <s v=""/>
    <s v="1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095"/>
    <n v="2135900996"/>
    <s v=""/>
    <s v=""/>
    <s v="42"/>
    <x v="2"/>
    <s v="EU"/>
    <s v="12"/>
    <s v="2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59"/>
    <n v="-1000007921"/>
    <s v=""/>
    <s v="RG"/>
    <s v=""/>
    <x v="6"/>
    <s v=""/>
    <s v=""/>
    <s v="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473"/>
    <n v="-1000007921"/>
    <s v=""/>
    <s v=""/>
    <s v="42"/>
    <x v="2"/>
    <s v="EU"/>
    <s v="12"/>
    <s v="2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87"/>
    <n v="-1000007921"/>
    <s v=""/>
    <s v=""/>
    <s v="31"/>
    <x v="7"/>
    <s v="EU"/>
    <s v="02"/>
    <s v="1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680567"/>
    <n v="1320713006"/>
    <s v=""/>
    <s v=""/>
    <s v="31"/>
    <x v="7"/>
    <s v="EU"/>
    <s v="02"/>
    <s v="5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-1003536617"/>
    <n v="-1000007921"/>
    <s v=""/>
    <s v=""/>
    <s v="42"/>
    <x v="2"/>
    <s v="EU"/>
    <s v="12"/>
    <s v="2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7343900"/>
    <n v="505236771"/>
    <s v="0"/>
    <s v=""/>
    <s v="42"/>
    <x v="2"/>
    <s v="EU"/>
    <s v="12"/>
    <s v="23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79930"/>
    <n v="2135900996"/>
    <s v=""/>
    <s v=""/>
    <s v="42"/>
    <x v="2"/>
    <s v="EU"/>
    <s v="12"/>
    <s v="6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002"/>
    <n v="2135900996"/>
    <s v=""/>
    <s v=""/>
    <s v="42"/>
    <x v="2"/>
    <s v="EU"/>
    <s v="12"/>
    <s v="9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69"/>
    <n v="2135900996"/>
    <s v=""/>
    <s v=""/>
    <s v="42"/>
    <x v="2"/>
    <s v="EU"/>
    <s v="12"/>
    <s v="8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61"/>
    <n v="2135900996"/>
    <s v=""/>
    <s v=""/>
    <s v="42"/>
    <x v="2"/>
    <s v="EU"/>
    <s v="12"/>
    <s v="4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200"/>
    <n v="2135900996"/>
    <s v=""/>
    <s v=""/>
    <s v="41"/>
    <x v="1"/>
    <s v="EU"/>
    <s v="03"/>
    <s v="5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90"/>
    <n v="2135900996"/>
    <s v=""/>
    <s v=""/>
    <s v="42"/>
    <x v="2"/>
    <s v="EU"/>
    <s v="12"/>
    <s v="8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936"/>
    <n v="2135900996"/>
    <s v=""/>
    <s v=""/>
    <s v="42"/>
    <x v="2"/>
    <s v="EU"/>
    <s v="12"/>
    <s v="7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7343870"/>
    <n v="505236771"/>
    <s v=""/>
    <s v="RG"/>
    <s v="2M"/>
    <x v="3"/>
    <s v="MY"/>
    <s v="2"/>
    <s v="13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-1003536647"/>
    <n v="-1000007921"/>
    <s v=""/>
    <s v=""/>
    <s v="42"/>
    <x v="2"/>
    <s v="EU"/>
    <s v="12"/>
    <s v="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79981"/>
    <n v="2135900996"/>
    <s v=""/>
    <s v=""/>
    <s v="31"/>
    <x v="7"/>
    <s v="EU"/>
    <s v="02"/>
    <s v="8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619"/>
    <n v="-1000007921"/>
    <s v=""/>
    <s v="NA"/>
    <s v=""/>
    <x v="6"/>
    <s v=""/>
    <s v=""/>
    <s v="2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80149"/>
    <n v="2135900996"/>
    <s v=""/>
    <s v=""/>
    <s v="42"/>
    <x v="2"/>
    <s v="EU"/>
    <s v="12"/>
    <s v="4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791"/>
    <n v="-1000007925"/>
    <s v=""/>
    <s v=""/>
    <s v="52"/>
    <x v="0"/>
    <s v="EU"/>
    <s v="13"/>
    <s v="1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8680047"/>
    <n v="2135900996"/>
    <s v=""/>
    <s v=""/>
    <s v="42"/>
    <x v="2"/>
    <s v="EU"/>
    <s v="12"/>
    <s v="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481"/>
    <n v="-1000007921"/>
    <s v=""/>
    <s v=""/>
    <s v="53"/>
    <x v="4"/>
    <s v="EU"/>
    <s v="22"/>
    <s v="1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8680242"/>
    <n v="2135900996"/>
    <s v=""/>
    <s v=""/>
    <s v="32"/>
    <x v="11"/>
    <s v="EU"/>
    <s v="11"/>
    <s v="7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747"/>
    <n v="2135900996"/>
    <s v=""/>
    <s v=""/>
    <s v="42"/>
    <x v="2"/>
    <s v="EU"/>
    <s v="12"/>
    <s v="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34"/>
    <n v="2135900996"/>
    <s v=""/>
    <s v=""/>
    <s v="42"/>
    <x v="2"/>
    <s v="EU"/>
    <s v="12"/>
    <s v="3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37"/>
    <n v="2135900996"/>
    <s v=""/>
    <s v=""/>
    <s v="32"/>
    <x v="11"/>
    <s v="EU"/>
    <s v="11"/>
    <s v="3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95"/>
    <n v="-1000007921"/>
    <s v=""/>
    <s v=""/>
    <s v="53"/>
    <x v="4"/>
    <s v="EU"/>
    <s v="22"/>
    <s v="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679978"/>
    <n v="2135900996"/>
    <s v=""/>
    <s v=""/>
    <s v="31"/>
    <x v="7"/>
    <s v="EU"/>
    <s v="02"/>
    <s v="8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28"/>
    <n v="2135900996"/>
    <s v=""/>
    <s v=""/>
    <s v="42"/>
    <x v="2"/>
    <s v="EU"/>
    <s v="12"/>
    <s v="3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11"/>
    <n v="2135900996"/>
    <s v=""/>
    <s v=""/>
    <s v="42"/>
    <x v="2"/>
    <s v="EU"/>
    <s v="12"/>
    <s v="9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785"/>
    <n v="-1000007925"/>
    <s v=""/>
    <s v=""/>
    <s v="42"/>
    <x v="2"/>
    <s v="EU"/>
    <s v="12"/>
    <s v="4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-1003536511"/>
    <n v="-1000007921"/>
    <s v=""/>
    <s v=""/>
    <s v="52"/>
    <x v="0"/>
    <s v="EU"/>
    <s v="13"/>
    <s v="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7343894"/>
    <n v="505236771"/>
    <s v=""/>
    <s v=""/>
    <s v="42"/>
    <x v="2"/>
    <s v="EU"/>
    <s v="12"/>
    <s v="21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-1003536605"/>
    <n v="-1000007921"/>
    <s v=""/>
    <s v=""/>
    <s v="42"/>
    <x v="2"/>
    <s v="EU"/>
    <s v="12"/>
    <s v="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680416"/>
    <n v="2135900996"/>
    <s v=""/>
    <s v=""/>
    <s v="31"/>
    <x v="7"/>
    <s v="EU"/>
    <s v="02"/>
    <s v="3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621"/>
    <n v="-1000007921"/>
    <s v=""/>
    <s v=""/>
    <s v="53"/>
    <x v="4"/>
    <s v="EU"/>
    <s v="22"/>
    <s v="2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495"/>
    <n v="-1000007921"/>
    <s v=""/>
    <s v=""/>
    <s v="53"/>
    <x v="4"/>
    <s v="EU"/>
    <s v="22"/>
    <s v="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193"/>
    <n v="-1000007907"/>
    <s v=""/>
    <s v=""/>
    <s v="52"/>
    <x v="0"/>
    <s v="EU"/>
    <s v="13"/>
    <s v="2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195"/>
    <n v="-1000007907"/>
    <s v=""/>
    <s v=""/>
    <s v="52"/>
    <x v="0"/>
    <s v="EU"/>
    <s v="13"/>
    <s v="1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8680221"/>
    <n v="2135900996"/>
    <s v=""/>
    <s v=""/>
    <s v="32"/>
    <x v="11"/>
    <s v="EU"/>
    <s v="11"/>
    <s v="6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966"/>
    <n v="2135900996"/>
    <s v=""/>
    <s v=""/>
    <s v="42"/>
    <x v="2"/>
    <s v="EU"/>
    <s v="12"/>
    <s v="8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266"/>
    <n v="2135900996"/>
    <s v=""/>
    <s v=""/>
    <s v="42"/>
    <x v="2"/>
    <s v="EU"/>
    <s v="12"/>
    <s v="8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585"/>
    <n v="1320713006"/>
    <s v=""/>
    <s v=""/>
    <s v="52"/>
    <x v="0"/>
    <s v="EU"/>
    <s v="13"/>
    <s v="11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11699886"/>
    <n v="632014233"/>
    <s v=""/>
    <s v=""/>
    <s v="42"/>
    <x v="2"/>
    <s v="EU"/>
    <s v="12"/>
    <s v="11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8679858"/>
    <n v="2135900996"/>
    <s v=""/>
    <s v=""/>
    <s v="42"/>
    <x v="2"/>
    <s v="EU"/>
    <s v="12"/>
    <s v="4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53"/>
    <n v="2135900996"/>
    <s v=""/>
    <s v=""/>
    <s v="31"/>
    <x v="7"/>
    <s v="EU"/>
    <s v="02"/>
    <s v="1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50"/>
    <n v="2135900996"/>
    <s v=""/>
    <s v=""/>
    <s v="42"/>
    <x v="2"/>
    <s v="EU"/>
    <s v="12"/>
    <s v="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91"/>
    <n v="2135900996"/>
    <s v=""/>
    <s v=""/>
    <s v="42"/>
    <x v="2"/>
    <s v="EU"/>
    <s v="12"/>
    <s v="5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187"/>
    <n v="-1000007907"/>
    <s v=""/>
    <s v=""/>
    <s v="42"/>
    <x v="2"/>
    <s v="EU"/>
    <s v="12"/>
    <s v="5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501"/>
    <n v="-1000007921"/>
    <s v=""/>
    <s v=""/>
    <s v="53"/>
    <x v="4"/>
    <s v="EU"/>
    <s v="22"/>
    <s v="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8680041"/>
    <n v="2135900996"/>
    <s v=""/>
    <s v=""/>
    <s v="31"/>
    <x v="7"/>
    <s v="EU"/>
    <s v="02"/>
    <s v="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641"/>
    <n v="-1000007921"/>
    <s v=""/>
    <s v=""/>
    <s v="42"/>
    <x v="2"/>
    <s v="EU"/>
    <s v="12"/>
    <s v="1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80365"/>
    <n v="2135900996"/>
    <s v=""/>
    <s v=""/>
    <s v="31"/>
    <x v="7"/>
    <s v="EU"/>
    <s v="02"/>
    <s v="1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7343879"/>
    <n v="505236771"/>
    <s v=""/>
    <s v=""/>
    <s v="42"/>
    <x v="2"/>
    <s v="EU"/>
    <s v="12"/>
    <s v="16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67"/>
    <n v="505236771"/>
    <s v=""/>
    <s v=""/>
    <s v="42"/>
    <x v="2"/>
    <s v="EU"/>
    <s v="12"/>
    <s v="12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80245"/>
    <n v="2135900996"/>
    <s v=""/>
    <s v=""/>
    <s v="52"/>
    <x v="0"/>
    <s v="EU"/>
    <s v="13"/>
    <s v="7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71"/>
    <n v="2135900996"/>
    <s v=""/>
    <s v=""/>
    <s v="42"/>
    <x v="2"/>
    <s v="EU"/>
    <s v="12"/>
    <s v="1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60"/>
    <n v="2135900996"/>
    <s v=""/>
    <s v=""/>
    <s v="42"/>
    <x v="2"/>
    <s v="EU"/>
    <s v="12"/>
    <s v="7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05"/>
    <n v="2135900996"/>
    <s v=""/>
    <s v=""/>
    <s v="42"/>
    <x v="2"/>
    <s v="EU"/>
    <s v="12"/>
    <s v="9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317"/>
    <n v="2135900996"/>
    <s v=""/>
    <s v=""/>
    <s v="42"/>
    <x v="2"/>
    <s v="EU"/>
    <s v="12"/>
    <s v="9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79873"/>
    <n v="2135900996"/>
    <s v=""/>
    <s v=""/>
    <s v="42"/>
    <x v="2"/>
    <s v="EU"/>
    <s v="12"/>
    <s v="5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01"/>
    <n v="2135900996"/>
    <s v=""/>
    <s v=""/>
    <s v="52"/>
    <x v="0"/>
    <s v="EU"/>
    <s v="13"/>
    <s v="2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768"/>
    <n v="2135900996"/>
    <s v=""/>
    <s v=""/>
    <s v="42"/>
    <x v="2"/>
    <s v="EU"/>
    <s v="12"/>
    <s v="1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54"/>
    <n v="2135900996"/>
    <s v=""/>
    <s v=""/>
    <s v="31"/>
    <x v="7"/>
    <s v="EU"/>
    <s v="02"/>
    <s v="7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465"/>
    <n v="-1000007921"/>
    <s v=""/>
    <s v=""/>
    <s v="42"/>
    <x v="2"/>
    <s v="EU"/>
    <s v="12"/>
    <s v="2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493"/>
    <n v="-1000007921"/>
    <s v=""/>
    <s v=""/>
    <s v="42"/>
    <x v="2"/>
    <s v="EU"/>
    <s v="12"/>
    <s v="1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81"/>
    <n v="-1000007921"/>
    <s v=""/>
    <s v="W"/>
    <s v=""/>
    <x v="6"/>
    <s v=""/>
    <s v=""/>
    <s v="1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85"/>
    <n v="-1000007921"/>
    <s v=""/>
    <s v=""/>
    <s v="31"/>
    <x v="7"/>
    <s v="EU"/>
    <s v="02"/>
    <s v="1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679729"/>
    <n v="2135900996"/>
    <s v=""/>
    <s v=""/>
    <s v="42"/>
    <x v="2"/>
    <s v="EU"/>
    <s v="12"/>
    <s v="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603"/>
    <n v="1320713006"/>
    <s v=""/>
    <s v=""/>
    <s v="42"/>
    <x v="2"/>
    <s v="EU"/>
    <s v="12"/>
    <s v="17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909"/>
    <n v="2135900996"/>
    <s v=""/>
    <s v=""/>
    <s v="42"/>
    <x v="2"/>
    <s v="EU"/>
    <s v="12"/>
    <s v="6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655"/>
    <n v="-1000007921"/>
    <s v=""/>
    <s v=""/>
    <s v="31"/>
    <x v="7"/>
    <s v="EU"/>
    <s v="02"/>
    <s v="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8679852"/>
    <n v="2135900996"/>
    <s v=""/>
    <s v=""/>
    <s v="42"/>
    <x v="2"/>
    <s v="EU"/>
    <s v="12"/>
    <s v="4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-1003536445"/>
    <n v="-1000007917"/>
    <s v=""/>
    <s v=""/>
    <s v="42"/>
    <x v="2"/>
    <s v="EU"/>
    <s v="12"/>
    <s v="2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8679789"/>
    <n v="2135900996"/>
    <s v=""/>
    <s v=""/>
    <s v="42"/>
    <x v="2"/>
    <s v="EU"/>
    <s v="12"/>
    <s v="2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104"/>
    <n v="2135900996"/>
    <s v=""/>
    <s v=""/>
    <s v="41"/>
    <x v="1"/>
    <s v="EU"/>
    <s v="03"/>
    <s v="2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18"/>
    <n v="2135900996"/>
    <s v=""/>
    <s v=""/>
    <s v="42"/>
    <x v="2"/>
    <s v="EU"/>
    <s v="12"/>
    <s v="6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296"/>
    <n v="2135900996"/>
    <s v=""/>
    <s v=""/>
    <s v="42"/>
    <x v="2"/>
    <s v="EU"/>
    <s v="12"/>
    <s v="9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491"/>
    <n v="-1000007921"/>
    <s v=""/>
    <s v="RG"/>
    <s v=""/>
    <x v="6"/>
    <s v=""/>
    <s v=""/>
    <s v="1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45"/>
    <n v="-1000007921"/>
    <s v=""/>
    <s v="RG"/>
    <s v=""/>
    <x v="6"/>
    <s v=""/>
    <s v=""/>
    <s v="9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089"/>
    <n v="2135900996"/>
    <s v=""/>
    <s v=""/>
    <s v="42"/>
    <x v="2"/>
    <s v="EU"/>
    <s v="12"/>
    <s v="22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55"/>
    <n v="-1000007921"/>
    <s v=""/>
    <s v=""/>
    <s v="42"/>
    <x v="2"/>
    <s v="EU"/>
    <s v="12"/>
    <s v="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3536631"/>
    <n v="-1000007921"/>
    <s v=""/>
    <s v=""/>
    <s v="42"/>
    <x v="2"/>
    <s v="EU"/>
    <s v="12"/>
    <s v="1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7343861"/>
    <n v="505236771"/>
    <s v=""/>
    <s v=""/>
    <s v="42"/>
    <x v="2"/>
    <s v="EU"/>
    <s v="12"/>
    <s v="10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7343855"/>
    <n v="505236771"/>
    <s v=""/>
    <s v=""/>
    <s v="42"/>
    <x v="2"/>
    <s v="EU"/>
    <s v="12"/>
    <s v="8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-1003536185"/>
    <n v="-1000007907"/>
    <s v=""/>
    <s v=""/>
    <s v="52"/>
    <x v="0"/>
    <s v="EU"/>
    <s v="13"/>
    <s v="6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181"/>
    <n v="-1000007907"/>
    <s v=""/>
    <s v=""/>
    <s v="42"/>
    <x v="2"/>
    <s v="EU"/>
    <s v="12"/>
    <s v="8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485"/>
    <n v="-1000007921"/>
    <s v=""/>
    <s v=""/>
    <s v="32"/>
    <x v="11"/>
    <s v="EU"/>
    <s v="11"/>
    <s v="14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4683353"/>
    <n v="-1000016979"/>
    <s v=""/>
    <s v=""/>
    <s v="3M"/>
    <x v="5"/>
    <s v="MY"/>
    <s v="3"/>
    <s v="5"/>
    <s v="Scales"/>
    <n v="2126660001"/>
    <s v="2 SCALES ACROSS PER FISH"/>
    <n v="-1000000910"/>
    <s v="BELLA COOLA COMMERCIAL SAMPLING PROGRAM-1993"/>
    <n v="3347"/>
    <s v="435"/>
    <x v="26"/>
    <s v="873"/>
    <n v="1"/>
    <s v="SOCKEYE SALMON"/>
    <n v="2086090003"/>
    <x v="2"/>
    <n v="10"/>
    <s v="Salmon Gillnet, Commercial"/>
    <s v="Adult"/>
    <d v="1993-07-13T00:00:00"/>
    <d v="1993-07-13T00:00:00"/>
    <s v="1993310587362862"/>
  </r>
  <r>
    <n v="-1003536571"/>
    <n v="-1000007921"/>
    <s v=""/>
    <s v=""/>
    <s v="42"/>
    <x v="2"/>
    <s v="EU"/>
    <s v="12"/>
    <s v="2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-1003536521"/>
    <n v="-1000007921"/>
    <s v=""/>
    <s v=""/>
    <s v="42"/>
    <x v="2"/>
    <s v="EU"/>
    <s v="12"/>
    <s v="21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056"/>
    <n v="2135900996"/>
    <s v=""/>
    <s v=""/>
    <s v="42"/>
    <x v="2"/>
    <s v="EU"/>
    <s v="12"/>
    <s v="1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57"/>
    <n v="-1000007921"/>
    <s v=""/>
    <s v=""/>
    <s v="42"/>
    <x v="2"/>
    <s v="EU"/>
    <s v="12"/>
    <s v="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79783"/>
    <n v="2135900996"/>
    <s v=""/>
    <s v=""/>
    <s v="42"/>
    <x v="2"/>
    <s v="EU"/>
    <s v="12"/>
    <s v="2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7343846"/>
    <n v="505236771"/>
    <s v=""/>
    <s v=""/>
    <s v="42"/>
    <x v="2"/>
    <s v="EU"/>
    <s v="12"/>
    <s v="5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8680588"/>
    <n v="1320713006"/>
    <s v=""/>
    <s v=""/>
    <s v="31"/>
    <x v="7"/>
    <s v="EU"/>
    <s v="02"/>
    <s v="12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80098"/>
    <n v="2135900996"/>
    <s v=""/>
    <s v=""/>
    <s v="42"/>
    <x v="2"/>
    <s v="EU"/>
    <s v="12"/>
    <s v="2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606"/>
    <n v="1320713006"/>
    <s v=""/>
    <s v=""/>
    <s v="31"/>
    <x v="7"/>
    <s v="EU"/>
    <s v="02"/>
    <s v="18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855"/>
    <n v="2135900996"/>
    <s v=""/>
    <s v=""/>
    <s v="42"/>
    <x v="2"/>
    <s v="EU"/>
    <s v="12"/>
    <s v="4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212"/>
    <n v="2135900996"/>
    <s v=""/>
    <s v=""/>
    <s v="42"/>
    <x v="2"/>
    <s v="EU"/>
    <s v="12"/>
    <s v="6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637"/>
    <n v="-1000007921"/>
    <s v=""/>
    <s v=""/>
    <s v="42"/>
    <x v="2"/>
    <s v="EU"/>
    <s v="12"/>
    <s v="13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-1003536503"/>
    <n v="-1000007921"/>
    <s v=""/>
    <s v="NP"/>
    <s v=""/>
    <x v="6"/>
    <s v=""/>
    <s v=""/>
    <s v="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531"/>
    <n v="-1000007921"/>
    <s v=""/>
    <s v=""/>
    <s v="42"/>
    <x v="2"/>
    <s v="EU"/>
    <s v="12"/>
    <s v="1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-1004683153"/>
    <n v="-1000016973"/>
    <s v=""/>
    <s v=""/>
    <s v="42"/>
    <x v="2"/>
    <s v="EU"/>
    <s v="12"/>
    <s v="5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-1004683145"/>
    <n v="-1000016973"/>
    <s v=""/>
    <s v=""/>
    <s v="42"/>
    <x v="2"/>
    <s v="EU"/>
    <s v="12"/>
    <s v="9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-1004683155"/>
    <n v="-1000016973"/>
    <s v=""/>
    <s v=""/>
    <s v="41"/>
    <x v="1"/>
    <s v="EU"/>
    <s v="03"/>
    <s v="4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-1004683159"/>
    <n v="-1000016973"/>
    <s v=""/>
    <s v="NS"/>
    <s v=""/>
    <x v="6"/>
    <s v=""/>
    <s v=""/>
    <s v="2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-1004683161"/>
    <n v="-1000016973"/>
    <s v=""/>
    <s v="NS"/>
    <s v=""/>
    <x v="6"/>
    <s v=""/>
    <s v=""/>
    <s v="1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-1005515163"/>
    <n v="-1000023139"/>
    <s v=""/>
    <s v=""/>
    <s v="31"/>
    <x v="7"/>
    <s v="EU"/>
    <s v="02"/>
    <s v="10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-1005515165"/>
    <n v="-1000023139"/>
    <s v=""/>
    <s v=""/>
    <s v="42"/>
    <x v="2"/>
    <s v="EU"/>
    <s v="12"/>
    <s v="9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-1005515171"/>
    <n v="-1000023139"/>
    <s v=""/>
    <s v=""/>
    <s v="42"/>
    <x v="2"/>
    <s v="EU"/>
    <s v="12"/>
    <s v="6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-1005515175"/>
    <n v="-1000023139"/>
    <s v=""/>
    <s v=""/>
    <s v="42"/>
    <x v="2"/>
    <s v="EU"/>
    <s v="12"/>
    <s v="4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-1005773313"/>
    <n v="-1000024921"/>
    <s v=""/>
    <s v=""/>
    <s v="31"/>
    <x v="7"/>
    <s v="EU"/>
    <s v="02"/>
    <s v="9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-1005773315"/>
    <n v="-1000024921"/>
    <s v=""/>
    <s v=""/>
    <s v="31"/>
    <x v="7"/>
    <s v="EU"/>
    <s v="02"/>
    <s v="8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-1005773333"/>
    <n v="-1000024921"/>
    <s v=""/>
    <s v=""/>
    <s v="52"/>
    <x v="0"/>
    <s v="EU"/>
    <s v="13"/>
    <s v="9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-1005773335"/>
    <n v="-1000024921"/>
    <s v=""/>
    <s v=""/>
    <s v="42"/>
    <x v="2"/>
    <s v="EU"/>
    <s v="12"/>
    <s v="8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-1005773337"/>
    <n v="-1000024921"/>
    <s v=""/>
    <s v=""/>
    <s v="42"/>
    <x v="2"/>
    <s v="EU"/>
    <s v="12"/>
    <s v="7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-1005773339"/>
    <n v="-1000024921"/>
    <s v=""/>
    <s v=""/>
    <s v="52"/>
    <x v="0"/>
    <s v="EU"/>
    <s v="13"/>
    <s v="6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-1003536579"/>
    <n v="-1000007921"/>
    <s v=""/>
    <s v=""/>
    <s v="42"/>
    <x v="2"/>
    <s v="EU"/>
    <s v="12"/>
    <s v="17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2"/>
  </r>
  <r>
    <n v="8680092"/>
    <n v="2135900996"/>
    <s v=""/>
    <s v=""/>
    <s v="42"/>
    <x v="2"/>
    <s v="EU"/>
    <s v="12"/>
    <s v="2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523"/>
    <n v="-1000007921"/>
    <s v=""/>
    <s v=""/>
    <s v="42"/>
    <x v="2"/>
    <s v="EU"/>
    <s v="12"/>
    <s v="20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7343906"/>
    <n v="505236771"/>
    <s v=""/>
    <s v=""/>
    <s v="42"/>
    <x v="2"/>
    <s v="EU"/>
    <s v="12"/>
    <s v="25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n v="-1003536179"/>
    <n v="-1000007907"/>
    <s v=""/>
    <s v=""/>
    <s v="42"/>
    <x v="2"/>
    <s v="EU"/>
    <s v="12"/>
    <s v="9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8680173"/>
    <n v="2135900996"/>
    <s v=""/>
    <s v=""/>
    <s v="42"/>
    <x v="2"/>
    <s v="EU"/>
    <s v="12"/>
    <s v="5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630"/>
    <n v="1320713006"/>
    <s v=""/>
    <s v=""/>
    <s v="31"/>
    <x v="7"/>
    <s v="EU"/>
    <s v="02"/>
    <s v="26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975"/>
    <n v="2135900996"/>
    <s v=""/>
    <s v=""/>
    <s v="41"/>
    <x v="1"/>
    <s v="EU"/>
    <s v="03"/>
    <s v="8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27"/>
    <n v="2135900996"/>
    <s v=""/>
    <s v=""/>
    <s v="42"/>
    <x v="2"/>
    <s v="EU"/>
    <s v="12"/>
    <s v="68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16"/>
    <n v="2135900996"/>
    <s v=""/>
    <s v=""/>
    <s v="42"/>
    <x v="2"/>
    <s v="EU"/>
    <s v="12"/>
    <s v="31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82"/>
    <n v="2135900996"/>
    <s v=""/>
    <s v=""/>
    <s v="42"/>
    <x v="2"/>
    <s v="EU"/>
    <s v="12"/>
    <s v="5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410"/>
    <n v="2135900996"/>
    <s v=""/>
    <s v=""/>
    <s v="42"/>
    <x v="2"/>
    <s v="EU"/>
    <s v="12"/>
    <s v="2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8680263"/>
    <n v="2135900996"/>
    <s v=""/>
    <s v=""/>
    <s v="42"/>
    <x v="2"/>
    <s v="EU"/>
    <s v="12"/>
    <s v="80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558"/>
    <n v="1320713006"/>
    <s v=""/>
    <s v=""/>
    <s v="42"/>
    <x v="2"/>
    <s v="EU"/>
    <s v="12"/>
    <s v="2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804"/>
    <n v="2135900996"/>
    <s v=""/>
    <s v=""/>
    <s v="32"/>
    <x v="11"/>
    <s v="EU"/>
    <s v="11"/>
    <s v="27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990"/>
    <n v="2135900996"/>
    <s v=""/>
    <s v=""/>
    <s v="42"/>
    <x v="2"/>
    <s v="EU"/>
    <s v="12"/>
    <s v="89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79828"/>
    <n v="2135900996"/>
    <s v=""/>
    <s v=""/>
    <s v="31"/>
    <x v="7"/>
    <s v="EU"/>
    <s v="02"/>
    <s v="3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8680338"/>
    <n v="2135900996"/>
    <s v=""/>
    <s v=""/>
    <s v="42"/>
    <x v="2"/>
    <s v="EU"/>
    <s v="12"/>
    <s v="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435"/>
    <n v="-1000007917"/>
    <s v=""/>
    <s v="W"/>
    <s v=""/>
    <x v="6"/>
    <s v=""/>
    <s v=""/>
    <s v="7"/>
    <s v="Scales"/>
    <n v="2126660001"/>
    <s v="2 SCALES ACROSS PER FISH"/>
    <n v="-1000000901"/>
    <s v="BELLA COOLA COMMERCIAL SAMPLING PROGRAM-1989"/>
    <n v="3317"/>
    <s v="123"/>
    <x v="17"/>
    <s v="1678"/>
    <n v="1"/>
    <s v="SOCKEYE SALMON"/>
    <n v="2086090003"/>
    <x v="2"/>
    <n v="10"/>
    <s v="Salmon Gillnet, Commercial"/>
    <s v="Adult"/>
    <d v="1989-07-23T00:00:00"/>
    <d v="1989-07-23T00:00:00"/>
    <s v="19893105167848074"/>
  </r>
  <r>
    <n v="-1003536463"/>
    <n v="-1000007921"/>
    <s v=""/>
    <s v=""/>
    <s v="42"/>
    <x v="2"/>
    <s v="EU"/>
    <s v="12"/>
    <s v="25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-1003536639"/>
    <n v="-1000007921"/>
    <s v=""/>
    <s v=""/>
    <s v="42"/>
    <x v="2"/>
    <s v="EU"/>
    <s v="12"/>
    <s v="12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43"/>
  </r>
  <r>
    <n v="7343912"/>
    <n v="505236771"/>
    <s v="0"/>
    <s v=""/>
    <s v="42"/>
    <x v="2"/>
    <s v="EU"/>
    <s v="12"/>
    <s v="2"/>
    <s v="Scales"/>
    <n v="2126660001"/>
    <s v="2 SCALES ACROSS PER FISH"/>
    <n v="6968376"/>
    <s v="BELLA COOLA FN (IN RIVER NET) - 2012"/>
    <n v="968"/>
    <s v="BELLA COOLA RIVER"/>
    <x v="6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n v="8680395"/>
    <n v="2135900996"/>
    <s v=""/>
    <s v=""/>
    <s v="32"/>
    <x v="11"/>
    <s v="EU"/>
    <s v="11"/>
    <s v="24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551"/>
    <n v="-1000007921"/>
    <s v=""/>
    <s v="RG"/>
    <s v=""/>
    <x v="6"/>
    <s v=""/>
    <s v=""/>
    <s v="6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9"/>
  </r>
  <r>
    <n v="8680579"/>
    <n v="1320713006"/>
    <s v=""/>
    <s v=""/>
    <s v="31"/>
    <x v="7"/>
    <s v="EU"/>
    <s v="02"/>
    <s v="9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8679951"/>
    <n v="2135900996"/>
    <s v=""/>
    <s v=""/>
    <s v="41"/>
    <x v="1"/>
    <s v="EU"/>
    <s v="03"/>
    <s v="76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1"/>
  </r>
  <r>
    <n v="11699880"/>
    <n v="632014233"/>
    <s v=""/>
    <s v=""/>
    <s v="42"/>
    <x v="2"/>
    <s v="EU"/>
    <s v="12"/>
    <s v="9"/>
    <s v="Scales"/>
    <n v="2126660001"/>
    <s v="2 SCALES ACROSS PER FISH"/>
    <n v="11378940"/>
    <s v="BELLA COOLA FN (IN RIVER NET) - 2020"/>
    <n v="968"/>
    <s v="BELLA COOLA RIVER"/>
    <x v="22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n v="8680392"/>
    <n v="2135900996"/>
    <s v=""/>
    <s v=""/>
    <s v="31"/>
    <x v="7"/>
    <s v="EU"/>
    <s v="02"/>
    <s v="2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3"/>
  </r>
  <r>
    <n v="-1003536497"/>
    <n v="-1000007921"/>
    <s v=""/>
    <s v=""/>
    <s v="42"/>
    <x v="2"/>
    <s v="EU"/>
    <s v="12"/>
    <s v="8"/>
    <s v="Scales"/>
    <n v="2126660001"/>
    <s v="2 SCALES ACROSS PER FISH"/>
    <n v="-1000000901"/>
    <s v="BELLA COOLA COMMERCIAL SAMPLING PROGRAM-1989"/>
    <n v="3109"/>
    <s v="8"/>
    <x v="17"/>
    <s v="1680"/>
    <n v="1"/>
    <s v="SOCKEYE SALMON"/>
    <n v="2086090003"/>
    <x v="2"/>
    <n v="10"/>
    <s v="Salmon Gillnet, Commercial"/>
    <s v="Adult"/>
    <d v="1989-07-27T00:00:00"/>
    <d v="1989-07-27T00:00:00"/>
    <s v="19893105168047336"/>
  </r>
  <r>
    <n v="8680278"/>
    <n v="2135900996"/>
    <s v=""/>
    <s v=""/>
    <s v="31"/>
    <x v="7"/>
    <s v="EU"/>
    <s v="02"/>
    <s v="85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8680032"/>
    <n v="2135900996"/>
    <s v=""/>
    <s v=""/>
    <s v="42"/>
    <x v="2"/>
    <s v="EU"/>
    <s v="12"/>
    <s v="3"/>
    <s v="Otolith - Surface"/>
    <n v="2126660002"/>
    <s v="1 OTOLITH ACROSS (TRAY)"/>
    <n v="8134017"/>
    <s v="ATNARKO ESCAPEMENT - 2014"/>
    <n v="23701"/>
    <s v="S ATNARKO ABOVE LONESOME"/>
    <x v="25"/>
    <s v="2014/0422"/>
    <n v="1"/>
    <s v="SOCKEYE SALMON"/>
    <n v="2086090012"/>
    <x v="1"/>
    <n v="83"/>
    <s v="Gaff (Deadpitch)"/>
    <s v="Adult"/>
    <d v="2014-09-29T00:00:00"/>
    <d v="2014-09-29T00:00:00"/>
    <s v="Oto Tray #2"/>
  </r>
  <r>
    <n v="-1003536177"/>
    <n v="-1000007907"/>
    <s v=""/>
    <s v=""/>
    <s v="31"/>
    <x v="7"/>
    <s v="EU"/>
    <s v="02"/>
    <s v="10"/>
    <s v="Scales"/>
    <n v="2126660001"/>
    <s v="2 SCALES ACROSS PER FISH"/>
    <n v="-1000000901"/>
    <s v="BELLA COOLA COMMERCIAL SAMPLING PROGRAM-1989"/>
    <n v="3317"/>
    <s v="123"/>
    <x v="17"/>
    <s v="1673"/>
    <n v="1"/>
    <s v="SOCKEYE SALMON"/>
    <n v="2086090003"/>
    <x v="2"/>
    <n v="10"/>
    <s v="Salmon Gillnet, Commercial"/>
    <s v="Adult"/>
    <s v=""/>
    <s v=""/>
    <s v="19893105167348071"/>
  </r>
  <r>
    <n v="-1003536771"/>
    <n v="-1000007925"/>
    <s v=""/>
    <s v=""/>
    <s v="52"/>
    <x v="0"/>
    <s v="EU"/>
    <s v="13"/>
    <s v="11"/>
    <s v="Scales"/>
    <n v="2126660001"/>
    <s v="2 SCALES ACROSS PER FISH"/>
    <n v="-1000000901"/>
    <s v="BELLA COOLA COMMERCIAL SAMPLING PROGRAM-1989"/>
    <n v="3317"/>
    <s v="123"/>
    <x v="17"/>
    <s v="1682"/>
    <n v="1"/>
    <s v="SOCKEYE SALMON"/>
    <n v="2086090003"/>
    <x v="2"/>
    <n v="10"/>
    <s v="Salmon Gillnet, Commercial"/>
    <s v="Adult"/>
    <d v="1989-08-04T00:00:00"/>
    <d v="1989-08-04T00:00:00"/>
    <s v="19893105168247258"/>
  </r>
  <r>
    <n v="9868503"/>
    <n v="1585028383"/>
    <s v=""/>
    <s v=""/>
    <s v="52"/>
    <x v="0"/>
    <s v="EU"/>
    <s v="13"/>
    <s v="5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8680621"/>
    <n v="1320713006"/>
    <s v=""/>
    <s v="MF"/>
    <s v=""/>
    <x v="6"/>
    <s v="EU"/>
    <s v=""/>
    <s v="23"/>
    <s v="Scales"/>
    <n v="2126660001"/>
    <s v="1 OTOLITH ACROSS (TRAY)"/>
    <n v="8134017"/>
    <s v="ATNARKO ESCAPEMENT - 2014"/>
    <n v="970"/>
    <s v="ATNARKO RIVER"/>
    <x v="25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n v="9868521"/>
    <n v="1585028383"/>
    <s v=""/>
    <s v=""/>
    <s v="42"/>
    <x v="2"/>
    <s v="EU"/>
    <s v="12"/>
    <s v="6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18"/>
    <n v="1585028383"/>
    <s v=""/>
    <s v=""/>
    <s v="52"/>
    <x v="0"/>
    <s v="EU"/>
    <s v="13"/>
    <s v="6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24"/>
    <n v="1585028383"/>
    <s v=""/>
    <s v=""/>
    <s v="41"/>
    <x v="1"/>
    <s v="EU"/>
    <s v="03"/>
    <s v="6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27"/>
    <n v="1585028383"/>
    <s v=""/>
    <s v=""/>
    <s v="52"/>
    <x v="0"/>
    <s v="EU"/>
    <s v="13"/>
    <s v="6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42"/>
    <n v="1585028383"/>
    <s v=""/>
    <s v=""/>
    <s v="42"/>
    <x v="2"/>
    <s v="EU"/>
    <s v="12"/>
    <s v="7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45"/>
    <n v="1585028383"/>
    <s v=""/>
    <s v=""/>
    <s v="42"/>
    <x v="2"/>
    <s v="EU"/>
    <s v="12"/>
    <s v="7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57"/>
    <n v="1585028383"/>
    <s v=""/>
    <s v=""/>
    <s v="52"/>
    <x v="0"/>
    <s v="EU"/>
    <s v="13"/>
    <s v="8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78"/>
    <n v="1585028383"/>
    <s v=""/>
    <s v=""/>
    <s v="42"/>
    <x v="2"/>
    <s v="EU"/>
    <s v="12"/>
    <s v="8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81"/>
    <n v="1585028383"/>
    <s v=""/>
    <s v=""/>
    <s v="42"/>
    <x v="2"/>
    <s v="EU"/>
    <s v="12"/>
    <s v="8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93"/>
    <n v="1585028383"/>
    <s v=""/>
    <s v=""/>
    <s v="42"/>
    <x v="2"/>
    <s v="EU"/>
    <s v="12"/>
    <s v="8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875"/>
    <n v="1585028383"/>
    <s v=""/>
    <s v=""/>
    <s v="42"/>
    <x v="2"/>
    <s v="EU"/>
    <s v="12"/>
    <s v="8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78"/>
    <n v="1585028383"/>
    <s v=""/>
    <s v=""/>
    <s v="42"/>
    <x v="2"/>
    <s v="EU"/>
    <s v="12"/>
    <s v="8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87"/>
    <n v="1585028383"/>
    <s v=""/>
    <s v=""/>
    <s v="42"/>
    <x v="2"/>
    <s v="EU"/>
    <s v="12"/>
    <s v="8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90"/>
    <n v="1585028383"/>
    <s v=""/>
    <s v=""/>
    <s v="42"/>
    <x v="2"/>
    <s v="EU"/>
    <s v="12"/>
    <s v="9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02"/>
    <n v="1585028383"/>
    <s v=""/>
    <s v=""/>
    <s v="52"/>
    <x v="0"/>
    <s v="EU"/>
    <s v="13"/>
    <s v="9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05"/>
    <n v="1585028383"/>
    <s v=""/>
    <s v=""/>
    <s v="42"/>
    <x v="2"/>
    <s v="EU"/>
    <s v="12"/>
    <s v="9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11"/>
    <n v="1585028383"/>
    <s v=""/>
    <s v=""/>
    <s v="52"/>
    <x v="0"/>
    <s v="EU"/>
    <s v="13"/>
    <s v="9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17"/>
    <n v="1585028383"/>
    <s v=""/>
    <s v=""/>
    <s v="42"/>
    <x v="2"/>
    <s v="EU"/>
    <s v="12"/>
    <s v="9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26"/>
    <n v="1585028383"/>
    <s v=""/>
    <s v=""/>
    <s v="42"/>
    <x v="2"/>
    <s v="EU"/>
    <s v="12"/>
    <s v="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56"/>
    <n v="1585028383"/>
    <s v=""/>
    <s v=""/>
    <s v="42"/>
    <x v="2"/>
    <s v="EU"/>
    <s v="12"/>
    <s v="1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57"/>
    <n v="1585028383"/>
    <s v=""/>
    <s v=""/>
    <s v="42"/>
    <x v="2"/>
    <s v="EU"/>
    <s v="12"/>
    <s v="7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54"/>
    <n v="1585028383"/>
    <s v=""/>
    <s v=""/>
    <s v="42"/>
    <x v="2"/>
    <s v="EU"/>
    <s v="12"/>
    <s v="7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60"/>
    <n v="1585028383"/>
    <s v=""/>
    <s v=""/>
    <s v="42"/>
    <x v="2"/>
    <s v="EU"/>
    <s v="12"/>
    <s v="8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72"/>
    <n v="1585028383"/>
    <s v=""/>
    <s v=""/>
    <s v="42"/>
    <x v="2"/>
    <s v="EU"/>
    <s v="12"/>
    <s v="8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75"/>
    <n v="1585028383"/>
    <s v=""/>
    <s v=""/>
    <s v="52"/>
    <x v="0"/>
    <s v="EU"/>
    <s v="13"/>
    <s v="8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64"/>
    <n v="1585028383"/>
    <s v=""/>
    <s v=""/>
    <s v="42"/>
    <x v="2"/>
    <s v="EU"/>
    <s v="12"/>
    <s v="4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76"/>
    <n v="1585028383"/>
    <s v=""/>
    <s v=""/>
    <s v="42"/>
    <x v="2"/>
    <s v="EU"/>
    <s v="12"/>
    <s v="5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85"/>
    <n v="1585028383"/>
    <s v=""/>
    <s v=""/>
    <s v="53"/>
    <x v="4"/>
    <s v="EU"/>
    <s v="22"/>
    <s v="5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12"/>
    <n v="1585028383"/>
    <s v=""/>
    <s v=""/>
    <s v="42"/>
    <x v="2"/>
    <s v="EU"/>
    <s v="12"/>
    <s v="6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27"/>
    <n v="1585028383"/>
    <s v=""/>
    <s v=""/>
    <s v="42"/>
    <x v="2"/>
    <s v="EU"/>
    <s v="12"/>
    <s v="6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94"/>
    <n v="1585028383"/>
    <s v=""/>
    <s v=""/>
    <s v="42"/>
    <x v="2"/>
    <s v="EU"/>
    <s v="12"/>
    <s v="5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85"/>
    <n v="1585028383"/>
    <s v=""/>
    <s v=""/>
    <s v="42"/>
    <x v="2"/>
    <s v="EU"/>
    <s v="12"/>
    <s v="5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03"/>
    <n v="1585028383"/>
    <s v=""/>
    <s v=""/>
    <s v="42"/>
    <x v="2"/>
    <s v="EU"/>
    <s v="12"/>
    <s v="6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06"/>
    <n v="1585028383"/>
    <s v=""/>
    <s v=""/>
    <s v="42"/>
    <x v="2"/>
    <s v="EU"/>
    <s v="12"/>
    <s v="6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09"/>
    <n v="1585028383"/>
    <s v=""/>
    <s v=""/>
    <s v="42"/>
    <x v="2"/>
    <s v="EU"/>
    <s v="12"/>
    <s v="6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12"/>
    <n v="1585028383"/>
    <s v=""/>
    <s v=""/>
    <s v="42"/>
    <x v="2"/>
    <s v="EU"/>
    <s v="12"/>
    <s v="6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21"/>
    <n v="1585028383"/>
    <s v=""/>
    <s v=""/>
    <s v="42"/>
    <x v="2"/>
    <s v="EU"/>
    <s v="12"/>
    <s v="6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30"/>
    <n v="1585028383"/>
    <s v=""/>
    <s v=""/>
    <s v="41"/>
    <x v="1"/>
    <s v="EU"/>
    <s v="03"/>
    <s v="7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48"/>
    <n v="1585028383"/>
    <s v=""/>
    <s v=""/>
    <s v="42"/>
    <x v="2"/>
    <s v="EU"/>
    <s v="12"/>
    <s v="7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51"/>
    <n v="1585028383"/>
    <s v=""/>
    <s v=""/>
    <s v="42"/>
    <x v="2"/>
    <s v="EU"/>
    <s v="12"/>
    <s v="7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54"/>
    <n v="1585028383"/>
    <s v=""/>
    <s v=""/>
    <s v="52"/>
    <x v="0"/>
    <s v="EU"/>
    <s v="13"/>
    <s v="7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60"/>
    <n v="1585028383"/>
    <s v=""/>
    <s v=""/>
    <s v="42"/>
    <x v="2"/>
    <s v="EU"/>
    <s v="12"/>
    <s v="8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63"/>
    <n v="1585028383"/>
    <s v=""/>
    <s v=""/>
    <s v="42"/>
    <x v="2"/>
    <s v="EU"/>
    <s v="12"/>
    <s v="8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9181"/>
    <n v="1585028383"/>
    <s v=""/>
    <s v=""/>
    <s v="42"/>
    <x v="2"/>
    <s v="EU"/>
    <s v="12"/>
    <s v="8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84"/>
    <n v="1585028383"/>
    <s v=""/>
    <s v=""/>
    <s v="42"/>
    <x v="2"/>
    <s v="EU"/>
    <s v="12"/>
    <s v="8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90"/>
    <n v="1585028383"/>
    <s v=""/>
    <s v=""/>
    <s v="42"/>
    <x v="2"/>
    <s v="EU"/>
    <s v="12"/>
    <s v="9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217"/>
    <n v="1585028383"/>
    <s v=""/>
    <s v=""/>
    <s v="42"/>
    <x v="2"/>
    <s v="EU"/>
    <s v="12"/>
    <s v="9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30"/>
    <n v="1585028383"/>
    <s v=""/>
    <s v=""/>
    <s v="42"/>
    <x v="2"/>
    <s v="EU"/>
    <s v="12"/>
    <s v="7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36"/>
    <n v="1585028383"/>
    <s v=""/>
    <s v=""/>
    <s v="42"/>
    <x v="2"/>
    <s v="EU"/>
    <s v="12"/>
    <s v="7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39"/>
    <n v="1585028383"/>
    <s v=""/>
    <s v=""/>
    <s v="42"/>
    <x v="2"/>
    <s v="EU"/>
    <s v="12"/>
    <s v="7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620"/>
    <n v="1585028383"/>
    <s v=""/>
    <s v=""/>
    <s v="42"/>
    <x v="2"/>
    <s v="EU"/>
    <s v="12"/>
    <s v="9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605"/>
    <n v="1585028383"/>
    <s v=""/>
    <s v=""/>
    <s v="42"/>
    <x v="2"/>
    <s v="EU"/>
    <s v="12"/>
    <s v="9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626"/>
    <n v="1585028383"/>
    <s v=""/>
    <s v=""/>
    <s v="42"/>
    <x v="2"/>
    <s v="EU"/>
    <s v="12"/>
    <s v="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29"/>
    <n v="1585028383"/>
    <s v=""/>
    <s v=""/>
    <s v="42"/>
    <x v="2"/>
    <s v="EU"/>
    <s v="12"/>
    <s v="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35"/>
    <n v="1585028383"/>
    <s v=""/>
    <s v=""/>
    <s v="52"/>
    <x v="0"/>
    <s v="EU"/>
    <s v="13"/>
    <s v="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59"/>
    <n v="1585028383"/>
    <s v=""/>
    <s v=""/>
    <s v="32"/>
    <x v="11"/>
    <s v="EU"/>
    <s v="11"/>
    <s v="1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62"/>
    <n v="1585028383"/>
    <s v=""/>
    <s v=""/>
    <s v="41"/>
    <x v="1"/>
    <s v="EU"/>
    <s v="03"/>
    <s v="1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68"/>
    <n v="1585028383"/>
    <s v=""/>
    <s v=""/>
    <s v="32"/>
    <x v="11"/>
    <s v="EU"/>
    <s v="11"/>
    <s v="1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89"/>
    <n v="1585028383"/>
    <s v=""/>
    <s v=""/>
    <s v="52"/>
    <x v="0"/>
    <s v="EU"/>
    <s v="13"/>
    <s v="2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92"/>
    <n v="1585028383"/>
    <s v=""/>
    <s v=""/>
    <s v="52"/>
    <x v="0"/>
    <s v="EU"/>
    <s v="13"/>
    <s v="2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04"/>
    <n v="1585028383"/>
    <s v=""/>
    <s v=""/>
    <s v="42"/>
    <x v="2"/>
    <s v="EU"/>
    <s v="12"/>
    <s v="2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22"/>
    <n v="1585028383"/>
    <s v=""/>
    <s v=""/>
    <s v="32"/>
    <x v="11"/>
    <s v="EU"/>
    <s v="11"/>
    <s v="3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25"/>
    <n v="1585028383"/>
    <s v=""/>
    <s v=""/>
    <s v="32"/>
    <x v="11"/>
    <s v="EU"/>
    <s v="11"/>
    <s v="3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28"/>
    <n v="1585028383"/>
    <s v=""/>
    <s v=""/>
    <s v="42"/>
    <x v="2"/>
    <s v="EU"/>
    <s v="12"/>
    <s v="3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37"/>
    <n v="1585028383"/>
    <s v=""/>
    <s v=""/>
    <s v="42"/>
    <x v="2"/>
    <s v="EU"/>
    <s v="12"/>
    <s v="3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80"/>
    <n v="1585028383"/>
    <s v=""/>
    <s v=""/>
    <s v="52"/>
    <x v="0"/>
    <s v="EU"/>
    <s v="13"/>
    <s v="2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98"/>
    <n v="1585028383"/>
    <s v=""/>
    <s v=""/>
    <s v="42"/>
    <x v="2"/>
    <s v="EU"/>
    <s v="12"/>
    <s v="2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01"/>
    <n v="1585028383"/>
    <s v=""/>
    <s v=""/>
    <s v="42"/>
    <x v="2"/>
    <s v="EU"/>
    <s v="12"/>
    <s v="2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31"/>
    <n v="1585028383"/>
    <s v=""/>
    <s v=""/>
    <s v="42"/>
    <x v="2"/>
    <s v="EU"/>
    <s v="12"/>
    <s v="3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37"/>
    <n v="1585028383"/>
    <s v=""/>
    <s v=""/>
    <s v="42"/>
    <x v="2"/>
    <s v="EU"/>
    <s v="12"/>
    <s v="3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40"/>
    <n v="1585028383"/>
    <s v=""/>
    <s v=""/>
    <s v="42"/>
    <x v="2"/>
    <s v="EU"/>
    <s v="12"/>
    <s v="4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43"/>
    <n v="1585028383"/>
    <s v=""/>
    <s v=""/>
    <s v="42"/>
    <x v="2"/>
    <s v="EU"/>
    <s v="12"/>
    <s v="4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8674527"/>
    <n v="2076564668"/>
    <s v=""/>
    <s v=""/>
    <s v="42"/>
    <x v="2"/>
    <s v="EU"/>
    <s v="12"/>
    <s v="8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24"/>
    <n v="2076564668"/>
    <s v=""/>
    <s v="RG"/>
    <s v="3M"/>
    <x v="5"/>
    <s v="MY"/>
    <s v="3"/>
    <s v="7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30"/>
    <n v="2076564668"/>
    <s v=""/>
    <s v="RG"/>
    <s v="2M"/>
    <x v="3"/>
    <s v="MY"/>
    <s v="2"/>
    <s v="9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51"/>
    <n v="2076564668"/>
    <s v=""/>
    <s v=""/>
    <s v="42"/>
    <x v="2"/>
    <s v="EU"/>
    <s v="12"/>
    <s v="16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57"/>
    <n v="2076564668"/>
    <s v=""/>
    <s v=""/>
    <s v="42"/>
    <x v="2"/>
    <s v="EU"/>
    <s v="12"/>
    <s v="18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66"/>
    <n v="2076564668"/>
    <s v="0"/>
    <s v=""/>
    <s v="42"/>
    <x v="2"/>
    <s v="EU"/>
    <s v="12"/>
    <s v="21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69"/>
    <n v="2076564668"/>
    <s v=""/>
    <s v=""/>
    <s v="31"/>
    <x v="7"/>
    <s v="EU"/>
    <s v="02"/>
    <s v="22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72"/>
    <n v="2076564668"/>
    <s v="0"/>
    <s v=""/>
    <s v="31"/>
    <x v="7"/>
    <s v="EU"/>
    <s v="02"/>
    <s v="23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87"/>
    <n v="2076564668"/>
    <s v=""/>
    <s v=""/>
    <s v="42"/>
    <x v="2"/>
    <s v="EU"/>
    <s v="12"/>
    <s v="3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n v="8674590"/>
    <n v="2076564668"/>
    <s v="0"/>
    <s v=""/>
    <s v="42"/>
    <x v="2"/>
    <s v="EU"/>
    <s v="12"/>
    <s v="4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n v="9868755"/>
    <n v="1585028383"/>
    <s v=""/>
    <s v=""/>
    <s v="42"/>
    <x v="2"/>
    <s v="EU"/>
    <s v="12"/>
    <s v="4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9052"/>
    <n v="1585028383"/>
    <s v=""/>
    <s v=""/>
    <s v="52"/>
    <x v="0"/>
    <s v="EU"/>
    <s v="13"/>
    <s v="4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64"/>
    <n v="1585028383"/>
    <s v=""/>
    <s v=""/>
    <s v="41"/>
    <x v="1"/>
    <s v="EU"/>
    <s v="03"/>
    <s v="4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9984"/>
    <n v="1457771195"/>
    <s v="0"/>
    <s v=""/>
    <s v="42"/>
    <x v="2"/>
    <s v="EU"/>
    <s v="12"/>
    <s v="8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93"/>
    <n v="1457771195"/>
    <s v="0"/>
    <s v=""/>
    <s v="52"/>
    <x v="0"/>
    <s v="EU"/>
    <s v="13"/>
    <s v="8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96"/>
    <n v="1457771195"/>
    <s v=""/>
    <s v=""/>
    <s v="42"/>
    <x v="2"/>
    <s v="EU"/>
    <s v="12"/>
    <s v="9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99"/>
    <n v="1457771195"/>
    <s v="0"/>
    <s v=""/>
    <s v="52"/>
    <x v="0"/>
    <s v="EU"/>
    <s v="13"/>
    <s v="9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40002"/>
    <n v="1457771195"/>
    <s v=""/>
    <s v=""/>
    <s v="42"/>
    <x v="2"/>
    <s v="EU"/>
    <s v="12"/>
    <s v="9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40005"/>
    <n v="1457771195"/>
    <s v="0"/>
    <s v=""/>
    <s v="42"/>
    <x v="2"/>
    <s v="EU"/>
    <s v="12"/>
    <s v="9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9205"/>
    <n v="1585028383"/>
    <s v=""/>
    <s v=""/>
    <s v="42"/>
    <x v="2"/>
    <s v="EU"/>
    <s v="12"/>
    <s v="9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07"/>
    <n v="1585028383"/>
    <s v=""/>
    <s v=""/>
    <s v="32"/>
    <x v="11"/>
    <s v="EU"/>
    <s v="11"/>
    <s v="2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14"/>
    <n v="1585028383"/>
    <s v=""/>
    <s v=""/>
    <s v="42"/>
    <x v="2"/>
    <s v="EU"/>
    <s v="12"/>
    <s v="9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66"/>
    <n v="1585028383"/>
    <s v=""/>
    <s v=""/>
    <s v="42"/>
    <x v="2"/>
    <s v="EU"/>
    <s v="12"/>
    <s v="8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28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275287"/>
    <n v="1937971277"/>
    <s v="2"/>
    <s v="RS"/>
    <s v="S2"/>
    <x v="15"/>
    <s v="FW"/>
    <s v="1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275293"/>
    <n v="1937971277"/>
    <s v="2"/>
    <s v="RS"/>
    <s v="S2"/>
    <x v="15"/>
    <s v="FW"/>
    <s v="1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275302"/>
    <n v="1937971277"/>
    <s v="2"/>
    <s v="RS"/>
    <s v="S3"/>
    <x v="17"/>
    <s v="FW"/>
    <s v="2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275314"/>
    <n v="1937971277"/>
    <s v="2"/>
    <s v="RG"/>
    <s v=""/>
    <x v="6"/>
    <s v="EU"/>
    <s v="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138279"/>
    <n v="1457771195"/>
    <s v="*"/>
    <s v=""/>
    <s v="42"/>
    <x v="2"/>
    <s v="EU"/>
    <s v="12"/>
    <s v="1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270"/>
    <n v="1457771195"/>
    <s v="*"/>
    <s v=""/>
    <s v="42"/>
    <x v="2"/>
    <s v="EU"/>
    <s v="12"/>
    <s v="1"/>
    <s v="Scales"/>
    <n v="2126660001"/>
    <s v="5 SCALES DOWN PER FISH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20T00:00:00"/>
    <d v="2021-09-20T00:00:00"/>
    <s v="21NC12033"/>
  </r>
  <r>
    <n v="12138285"/>
    <n v="1457771195"/>
    <s v="0"/>
    <s v=""/>
    <s v="42"/>
    <x v="2"/>
    <s v="EU"/>
    <s v="12"/>
    <s v="1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0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27551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27553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27553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27553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275548"/>
    <n v="1937971277"/>
    <s v="2"/>
    <s v="RG"/>
    <s v=""/>
    <x v="6"/>
    <s v="EU"/>
    <s v="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27532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27533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27533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27534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27536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27536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27537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275380"/>
    <n v="1937971277"/>
    <s v="1"/>
    <s v=""/>
    <s v="41"/>
    <x v="1"/>
    <s v="EU"/>
    <s v="03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27538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27555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27555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275563"/>
    <n v="1937971277"/>
    <s v="2"/>
    <s v="RG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275566"/>
    <n v="1937971277"/>
    <s v="2"/>
    <s v="RG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27557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27558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12275587"/>
    <n v="1937971277"/>
    <s v="2"/>
    <s v="RG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12275608"/>
    <n v="1937971277"/>
    <s v="2"/>
    <s v="RG"/>
    <s v=""/>
    <x v="6"/>
    <s v="EU"/>
    <s v="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227561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2275629"/>
    <n v="1937971277"/>
    <s v="2"/>
    <s v="RS"/>
    <s v="S2"/>
    <x v="15"/>
    <s v="FW"/>
    <s v="1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2275638"/>
    <n v="1937971277"/>
    <s v="2"/>
    <s v="RS"/>
    <s v="S2"/>
    <x v="15"/>
    <s v="FW"/>
    <s v="1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275641"/>
    <n v="1937971277"/>
    <s v="2"/>
    <s v="RS"/>
    <s v="S2"/>
    <x v="15"/>
    <s v="FW"/>
    <s v="1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275650"/>
    <n v="1937971277"/>
    <s v="0"/>
    <s v=""/>
    <s v="41"/>
    <x v="1"/>
    <s v="EU"/>
    <s v="03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27565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138291"/>
    <n v="1457771195"/>
    <s v="0"/>
    <s v=""/>
    <s v="42"/>
    <x v="2"/>
    <s v="EU"/>
    <s v="12"/>
    <s v="1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00"/>
    <n v="1457771195"/>
    <s v=""/>
    <s v=""/>
    <s v="52"/>
    <x v="0"/>
    <s v="EU"/>
    <s v="13"/>
    <s v="2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06"/>
    <n v="1457771195"/>
    <s v=""/>
    <s v=""/>
    <s v="42"/>
    <x v="2"/>
    <s v="EU"/>
    <s v="12"/>
    <s v="2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15"/>
    <n v="1457771195"/>
    <s v="0"/>
    <s v=""/>
    <s v="52"/>
    <x v="0"/>
    <s v="EU"/>
    <s v="13"/>
    <s v="2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488"/>
    <n v="1937971277"/>
    <s v="2"/>
    <s v="RG"/>
    <s v=""/>
    <x v="6"/>
    <s v="EU"/>
    <s v="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138294"/>
    <n v="1457771195"/>
    <s v=""/>
    <s v=""/>
    <s v="42"/>
    <x v="2"/>
    <s v="EU"/>
    <s v="12"/>
    <s v="1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49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275323"/>
    <n v="1937971277"/>
    <s v="2"/>
    <s v="RG"/>
    <s v=""/>
    <x v="6"/>
    <s v="EU"/>
    <s v="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27546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2137307"/>
    <n v="272891368"/>
    <s v=""/>
    <s v=""/>
    <s v="42"/>
    <x v="2"/>
    <s v="EU"/>
    <s v="12"/>
    <s v="9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78"/>
    <n v="272891368"/>
    <s v=""/>
    <s v=""/>
    <s v="52"/>
    <x v="0"/>
    <s v="EU"/>
    <s v="13"/>
    <s v="4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68"/>
    <n v="272891368"/>
    <s v="0"/>
    <s v=""/>
    <s v="52"/>
    <x v="0"/>
    <s v="EU"/>
    <s v="13"/>
    <s v="7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81"/>
    <n v="1457771195"/>
    <s v="0"/>
    <s v=""/>
    <s v="52"/>
    <x v="0"/>
    <s v="EU"/>
    <s v="13"/>
    <s v="8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09"/>
    <n v="1457771195"/>
    <s v=""/>
    <s v=""/>
    <s v="42"/>
    <x v="2"/>
    <s v="EU"/>
    <s v="12"/>
    <s v="2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48"/>
    <n v="1457771195"/>
    <s v=""/>
    <s v=""/>
    <s v="52"/>
    <x v="0"/>
    <s v="EU"/>
    <s v="13"/>
    <s v="3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24"/>
    <n v="1457771195"/>
    <s v="0"/>
    <s v=""/>
    <s v="52"/>
    <x v="0"/>
    <s v="EU"/>
    <s v="13"/>
    <s v="2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51"/>
    <n v="1457771195"/>
    <s v=""/>
    <s v=""/>
    <s v="42"/>
    <x v="2"/>
    <s v="EU"/>
    <s v="12"/>
    <s v="3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57"/>
    <n v="1457771195"/>
    <s v="0"/>
    <s v=""/>
    <s v="52"/>
    <x v="0"/>
    <s v="EU"/>
    <s v="13"/>
    <s v="4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548"/>
    <n v="1585028383"/>
    <s v=""/>
    <s v=""/>
    <s v="42"/>
    <x v="2"/>
    <s v="EU"/>
    <s v="12"/>
    <s v="7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491"/>
    <n v="1585028383"/>
    <s v=""/>
    <s v=""/>
    <s v="52"/>
    <x v="0"/>
    <s v="EU"/>
    <s v="13"/>
    <s v="5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27549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27547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1359772"/>
    <n v="2133460159"/>
    <s v=""/>
    <s v="RS"/>
    <s v="42"/>
    <x v="2"/>
    <s v="EU"/>
    <s v="12"/>
    <s v="3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8707"/>
    <n v="1585028383"/>
    <s v=""/>
    <s v=""/>
    <s v="52"/>
    <x v="0"/>
    <s v="EU"/>
    <s v="13"/>
    <s v="2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430"/>
    <n v="2133460159"/>
    <s v=""/>
    <s v=""/>
    <s v="42"/>
    <x v="2"/>
    <s v="EU"/>
    <s v="12"/>
    <s v="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27"/>
    <n v="2133460159"/>
    <s v=""/>
    <s v="RS"/>
    <s v="52"/>
    <x v="0"/>
    <s v="EU"/>
    <s v="13"/>
    <s v="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39"/>
    <n v="2133460159"/>
    <s v=""/>
    <s v="RS"/>
    <s v="42"/>
    <x v="2"/>
    <s v="EU"/>
    <s v="12"/>
    <s v="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51"/>
    <n v="2133460159"/>
    <s v=""/>
    <s v="RS"/>
    <s v="52"/>
    <x v="0"/>
    <s v="EU"/>
    <s v="13"/>
    <s v="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54"/>
    <n v="2133460159"/>
    <s v=""/>
    <s v=""/>
    <s v="42"/>
    <x v="2"/>
    <s v="EU"/>
    <s v="12"/>
    <s v="1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57"/>
    <n v="2133460159"/>
    <s v=""/>
    <s v=""/>
    <s v="42"/>
    <x v="2"/>
    <s v="EU"/>
    <s v="12"/>
    <s v="1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66"/>
    <n v="2133460159"/>
    <s v=""/>
    <s v="RS"/>
    <s v="42"/>
    <x v="2"/>
    <s v="EU"/>
    <s v="12"/>
    <s v="1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72"/>
    <n v="2133460159"/>
    <s v=""/>
    <s v="RS"/>
    <s v="42"/>
    <x v="2"/>
    <s v="EU"/>
    <s v="12"/>
    <s v="1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81"/>
    <n v="2133460159"/>
    <s v=""/>
    <s v="RS"/>
    <s v="52"/>
    <x v="0"/>
    <s v="EU"/>
    <s v="13"/>
    <s v="1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98"/>
    <n v="1937971277"/>
    <s v="0"/>
    <s v=""/>
    <s v="41"/>
    <x v="1"/>
    <s v="EU"/>
    <s v="03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1227540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1227541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1227544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27544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27544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275464"/>
    <n v="1937971277"/>
    <s v="2"/>
    <s v="RS"/>
    <s v="S3"/>
    <x v="17"/>
    <s v="FW"/>
    <s v="2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227550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27549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138375"/>
    <n v="1457771195"/>
    <s v="0"/>
    <s v=""/>
    <s v="52"/>
    <x v="0"/>
    <s v="EU"/>
    <s v="13"/>
    <s v="4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78"/>
    <n v="1457771195"/>
    <s v=""/>
    <s v=""/>
    <s v="2M"/>
    <x v="3"/>
    <s v="MY"/>
    <s v="2"/>
    <s v="4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87"/>
    <n v="1457771195"/>
    <s v=""/>
    <s v="NA"/>
    <s v=""/>
    <x v="6"/>
    <s v="EU"/>
    <s v=""/>
    <s v="5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423"/>
    <n v="408628360"/>
    <s v=""/>
    <s v=""/>
    <s v="42"/>
    <x v="2"/>
    <s v="EU"/>
    <s v="12"/>
    <s v="4"/>
    <s v="Otolith - Burnt Section"/>
    <n v="2126660003"/>
    <s v="1 OTOLITH ACROSS (TRAY)"/>
    <n v="11707552"/>
    <s v="ATNARKO ESCAPEMENT - 2021"/>
    <n v="23703"/>
    <s v="S ATNARKO ABOVE STILLWATER"/>
    <x v="9"/>
    <s v="2021/0290"/>
    <n v="1"/>
    <s v="SOCKEYE SALMON"/>
    <n v="2086090012"/>
    <x v="1"/>
    <n v="83"/>
    <s v="Gaff (Deadpitch)"/>
    <s v="Adult"/>
    <d v="2021-09-27T00:00:00"/>
    <d v="2021-09-27T00:00:00"/>
    <s v="Oto Box 6"/>
  </r>
  <r>
    <n v="9868944"/>
    <n v="1585028383"/>
    <s v=""/>
    <s v=""/>
    <s v="42"/>
    <x v="2"/>
    <s v="EU"/>
    <s v="12"/>
    <s v="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563"/>
    <n v="1585028383"/>
    <s v=""/>
    <s v=""/>
    <s v="42"/>
    <x v="2"/>
    <s v="EU"/>
    <s v="12"/>
    <s v="8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275599"/>
    <n v="1937971277"/>
    <s v="2"/>
    <s v="RG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12139891"/>
    <n v="1457771195"/>
    <s v=""/>
    <s v=""/>
    <s v="31"/>
    <x v="7"/>
    <s v="EU"/>
    <s v="02"/>
    <s v="5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269"/>
    <n v="1937971277"/>
    <s v="2"/>
    <s v="RS"/>
    <s v="0M"/>
    <x v="12"/>
    <s v="MY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27525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275272"/>
    <n v="1937971277"/>
    <s v="2"/>
    <s v="RS"/>
    <s v="0M"/>
    <x v="12"/>
    <s v="MY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138441"/>
    <n v="1491865608"/>
    <s v="*"/>
    <s v=""/>
    <s v="32"/>
    <x v="11"/>
    <s v="EU"/>
    <s v="11"/>
    <s v="1"/>
    <s v="Otolith - Burnt Section"/>
    <n v="2126660003"/>
    <s v="1 OTOLITH ACROSS (TRAY)"/>
    <n v="11707552"/>
    <s v="ATNARKO ESCAPEMENT - 2021"/>
    <n v="23701"/>
    <s v="S ATNARKO ABOVE LONESOME"/>
    <x v="9"/>
    <s v="2021/0292"/>
    <n v="1"/>
    <s v="SOCKEYE SALMON"/>
    <n v="2086090012"/>
    <x v="1"/>
    <n v="83"/>
    <s v="Gaff (Deadpitch)"/>
    <s v="Adult"/>
    <d v="2021-09-23T00:00:00"/>
    <d v="2021-09-23T00:00:00"/>
    <s v="Oto Box 3"/>
  </r>
  <r>
    <n v="12139921"/>
    <n v="1457771195"/>
    <s v=""/>
    <s v=""/>
    <s v="42"/>
    <x v="2"/>
    <s v="EU"/>
    <s v="12"/>
    <s v="6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484"/>
    <n v="2133460159"/>
    <s v=""/>
    <s v=""/>
    <s v="42"/>
    <x v="2"/>
    <s v="EU"/>
    <s v="12"/>
    <s v="2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043"/>
    <n v="272891368"/>
    <s v=""/>
    <s v=""/>
    <s v="42"/>
    <x v="2"/>
    <s v="EU"/>
    <s v="12"/>
    <s v="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37"/>
    <n v="272891368"/>
    <s v="0"/>
    <s v=""/>
    <s v="42"/>
    <x v="2"/>
    <s v="EU"/>
    <s v="12"/>
    <s v="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46"/>
    <n v="272891368"/>
    <s v=""/>
    <s v=""/>
    <s v="52"/>
    <x v="0"/>
    <s v="EU"/>
    <s v="13"/>
    <s v="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52"/>
    <n v="272891368"/>
    <s v=""/>
    <s v=""/>
    <s v="52"/>
    <x v="0"/>
    <s v="EU"/>
    <s v="13"/>
    <s v="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64"/>
    <n v="272891368"/>
    <s v="0"/>
    <s v=""/>
    <s v="42"/>
    <x v="2"/>
    <s v="EU"/>
    <s v="12"/>
    <s v="1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70"/>
    <n v="272891368"/>
    <s v=""/>
    <s v=""/>
    <s v="42"/>
    <x v="2"/>
    <s v="EU"/>
    <s v="12"/>
    <s v="1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94"/>
    <n v="272891368"/>
    <s v="0"/>
    <s v=""/>
    <s v="42"/>
    <x v="2"/>
    <s v="EU"/>
    <s v="12"/>
    <s v="1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00"/>
    <n v="272891368"/>
    <s v=""/>
    <s v=""/>
    <s v="42"/>
    <x v="2"/>
    <s v="EU"/>
    <s v="12"/>
    <s v="2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03"/>
    <n v="272891368"/>
    <s v="0"/>
    <s v=""/>
    <s v="42"/>
    <x v="2"/>
    <s v="EU"/>
    <s v="12"/>
    <s v="2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673"/>
    <n v="2133460159"/>
    <s v=""/>
    <s v="RS"/>
    <s v="52"/>
    <x v="0"/>
    <s v="EU"/>
    <s v="13"/>
    <s v="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2137304"/>
    <n v="272891368"/>
    <s v=""/>
    <s v=""/>
    <s v="42"/>
    <x v="2"/>
    <s v="EU"/>
    <s v="12"/>
    <s v="8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21"/>
    <n v="272891368"/>
    <s v="0"/>
    <s v=""/>
    <s v="42"/>
    <x v="2"/>
    <s v="EU"/>
    <s v="12"/>
    <s v="2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325"/>
    <n v="272891368"/>
    <s v="*"/>
    <s v=""/>
    <s v="42"/>
    <x v="2"/>
    <s v="EU"/>
    <s v="12"/>
    <s v="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31"/>
    <n v="272891368"/>
    <s v="*"/>
    <s v=""/>
    <s v="42"/>
    <x v="2"/>
    <s v="EU"/>
    <s v="12"/>
    <s v="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52"/>
    <n v="272891368"/>
    <s v=""/>
    <s v=""/>
    <s v="42"/>
    <x v="2"/>
    <s v="EU"/>
    <s v="12"/>
    <s v="1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133"/>
    <n v="272891368"/>
    <s v=""/>
    <s v=""/>
    <s v="42"/>
    <x v="2"/>
    <s v="EU"/>
    <s v="12"/>
    <s v="3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39"/>
    <n v="272891368"/>
    <s v=""/>
    <s v=""/>
    <s v="42"/>
    <x v="2"/>
    <s v="EU"/>
    <s v="12"/>
    <s v="3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45"/>
    <n v="272891368"/>
    <s v=""/>
    <s v=""/>
    <s v="42"/>
    <x v="2"/>
    <s v="EU"/>
    <s v="12"/>
    <s v="3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48"/>
    <n v="272891368"/>
    <s v=""/>
    <s v=""/>
    <s v="42"/>
    <x v="2"/>
    <s v="EU"/>
    <s v="12"/>
    <s v="3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54"/>
    <n v="272891368"/>
    <s v="0"/>
    <s v=""/>
    <s v="42"/>
    <x v="2"/>
    <s v="EU"/>
    <s v="12"/>
    <s v="3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57"/>
    <n v="272891368"/>
    <s v=""/>
    <s v=""/>
    <s v="42"/>
    <x v="2"/>
    <s v="EU"/>
    <s v="12"/>
    <s v="4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60"/>
    <n v="272891368"/>
    <s v=""/>
    <s v=""/>
    <s v="42"/>
    <x v="2"/>
    <s v="EU"/>
    <s v="12"/>
    <s v="4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81"/>
    <n v="272891368"/>
    <s v="0"/>
    <s v=""/>
    <s v="42"/>
    <x v="2"/>
    <s v="EU"/>
    <s v="12"/>
    <s v="4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65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27566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27566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1359694"/>
    <n v="2133460159"/>
    <s v=""/>
    <s v="RS"/>
    <s v="42"/>
    <x v="2"/>
    <s v="EU"/>
    <s v="12"/>
    <s v="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691"/>
    <n v="2133460159"/>
    <s v=""/>
    <s v="RS"/>
    <s v="42"/>
    <x v="2"/>
    <s v="EU"/>
    <s v="12"/>
    <s v="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00"/>
    <n v="2133460159"/>
    <s v=""/>
    <s v="RS"/>
    <s v="42"/>
    <x v="2"/>
    <s v="EU"/>
    <s v="12"/>
    <s v="1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12"/>
    <n v="2133460159"/>
    <s v=""/>
    <s v="RS"/>
    <s v="52"/>
    <x v="0"/>
    <s v="EU"/>
    <s v="13"/>
    <s v="1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15"/>
    <n v="2133460159"/>
    <s v=""/>
    <s v="RS"/>
    <s v="42"/>
    <x v="2"/>
    <s v="EU"/>
    <s v="12"/>
    <s v="1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496"/>
    <n v="2133460159"/>
    <s v=""/>
    <s v="RS"/>
    <s v="52"/>
    <x v="0"/>
    <s v="EU"/>
    <s v="13"/>
    <s v="2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68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27567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27568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137364"/>
    <n v="272891368"/>
    <s v="0"/>
    <s v=""/>
    <s v="42"/>
    <x v="2"/>
    <s v="EU"/>
    <s v="12"/>
    <s v="1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67"/>
    <n v="272891368"/>
    <s v="0"/>
    <s v=""/>
    <s v="42"/>
    <x v="2"/>
    <s v="EU"/>
    <s v="12"/>
    <s v="1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73"/>
    <n v="272891368"/>
    <s v=""/>
    <s v=""/>
    <s v="52"/>
    <x v="0"/>
    <s v="EU"/>
    <s v="13"/>
    <s v="1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82"/>
    <n v="272891368"/>
    <s v="*"/>
    <s v=""/>
    <s v="52"/>
    <x v="0"/>
    <s v="EU"/>
    <s v="13"/>
    <s v="2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91"/>
    <n v="272891368"/>
    <s v="*"/>
    <s v=""/>
    <s v="42"/>
    <x v="2"/>
    <s v="EU"/>
    <s v="12"/>
    <s v="2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421"/>
    <n v="272891368"/>
    <s v=""/>
    <s v=""/>
    <s v="42"/>
    <x v="2"/>
    <s v="EU"/>
    <s v="12"/>
    <s v="3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246"/>
    <n v="1457771195"/>
    <s v="0"/>
    <s v=""/>
    <s v="52"/>
    <x v="0"/>
    <s v="EU"/>
    <s v="13"/>
    <s v="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7232"/>
    <n v="272891368"/>
    <s v=""/>
    <s v=""/>
    <s v="52"/>
    <x v="0"/>
    <s v="EU"/>
    <s v="13"/>
    <s v="6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35"/>
    <n v="272891368"/>
    <s v="0"/>
    <s v=""/>
    <s v="42"/>
    <x v="2"/>
    <s v="EU"/>
    <s v="12"/>
    <s v="6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38"/>
    <n v="272891368"/>
    <s v=""/>
    <s v=""/>
    <s v="42"/>
    <x v="2"/>
    <s v="EU"/>
    <s v="12"/>
    <s v="6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47"/>
    <n v="272891368"/>
    <s v="0"/>
    <s v=""/>
    <s v="52"/>
    <x v="0"/>
    <s v="EU"/>
    <s v="13"/>
    <s v="7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724"/>
    <n v="2133460159"/>
    <s v=""/>
    <s v="RS"/>
    <s v="42"/>
    <x v="2"/>
    <s v="EU"/>
    <s v="12"/>
    <s v="1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18"/>
    <n v="2133460159"/>
    <s v=""/>
    <s v="RS"/>
    <s v="42"/>
    <x v="2"/>
    <s v="EU"/>
    <s v="12"/>
    <s v="1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42"/>
    <n v="2133460159"/>
    <s v=""/>
    <s v="RS"/>
    <s v="42"/>
    <x v="2"/>
    <s v="EU"/>
    <s v="12"/>
    <s v="2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48"/>
    <n v="2133460159"/>
    <s v=""/>
    <s v=""/>
    <s v="41"/>
    <x v="1"/>
    <s v="EU"/>
    <s v="03"/>
    <s v="2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54"/>
    <n v="2133460159"/>
    <s v=""/>
    <s v="RS"/>
    <s v="42"/>
    <x v="2"/>
    <s v="EU"/>
    <s v="12"/>
    <s v="2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57"/>
    <n v="2133460159"/>
    <s v=""/>
    <s v="RS"/>
    <s v="42"/>
    <x v="2"/>
    <s v="EU"/>
    <s v="12"/>
    <s v="2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60"/>
    <n v="2133460159"/>
    <s v=""/>
    <s v="RS"/>
    <s v="52"/>
    <x v="0"/>
    <s v="EU"/>
    <s v="13"/>
    <s v="3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66"/>
    <n v="2133460159"/>
    <s v=""/>
    <s v="UM"/>
    <s v="S2"/>
    <x v="15"/>
    <s v="FW"/>
    <s v="1"/>
    <s v="3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69"/>
    <n v="2133460159"/>
    <s v=""/>
    <s v="RS"/>
    <s v="42"/>
    <x v="2"/>
    <s v="EU"/>
    <s v="12"/>
    <s v="3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78"/>
    <n v="2133460159"/>
    <s v=""/>
    <s v=""/>
    <s v="52"/>
    <x v="0"/>
    <s v="EU"/>
    <s v="13"/>
    <s v="3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87"/>
    <n v="2133460159"/>
    <s v=""/>
    <s v="RS"/>
    <s v="42"/>
    <x v="2"/>
    <s v="EU"/>
    <s v="12"/>
    <s v="3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802"/>
    <n v="2133460159"/>
    <s v=""/>
    <s v="RS"/>
    <s v="42"/>
    <x v="2"/>
    <s v="EU"/>
    <s v="12"/>
    <s v="4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811"/>
    <n v="2133460159"/>
    <s v=""/>
    <s v=""/>
    <s v="42"/>
    <x v="2"/>
    <s v="EU"/>
    <s v="12"/>
    <s v="4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820"/>
    <n v="2133460159"/>
    <s v=""/>
    <s v="RS"/>
    <s v="42"/>
    <x v="2"/>
    <s v="EU"/>
    <s v="12"/>
    <s v="5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826"/>
    <n v="2133460159"/>
    <s v=""/>
    <s v="RS"/>
    <s v="42"/>
    <x v="2"/>
    <s v="EU"/>
    <s v="12"/>
    <s v="5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832"/>
    <n v="2133460159"/>
    <s v=""/>
    <s v="RS"/>
    <s v="42"/>
    <x v="2"/>
    <s v="EU"/>
    <s v="12"/>
    <s v="5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838"/>
    <n v="2133460159"/>
    <s v=""/>
    <s v="RS"/>
    <s v="41"/>
    <x v="1"/>
    <s v="EU"/>
    <s v="03"/>
    <s v="5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511"/>
    <n v="2133460159"/>
    <s v=""/>
    <s v="RS"/>
    <s v="42"/>
    <x v="2"/>
    <s v="EU"/>
    <s v="12"/>
    <s v="2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17"/>
    <n v="2133460159"/>
    <s v=""/>
    <s v="RS"/>
    <s v="42"/>
    <x v="2"/>
    <s v="EU"/>
    <s v="12"/>
    <s v="3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23"/>
    <n v="2133460159"/>
    <s v=""/>
    <s v="RS"/>
    <s v="42"/>
    <x v="2"/>
    <s v="EU"/>
    <s v="12"/>
    <s v="3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32"/>
    <n v="2133460159"/>
    <s v=""/>
    <s v="RS"/>
    <s v="42"/>
    <x v="2"/>
    <s v="EU"/>
    <s v="12"/>
    <s v="3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35"/>
    <n v="2133460159"/>
    <s v=""/>
    <s v="RS"/>
    <s v="42"/>
    <x v="2"/>
    <s v="EU"/>
    <s v="12"/>
    <s v="3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44"/>
    <n v="2133460159"/>
    <s v=""/>
    <s v=""/>
    <s v="42"/>
    <x v="2"/>
    <s v="EU"/>
    <s v="12"/>
    <s v="4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56"/>
    <n v="2133460159"/>
    <s v=""/>
    <s v="RS"/>
    <s v="42"/>
    <x v="2"/>
    <s v="EU"/>
    <s v="12"/>
    <s v="4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59"/>
    <n v="2133460159"/>
    <s v=""/>
    <s v=""/>
    <s v="42"/>
    <x v="2"/>
    <s v="EU"/>
    <s v="12"/>
    <s v="4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65"/>
    <n v="2133460159"/>
    <s v=""/>
    <s v=""/>
    <s v="42"/>
    <x v="2"/>
    <s v="EU"/>
    <s v="12"/>
    <s v="4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68"/>
    <n v="2133460159"/>
    <s v=""/>
    <s v=""/>
    <s v="42"/>
    <x v="2"/>
    <s v="EU"/>
    <s v="12"/>
    <s v="4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71"/>
    <n v="2133460159"/>
    <s v=""/>
    <s v=""/>
    <s v="42"/>
    <x v="2"/>
    <s v="EU"/>
    <s v="12"/>
    <s v="4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80"/>
    <n v="2133460159"/>
    <s v=""/>
    <s v="RS"/>
    <s v="52"/>
    <x v="0"/>
    <s v="EU"/>
    <s v="13"/>
    <s v="5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89"/>
    <n v="2133460159"/>
    <s v=""/>
    <s v="RS"/>
    <s v="42"/>
    <x v="2"/>
    <s v="EU"/>
    <s v="12"/>
    <s v="5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01"/>
    <n v="2133460159"/>
    <s v=""/>
    <s v="RS"/>
    <s v="42"/>
    <x v="2"/>
    <s v="EU"/>
    <s v="12"/>
    <s v="5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13"/>
    <n v="2133460159"/>
    <s v=""/>
    <s v=""/>
    <s v="42"/>
    <x v="2"/>
    <s v="EU"/>
    <s v="12"/>
    <s v="6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16"/>
    <n v="2133460159"/>
    <s v=""/>
    <s v="UD"/>
    <s v=""/>
    <x v="6"/>
    <s v="EU"/>
    <s v=""/>
    <s v="64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19"/>
    <n v="2133460159"/>
    <s v=""/>
    <s v="UD"/>
    <s v=""/>
    <x v="6"/>
    <s v="EU"/>
    <s v=""/>
    <s v="65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37"/>
    <n v="2133460159"/>
    <s v=""/>
    <s v="RS"/>
    <s v="42"/>
    <x v="2"/>
    <s v="EU"/>
    <s v="12"/>
    <s v="7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253"/>
    <n v="272891368"/>
    <s v="0"/>
    <s v=""/>
    <s v="42"/>
    <x v="2"/>
    <s v="EU"/>
    <s v="12"/>
    <s v="7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59"/>
    <n v="272891368"/>
    <s v="0"/>
    <s v=""/>
    <s v="52"/>
    <x v="0"/>
    <s v="EU"/>
    <s v="13"/>
    <s v="7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65"/>
    <n v="272891368"/>
    <s v="0"/>
    <s v=""/>
    <s v="52"/>
    <x v="0"/>
    <s v="EU"/>
    <s v="13"/>
    <s v="7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77"/>
    <n v="272891368"/>
    <s v="0"/>
    <s v=""/>
    <s v="42"/>
    <x v="2"/>
    <s v="EU"/>
    <s v="12"/>
    <s v="8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83"/>
    <n v="272891368"/>
    <s v=""/>
    <s v=""/>
    <s v="52"/>
    <x v="0"/>
    <s v="EU"/>
    <s v="13"/>
    <s v="8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879"/>
    <n v="1457771195"/>
    <s v="*"/>
    <s v=""/>
    <s v="52"/>
    <x v="0"/>
    <s v="EU"/>
    <s v="13"/>
    <s v="5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888"/>
    <n v="1457771195"/>
    <s v=""/>
    <s v=""/>
    <s v="42"/>
    <x v="2"/>
    <s v="EU"/>
    <s v="12"/>
    <s v="5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00"/>
    <n v="1457771195"/>
    <s v=""/>
    <s v=""/>
    <s v="52"/>
    <x v="0"/>
    <s v="EU"/>
    <s v="13"/>
    <s v="5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06"/>
    <n v="1457771195"/>
    <s v=""/>
    <s v=""/>
    <s v="52"/>
    <x v="0"/>
    <s v="EU"/>
    <s v="13"/>
    <s v="6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12"/>
    <n v="1457771195"/>
    <s v=""/>
    <s v=""/>
    <s v="52"/>
    <x v="0"/>
    <s v="EU"/>
    <s v="13"/>
    <s v="6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15"/>
    <n v="1457771195"/>
    <s v="0"/>
    <s v=""/>
    <s v="52"/>
    <x v="0"/>
    <s v="EU"/>
    <s v="13"/>
    <s v="6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39"/>
    <n v="1457771195"/>
    <s v=""/>
    <s v=""/>
    <s v="42"/>
    <x v="2"/>
    <s v="EU"/>
    <s v="12"/>
    <s v="7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42"/>
    <n v="1457771195"/>
    <s v=""/>
    <s v=""/>
    <s v="42"/>
    <x v="2"/>
    <s v="EU"/>
    <s v="12"/>
    <s v="7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54"/>
    <n v="1457771195"/>
    <s v=""/>
    <s v=""/>
    <s v="42"/>
    <x v="2"/>
    <s v="EU"/>
    <s v="12"/>
    <s v="7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66"/>
    <n v="1457771195"/>
    <s v=""/>
    <s v=""/>
    <s v="42"/>
    <x v="2"/>
    <s v="EU"/>
    <s v="12"/>
    <s v="8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6651367"/>
    <n v="649384895"/>
    <s v=""/>
    <s v=""/>
    <s v="52"/>
    <x v="0"/>
    <s v="EU"/>
    <s v="13"/>
    <s v="2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6651364"/>
    <n v="649384895"/>
    <s v=""/>
    <s v=""/>
    <s v="52"/>
    <x v="0"/>
    <s v="EU"/>
    <s v="13"/>
    <s v="1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6651373"/>
    <n v="649384895"/>
    <s v=""/>
    <s v=""/>
    <s v="52"/>
    <x v="0"/>
    <s v="EU"/>
    <s v="13"/>
    <s v="4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6651379"/>
    <n v="649384895"/>
    <s v=""/>
    <s v="RG"/>
    <s v="3M"/>
    <x v="5"/>
    <s v="MY"/>
    <s v="3"/>
    <s v="6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-1005773319"/>
    <n v="-1000024921"/>
    <s v=""/>
    <s v=""/>
    <s v="42"/>
    <x v="2"/>
    <s v="EU"/>
    <s v="12"/>
    <s v="6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-1005773347"/>
    <n v="-1000024921"/>
    <s v=""/>
    <s v=""/>
    <s v="42"/>
    <x v="2"/>
    <s v="EU"/>
    <s v="12"/>
    <s v="2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1227535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27531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27537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275401"/>
    <n v="1937971277"/>
    <s v="2"/>
    <s v="W"/>
    <s v=""/>
    <x v="6"/>
    <s v="EU"/>
    <s v="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12137349"/>
    <n v="272891368"/>
    <s v=""/>
    <s v=""/>
    <s v="42"/>
    <x v="2"/>
    <s v="EU"/>
    <s v="12"/>
    <s v="1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68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139936"/>
    <n v="1457771195"/>
    <s v=""/>
    <s v=""/>
    <s v="52"/>
    <x v="0"/>
    <s v="EU"/>
    <s v="13"/>
    <s v="7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72"/>
    <n v="1457771195"/>
    <s v="0"/>
    <s v=""/>
    <s v="52"/>
    <x v="0"/>
    <s v="EU"/>
    <s v="13"/>
    <s v="8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9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12138384"/>
    <n v="1457771195"/>
    <s v=""/>
    <s v=""/>
    <s v="42"/>
    <x v="2"/>
    <s v="EU"/>
    <s v="12"/>
    <s v="4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706"/>
    <n v="2133460159"/>
    <s v=""/>
    <s v=""/>
    <s v="31"/>
    <x v="7"/>
    <s v="EU"/>
    <s v="02"/>
    <s v="1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688"/>
    <n v="2133460159"/>
    <s v=""/>
    <s v=""/>
    <s v="41"/>
    <x v="1"/>
    <s v="EU"/>
    <s v="03"/>
    <s v="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463"/>
    <n v="2133460159"/>
    <s v=""/>
    <s v="RS"/>
    <s v="42"/>
    <x v="2"/>
    <s v="EU"/>
    <s v="12"/>
    <s v="1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9022"/>
    <n v="1585028383"/>
    <s v=""/>
    <s v=""/>
    <s v="42"/>
    <x v="2"/>
    <s v="EU"/>
    <s v="12"/>
    <s v="3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34"/>
    <n v="1585028383"/>
    <s v=""/>
    <s v=""/>
    <s v="42"/>
    <x v="2"/>
    <s v="EU"/>
    <s v="12"/>
    <s v="3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266"/>
    <n v="1937971277"/>
    <s v="2"/>
    <s v="RG"/>
    <s v=""/>
    <x v="6"/>
    <s v="EU"/>
    <s v="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139909"/>
    <n v="1457771195"/>
    <s v=""/>
    <s v=""/>
    <s v="41"/>
    <x v="1"/>
    <s v="EU"/>
    <s v="03"/>
    <s v="6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39"/>
    <n v="1457771195"/>
    <s v="0"/>
    <s v=""/>
    <s v="52"/>
    <x v="0"/>
    <s v="EU"/>
    <s v="13"/>
    <s v="3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746"/>
    <n v="1585028383"/>
    <s v=""/>
    <s v=""/>
    <s v="42"/>
    <x v="2"/>
    <s v="EU"/>
    <s v="12"/>
    <s v="4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9124"/>
    <n v="1585028383"/>
    <s v=""/>
    <s v=""/>
    <s v="52"/>
    <x v="0"/>
    <s v="EU"/>
    <s v="13"/>
    <s v="6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-1005515181"/>
    <n v="-1000023139"/>
    <s v=""/>
    <s v=""/>
    <s v="52"/>
    <x v="0"/>
    <s v="EU"/>
    <s v="13"/>
    <s v="1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12137166"/>
    <n v="272891368"/>
    <s v=""/>
    <s v=""/>
    <s v="42"/>
    <x v="2"/>
    <s v="EU"/>
    <s v="12"/>
    <s v="4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8674548"/>
    <n v="2076564668"/>
    <s v=""/>
    <s v=""/>
    <s v="42"/>
    <x v="2"/>
    <s v="EU"/>
    <s v="12"/>
    <s v="15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227551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137412"/>
    <n v="272891368"/>
    <s v=""/>
    <s v=""/>
    <s v="32"/>
    <x v="11"/>
    <s v="EU"/>
    <s v="11"/>
    <s v="3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8674560"/>
    <n v="2076564668"/>
    <s v="0"/>
    <s v=""/>
    <s v="42"/>
    <x v="2"/>
    <s v="EU"/>
    <s v="12"/>
    <s v="19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2137250"/>
    <n v="272891368"/>
    <s v="0"/>
    <s v=""/>
    <s v="52"/>
    <x v="0"/>
    <s v="EU"/>
    <s v="13"/>
    <s v="7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487"/>
    <n v="2133460159"/>
    <s v=""/>
    <s v="RS"/>
    <s v="42"/>
    <x v="2"/>
    <s v="EU"/>
    <s v="12"/>
    <s v="2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62"/>
    <n v="2133460159"/>
    <s v=""/>
    <s v=""/>
    <s v="42"/>
    <x v="2"/>
    <s v="EU"/>
    <s v="12"/>
    <s v="4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730"/>
    <n v="2133460159"/>
    <s v=""/>
    <s v="RS"/>
    <s v="42"/>
    <x v="2"/>
    <s v="EU"/>
    <s v="12"/>
    <s v="2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-1005773327"/>
    <n v="-1000024921"/>
    <s v=""/>
    <s v=""/>
    <s v="31"/>
    <x v="7"/>
    <s v="EU"/>
    <s v="02"/>
    <s v="2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12137256"/>
    <n v="272891368"/>
    <s v="*"/>
    <s v=""/>
    <s v="42"/>
    <x v="2"/>
    <s v="EU"/>
    <s v="12"/>
    <s v="7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635"/>
    <n v="1937971277"/>
    <s v="2"/>
    <s v="RS"/>
    <s v="S2"/>
    <x v="15"/>
    <s v="FW"/>
    <s v="1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227557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9868536"/>
    <n v="1585028383"/>
    <s v=""/>
    <s v=""/>
    <s v="52"/>
    <x v="0"/>
    <s v="EU"/>
    <s v="13"/>
    <s v="7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15"/>
    <n v="1585028383"/>
    <s v=""/>
    <s v=""/>
    <s v="52"/>
    <x v="0"/>
    <s v="EU"/>
    <s v="13"/>
    <s v="6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788"/>
    <n v="1585028383"/>
    <s v=""/>
    <s v=""/>
    <s v="42"/>
    <x v="2"/>
    <s v="EU"/>
    <s v="12"/>
    <s v="5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8674545"/>
    <n v="2076564668"/>
    <s v=""/>
    <s v=""/>
    <s v="42"/>
    <x v="2"/>
    <s v="EU"/>
    <s v="12"/>
    <s v="14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9070"/>
    <n v="1585028383"/>
    <s v=""/>
    <s v=""/>
    <s v="42"/>
    <x v="2"/>
    <s v="EU"/>
    <s v="12"/>
    <s v="5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28"/>
    <n v="1585028383"/>
    <s v=""/>
    <s v=""/>
    <s v="42"/>
    <x v="2"/>
    <s v="EU"/>
    <s v="12"/>
    <s v="3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88"/>
    <n v="1585028383"/>
    <s v=""/>
    <s v=""/>
    <s v="42"/>
    <x v="2"/>
    <s v="EU"/>
    <s v="12"/>
    <s v="5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278"/>
    <n v="1937971277"/>
    <s v="2"/>
    <s v="W"/>
    <s v=""/>
    <x v="6"/>
    <s v="EU"/>
    <s v="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-1005515183"/>
    <n v="-1000023139"/>
    <s v=""/>
    <s v=""/>
    <s v="52"/>
    <x v="0"/>
    <s v="EU"/>
    <s v="13"/>
    <s v="1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5T00:00:00"/>
    <d v="1997-07-25T00:00:00"/>
    <s v="1997310141978774"/>
  </r>
  <r>
    <n v="6651385"/>
    <n v="649384895"/>
    <s v=""/>
    <s v="RG"/>
    <s v="3M"/>
    <x v="5"/>
    <s v="MY"/>
    <s v="3"/>
    <s v="8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-1005515169"/>
    <n v="-1000023139"/>
    <s v=""/>
    <s v=""/>
    <s v="42"/>
    <x v="2"/>
    <s v="EU"/>
    <s v="12"/>
    <s v="7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11359592"/>
    <n v="2133460159"/>
    <s v=""/>
    <s v=""/>
    <s v="42"/>
    <x v="2"/>
    <s v="EU"/>
    <s v="12"/>
    <s v="5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727"/>
    <n v="2133460159"/>
    <s v=""/>
    <s v="RS"/>
    <s v="42"/>
    <x v="2"/>
    <s v="EU"/>
    <s v="12"/>
    <s v="1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-1005773317"/>
    <n v="-1000024921"/>
    <s v=""/>
    <s v=""/>
    <s v="52"/>
    <x v="0"/>
    <s v="EU"/>
    <s v="13"/>
    <s v="7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11359796"/>
    <n v="2133460159"/>
    <s v=""/>
    <s v=""/>
    <s v="52"/>
    <x v="0"/>
    <s v="EU"/>
    <s v="13"/>
    <s v="4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9019"/>
    <n v="1585028383"/>
    <s v=""/>
    <s v=""/>
    <s v="32"/>
    <x v="11"/>
    <s v="EU"/>
    <s v="11"/>
    <s v="3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686"/>
    <n v="1585028383"/>
    <s v=""/>
    <s v=""/>
    <s v="52"/>
    <x v="0"/>
    <s v="EU"/>
    <s v="13"/>
    <s v="2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23"/>
    <n v="1585028383"/>
    <s v=""/>
    <s v=""/>
    <s v="42"/>
    <x v="2"/>
    <s v="EU"/>
    <s v="12"/>
    <s v="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23"/>
    <n v="1585028383"/>
    <s v=""/>
    <s v=""/>
    <s v="32"/>
    <x v="11"/>
    <s v="EU"/>
    <s v="11"/>
    <s v="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45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137319"/>
    <n v="272891368"/>
    <s v=""/>
    <s v=""/>
    <s v="42"/>
    <x v="2"/>
    <s v="EU"/>
    <s v="12"/>
    <s v="9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9133"/>
    <n v="1585028383"/>
    <s v=""/>
    <s v=""/>
    <s v="52"/>
    <x v="0"/>
    <s v="EU"/>
    <s v="13"/>
    <s v="7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-1005773331"/>
    <n v="-1000024921"/>
    <s v=""/>
    <s v=""/>
    <s v="42"/>
    <x v="2"/>
    <s v="EU"/>
    <s v="12"/>
    <s v="10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6651388"/>
    <n v="649384895"/>
    <s v=""/>
    <s v="RG"/>
    <s v="3M"/>
    <x v="5"/>
    <s v="MY"/>
    <s v="3"/>
    <s v="9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12137415"/>
    <n v="272891368"/>
    <s v="0"/>
    <s v=""/>
    <s v="42"/>
    <x v="2"/>
    <s v="EU"/>
    <s v="12"/>
    <s v="3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333"/>
    <n v="1457771195"/>
    <s v=""/>
    <s v=""/>
    <s v="42"/>
    <x v="2"/>
    <s v="EU"/>
    <s v="12"/>
    <s v="3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8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8674509"/>
    <n v="2076564668"/>
    <s v=""/>
    <s v="RG"/>
    <s v="3M"/>
    <x v="5"/>
    <s v="MY"/>
    <s v="3"/>
    <s v="2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1359604"/>
    <n v="2133460159"/>
    <s v=""/>
    <s v="RS"/>
    <s v="42"/>
    <x v="2"/>
    <s v="EU"/>
    <s v="12"/>
    <s v="6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8363"/>
    <n v="1457771195"/>
    <s v="0"/>
    <s v=""/>
    <s v="52"/>
    <x v="0"/>
    <s v="EU"/>
    <s v="13"/>
    <s v="4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42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275359"/>
    <n v="1937971277"/>
    <s v="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27547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9868647"/>
    <n v="1585028383"/>
    <s v=""/>
    <s v=""/>
    <s v="42"/>
    <x v="2"/>
    <s v="EU"/>
    <s v="12"/>
    <s v="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-1005773349"/>
    <n v="-1000024921"/>
    <s v=""/>
    <s v=""/>
    <s v="52"/>
    <x v="0"/>
    <s v="EU"/>
    <s v="13"/>
    <s v="1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11359490"/>
    <n v="2133460159"/>
    <s v=""/>
    <s v="RS"/>
    <s v="52"/>
    <x v="0"/>
    <s v="EU"/>
    <s v="13"/>
    <s v="2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7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1359679"/>
    <n v="2133460159"/>
    <s v=""/>
    <s v="RS"/>
    <s v="42"/>
    <x v="2"/>
    <s v="EU"/>
    <s v="12"/>
    <s v="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2137208"/>
    <n v="272891368"/>
    <s v=""/>
    <s v=""/>
    <s v="42"/>
    <x v="2"/>
    <s v="EU"/>
    <s v="12"/>
    <s v="5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51"/>
    <n v="1457771195"/>
    <s v=""/>
    <s v=""/>
    <s v="42"/>
    <x v="2"/>
    <s v="EU"/>
    <s v="12"/>
    <s v="7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538"/>
    <n v="2133460159"/>
    <s v=""/>
    <s v=""/>
    <s v="42"/>
    <x v="2"/>
    <s v="EU"/>
    <s v="12"/>
    <s v="3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8297"/>
    <n v="1457771195"/>
    <s v=""/>
    <s v=""/>
    <s v="32"/>
    <x v="11"/>
    <s v="EU"/>
    <s v="11"/>
    <s v="2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8674584"/>
    <n v="2076564668"/>
    <s v="0"/>
    <s v=""/>
    <s v="31"/>
    <x v="7"/>
    <s v="EU"/>
    <s v="02"/>
    <s v="2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n v="-1005773323"/>
    <n v="-1000024921"/>
    <s v=""/>
    <s v=""/>
    <s v="52"/>
    <x v="0"/>
    <s v="EU"/>
    <s v="13"/>
    <s v="4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9868986"/>
    <n v="1585028383"/>
    <s v=""/>
    <s v=""/>
    <s v="53"/>
    <x v="4"/>
    <s v="EU"/>
    <s v="22"/>
    <s v="2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7196"/>
    <n v="272891368"/>
    <s v="0"/>
    <s v=""/>
    <s v="41"/>
    <x v="1"/>
    <s v="EU"/>
    <s v="03"/>
    <s v="5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8243"/>
    <n v="1457771195"/>
    <s v="*"/>
    <s v=""/>
    <s v="42"/>
    <x v="2"/>
    <s v="EU"/>
    <s v="12"/>
    <s v="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752"/>
    <n v="1585028383"/>
    <s v=""/>
    <s v=""/>
    <s v="42"/>
    <x v="2"/>
    <s v="EU"/>
    <s v="12"/>
    <s v="4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8255"/>
    <n v="1457771195"/>
    <s v="0"/>
    <s v=""/>
    <s v="52"/>
    <x v="0"/>
    <s v="EU"/>
    <s v="13"/>
    <s v="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776"/>
    <n v="1585028383"/>
    <s v=""/>
    <s v=""/>
    <s v="42"/>
    <x v="2"/>
    <s v="EU"/>
    <s v="12"/>
    <s v="5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83"/>
    <n v="1585028383"/>
    <s v=""/>
    <s v=""/>
    <s v="42"/>
    <x v="2"/>
    <s v="EU"/>
    <s v="12"/>
    <s v="2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82"/>
    <n v="1585028383"/>
    <s v=""/>
    <s v=""/>
    <s v="42"/>
    <x v="2"/>
    <s v="EU"/>
    <s v="12"/>
    <s v="5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8674563"/>
    <n v="2076564668"/>
    <s v=""/>
    <s v=""/>
    <s v="42"/>
    <x v="2"/>
    <s v="EU"/>
    <s v="12"/>
    <s v="20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227559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9869073"/>
    <n v="1585028383"/>
    <s v=""/>
    <s v=""/>
    <s v="52"/>
    <x v="0"/>
    <s v="EU"/>
    <s v="13"/>
    <s v="5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599"/>
    <n v="1585028383"/>
    <s v=""/>
    <s v=""/>
    <s v="52"/>
    <x v="0"/>
    <s v="EU"/>
    <s v="13"/>
    <s v="9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617"/>
    <n v="1585028383"/>
    <s v=""/>
    <s v=""/>
    <s v="53"/>
    <x v="4"/>
    <s v="EU"/>
    <s v="22"/>
    <s v="9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680"/>
    <n v="1585028383"/>
    <s v=""/>
    <s v=""/>
    <s v="42"/>
    <x v="2"/>
    <s v="EU"/>
    <s v="12"/>
    <s v="2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40"/>
    <n v="1585028383"/>
    <s v=""/>
    <s v=""/>
    <s v="42"/>
    <x v="2"/>
    <s v="EU"/>
    <s v="12"/>
    <s v="4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539"/>
    <n v="1585028383"/>
    <s v=""/>
    <s v=""/>
    <s v="42"/>
    <x v="2"/>
    <s v="EU"/>
    <s v="12"/>
    <s v="7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138273"/>
    <n v="1457771195"/>
    <s v="*"/>
    <s v=""/>
    <s v="52"/>
    <x v="0"/>
    <s v="EU"/>
    <s v="13"/>
    <s v="1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46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1359823"/>
    <n v="2133460159"/>
    <s v=""/>
    <s v=""/>
    <s v="S2"/>
    <x v="15"/>
    <s v="FW"/>
    <s v="1"/>
    <s v="5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93"/>
    <n v="2133460159"/>
    <s v=""/>
    <s v="RS"/>
    <s v="42"/>
    <x v="2"/>
    <s v="EU"/>
    <s v="12"/>
    <s v="4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550"/>
    <n v="2133460159"/>
    <s v=""/>
    <s v="RS"/>
    <s v="42"/>
    <x v="2"/>
    <s v="EU"/>
    <s v="12"/>
    <s v="4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653"/>
    <n v="1585028383"/>
    <s v=""/>
    <s v=""/>
    <s v="42"/>
    <x v="2"/>
    <s v="EU"/>
    <s v="12"/>
    <s v="1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124"/>
    <n v="272891368"/>
    <s v=""/>
    <s v=""/>
    <s v="42"/>
    <x v="2"/>
    <s v="EU"/>
    <s v="12"/>
    <s v="2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275"/>
    <n v="1937971277"/>
    <s v="2"/>
    <s v="RS"/>
    <s v="0M"/>
    <x v="12"/>
    <s v="MY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139882"/>
    <n v="1457771195"/>
    <s v="0"/>
    <s v=""/>
    <s v="52"/>
    <x v="0"/>
    <s v="EU"/>
    <s v="13"/>
    <s v="5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551"/>
    <n v="1585028383"/>
    <s v=""/>
    <s v=""/>
    <s v="42"/>
    <x v="2"/>
    <s v="EU"/>
    <s v="12"/>
    <s v="7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87"/>
    <n v="1585028383"/>
    <s v=""/>
    <s v=""/>
    <s v="42"/>
    <x v="2"/>
    <s v="EU"/>
    <s v="12"/>
    <s v="8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842"/>
    <n v="1585028383"/>
    <s v=""/>
    <s v=""/>
    <s v="42"/>
    <x v="2"/>
    <s v="EU"/>
    <s v="12"/>
    <s v="7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169"/>
    <n v="272891368"/>
    <s v="0"/>
    <s v=""/>
    <s v="42"/>
    <x v="2"/>
    <s v="EU"/>
    <s v="12"/>
    <s v="4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8381"/>
    <n v="1457771195"/>
    <s v=""/>
    <s v=""/>
    <s v="42"/>
    <x v="2"/>
    <s v="EU"/>
    <s v="12"/>
    <s v="4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72"/>
    <n v="1457771195"/>
    <s v=""/>
    <s v=""/>
    <s v="42"/>
    <x v="2"/>
    <s v="EU"/>
    <s v="12"/>
    <s v="4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709"/>
    <n v="2133460159"/>
    <s v=""/>
    <s v="RS"/>
    <s v="41"/>
    <x v="1"/>
    <s v="EU"/>
    <s v="03"/>
    <s v="1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9199"/>
    <n v="1585028383"/>
    <s v=""/>
    <s v=""/>
    <s v="52"/>
    <x v="0"/>
    <s v="EU"/>
    <s v="13"/>
    <s v="9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817"/>
    <n v="2133460159"/>
    <s v=""/>
    <s v="RS"/>
    <s v="42"/>
    <x v="2"/>
    <s v="EU"/>
    <s v="12"/>
    <s v="4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9049"/>
    <n v="1585028383"/>
    <s v=""/>
    <s v=""/>
    <s v="42"/>
    <x v="2"/>
    <s v="EU"/>
    <s v="12"/>
    <s v="4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595"/>
    <n v="2133460159"/>
    <s v=""/>
    <s v="RS"/>
    <s v="42"/>
    <x v="2"/>
    <s v="EU"/>
    <s v="12"/>
    <s v="5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187"/>
    <n v="272891368"/>
    <s v=""/>
    <s v=""/>
    <s v="42"/>
    <x v="2"/>
    <s v="EU"/>
    <s v="12"/>
    <s v="5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99"/>
    <n v="272891368"/>
    <s v=""/>
    <s v=""/>
    <s v="52"/>
    <x v="0"/>
    <s v="EU"/>
    <s v="13"/>
    <s v="5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376"/>
    <n v="272891368"/>
    <s v="*"/>
    <s v=""/>
    <s v="52"/>
    <x v="0"/>
    <s v="EU"/>
    <s v="13"/>
    <s v="2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264"/>
    <n v="1457771195"/>
    <s v="0"/>
    <s v=""/>
    <s v="42"/>
    <x v="2"/>
    <s v="EU"/>
    <s v="12"/>
    <s v="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24"/>
    <n v="1457771195"/>
    <s v="0"/>
    <s v=""/>
    <s v="42"/>
    <x v="2"/>
    <s v="EU"/>
    <s v="12"/>
    <s v="6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40008"/>
    <n v="1457771195"/>
    <s v=""/>
    <s v=""/>
    <s v="32"/>
    <x v="11"/>
    <s v="EU"/>
    <s v="11"/>
    <s v="9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818"/>
    <n v="1585028383"/>
    <s v=""/>
    <s v=""/>
    <s v="42"/>
    <x v="2"/>
    <s v="EU"/>
    <s v="12"/>
    <s v="6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29"/>
    <n v="1585028383"/>
    <s v=""/>
    <s v=""/>
    <s v="42"/>
    <x v="2"/>
    <s v="EU"/>
    <s v="12"/>
    <s v="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805"/>
    <n v="2133460159"/>
    <s v=""/>
    <s v="RS"/>
    <s v="42"/>
    <x v="2"/>
    <s v="EU"/>
    <s v="12"/>
    <s v="4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8530"/>
    <n v="1585028383"/>
    <s v=""/>
    <s v=""/>
    <s v="52"/>
    <x v="0"/>
    <s v="EU"/>
    <s v="13"/>
    <s v="6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9025"/>
    <n v="1585028383"/>
    <s v=""/>
    <s v=""/>
    <s v="42"/>
    <x v="2"/>
    <s v="EU"/>
    <s v="12"/>
    <s v="3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-1005773345"/>
    <n v="-1000024921"/>
    <s v=""/>
    <s v=""/>
    <s v="42"/>
    <x v="2"/>
    <s v="EU"/>
    <s v="12"/>
    <s v="3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9869121"/>
    <n v="1585028383"/>
    <s v=""/>
    <s v=""/>
    <s v="42"/>
    <x v="2"/>
    <s v="EU"/>
    <s v="12"/>
    <s v="6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82"/>
    <n v="1585028383"/>
    <s v=""/>
    <s v=""/>
    <s v="42"/>
    <x v="2"/>
    <s v="EU"/>
    <s v="12"/>
    <s v="5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301"/>
    <n v="272891368"/>
    <s v=""/>
    <s v=""/>
    <s v="42"/>
    <x v="2"/>
    <s v="EU"/>
    <s v="12"/>
    <s v="8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75"/>
    <n v="272891368"/>
    <s v=""/>
    <s v=""/>
    <s v="42"/>
    <x v="2"/>
    <s v="EU"/>
    <s v="12"/>
    <s v="4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9196"/>
    <n v="1585028383"/>
    <s v=""/>
    <s v=""/>
    <s v="42"/>
    <x v="2"/>
    <s v="EU"/>
    <s v="12"/>
    <s v="9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68"/>
    <n v="1585028383"/>
    <s v=""/>
    <s v=""/>
    <s v="42"/>
    <x v="2"/>
    <s v="EU"/>
    <s v="12"/>
    <s v="1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208"/>
    <n v="1585028383"/>
    <s v=""/>
    <s v=""/>
    <s v="42"/>
    <x v="2"/>
    <s v="EU"/>
    <s v="12"/>
    <s v="9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55"/>
    <n v="1585028383"/>
    <s v=""/>
    <s v=""/>
    <s v="42"/>
    <x v="2"/>
    <s v="EU"/>
    <s v="12"/>
    <s v="4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9897"/>
    <n v="1457771195"/>
    <s v=""/>
    <s v=""/>
    <s v="42"/>
    <x v="2"/>
    <s v="EU"/>
    <s v="12"/>
    <s v="5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7403"/>
    <n v="272891368"/>
    <s v="*"/>
    <s v=""/>
    <s v="42"/>
    <x v="2"/>
    <s v="EU"/>
    <s v="12"/>
    <s v="3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9930"/>
    <n v="1457771195"/>
    <s v="0"/>
    <s v=""/>
    <s v="52"/>
    <x v="0"/>
    <s v="EU"/>
    <s v="13"/>
    <s v="6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656"/>
    <n v="1585028383"/>
    <s v=""/>
    <s v=""/>
    <s v="42"/>
    <x v="2"/>
    <s v="EU"/>
    <s v="12"/>
    <s v="1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49"/>
    <n v="1585028383"/>
    <s v=""/>
    <s v=""/>
    <s v="42"/>
    <x v="2"/>
    <s v="EU"/>
    <s v="12"/>
    <s v="4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460"/>
    <n v="2133460159"/>
    <s v=""/>
    <s v="RS"/>
    <s v="42"/>
    <x v="2"/>
    <s v="EU"/>
    <s v="12"/>
    <s v="1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41"/>
    <n v="1937971277"/>
    <s v=""/>
    <s v="RG"/>
    <s v=""/>
    <x v="6"/>
    <s v="EU"/>
    <s v="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137091"/>
    <n v="272891368"/>
    <s v="*"/>
    <s v="UF"/>
    <s v="42"/>
    <x v="2"/>
    <s v="EU"/>
    <s v="12"/>
    <s v="8"/>
    <s v="Scales"/>
    <n v="2126660001"/>
    <s v="5 SCALES DOWN PER FISH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2T00:00:00"/>
    <s v="96926"/>
  </r>
  <r>
    <n v="12137202"/>
    <n v="272891368"/>
    <s v="0"/>
    <s v=""/>
    <s v="42"/>
    <x v="2"/>
    <s v="EU"/>
    <s v="12"/>
    <s v="5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59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1227560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9869106"/>
    <n v="1585028383"/>
    <s v=""/>
    <s v=""/>
    <s v="42"/>
    <x v="2"/>
    <s v="EU"/>
    <s v="12"/>
    <s v="6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58"/>
    <n v="1585028383"/>
    <s v=""/>
    <s v=""/>
    <s v="42"/>
    <x v="2"/>
    <s v="EU"/>
    <s v="12"/>
    <s v="4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8674542"/>
    <n v="2076564668"/>
    <s v=""/>
    <s v=""/>
    <s v="31"/>
    <x v="7"/>
    <s v="EU"/>
    <s v="02"/>
    <s v="13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1359442"/>
    <n v="2133460159"/>
    <s v=""/>
    <s v=""/>
    <s v="52"/>
    <x v="0"/>
    <s v="EU"/>
    <s v="13"/>
    <s v="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845"/>
    <n v="1585028383"/>
    <s v=""/>
    <s v=""/>
    <s v="52"/>
    <x v="0"/>
    <s v="EU"/>
    <s v="13"/>
    <s v="7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25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137049"/>
    <n v="272891368"/>
    <s v=""/>
    <s v=""/>
    <s v="53"/>
    <x v="4"/>
    <s v="EU"/>
    <s v="22"/>
    <s v="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42"/>
    <n v="272891368"/>
    <s v=""/>
    <s v=""/>
    <s v="42"/>
    <x v="2"/>
    <s v="EU"/>
    <s v="12"/>
    <s v="3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814"/>
    <n v="2133460159"/>
    <s v=""/>
    <s v="RS"/>
    <s v="41"/>
    <x v="1"/>
    <s v="EU"/>
    <s v="03"/>
    <s v="4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625"/>
    <n v="2133460159"/>
    <s v=""/>
    <s v="RS"/>
    <s v="52"/>
    <x v="0"/>
    <s v="EU"/>
    <s v="13"/>
    <s v="6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524"/>
    <n v="1937971277"/>
    <s v="2"/>
    <s v="RG"/>
    <s v=""/>
    <x v="6"/>
    <s v="EU"/>
    <s v="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137340"/>
    <n v="272891368"/>
    <s v=""/>
    <s v=""/>
    <s v="52"/>
    <x v="0"/>
    <s v="EU"/>
    <s v="13"/>
    <s v="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1359577"/>
    <n v="2133460159"/>
    <s v=""/>
    <s v="RS"/>
    <s v="31"/>
    <x v="7"/>
    <s v="EU"/>
    <s v="02"/>
    <s v="5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8252"/>
    <n v="1457771195"/>
    <s v=""/>
    <s v=""/>
    <s v="42"/>
    <x v="2"/>
    <s v="EU"/>
    <s v="12"/>
    <s v="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7343"/>
    <n v="272891368"/>
    <s v=""/>
    <s v=""/>
    <s v="42"/>
    <x v="2"/>
    <s v="EU"/>
    <s v="12"/>
    <s v="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240"/>
    <n v="1457771195"/>
    <s v="*"/>
    <s v=""/>
    <s v="42"/>
    <x v="2"/>
    <s v="EU"/>
    <s v="12"/>
    <s v="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7406"/>
    <n v="272891368"/>
    <s v="0"/>
    <s v=""/>
    <s v="52"/>
    <x v="0"/>
    <s v="EU"/>
    <s v="13"/>
    <s v="3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44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1359445"/>
    <n v="2133460159"/>
    <s v=""/>
    <s v=""/>
    <s v="42"/>
    <x v="2"/>
    <s v="EU"/>
    <s v="12"/>
    <s v="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067"/>
    <n v="272891368"/>
    <s v=""/>
    <s v=""/>
    <s v="42"/>
    <x v="2"/>
    <s v="EU"/>
    <s v="12"/>
    <s v="1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8500"/>
    <n v="1585028383"/>
    <s v=""/>
    <s v=""/>
    <s v="42"/>
    <x v="2"/>
    <s v="EU"/>
    <s v="12"/>
    <s v="5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137223"/>
    <n v="272891368"/>
    <s v=""/>
    <s v=""/>
    <s v="42"/>
    <x v="2"/>
    <s v="EU"/>
    <s v="12"/>
    <s v="6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40038"/>
    <n v="272891368"/>
    <s v="*"/>
    <s v=""/>
    <s v="52"/>
    <x v="0"/>
    <s v="EU"/>
    <s v="13"/>
    <s v="3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288"/>
    <n v="1457771195"/>
    <s v=""/>
    <s v=""/>
    <s v="52"/>
    <x v="0"/>
    <s v="EU"/>
    <s v="13"/>
    <s v="1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992"/>
    <n v="1585028383"/>
    <s v=""/>
    <s v=""/>
    <s v="42"/>
    <x v="2"/>
    <s v="EU"/>
    <s v="12"/>
    <s v="2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-1005773341"/>
    <n v="-1000024921"/>
    <s v=""/>
    <s v=""/>
    <s v="42"/>
    <x v="2"/>
    <s v="EU"/>
    <s v="12"/>
    <s v="5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9868731"/>
    <n v="1585028383"/>
    <s v=""/>
    <s v=""/>
    <s v="42"/>
    <x v="2"/>
    <s v="EU"/>
    <s v="12"/>
    <s v="3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54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137346"/>
    <n v="272891368"/>
    <s v=""/>
    <s v=""/>
    <s v="52"/>
    <x v="0"/>
    <s v="EU"/>
    <s v="13"/>
    <s v="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414"/>
    <n v="408628360"/>
    <s v="*"/>
    <s v=""/>
    <s v="42"/>
    <x v="2"/>
    <s v="EU"/>
    <s v="12"/>
    <s v="1"/>
    <s v="Otolith - Burnt Section"/>
    <n v="2126660003"/>
    <s v="1 OTOLITH ACROSS (TRAY)"/>
    <n v="11707552"/>
    <s v="ATNARKO ESCAPEMENT - 2021"/>
    <n v="23703"/>
    <s v="S ATNARKO ABOVE STILLWATER"/>
    <x v="9"/>
    <s v="2021/0290"/>
    <n v="1"/>
    <s v="SOCKEYE SALMON"/>
    <n v="2086090012"/>
    <x v="1"/>
    <n v="83"/>
    <s v="Gaff (Deadpitch)"/>
    <s v="Adult"/>
    <d v="2021-09-27T00:00:00"/>
    <d v="2021-09-27T00:00:00"/>
    <s v="Oto Box 6"/>
  </r>
  <r>
    <n v="9868953"/>
    <n v="1585028383"/>
    <s v=""/>
    <s v=""/>
    <s v="52"/>
    <x v="0"/>
    <s v="EU"/>
    <s v="13"/>
    <s v="1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721"/>
    <n v="2133460159"/>
    <s v=""/>
    <s v=""/>
    <s v="42"/>
    <x v="2"/>
    <s v="EU"/>
    <s v="12"/>
    <s v="1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685"/>
    <n v="2133460159"/>
    <s v=""/>
    <s v=""/>
    <s v="31"/>
    <x v="7"/>
    <s v="EU"/>
    <s v="02"/>
    <s v="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8674506"/>
    <n v="2076564668"/>
    <s v=""/>
    <s v=""/>
    <s v="42"/>
    <x v="2"/>
    <s v="EU"/>
    <s v="12"/>
    <s v="1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9115"/>
    <n v="1585028383"/>
    <s v=""/>
    <s v=""/>
    <s v="42"/>
    <x v="2"/>
    <s v="EU"/>
    <s v="12"/>
    <s v="6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575"/>
    <n v="1585028383"/>
    <s v=""/>
    <s v=""/>
    <s v="52"/>
    <x v="0"/>
    <s v="EU"/>
    <s v="13"/>
    <s v="7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72"/>
    <n v="1585028383"/>
    <s v=""/>
    <s v=""/>
    <s v="52"/>
    <x v="0"/>
    <s v="EU"/>
    <s v="13"/>
    <s v="7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1359751"/>
    <n v="2133460159"/>
    <s v=""/>
    <s v="RS"/>
    <s v="42"/>
    <x v="2"/>
    <s v="EU"/>
    <s v="12"/>
    <s v="2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03"/>
    <n v="2133460159"/>
    <s v=""/>
    <s v="RS"/>
    <s v="42"/>
    <x v="2"/>
    <s v="EU"/>
    <s v="12"/>
    <s v="1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631"/>
    <n v="2133460159"/>
    <s v=""/>
    <s v="RS"/>
    <s v="42"/>
    <x v="2"/>
    <s v="EU"/>
    <s v="12"/>
    <s v="6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073"/>
    <n v="272891368"/>
    <s v="0"/>
    <s v=""/>
    <s v="42"/>
    <x v="2"/>
    <s v="EU"/>
    <s v="12"/>
    <s v="1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03"/>
    <n v="1457771195"/>
    <s v=""/>
    <s v=""/>
    <s v="42"/>
    <x v="2"/>
    <s v="EU"/>
    <s v="12"/>
    <s v="5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69"/>
    <n v="1457771195"/>
    <s v="0"/>
    <s v=""/>
    <s v="52"/>
    <x v="0"/>
    <s v="EU"/>
    <s v="13"/>
    <s v="8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829"/>
    <n v="2133460159"/>
    <s v=""/>
    <s v="RS"/>
    <s v="42"/>
    <x v="2"/>
    <s v="EU"/>
    <s v="12"/>
    <s v="5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8989"/>
    <n v="1585028383"/>
    <s v=""/>
    <s v=""/>
    <s v="42"/>
    <x v="2"/>
    <s v="EU"/>
    <s v="12"/>
    <s v="2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610"/>
    <n v="2133460159"/>
    <s v=""/>
    <s v="RS"/>
    <s v="42"/>
    <x v="2"/>
    <s v="EU"/>
    <s v="12"/>
    <s v="6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55"/>
    <n v="2133460159"/>
    <s v=""/>
    <s v=""/>
    <s v="42"/>
    <x v="2"/>
    <s v="EU"/>
    <s v="12"/>
    <s v="7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45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2137040"/>
    <n v="272891368"/>
    <s v="0"/>
    <s v=""/>
    <s v="42"/>
    <x v="2"/>
    <s v="EU"/>
    <s v="12"/>
    <s v="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17"/>
    <n v="272891368"/>
    <s v=""/>
    <s v=""/>
    <s v="42"/>
    <x v="2"/>
    <s v="EU"/>
    <s v="12"/>
    <s v="6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8674554"/>
    <n v="2076564668"/>
    <s v=""/>
    <s v=""/>
    <s v="52"/>
    <x v="0"/>
    <s v="EU"/>
    <s v="13"/>
    <s v="17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8710"/>
    <n v="1585028383"/>
    <s v=""/>
    <s v=""/>
    <s v="41"/>
    <x v="1"/>
    <s v="EU"/>
    <s v="03"/>
    <s v="3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73"/>
    <n v="1585028383"/>
    <s v=""/>
    <s v=""/>
    <s v="52"/>
    <x v="0"/>
    <s v="EU"/>
    <s v="13"/>
    <s v="5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9211"/>
    <n v="1585028383"/>
    <s v=""/>
    <s v=""/>
    <s v="42"/>
    <x v="2"/>
    <s v="EU"/>
    <s v="12"/>
    <s v="9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626"/>
    <n v="1937971277"/>
    <s v="2"/>
    <s v="RS"/>
    <s v="S2"/>
    <x v="15"/>
    <s v="FW"/>
    <s v="1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1359436"/>
    <n v="2133460159"/>
    <s v=""/>
    <s v=""/>
    <s v="42"/>
    <x v="2"/>
    <s v="EU"/>
    <s v="12"/>
    <s v="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884"/>
    <n v="1585028383"/>
    <s v=""/>
    <s v=""/>
    <s v="42"/>
    <x v="2"/>
    <s v="EU"/>
    <s v="12"/>
    <s v="8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514"/>
    <n v="2133460159"/>
    <s v=""/>
    <s v=""/>
    <s v="52"/>
    <x v="0"/>
    <s v="EU"/>
    <s v="13"/>
    <s v="3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46"/>
    <n v="2133460159"/>
    <s v=""/>
    <s v="NS"/>
    <s v=""/>
    <x v="6"/>
    <s v="EU"/>
    <s v=""/>
    <s v="74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61"/>
    <n v="2133460159"/>
    <s v="2"/>
    <s v="RS"/>
    <s v="S2"/>
    <x v="15"/>
    <s v="FW"/>
    <s v="1"/>
    <s v="79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9163"/>
    <n v="1585028383"/>
    <s v=""/>
    <s v=""/>
    <s v="52"/>
    <x v="0"/>
    <s v="EU"/>
    <s v="13"/>
    <s v="8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33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137397"/>
    <n v="272891368"/>
    <s v="*"/>
    <s v=""/>
    <s v="42"/>
    <x v="2"/>
    <s v="EU"/>
    <s v="12"/>
    <s v="2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41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12137115"/>
    <n v="272891368"/>
    <s v="0"/>
    <s v=""/>
    <s v="42"/>
    <x v="2"/>
    <s v="EU"/>
    <s v="12"/>
    <s v="2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313"/>
    <n v="272891368"/>
    <s v=""/>
    <s v=""/>
    <s v="42"/>
    <x v="2"/>
    <s v="EU"/>
    <s v="12"/>
    <s v="9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569"/>
    <n v="1937971277"/>
    <s v="2"/>
    <s v="RG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9868683"/>
    <n v="1585028383"/>
    <s v=""/>
    <s v=""/>
    <s v="42"/>
    <x v="2"/>
    <s v="EU"/>
    <s v="12"/>
    <s v="2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02"/>
    <n v="1585028383"/>
    <s v=""/>
    <s v=""/>
    <s v="42"/>
    <x v="2"/>
    <s v="EU"/>
    <s v="12"/>
    <s v="9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138258"/>
    <n v="1457771195"/>
    <s v=""/>
    <s v=""/>
    <s v="42"/>
    <x v="2"/>
    <s v="EU"/>
    <s v="12"/>
    <s v="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9058"/>
    <n v="1585028383"/>
    <s v=""/>
    <s v=""/>
    <s v="41"/>
    <x v="1"/>
    <s v="EU"/>
    <s v="03"/>
    <s v="4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47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8674575"/>
    <n v="2076564668"/>
    <s v=""/>
    <s v=""/>
    <s v="32"/>
    <x v="11"/>
    <s v="EU"/>
    <s v="11"/>
    <s v="24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8743"/>
    <n v="1585028383"/>
    <s v=""/>
    <s v=""/>
    <s v="52"/>
    <x v="0"/>
    <s v="EU"/>
    <s v="13"/>
    <s v="4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34"/>
    <n v="1585028383"/>
    <s v=""/>
    <s v=""/>
    <s v="42"/>
    <x v="2"/>
    <s v="EU"/>
    <s v="12"/>
    <s v="3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622"/>
    <n v="2133460159"/>
    <s v=""/>
    <s v="RS"/>
    <s v="52"/>
    <x v="0"/>
    <s v="EU"/>
    <s v="13"/>
    <s v="6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69"/>
    <n v="2133460159"/>
    <s v=""/>
    <s v=""/>
    <s v="42"/>
    <x v="2"/>
    <s v="EU"/>
    <s v="12"/>
    <s v="1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43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137322"/>
    <n v="272891368"/>
    <s v="*"/>
    <s v=""/>
    <s v="42"/>
    <x v="2"/>
    <s v="EU"/>
    <s v="12"/>
    <s v="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276"/>
    <n v="1457771195"/>
    <s v="*"/>
    <s v=""/>
    <s v="42"/>
    <x v="2"/>
    <s v="EU"/>
    <s v="12"/>
    <s v="1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7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138336"/>
    <n v="1457771195"/>
    <s v="0"/>
    <s v=""/>
    <s v="52"/>
    <x v="0"/>
    <s v="EU"/>
    <s v="13"/>
    <s v="3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632"/>
    <n v="1937971277"/>
    <s v="2"/>
    <s v="RS"/>
    <s v="S2"/>
    <x v="15"/>
    <s v="FW"/>
    <s v="1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227542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6651370"/>
    <n v="649384895"/>
    <s v=""/>
    <s v=""/>
    <s v="52"/>
    <x v="0"/>
    <s v="EU"/>
    <s v="13"/>
    <s v="3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12137298"/>
    <n v="272891368"/>
    <s v="0"/>
    <s v=""/>
    <s v="42"/>
    <x v="2"/>
    <s v="EU"/>
    <s v="12"/>
    <s v="8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63"/>
    <n v="272891368"/>
    <s v="0"/>
    <s v=""/>
    <s v="42"/>
    <x v="2"/>
    <s v="EU"/>
    <s v="12"/>
    <s v="4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885"/>
    <n v="1457771195"/>
    <s v=""/>
    <s v=""/>
    <s v="42"/>
    <x v="2"/>
    <s v="EU"/>
    <s v="12"/>
    <s v="5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25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9869103"/>
    <n v="1585028383"/>
    <s v=""/>
    <s v=""/>
    <s v="42"/>
    <x v="2"/>
    <s v="EU"/>
    <s v="12"/>
    <s v="6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7226"/>
    <n v="272891368"/>
    <s v=""/>
    <s v=""/>
    <s v="31"/>
    <x v="7"/>
    <s v="EU"/>
    <s v="02"/>
    <s v="6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835"/>
    <n v="2133460159"/>
    <s v=""/>
    <s v="RS"/>
    <s v="41"/>
    <x v="1"/>
    <s v="EU"/>
    <s v="03"/>
    <s v="5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8509"/>
    <n v="1585028383"/>
    <s v=""/>
    <s v=""/>
    <s v="42"/>
    <x v="2"/>
    <s v="EU"/>
    <s v="12"/>
    <s v="6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137085"/>
    <n v="272891368"/>
    <s v=""/>
    <s v=""/>
    <s v="42"/>
    <x v="2"/>
    <s v="EU"/>
    <s v="12"/>
    <s v="1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682"/>
    <n v="2133460159"/>
    <s v=""/>
    <s v="RS"/>
    <s v="42"/>
    <x v="2"/>
    <s v="EU"/>
    <s v="12"/>
    <s v="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2137379"/>
    <n v="272891368"/>
    <s v="*"/>
    <s v=""/>
    <s v="42"/>
    <x v="2"/>
    <s v="EU"/>
    <s v="12"/>
    <s v="2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385"/>
    <n v="272891368"/>
    <s v="*"/>
    <s v=""/>
    <s v="42"/>
    <x v="2"/>
    <s v="EU"/>
    <s v="12"/>
    <s v="2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229"/>
    <n v="272891368"/>
    <s v=""/>
    <s v=""/>
    <s v="63"/>
    <x v="8"/>
    <s v="EU"/>
    <s v="23"/>
    <s v="6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620"/>
    <n v="1937971277"/>
    <s v="2"/>
    <s v="RS"/>
    <s v="S2"/>
    <x v="15"/>
    <s v="FW"/>
    <s v="1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1359505"/>
    <n v="2133460159"/>
    <s v=""/>
    <s v="RS"/>
    <s v="42"/>
    <x v="2"/>
    <s v="EU"/>
    <s v="12"/>
    <s v="2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713"/>
    <n v="1585028383"/>
    <s v=""/>
    <s v=""/>
    <s v="52"/>
    <x v="0"/>
    <s v="EU"/>
    <s v="13"/>
    <s v="3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45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137118"/>
    <n v="272891368"/>
    <s v=""/>
    <s v=""/>
    <s v="42"/>
    <x v="2"/>
    <s v="EU"/>
    <s v="12"/>
    <s v="2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8312"/>
    <n v="1457771195"/>
    <s v=""/>
    <s v=""/>
    <s v="31"/>
    <x v="7"/>
    <s v="EU"/>
    <s v="02"/>
    <s v="2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27"/>
    <n v="1457771195"/>
    <s v=""/>
    <s v=""/>
    <s v="52"/>
    <x v="0"/>
    <s v="EU"/>
    <s v="13"/>
    <s v="3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0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27548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9869016"/>
    <n v="1585028383"/>
    <s v=""/>
    <s v=""/>
    <s v="32"/>
    <x v="11"/>
    <s v="EU"/>
    <s v="11"/>
    <s v="3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10"/>
    <n v="1585028383"/>
    <s v=""/>
    <s v=""/>
    <s v="52"/>
    <x v="0"/>
    <s v="EU"/>
    <s v="13"/>
    <s v="3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77"/>
    <n v="1585028383"/>
    <s v=""/>
    <s v=""/>
    <s v="42"/>
    <x v="2"/>
    <s v="EU"/>
    <s v="12"/>
    <s v="1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45"/>
    <n v="1585028383"/>
    <s v=""/>
    <s v=""/>
    <s v="52"/>
    <x v="0"/>
    <s v="EU"/>
    <s v="13"/>
    <s v="7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04"/>
    <n v="1585028383"/>
    <s v=""/>
    <s v=""/>
    <s v="52"/>
    <x v="0"/>
    <s v="EU"/>
    <s v="13"/>
    <s v="2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78"/>
    <n v="1585028383"/>
    <s v=""/>
    <s v=""/>
    <s v="42"/>
    <x v="2"/>
    <s v="EU"/>
    <s v="12"/>
    <s v="8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16"/>
    <n v="1585028383"/>
    <s v=""/>
    <s v=""/>
    <s v="42"/>
    <x v="2"/>
    <s v="EU"/>
    <s v="12"/>
    <s v="3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763"/>
    <n v="2133460159"/>
    <s v=""/>
    <s v="RS"/>
    <s v="42"/>
    <x v="2"/>
    <s v="EU"/>
    <s v="12"/>
    <s v="3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520"/>
    <n v="2133460159"/>
    <s v=""/>
    <s v="RS"/>
    <s v="52"/>
    <x v="0"/>
    <s v="EU"/>
    <s v="13"/>
    <s v="3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93"/>
    <n v="2133460159"/>
    <s v=""/>
    <s v="RS"/>
    <s v="52"/>
    <x v="0"/>
    <s v="EU"/>
    <s v="13"/>
    <s v="2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9918"/>
    <n v="1457771195"/>
    <s v=""/>
    <s v=""/>
    <s v="52"/>
    <x v="0"/>
    <s v="EU"/>
    <s v="13"/>
    <s v="6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9061"/>
    <n v="1585028383"/>
    <s v=""/>
    <s v=""/>
    <s v="42"/>
    <x v="2"/>
    <s v="EU"/>
    <s v="12"/>
    <s v="4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69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137334"/>
    <n v="272891368"/>
    <s v="0"/>
    <s v=""/>
    <s v="42"/>
    <x v="2"/>
    <s v="EU"/>
    <s v="12"/>
    <s v="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112"/>
    <n v="272891368"/>
    <s v="0"/>
    <s v=""/>
    <s v="42"/>
    <x v="2"/>
    <s v="EU"/>
    <s v="12"/>
    <s v="2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92"/>
    <n v="272891368"/>
    <s v="0"/>
    <s v=""/>
    <s v="52"/>
    <x v="0"/>
    <s v="EU"/>
    <s v="13"/>
    <s v="8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75"/>
    <n v="1457771195"/>
    <s v="0"/>
    <s v=""/>
    <s v="42"/>
    <x v="2"/>
    <s v="EU"/>
    <s v="12"/>
    <s v="8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674"/>
    <n v="1585028383"/>
    <s v=""/>
    <s v=""/>
    <s v="42"/>
    <x v="2"/>
    <s v="EU"/>
    <s v="12"/>
    <s v="1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99"/>
    <n v="1585028383"/>
    <s v=""/>
    <s v=""/>
    <s v="52"/>
    <x v="0"/>
    <s v="EU"/>
    <s v="13"/>
    <s v="9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59"/>
    <n v="1585028383"/>
    <s v=""/>
    <s v=""/>
    <s v="52"/>
    <x v="0"/>
    <s v="EU"/>
    <s v="13"/>
    <s v="1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97"/>
    <n v="1585028383"/>
    <s v=""/>
    <s v=""/>
    <s v="42"/>
    <x v="2"/>
    <s v="EU"/>
    <s v="12"/>
    <s v="5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39"/>
    <n v="1585028383"/>
    <s v=""/>
    <s v=""/>
    <s v="52"/>
    <x v="0"/>
    <s v="EU"/>
    <s v="13"/>
    <s v="7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71"/>
    <n v="1585028383"/>
    <s v=""/>
    <s v=""/>
    <s v="42"/>
    <x v="2"/>
    <s v="EU"/>
    <s v="12"/>
    <s v="1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220"/>
    <n v="1585028383"/>
    <s v=""/>
    <s v=""/>
    <s v="42"/>
    <x v="2"/>
    <s v="EU"/>
    <s v="12"/>
    <s v="10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09"/>
    <n v="1585028383"/>
    <s v=""/>
    <s v=""/>
    <s v="42"/>
    <x v="2"/>
    <s v="EU"/>
    <s v="12"/>
    <s v="6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097"/>
    <n v="1585028383"/>
    <s v=""/>
    <s v=""/>
    <s v="42"/>
    <x v="2"/>
    <s v="EU"/>
    <s v="12"/>
    <s v="5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18"/>
    <n v="1585028383"/>
    <s v=""/>
    <s v=""/>
    <s v="42"/>
    <x v="2"/>
    <s v="EU"/>
    <s v="12"/>
    <s v="6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641"/>
    <n v="1585028383"/>
    <s v=""/>
    <s v=""/>
    <s v="42"/>
    <x v="2"/>
    <s v="EU"/>
    <s v="12"/>
    <s v="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70"/>
    <n v="1585028383"/>
    <s v=""/>
    <s v=""/>
    <s v="42"/>
    <x v="2"/>
    <s v="EU"/>
    <s v="12"/>
    <s v="5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761"/>
    <n v="1585028383"/>
    <s v=""/>
    <s v=""/>
    <s v="42"/>
    <x v="2"/>
    <s v="EU"/>
    <s v="12"/>
    <s v="4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590"/>
    <n v="1585028383"/>
    <s v=""/>
    <s v=""/>
    <s v="42"/>
    <x v="2"/>
    <s v="EU"/>
    <s v="12"/>
    <s v="8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9148"/>
    <n v="1585028383"/>
    <s v=""/>
    <s v=""/>
    <s v="42"/>
    <x v="2"/>
    <s v="EU"/>
    <s v="12"/>
    <s v="7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664"/>
    <n v="2133460159"/>
    <s v="2"/>
    <s v="RS"/>
    <s v=""/>
    <x v="6"/>
    <s v="EU"/>
    <s v=""/>
    <s v="80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74"/>
    <n v="2133460159"/>
    <s v=""/>
    <s v="RS"/>
    <s v="52"/>
    <x v="0"/>
    <s v="EU"/>
    <s v="13"/>
    <s v="5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526"/>
    <n v="2133460159"/>
    <s v=""/>
    <s v="RS"/>
    <s v="42"/>
    <x v="2"/>
    <s v="EU"/>
    <s v="12"/>
    <s v="3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2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27536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137076"/>
    <n v="272891368"/>
    <s v="0"/>
    <s v=""/>
    <s v="42"/>
    <x v="2"/>
    <s v="EU"/>
    <s v="12"/>
    <s v="1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82"/>
    <n v="272891368"/>
    <s v=""/>
    <s v=""/>
    <s v="42"/>
    <x v="2"/>
    <s v="EU"/>
    <s v="12"/>
    <s v="1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95"/>
    <n v="272891368"/>
    <s v="0"/>
    <s v=""/>
    <s v="42"/>
    <x v="2"/>
    <s v="EU"/>
    <s v="12"/>
    <s v="8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44"/>
    <n v="272891368"/>
    <s v=""/>
    <s v=""/>
    <s v="42"/>
    <x v="2"/>
    <s v="EU"/>
    <s v="12"/>
    <s v="6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8677"/>
    <n v="1585028383"/>
    <s v=""/>
    <s v=""/>
    <s v="42"/>
    <x v="2"/>
    <s v="EU"/>
    <s v="12"/>
    <s v="1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48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227560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6"/>
  </r>
  <r>
    <n v="-1005515179"/>
    <n v="-1000023139"/>
    <s v=""/>
    <s v=""/>
    <s v="52"/>
    <x v="0"/>
    <s v="EU"/>
    <s v="13"/>
    <s v="2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12140014"/>
    <n v="1457771195"/>
    <s v=""/>
    <s v=""/>
    <s v="42"/>
    <x v="2"/>
    <s v="EU"/>
    <s v="12"/>
    <s v="9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767"/>
    <n v="1585028383"/>
    <s v=""/>
    <s v=""/>
    <s v="42"/>
    <x v="2"/>
    <s v="EU"/>
    <s v="12"/>
    <s v="4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-1005773329"/>
    <n v="-1000024921"/>
    <s v=""/>
    <s v=""/>
    <s v="52"/>
    <x v="0"/>
    <s v="EU"/>
    <s v="13"/>
    <s v="1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11359478"/>
    <n v="2133460159"/>
    <s v=""/>
    <s v="RS"/>
    <s v="41"/>
    <x v="1"/>
    <s v="EU"/>
    <s v="03"/>
    <s v="1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40"/>
    <n v="2133460159"/>
    <s v=""/>
    <s v="RS"/>
    <s v="52"/>
    <x v="0"/>
    <s v="EU"/>
    <s v="13"/>
    <s v="7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869"/>
    <n v="1585028383"/>
    <s v=""/>
    <s v=""/>
    <s v="32"/>
    <x v="11"/>
    <s v="EU"/>
    <s v="11"/>
    <s v="8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42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9868896"/>
    <n v="1585028383"/>
    <s v=""/>
    <s v=""/>
    <s v="42"/>
    <x v="2"/>
    <s v="EU"/>
    <s v="12"/>
    <s v="9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286"/>
    <n v="272891368"/>
    <s v="0"/>
    <s v=""/>
    <s v="42"/>
    <x v="2"/>
    <s v="EU"/>
    <s v="12"/>
    <s v="8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29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-1004683147"/>
    <n v="-1000016973"/>
    <s v=""/>
    <s v=""/>
    <s v="42"/>
    <x v="2"/>
    <s v="EU"/>
    <s v="12"/>
    <s v="8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12138261"/>
    <n v="1457771195"/>
    <s v="0"/>
    <s v=""/>
    <s v="52"/>
    <x v="0"/>
    <s v="EU"/>
    <s v="13"/>
    <s v="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894"/>
    <n v="1457771195"/>
    <s v=""/>
    <s v=""/>
    <s v="52"/>
    <x v="0"/>
    <s v="EU"/>
    <s v="13"/>
    <s v="5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40035"/>
    <n v="272891368"/>
    <s v="*"/>
    <s v=""/>
    <s v="42"/>
    <x v="2"/>
    <s v="EU"/>
    <s v="12"/>
    <s v="3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9869193"/>
    <n v="1585028383"/>
    <s v=""/>
    <s v=""/>
    <s v="52"/>
    <x v="0"/>
    <s v="EU"/>
    <s v="13"/>
    <s v="9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7151"/>
    <n v="272891368"/>
    <s v=""/>
    <s v=""/>
    <s v="42"/>
    <x v="2"/>
    <s v="EU"/>
    <s v="12"/>
    <s v="3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8908"/>
    <n v="1585028383"/>
    <s v=""/>
    <s v=""/>
    <s v="52"/>
    <x v="0"/>
    <s v="EU"/>
    <s v="13"/>
    <s v="9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353"/>
    <n v="1937971277"/>
    <s v="2"/>
    <s v="RS"/>
    <s v="S2"/>
    <x v="15"/>
    <s v="FW"/>
    <s v="1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1359547"/>
    <n v="2133460159"/>
    <s v="2"/>
    <s v="RS"/>
    <s v="S2"/>
    <x v="15"/>
    <s v="FW"/>
    <s v="1"/>
    <s v="41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058"/>
    <n v="272891368"/>
    <s v="0"/>
    <s v=""/>
    <s v="42"/>
    <x v="2"/>
    <s v="EU"/>
    <s v="12"/>
    <s v="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06"/>
    <n v="272891368"/>
    <s v="0"/>
    <s v=""/>
    <s v="42"/>
    <x v="2"/>
    <s v="EU"/>
    <s v="12"/>
    <s v="2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553"/>
    <n v="2133460159"/>
    <s v=""/>
    <s v=""/>
    <s v="42"/>
    <x v="2"/>
    <s v="EU"/>
    <s v="12"/>
    <s v="4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220"/>
    <n v="272891368"/>
    <s v=""/>
    <s v=""/>
    <s v="52"/>
    <x v="0"/>
    <s v="EU"/>
    <s v="13"/>
    <s v="6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34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137394"/>
    <n v="272891368"/>
    <s v="*"/>
    <s v=""/>
    <s v="42"/>
    <x v="2"/>
    <s v="EU"/>
    <s v="12"/>
    <s v="2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8318"/>
    <n v="1457771195"/>
    <s v=""/>
    <s v=""/>
    <s v="52"/>
    <x v="0"/>
    <s v="EU"/>
    <s v="13"/>
    <s v="2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9202"/>
    <n v="1585028383"/>
    <s v=""/>
    <s v=""/>
    <s v="42"/>
    <x v="2"/>
    <s v="EU"/>
    <s v="12"/>
    <s v="9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8321"/>
    <n v="1457771195"/>
    <s v=""/>
    <s v=""/>
    <s v="42"/>
    <x v="2"/>
    <s v="EU"/>
    <s v="12"/>
    <s v="2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665"/>
    <n v="1937971277"/>
    <s v="2"/>
    <s v="RS"/>
    <s v="S2"/>
    <x v="15"/>
    <s v="FW"/>
    <s v="1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9868893"/>
    <n v="1585028383"/>
    <s v=""/>
    <s v=""/>
    <s v="42"/>
    <x v="2"/>
    <s v="EU"/>
    <s v="12"/>
    <s v="9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596"/>
    <n v="1585028383"/>
    <s v=""/>
    <s v=""/>
    <s v="42"/>
    <x v="2"/>
    <s v="EU"/>
    <s v="12"/>
    <s v="9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962"/>
    <n v="1585028383"/>
    <s v=""/>
    <s v=""/>
    <s v="52"/>
    <x v="0"/>
    <s v="EU"/>
    <s v="13"/>
    <s v="1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800"/>
    <n v="1585028383"/>
    <s v=""/>
    <s v=""/>
    <s v="42"/>
    <x v="2"/>
    <s v="EU"/>
    <s v="12"/>
    <s v="6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8674533"/>
    <n v="2076564668"/>
    <s v=""/>
    <s v="RG"/>
    <s v="2M"/>
    <x v="3"/>
    <s v="MY"/>
    <s v="2"/>
    <s v="10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12"/>
    <n v="2076564668"/>
    <s v=""/>
    <s v=""/>
    <s v="42"/>
    <x v="2"/>
    <s v="EU"/>
    <s v="12"/>
    <s v="3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78"/>
    <n v="2076564668"/>
    <s v="0"/>
    <s v=""/>
    <s v="31"/>
    <x v="7"/>
    <s v="EU"/>
    <s v="02"/>
    <s v="25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8674518"/>
    <n v="2076564668"/>
    <s v=""/>
    <s v=""/>
    <s v="42"/>
    <x v="2"/>
    <s v="EU"/>
    <s v="12"/>
    <s v="5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2137184"/>
    <n v="272891368"/>
    <s v=""/>
    <s v=""/>
    <s v="52"/>
    <x v="0"/>
    <s v="EU"/>
    <s v="13"/>
    <s v="4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9187"/>
    <n v="1585028383"/>
    <s v=""/>
    <s v=""/>
    <s v="42"/>
    <x v="2"/>
    <s v="EU"/>
    <s v="12"/>
    <s v="8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67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137400"/>
    <n v="272891368"/>
    <s v="*"/>
    <s v=""/>
    <s v="42"/>
    <x v="2"/>
    <s v="EU"/>
    <s v="12"/>
    <s v="2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61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2138420"/>
    <n v="408628360"/>
    <s v="0"/>
    <s v=""/>
    <s v="31"/>
    <x v="7"/>
    <s v="EU"/>
    <s v="02"/>
    <s v="3"/>
    <s v="Otolith - Burnt Section"/>
    <n v="2126660003"/>
    <s v="1 OTOLITH ACROSS (TRAY)"/>
    <n v="11707552"/>
    <s v="ATNARKO ESCAPEMENT - 2021"/>
    <n v="23703"/>
    <s v="S ATNARKO ABOVE STILLWATER"/>
    <x v="9"/>
    <s v="2021/0290"/>
    <n v="1"/>
    <s v="SOCKEYE SALMON"/>
    <n v="2086090012"/>
    <x v="1"/>
    <n v="83"/>
    <s v="Gaff (Deadpitch)"/>
    <s v="Adult"/>
    <d v="2021-09-27T00:00:00"/>
    <d v="2021-09-27T00:00:00"/>
    <s v="Oto Box 6"/>
  </r>
  <r>
    <n v="9869091"/>
    <n v="1585028383"/>
    <s v=""/>
    <s v=""/>
    <s v="42"/>
    <x v="2"/>
    <s v="EU"/>
    <s v="12"/>
    <s v="5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719"/>
    <n v="1585028383"/>
    <s v=""/>
    <s v=""/>
    <s v="42"/>
    <x v="2"/>
    <s v="EU"/>
    <s v="12"/>
    <s v="3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676"/>
    <n v="2133460159"/>
    <s v=""/>
    <s v=""/>
    <s v="31"/>
    <x v="7"/>
    <s v="EU"/>
    <s v="02"/>
    <s v="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8674521"/>
    <n v="2076564668"/>
    <s v=""/>
    <s v=""/>
    <s v="41"/>
    <x v="1"/>
    <s v="EU"/>
    <s v="03"/>
    <s v="6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11359508"/>
    <n v="2133460159"/>
    <s v=""/>
    <s v="RS"/>
    <s v="42"/>
    <x v="2"/>
    <s v="EU"/>
    <s v="12"/>
    <s v="2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8249"/>
    <n v="1457771195"/>
    <s v=""/>
    <s v=""/>
    <s v="42"/>
    <x v="2"/>
    <s v="EU"/>
    <s v="12"/>
    <s v="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652"/>
    <n v="2133460159"/>
    <s v=""/>
    <s v=""/>
    <s v="42"/>
    <x v="2"/>
    <s v="EU"/>
    <s v="12"/>
    <s v="7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316"/>
    <n v="272891368"/>
    <s v=""/>
    <s v=""/>
    <s v="42"/>
    <x v="2"/>
    <s v="EU"/>
    <s v="12"/>
    <s v="9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52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139960"/>
    <n v="1457771195"/>
    <s v=""/>
    <s v=""/>
    <s v="32"/>
    <x v="11"/>
    <s v="EU"/>
    <s v="11"/>
    <s v="7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5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12138345"/>
    <n v="1457771195"/>
    <s v=""/>
    <s v=""/>
    <s v="42"/>
    <x v="2"/>
    <s v="EU"/>
    <s v="12"/>
    <s v="36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69"/>
    <n v="1457771195"/>
    <s v=""/>
    <s v=""/>
    <s v="42"/>
    <x v="2"/>
    <s v="EU"/>
    <s v="12"/>
    <s v="4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9166"/>
    <n v="1585028383"/>
    <s v=""/>
    <s v=""/>
    <s v="42"/>
    <x v="2"/>
    <s v="EU"/>
    <s v="12"/>
    <s v="8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8674539"/>
    <n v="2076564668"/>
    <s v=""/>
    <s v=""/>
    <s v="32"/>
    <x v="11"/>
    <s v="EU"/>
    <s v="11"/>
    <s v="12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8638"/>
    <n v="1585028383"/>
    <s v=""/>
    <s v=""/>
    <s v="32"/>
    <x v="11"/>
    <s v="EU"/>
    <s v="11"/>
    <s v="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32"/>
    <n v="1585028383"/>
    <s v=""/>
    <s v=""/>
    <s v="42"/>
    <x v="2"/>
    <s v="EU"/>
    <s v="12"/>
    <s v="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7289"/>
    <n v="272891368"/>
    <s v="0"/>
    <s v=""/>
    <s v="42"/>
    <x v="2"/>
    <s v="EU"/>
    <s v="12"/>
    <s v="8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598"/>
    <n v="2133460159"/>
    <s v=""/>
    <s v="RS"/>
    <s v="42"/>
    <x v="2"/>
    <s v="EU"/>
    <s v="12"/>
    <s v="5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965"/>
    <n v="1585028383"/>
    <s v=""/>
    <s v=""/>
    <s v="42"/>
    <x v="2"/>
    <s v="EU"/>
    <s v="12"/>
    <s v="1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7130"/>
    <n v="272891368"/>
    <s v="0"/>
    <s v=""/>
    <s v="42"/>
    <x v="2"/>
    <s v="EU"/>
    <s v="12"/>
    <s v="3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-1004683143"/>
    <n v="-1000016973"/>
    <s v=""/>
    <s v=""/>
    <s v="41"/>
    <x v="1"/>
    <s v="EU"/>
    <s v="03"/>
    <s v="10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11359790"/>
    <n v="2133460159"/>
    <s v=""/>
    <s v="UM"/>
    <s v="S2"/>
    <x v="15"/>
    <s v="FW"/>
    <s v="1"/>
    <s v="4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33"/>
    <n v="2133460159"/>
    <s v=""/>
    <s v=""/>
    <s v="42"/>
    <x v="2"/>
    <s v="EU"/>
    <s v="12"/>
    <s v="2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583"/>
    <n v="2133460159"/>
    <s v=""/>
    <s v="RS"/>
    <s v="41"/>
    <x v="1"/>
    <s v="EU"/>
    <s v="03"/>
    <s v="5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9013"/>
    <n v="1585028383"/>
    <s v=""/>
    <s v=""/>
    <s v="42"/>
    <x v="2"/>
    <s v="EU"/>
    <s v="12"/>
    <s v="3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35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7T00:00:00"/>
    <s v="1003949"/>
  </r>
  <r>
    <n v="1227538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137388"/>
    <n v="272891368"/>
    <s v="*"/>
    <s v=""/>
    <s v="42"/>
    <x v="2"/>
    <s v="EU"/>
    <s v="12"/>
    <s v="2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47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2"/>
  </r>
  <r>
    <n v="12137337"/>
    <n v="272891368"/>
    <s v=""/>
    <s v=""/>
    <s v="42"/>
    <x v="2"/>
    <s v="EU"/>
    <s v="12"/>
    <s v="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31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227554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2138432"/>
    <n v="18791496"/>
    <s v="*"/>
    <s v=""/>
    <s v="53"/>
    <x v="4"/>
    <s v="EU"/>
    <s v="22"/>
    <s v="1"/>
    <s v="Otolith - Burnt Section"/>
    <n v="2126660003"/>
    <s v="1 OTOLITH ACROSS (TRAY)"/>
    <n v="11707552"/>
    <s v="ATNARKO ESCAPEMENT - 2021"/>
    <n v="23702"/>
    <s v="S ATNARKO ABOVE RAINBOW"/>
    <x v="9"/>
    <s v="2021/0291"/>
    <n v="1"/>
    <s v="SOCKEYE SALMON"/>
    <n v="2086090012"/>
    <x v="1"/>
    <n v="81"/>
    <s v="Hand"/>
    <s v="Adult"/>
    <d v="2021-09-21T00:00:00"/>
    <d v="2021-09-21T00:00:00"/>
    <s v="Oto Box 5"/>
  </r>
  <r>
    <n v="9868497"/>
    <n v="1585028383"/>
    <s v=""/>
    <s v=""/>
    <s v="52"/>
    <x v="0"/>
    <s v="EU"/>
    <s v="13"/>
    <s v="5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138354"/>
    <n v="1457771195"/>
    <s v="0"/>
    <s v=""/>
    <s v="42"/>
    <x v="2"/>
    <s v="EU"/>
    <s v="12"/>
    <s v="3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872"/>
    <n v="1585028383"/>
    <s v=""/>
    <s v=""/>
    <s v="42"/>
    <x v="2"/>
    <s v="EU"/>
    <s v="12"/>
    <s v="8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-1004683157"/>
    <n v="-1000016973"/>
    <s v=""/>
    <s v=""/>
    <s v="41"/>
    <x v="1"/>
    <s v="EU"/>
    <s v="03"/>
    <s v="3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9869151"/>
    <n v="1585028383"/>
    <s v=""/>
    <s v=""/>
    <s v="52"/>
    <x v="0"/>
    <s v="EU"/>
    <s v="13"/>
    <s v="7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47"/>
    <n v="1585028383"/>
    <s v=""/>
    <s v=""/>
    <s v="42"/>
    <x v="2"/>
    <s v="EU"/>
    <s v="12"/>
    <s v="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41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9868827"/>
    <n v="1585028383"/>
    <s v=""/>
    <s v=""/>
    <s v="42"/>
    <x v="2"/>
    <s v="EU"/>
    <s v="12"/>
    <s v="6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27539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1359649"/>
    <n v="2133460159"/>
    <s v=""/>
    <s v="RS"/>
    <s v="42"/>
    <x v="2"/>
    <s v="EU"/>
    <s v="12"/>
    <s v="7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055"/>
    <n v="272891368"/>
    <s v=""/>
    <s v=""/>
    <s v="42"/>
    <x v="2"/>
    <s v="EU"/>
    <s v="12"/>
    <s v="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8650"/>
    <n v="1585028383"/>
    <s v=""/>
    <s v=""/>
    <s v="42"/>
    <x v="2"/>
    <s v="EU"/>
    <s v="12"/>
    <s v="1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271"/>
    <n v="272891368"/>
    <s v=""/>
    <s v=""/>
    <s v="42"/>
    <x v="2"/>
    <s v="EU"/>
    <s v="12"/>
    <s v="7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127"/>
    <n v="272891368"/>
    <s v=""/>
    <s v=""/>
    <s v="42"/>
    <x v="2"/>
    <s v="EU"/>
    <s v="12"/>
    <s v="3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63"/>
    <n v="1457771195"/>
    <s v=""/>
    <s v=""/>
    <s v="42"/>
    <x v="2"/>
    <s v="EU"/>
    <s v="12"/>
    <s v="7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282"/>
    <n v="1457771195"/>
    <s v="*"/>
    <s v=""/>
    <s v="42"/>
    <x v="2"/>
    <s v="EU"/>
    <s v="12"/>
    <s v="1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64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9868974"/>
    <n v="1585028383"/>
    <s v=""/>
    <s v=""/>
    <s v="42"/>
    <x v="2"/>
    <s v="EU"/>
    <s v="12"/>
    <s v="1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566"/>
    <n v="1585028383"/>
    <s v=""/>
    <s v=""/>
    <s v="42"/>
    <x v="2"/>
    <s v="EU"/>
    <s v="12"/>
    <s v="7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632"/>
    <n v="1585028383"/>
    <s v=""/>
    <s v=""/>
    <s v="52"/>
    <x v="0"/>
    <s v="EU"/>
    <s v="13"/>
    <s v="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815"/>
    <n v="1585028383"/>
    <s v=""/>
    <s v=""/>
    <s v="42"/>
    <x v="2"/>
    <s v="EU"/>
    <s v="12"/>
    <s v="6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8303"/>
    <n v="1457771195"/>
    <s v=""/>
    <s v=""/>
    <s v="52"/>
    <x v="0"/>
    <s v="EU"/>
    <s v="13"/>
    <s v="22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7190"/>
    <n v="272891368"/>
    <s v=""/>
    <s v=""/>
    <s v="42"/>
    <x v="2"/>
    <s v="EU"/>
    <s v="12"/>
    <s v="5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1359670"/>
    <n v="2133460159"/>
    <s v="2"/>
    <s v="RS"/>
    <s v="S2"/>
    <x v="15"/>
    <s v="FW"/>
    <s v="1"/>
    <s v="82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262"/>
    <n v="272891368"/>
    <s v=""/>
    <s v=""/>
    <s v="52"/>
    <x v="0"/>
    <s v="EU"/>
    <s v="13"/>
    <s v="7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45"/>
    <n v="1457771195"/>
    <s v="0"/>
    <s v=""/>
    <s v="42"/>
    <x v="2"/>
    <s v="EU"/>
    <s v="12"/>
    <s v="7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824"/>
    <n v="1585028383"/>
    <s v=""/>
    <s v=""/>
    <s v="42"/>
    <x v="2"/>
    <s v="EU"/>
    <s v="12"/>
    <s v="6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533"/>
    <n v="1585028383"/>
    <s v=""/>
    <s v=""/>
    <s v="42"/>
    <x v="2"/>
    <s v="EU"/>
    <s v="12"/>
    <s v="6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275260"/>
    <n v="1937971277"/>
    <s v="2"/>
    <s v="RS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1359745"/>
    <n v="2133460159"/>
    <s v=""/>
    <s v="RS"/>
    <s v="42"/>
    <x v="2"/>
    <s v="EU"/>
    <s v="12"/>
    <s v="2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541"/>
    <n v="2133460159"/>
    <s v=""/>
    <s v="RS"/>
    <s v="52"/>
    <x v="0"/>
    <s v="EU"/>
    <s v="13"/>
    <s v="3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48"/>
    <n v="2133460159"/>
    <s v=""/>
    <s v=""/>
    <s v="52"/>
    <x v="0"/>
    <s v="EU"/>
    <s v="13"/>
    <s v="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137328"/>
    <n v="272891368"/>
    <s v="*"/>
    <s v=""/>
    <s v="42"/>
    <x v="2"/>
    <s v="EU"/>
    <s v="12"/>
    <s v="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214"/>
    <n v="272891368"/>
    <s v=""/>
    <s v=""/>
    <s v="42"/>
    <x v="2"/>
    <s v="EU"/>
    <s v="12"/>
    <s v="5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370"/>
    <n v="272891368"/>
    <s v=""/>
    <s v=""/>
    <s v="52"/>
    <x v="0"/>
    <s v="EU"/>
    <s v="13"/>
    <s v="17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9868995"/>
    <n v="1585028383"/>
    <s v=""/>
    <s v=""/>
    <s v="42"/>
    <x v="2"/>
    <s v="EU"/>
    <s v="12"/>
    <s v="2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50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12138360"/>
    <n v="1457771195"/>
    <s v=""/>
    <s v=""/>
    <s v="42"/>
    <x v="2"/>
    <s v="EU"/>
    <s v="12"/>
    <s v="4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8366"/>
    <n v="1457771195"/>
    <s v=""/>
    <s v=""/>
    <s v="42"/>
    <x v="2"/>
    <s v="EU"/>
    <s v="12"/>
    <s v="43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68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6651382"/>
    <n v="649384895"/>
    <s v=""/>
    <s v=""/>
    <s v="41"/>
    <x v="1"/>
    <s v="EU"/>
    <s v="03"/>
    <s v="7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9869079"/>
    <n v="1585028383"/>
    <s v=""/>
    <s v=""/>
    <s v="42"/>
    <x v="2"/>
    <s v="EU"/>
    <s v="12"/>
    <s v="5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494"/>
    <n v="1585028383"/>
    <s v=""/>
    <s v=""/>
    <s v="52"/>
    <x v="0"/>
    <s v="EU"/>
    <s v="13"/>
    <s v="5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608"/>
    <n v="1585028383"/>
    <s v=""/>
    <s v=""/>
    <s v="52"/>
    <x v="0"/>
    <s v="EU"/>
    <s v="13"/>
    <s v="9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12"/>
    <n v="1585028383"/>
    <s v=""/>
    <s v=""/>
    <s v="52"/>
    <x v="0"/>
    <s v="EU"/>
    <s v="13"/>
    <s v="6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54"/>
    <n v="1585028383"/>
    <s v=""/>
    <s v=""/>
    <s v="42"/>
    <x v="2"/>
    <s v="EU"/>
    <s v="12"/>
    <s v="8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69"/>
    <n v="1585028383"/>
    <s v=""/>
    <s v=""/>
    <s v="42"/>
    <x v="2"/>
    <s v="EU"/>
    <s v="12"/>
    <s v="7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9142"/>
    <n v="1585028383"/>
    <s v=""/>
    <s v=""/>
    <s v="42"/>
    <x v="2"/>
    <s v="EU"/>
    <s v="12"/>
    <s v="74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584"/>
    <n v="1585028383"/>
    <s v=""/>
    <s v=""/>
    <s v="42"/>
    <x v="2"/>
    <s v="EU"/>
    <s v="12"/>
    <s v="8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12137418"/>
    <n v="272891368"/>
    <s v="0"/>
    <s v=""/>
    <s v="42"/>
    <x v="2"/>
    <s v="EU"/>
    <s v="12"/>
    <s v="3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9868665"/>
    <n v="1585028383"/>
    <s v=""/>
    <s v=""/>
    <s v="42"/>
    <x v="2"/>
    <s v="EU"/>
    <s v="12"/>
    <s v="1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11"/>
    <n v="1585028383"/>
    <s v=""/>
    <s v=""/>
    <s v="52"/>
    <x v="0"/>
    <s v="EU"/>
    <s v="13"/>
    <s v="9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560"/>
    <n v="1585028383"/>
    <s v=""/>
    <s v=""/>
    <s v="52"/>
    <x v="0"/>
    <s v="EU"/>
    <s v="13"/>
    <s v="8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881"/>
    <n v="1585028383"/>
    <s v=""/>
    <s v=""/>
    <s v="42"/>
    <x v="2"/>
    <s v="EU"/>
    <s v="12"/>
    <s v="8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784"/>
    <n v="2133460159"/>
    <s v=""/>
    <s v=""/>
    <s v="42"/>
    <x v="2"/>
    <s v="EU"/>
    <s v="12"/>
    <s v="3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227530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1359607"/>
    <n v="2133460159"/>
    <s v=""/>
    <s v="RS"/>
    <s v="42"/>
    <x v="2"/>
    <s v="EU"/>
    <s v="12"/>
    <s v="61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83"/>
    <n v="1937971277"/>
    <s v="2"/>
    <s v="RS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275407"/>
    <n v="1937971277"/>
    <s v="2"/>
    <s v="W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9868671"/>
    <n v="1585028383"/>
    <s v=""/>
    <s v=""/>
    <s v="42"/>
    <x v="2"/>
    <s v="EU"/>
    <s v="12"/>
    <s v="1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205"/>
    <n v="272891368"/>
    <s v=""/>
    <s v=""/>
    <s v="S2"/>
    <x v="15"/>
    <s v="FW"/>
    <s v="1"/>
    <s v="56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9214"/>
    <n v="1585028383"/>
    <s v=""/>
    <s v=""/>
    <s v="42"/>
    <x v="2"/>
    <s v="EU"/>
    <s v="12"/>
    <s v="9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560"/>
    <n v="1937971277"/>
    <s v="2"/>
    <s v="W"/>
    <s v="S1"/>
    <x v="16"/>
    <s v="FW"/>
    <s v="0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5"/>
  </r>
  <r>
    <n v="-1005515173"/>
    <n v="-1000023139"/>
    <s v=""/>
    <s v=""/>
    <s v="42"/>
    <x v="2"/>
    <s v="EU"/>
    <s v="12"/>
    <s v="5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11359739"/>
    <n v="2133460159"/>
    <s v=""/>
    <s v=""/>
    <s v="42"/>
    <x v="2"/>
    <s v="EU"/>
    <s v="12"/>
    <s v="2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736"/>
    <n v="2133460159"/>
    <s v=""/>
    <s v="RS"/>
    <s v="42"/>
    <x v="2"/>
    <s v="EU"/>
    <s v="12"/>
    <s v="22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2275419"/>
    <n v="1937971277"/>
    <s v="2"/>
    <s v="RG"/>
    <s v=""/>
    <x v="6"/>
    <s v="EU"/>
    <s v="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0"/>
  </r>
  <r>
    <n v="9869046"/>
    <n v="1585028383"/>
    <s v=""/>
    <s v=""/>
    <s v="52"/>
    <x v="0"/>
    <s v="EU"/>
    <s v="13"/>
    <s v="4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9100"/>
    <n v="1585028383"/>
    <s v=""/>
    <s v=""/>
    <s v="42"/>
    <x v="2"/>
    <s v="EU"/>
    <s v="12"/>
    <s v="6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475"/>
    <n v="2133460159"/>
    <s v="2"/>
    <s v="RS"/>
    <s v=""/>
    <x v="6"/>
    <s v="EU"/>
    <s v=""/>
    <s v="17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799"/>
    <n v="2133460159"/>
    <s v=""/>
    <s v=""/>
    <s v="42"/>
    <x v="2"/>
    <s v="EU"/>
    <s v="12"/>
    <s v="4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-1005773343"/>
    <n v="-1000024921"/>
    <s v=""/>
    <s v=""/>
    <s v="52"/>
    <x v="0"/>
    <s v="EU"/>
    <s v="13"/>
    <s v="4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70"/>
  </r>
  <r>
    <n v="12275296"/>
    <n v="1937971277"/>
    <s v="2"/>
    <s v=""/>
    <s v="21"/>
    <x v="9"/>
    <s v="EU"/>
    <s v="01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9869067"/>
    <n v="1585028383"/>
    <s v=""/>
    <s v=""/>
    <s v="42"/>
    <x v="2"/>
    <s v="EU"/>
    <s v="12"/>
    <s v="4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137241"/>
    <n v="272891368"/>
    <s v="0"/>
    <s v=""/>
    <s v="42"/>
    <x v="2"/>
    <s v="EU"/>
    <s v="12"/>
    <s v="6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78"/>
    <n v="1457771195"/>
    <s v=""/>
    <s v=""/>
    <s v="52"/>
    <x v="0"/>
    <s v="EU"/>
    <s v="13"/>
    <s v="8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1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10-04T00:00:00"/>
    <s v="2102443"/>
  </r>
  <r>
    <n v="9868779"/>
    <n v="1585028383"/>
    <s v=""/>
    <s v=""/>
    <s v="52"/>
    <x v="0"/>
    <s v="EU"/>
    <s v="13"/>
    <s v="5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920"/>
    <n v="1585028383"/>
    <s v=""/>
    <s v=""/>
    <s v="42"/>
    <x v="2"/>
    <s v="EU"/>
    <s v="12"/>
    <s v="10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8674515"/>
    <n v="2076564668"/>
    <s v=""/>
    <s v=""/>
    <s v="52"/>
    <x v="0"/>
    <s v="EU"/>
    <s v="13"/>
    <s v="4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8935"/>
    <n v="1585028383"/>
    <s v=""/>
    <s v=""/>
    <s v="52"/>
    <x v="0"/>
    <s v="EU"/>
    <s v="13"/>
    <s v="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938"/>
    <n v="1585028383"/>
    <s v=""/>
    <s v=""/>
    <s v="43"/>
    <x v="10"/>
    <s v="EU"/>
    <s v="21"/>
    <s v="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9868836"/>
    <n v="1585028383"/>
    <s v=""/>
    <s v=""/>
    <s v="42"/>
    <x v="2"/>
    <s v="EU"/>
    <s v="12"/>
    <s v="72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9987"/>
    <n v="1457771195"/>
    <s v="0"/>
    <s v=""/>
    <s v="42"/>
    <x v="2"/>
    <s v="EU"/>
    <s v="12"/>
    <s v="8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30"/>
    <n v="1937971277"/>
    <s v="2"/>
    <s v="RG"/>
    <s v=""/>
    <x v="6"/>
    <s v="EU"/>
    <s v="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-1005773311"/>
    <n v="-1000024921"/>
    <s v=""/>
    <s v=""/>
    <s v="52"/>
    <x v="0"/>
    <s v="EU"/>
    <s v="13"/>
    <s v="10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11359775"/>
    <n v="2133460159"/>
    <s v=""/>
    <s v="RS"/>
    <s v="42"/>
    <x v="2"/>
    <s v="EU"/>
    <s v="12"/>
    <s v="3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8857"/>
    <n v="1585028383"/>
    <s v=""/>
    <s v=""/>
    <s v="32"/>
    <x v="11"/>
    <s v="EU"/>
    <s v="11"/>
    <s v="79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1359841"/>
    <n v="2133460159"/>
    <s v=""/>
    <s v="RS"/>
    <s v="42"/>
    <x v="2"/>
    <s v="EU"/>
    <s v="12"/>
    <s v="5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9169"/>
    <n v="1585028383"/>
    <s v=""/>
    <s v=""/>
    <s v="42"/>
    <x v="2"/>
    <s v="EU"/>
    <s v="12"/>
    <s v="83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1359628"/>
    <n v="2133460159"/>
    <s v=""/>
    <s v="RS"/>
    <s v="42"/>
    <x v="2"/>
    <s v="EU"/>
    <s v="12"/>
    <s v="6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290"/>
    <n v="1937971277"/>
    <s v="2"/>
    <s v="RS"/>
    <s v="S2"/>
    <x v="15"/>
    <s v="FW"/>
    <s v="1"/>
    <s v="5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137109"/>
    <n v="272891368"/>
    <s v=""/>
    <s v=""/>
    <s v="42"/>
    <x v="2"/>
    <s v="EU"/>
    <s v="12"/>
    <s v="2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8342"/>
    <n v="1457771195"/>
    <s v=""/>
    <s v=""/>
    <s v="52"/>
    <x v="0"/>
    <s v="EU"/>
    <s v="13"/>
    <s v="3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40011"/>
    <n v="1457771195"/>
    <s v=""/>
    <s v=""/>
    <s v="42"/>
    <x v="2"/>
    <s v="EU"/>
    <s v="12"/>
    <s v="95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52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4"/>
  </r>
  <r>
    <n v="11359667"/>
    <n v="2133460159"/>
    <s v=""/>
    <s v="UD"/>
    <s v=""/>
    <x v="6"/>
    <s v="EU"/>
    <s v=""/>
    <s v="81"/>
    <s v="Scales"/>
    <n v="2126660001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614"/>
    <n v="1585028383"/>
    <s v=""/>
    <s v=""/>
    <s v="42"/>
    <x v="2"/>
    <s v="EU"/>
    <s v="12"/>
    <s v="9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-1004683151"/>
    <n v="-1000016973"/>
    <s v=""/>
    <s v=""/>
    <s v="41"/>
    <x v="1"/>
    <s v="EU"/>
    <s v="03"/>
    <s v="6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12140017"/>
    <n v="1457771195"/>
    <s v="0"/>
    <s v=""/>
    <s v="52"/>
    <x v="0"/>
    <s v="EU"/>
    <s v="13"/>
    <s v="9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1359847"/>
    <n v="2133460159"/>
    <s v=""/>
    <s v="RS"/>
    <s v="42"/>
    <x v="2"/>
    <s v="EU"/>
    <s v="12"/>
    <s v="5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9869094"/>
    <n v="1585028383"/>
    <s v=""/>
    <s v=""/>
    <s v="42"/>
    <x v="2"/>
    <s v="EU"/>
    <s v="12"/>
    <s v="5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326"/>
    <n v="1937971277"/>
    <s v="2"/>
    <s v="RS"/>
    <s v="S1"/>
    <x v="16"/>
    <s v="FW"/>
    <s v="0"/>
    <s v="7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8"/>
  </r>
  <r>
    <n v="11359502"/>
    <n v="2133460159"/>
    <s v=""/>
    <s v="RS"/>
    <s v="42"/>
    <x v="2"/>
    <s v="EU"/>
    <s v="12"/>
    <s v="2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43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137361"/>
    <n v="272891368"/>
    <s v=""/>
    <s v=""/>
    <s v="42"/>
    <x v="2"/>
    <s v="EU"/>
    <s v="12"/>
    <s v="14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137172"/>
    <n v="272891368"/>
    <s v="0"/>
    <s v=""/>
    <s v="42"/>
    <x v="2"/>
    <s v="EU"/>
    <s v="12"/>
    <s v="4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27"/>
    <n v="1457771195"/>
    <s v=""/>
    <s v=""/>
    <s v="42"/>
    <x v="2"/>
    <s v="EU"/>
    <s v="12"/>
    <s v="6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48"/>
    <n v="1457771195"/>
    <s v=""/>
    <s v=""/>
    <s v="52"/>
    <x v="0"/>
    <s v="EU"/>
    <s v="13"/>
    <s v="74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275623"/>
    <n v="1937971277"/>
    <s v="2"/>
    <s v="W"/>
    <s v="S1"/>
    <x v="16"/>
    <s v="FW"/>
    <s v="0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1359781"/>
    <n v="2133460159"/>
    <s v=""/>
    <s v="RS"/>
    <s v="52"/>
    <x v="0"/>
    <s v="EU"/>
    <s v="13"/>
    <s v="37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2137193"/>
    <n v="272891368"/>
    <s v=""/>
    <s v=""/>
    <s v="42"/>
    <x v="2"/>
    <s v="EU"/>
    <s v="12"/>
    <s v="5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9868698"/>
    <n v="1585028383"/>
    <s v=""/>
    <s v=""/>
    <s v="42"/>
    <x v="2"/>
    <s v="EU"/>
    <s v="12"/>
    <s v="26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9868695"/>
    <n v="1585028383"/>
    <s v=""/>
    <s v=""/>
    <s v="42"/>
    <x v="2"/>
    <s v="EU"/>
    <s v="12"/>
    <s v="25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9957"/>
    <n v="1457771195"/>
    <s v="0"/>
    <s v=""/>
    <s v="42"/>
    <x v="2"/>
    <s v="EU"/>
    <s v="12"/>
    <s v="77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-1005515177"/>
    <n v="-1000023139"/>
    <s v=""/>
    <s v=""/>
    <s v="52"/>
    <x v="0"/>
    <s v="EU"/>
    <s v="13"/>
    <s v="3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11359586"/>
    <n v="2133460159"/>
    <s v=""/>
    <s v=""/>
    <s v="41"/>
    <x v="1"/>
    <s v="EU"/>
    <s v="03"/>
    <s v="54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499"/>
    <n v="2133460159"/>
    <s v=""/>
    <s v="RS"/>
    <s v="52"/>
    <x v="0"/>
    <s v="EU"/>
    <s v="13"/>
    <s v="2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95"/>
    <n v="1937971277"/>
    <s v="2"/>
    <s v="RS"/>
    <s v="S1"/>
    <x v="16"/>
    <s v="FW"/>
    <s v="0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39"/>
  </r>
  <r>
    <n v="12137061"/>
    <n v="272891368"/>
    <s v=""/>
    <s v=""/>
    <s v="42"/>
    <x v="2"/>
    <s v="EU"/>
    <s v="12"/>
    <s v="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79"/>
    <n v="272891368"/>
    <s v="0"/>
    <s v=""/>
    <s v="52"/>
    <x v="0"/>
    <s v="EU"/>
    <s v="13"/>
    <s v="15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097"/>
    <n v="272891368"/>
    <s v=""/>
    <s v=""/>
    <s v="42"/>
    <x v="2"/>
    <s v="EU"/>
    <s v="12"/>
    <s v="20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310"/>
    <n v="272891368"/>
    <s v=""/>
    <s v=""/>
    <s v="52"/>
    <x v="0"/>
    <s v="EU"/>
    <s v="13"/>
    <s v="9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275674"/>
    <n v="1937971277"/>
    <s v="2"/>
    <s v="RS"/>
    <s v="S1"/>
    <x v="16"/>
    <s v="FW"/>
    <s v="0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137280"/>
    <n v="272891368"/>
    <s v=""/>
    <s v=""/>
    <s v="42"/>
    <x v="2"/>
    <s v="EU"/>
    <s v="12"/>
    <s v="81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9933"/>
    <n v="1457771195"/>
    <s v=""/>
    <s v=""/>
    <s v="42"/>
    <x v="2"/>
    <s v="EU"/>
    <s v="12"/>
    <s v="69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12139990"/>
    <n v="1457771195"/>
    <s v=""/>
    <s v=""/>
    <s v="42"/>
    <x v="2"/>
    <s v="EU"/>
    <s v="12"/>
    <s v="88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701"/>
    <n v="1585028383"/>
    <s v=""/>
    <s v=""/>
    <s v="42"/>
    <x v="2"/>
    <s v="EU"/>
    <s v="12"/>
    <s v="2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8330"/>
    <n v="1457771195"/>
    <s v="0"/>
    <s v=""/>
    <s v="52"/>
    <x v="0"/>
    <s v="EU"/>
    <s v="13"/>
    <s v="31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8674536"/>
    <n v="2076564668"/>
    <s v=""/>
    <s v=""/>
    <s v="42"/>
    <x v="2"/>
    <s v="EU"/>
    <s v="12"/>
    <s v="11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n v="9868941"/>
    <n v="1585028383"/>
    <s v=""/>
    <s v=""/>
    <s v="42"/>
    <x v="2"/>
    <s v="EU"/>
    <s v="12"/>
    <s v="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69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50"/>
  </r>
  <r>
    <n v="11359844"/>
    <n v="2133460159"/>
    <s v=""/>
    <s v="RS"/>
    <s v="42"/>
    <x v="2"/>
    <s v="EU"/>
    <s v="12"/>
    <s v="5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-1004683149"/>
    <n v="-1000016973"/>
    <s v=""/>
    <s v=""/>
    <s v="52"/>
    <x v="0"/>
    <s v="EU"/>
    <s v="13"/>
    <s v="7"/>
    <s v="Scales"/>
    <n v="2126660001"/>
    <s v="5 SCALES DOWN PER FISH"/>
    <n v="-1000005632"/>
    <s v="ATNARKO ESCAPEMENT-1993"/>
    <n v="968"/>
    <s v="BELLA COOLA RIVER"/>
    <x v="2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n v="11359634"/>
    <n v="2133460159"/>
    <s v=""/>
    <s v="RS"/>
    <s v="42"/>
    <x v="2"/>
    <s v="EU"/>
    <s v="12"/>
    <s v="70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97"/>
    <n v="2133460159"/>
    <s v=""/>
    <s v=""/>
    <s v="42"/>
    <x v="2"/>
    <s v="EU"/>
    <s v="12"/>
    <s v="9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529"/>
    <n v="2133460159"/>
    <s v=""/>
    <s v=""/>
    <s v="52"/>
    <x v="0"/>
    <s v="EU"/>
    <s v="13"/>
    <s v="35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-1005773321"/>
    <n v="-1000024921"/>
    <s v=""/>
    <s v=""/>
    <s v="31"/>
    <x v="7"/>
    <s v="EU"/>
    <s v="02"/>
    <s v="5"/>
    <s v="Scales"/>
    <n v="2126660001"/>
    <s v="5 SCALES DOWN PER FISH"/>
    <n v="-1000004776"/>
    <s v="BELLA COOLA/ATNARKO INDIAN FOOD FISHERY(IFF)-1998"/>
    <n v="3402"/>
    <s v="BELLA COOLA R LOWER"/>
    <x v="24"/>
    <s v="848"/>
    <n v="1"/>
    <s v="SOCKEYE SALMON"/>
    <n v="2086090006"/>
    <x v="0"/>
    <n v="11"/>
    <s v="Other Gillnet/Set Net"/>
    <s v="Adult"/>
    <d v="1998-07-08T00:00:00"/>
    <d v="1998-07-08T00:00:00"/>
    <s v="1998310184874169"/>
  </r>
  <r>
    <n v="1227543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7T00:00:00"/>
    <d v="2021-09-27T00:00:00"/>
    <s v="2102441"/>
  </r>
  <r>
    <n v="12137355"/>
    <n v="272891368"/>
    <s v="0"/>
    <s v=""/>
    <s v="42"/>
    <x v="2"/>
    <s v="EU"/>
    <s v="12"/>
    <s v="1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1359433"/>
    <n v="2133460159"/>
    <s v=""/>
    <s v="RS"/>
    <s v="42"/>
    <x v="2"/>
    <s v="EU"/>
    <s v="12"/>
    <s v="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9868506"/>
    <n v="1585028383"/>
    <s v=""/>
    <s v=""/>
    <s v="52"/>
    <x v="0"/>
    <s v="EU"/>
    <s v="13"/>
    <s v="6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n v="9868833"/>
    <n v="1585028383"/>
    <s v=""/>
    <s v=""/>
    <s v="42"/>
    <x v="2"/>
    <s v="EU"/>
    <s v="12"/>
    <s v="71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12137274"/>
    <n v="272891368"/>
    <s v="0"/>
    <s v=""/>
    <s v="42"/>
    <x v="2"/>
    <s v="EU"/>
    <s v="12"/>
    <s v="79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8674581"/>
    <n v="2076564668"/>
    <s v="0"/>
    <s v=""/>
    <s v="41"/>
    <x v="1"/>
    <s v="EU"/>
    <s v="03"/>
    <s v="1"/>
    <s v="Scales"/>
    <n v="2126660001"/>
    <s v="2 SCALES ACROSS PER FISH"/>
    <n v="8134025"/>
    <s v="BELLA COOLA FN (IN RIVER NET) - 2014"/>
    <n v="968"/>
    <s v="BELLA COOLA RIVER"/>
    <x v="25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n v="9868950"/>
    <n v="1585028383"/>
    <s v=""/>
    <s v=""/>
    <s v="42"/>
    <x v="2"/>
    <s v="EU"/>
    <s v="12"/>
    <s v="10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n v="12275263"/>
    <n v="1937971277"/>
    <s v="2"/>
    <s v="RG"/>
    <s v=""/>
    <x v="6"/>
    <s v="EU"/>
    <s v=""/>
    <s v="6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138417"/>
    <n v="408628360"/>
    <s v="*"/>
    <s v=""/>
    <s v="52"/>
    <x v="0"/>
    <s v="EU"/>
    <s v="13"/>
    <s v="2"/>
    <s v="Otolith - Burnt Section"/>
    <n v="2126660003"/>
    <s v="1 OTOLITH ACROSS (TRAY)"/>
    <n v="11707552"/>
    <s v="ATNARKO ESCAPEMENT - 2021"/>
    <n v="23703"/>
    <s v="S ATNARKO ABOVE STILLWATER"/>
    <x v="9"/>
    <s v="2021/0290"/>
    <n v="1"/>
    <s v="SOCKEYE SALMON"/>
    <n v="2086090012"/>
    <x v="1"/>
    <n v="83"/>
    <s v="Gaff (Deadpitch)"/>
    <s v="Adult"/>
    <d v="2021-09-27T00:00:00"/>
    <d v="2021-09-27T00:00:00"/>
    <s v="Oto Box 6"/>
  </r>
  <r>
    <n v="12137358"/>
    <n v="272891368"/>
    <s v="0"/>
    <s v=""/>
    <s v="52"/>
    <x v="0"/>
    <s v="EU"/>
    <s v="13"/>
    <s v="1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659"/>
    <n v="1937971277"/>
    <s v="2"/>
    <s v="RS"/>
    <s v="S1"/>
    <x v="16"/>
    <s v="FW"/>
    <s v="0"/>
    <s v="8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12275692"/>
    <n v="1937971277"/>
    <s v="2"/>
    <s v="RS"/>
    <s v="S1"/>
    <x v="16"/>
    <s v="FW"/>
    <s v="0"/>
    <s v="9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9"/>
  </r>
  <r>
    <n v="12138267"/>
    <n v="1457771195"/>
    <s v="*"/>
    <s v=""/>
    <s v="52"/>
    <x v="0"/>
    <s v="EU"/>
    <s v="13"/>
    <s v="10"/>
    <s v="Otolith - Burnt Section"/>
    <n v="2126660003"/>
    <s v="1 OTOLITH ACROSS (BOX)"/>
    <n v="11707552"/>
    <s v="ATNARKO ESCAPEMENT - 2021"/>
    <n v="63366"/>
    <s v="S ATNARKO BELOW STILLWATER"/>
    <x v="9"/>
    <s v="2021/0288"/>
    <n v="1"/>
    <s v="SOCKEYE SALMON"/>
    <n v="2086090012"/>
    <x v="1"/>
    <n v="11"/>
    <s v="Other Gillnet/Set Net"/>
    <s v="Adult"/>
    <d v="2021-09-16T00:00:00"/>
    <d v="2021-10-01T00:00:00"/>
    <s v="Oto Box 4"/>
  </r>
  <r>
    <n v="9868791"/>
    <n v="1585028383"/>
    <s v=""/>
    <s v=""/>
    <s v="42"/>
    <x v="2"/>
    <s v="EU"/>
    <s v="12"/>
    <s v="57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n v="6651376"/>
    <n v="649384895"/>
    <s v=""/>
    <s v=""/>
    <s v="52"/>
    <x v="0"/>
    <s v="EU"/>
    <s v="13"/>
    <s v="5"/>
    <s v="Scales"/>
    <n v="2126660001"/>
    <s v="2 SCALES ACROSS PER FISH"/>
    <n v="6248726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n v="12275617"/>
    <n v="1937971277"/>
    <s v="2"/>
    <s v="RS"/>
    <s v="S1"/>
    <x v="16"/>
    <s v="FW"/>
    <s v="0"/>
    <s v="4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7"/>
  </r>
  <r>
    <n v="11359808"/>
    <n v="2133460159"/>
    <s v=""/>
    <s v=""/>
    <s v="42"/>
    <x v="2"/>
    <s v="EU"/>
    <s v="12"/>
    <s v="46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7T00:00:00"/>
    <d v="2019-09-27T00:00:00"/>
    <s v="Oto Tray 2"/>
  </r>
  <r>
    <n v="11359658"/>
    <n v="2133460159"/>
    <s v=""/>
    <s v="RS"/>
    <s v="42"/>
    <x v="2"/>
    <s v="EU"/>
    <s v="12"/>
    <s v="78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1359643"/>
    <n v="2133460159"/>
    <s v=""/>
    <s v=""/>
    <s v="42"/>
    <x v="2"/>
    <s v="EU"/>
    <s v="12"/>
    <s v="73"/>
    <s v="Otolith - Surface"/>
    <n v="2126660002"/>
    <s v="1 OTOLITH ACROSS (TRAY)"/>
    <n v="10946683"/>
    <s v="ATNARKO ESCAPEMENT - 2019"/>
    <n v="2840"/>
    <s v="LONESOME LAKE"/>
    <x v="13"/>
    <s v="2019/0240"/>
    <n v="1"/>
    <s v="SOCKEYE SALMON"/>
    <n v="2086090012"/>
    <x v="1"/>
    <n v="11"/>
    <s v="Other Gillnet/Set Net"/>
    <s v="Adult"/>
    <d v="2019-09-26T00:00:00"/>
    <d v="2019-09-26T00:00:00"/>
    <s v="Oto Tray 1"/>
  </r>
  <r>
    <n v="12275305"/>
    <n v="1937971277"/>
    <s v=""/>
    <s v=""/>
    <s v="21"/>
    <x v="9"/>
    <s v="EU"/>
    <s v="01"/>
    <s v="10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275248"/>
    <n v="1937971277"/>
    <s v="2"/>
    <s v="RS"/>
    <s v="S1"/>
    <x v="16"/>
    <s v="FW"/>
    <s v="0"/>
    <s v="1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6"/>
  </r>
  <r>
    <n v="12275281"/>
    <n v="1937971277"/>
    <s v="2"/>
    <s v="RS"/>
    <s v="S1"/>
    <x v="16"/>
    <s v="FW"/>
    <s v="0"/>
    <s v="2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09-21T00:00:00"/>
    <d v="2021-09-21T00:00:00"/>
    <s v="1003947"/>
  </r>
  <r>
    <n v="12137136"/>
    <n v="272891368"/>
    <s v=""/>
    <s v=""/>
    <s v="42"/>
    <x v="2"/>
    <s v="EU"/>
    <s v="12"/>
    <s v="33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211"/>
    <n v="272891368"/>
    <s v="0"/>
    <s v=""/>
    <s v="52"/>
    <x v="0"/>
    <s v="EU"/>
    <s v="13"/>
    <s v="58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2T00:00:00"/>
    <d v="2021-09-23T00:00:00"/>
    <s v="Oto Box 1"/>
  </r>
  <r>
    <n v="12137409"/>
    <n v="272891368"/>
    <s v=""/>
    <s v=""/>
    <s v="32"/>
    <x v="11"/>
    <s v="EU"/>
    <s v="11"/>
    <s v="32"/>
    <s v="Otolith - Burnt Section"/>
    <n v="2126660003"/>
    <s v="1 OTOLITH ACROSS (TRAY)"/>
    <n v="11707552"/>
    <s v="ATNARKO ESCAPEMENT - 2021"/>
    <n v="23701"/>
    <s v="S ATNARKO ABOVE LONESOME"/>
    <x v="9"/>
    <s v="2021/0287"/>
    <n v="1"/>
    <s v="SOCKEYE SALMON"/>
    <n v="2086090012"/>
    <x v="1"/>
    <n v="11"/>
    <s v="Other Gillnet/Set Net"/>
    <s v="Adult"/>
    <d v="2021-09-23T00:00:00"/>
    <d v="2021-09-23T00:00:00"/>
    <s v="Oto box 2"/>
  </r>
  <r>
    <n v="12275644"/>
    <n v="1937971277"/>
    <s v="2"/>
    <s v="RS"/>
    <s v="S2"/>
    <x v="15"/>
    <s v="FW"/>
    <s v="1"/>
    <s v="3"/>
    <s v="Scales"/>
    <n v="2126660001"/>
    <s v="5 SCALES DOWN PER FISH"/>
    <n v="11707552"/>
    <s v="ATNARKO ESCAPEMENT - 2021"/>
    <n v="23703"/>
    <s v="S ATNARKO ABOVE STILLWATER"/>
    <x v="9"/>
    <s v="2021/0289"/>
    <n v="1"/>
    <s v="SOCKEYE SALMON"/>
    <n v="2086090012"/>
    <x v="1"/>
    <n v="11"/>
    <s v="Other Gillnet/Set Net"/>
    <s v="Adult"/>
    <d v="2021-10-04T00:00:00"/>
    <d v="2021-10-04T00:00:00"/>
    <s v="2102448"/>
  </r>
  <r>
    <n v="-1005515167"/>
    <n v="-1000023139"/>
    <s v=""/>
    <s v=""/>
    <s v="41"/>
    <x v="1"/>
    <s v="EU"/>
    <s v="03"/>
    <s v="8"/>
    <s v="Scales"/>
    <n v="2126660001"/>
    <s v="5 SCALES DOWN PER FISH"/>
    <n v="-1000004773"/>
    <s v="BELLA COOLA/ATNARKO INDIAN FOOD FISHERY(IFF)-1997"/>
    <n v="970"/>
    <s v="ATNARKO RIVER"/>
    <x v="2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n v="9868644"/>
    <n v="1585028383"/>
    <s v=""/>
    <s v=""/>
    <s v="42"/>
    <x v="2"/>
    <s v="EU"/>
    <s v="12"/>
    <s v="8"/>
    <s v="Otolith - Surface"/>
    <n v="2126660002"/>
    <s v="1 OTOLITH ACROSS (TRAY)"/>
    <n v="9269719"/>
    <s v="ATNARKO ESCAPEMENT - 2016"/>
    <n v="970"/>
    <s v="ATNARKO RIVER"/>
    <x v="11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m/>
    <m/>
    <m/>
    <m/>
    <m/>
    <x v="20"/>
    <m/>
    <m/>
    <m/>
    <m/>
    <m/>
    <m/>
    <m/>
    <m/>
    <m/>
    <m/>
    <x v="27"/>
    <m/>
    <m/>
    <m/>
    <m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40">
  <r>
    <s v=""/>
    <s v="0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0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s v="RG"/>
    <s v=""/>
    <x v="3"/>
    <s v="MY"/>
    <s v="Scales"/>
    <n v="2126660001"/>
    <s v="2 SCALES ACROSS PER FISH"/>
    <s v="2M"/>
    <x v="3"/>
    <s v="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s v=""/>
    <s v=""/>
    <x v="4"/>
    <s v="EU"/>
    <s v="Scales"/>
    <n v="2126660001"/>
    <s v="2 SCALES ACROSS PER FISH"/>
    <s v="53"/>
    <x v="4"/>
    <s v="9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0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s v=""/>
    <s v="0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0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4"/>
    <s v="EU"/>
    <s v="Scales"/>
    <n v="2126660001"/>
    <s v="2 SCALES ACROSS PER FISH"/>
    <s v="53"/>
    <x v="4"/>
    <s v="2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RG"/>
    <s v="0"/>
    <x v="3"/>
    <s v="MY"/>
    <s v="Scales"/>
    <n v="2126660001"/>
    <s v="2 SCALES ACROSS PER FISH"/>
    <s v="2M"/>
    <x v="3"/>
    <s v="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0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4"/>
    <s v="EU"/>
    <s v="Scales"/>
    <n v="2126660001"/>
    <s v="2 SCALES ACROSS PER FISH"/>
    <s v="53"/>
    <x v="4"/>
    <s v="9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RG"/>
    <s v=""/>
    <x v="3"/>
    <s v="MY"/>
    <s v="Scales"/>
    <n v="2126660001"/>
    <s v="2 SCALES ACROSS PER FISH"/>
    <s v="2M"/>
    <x v="3"/>
    <s v="17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4"/>
    <s v="EU"/>
    <s v="Scales"/>
    <n v="2126660001"/>
    <s v="2 SCALES ACROSS PER FISH"/>
    <s v="53"/>
    <x v="4"/>
    <s v="19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1"/>
    <s v="EU"/>
    <s v="Scales"/>
    <n v="2126660001"/>
    <s v="2 SCALES ACROSS PER FISH"/>
    <s v="41"/>
    <x v="1"/>
    <s v="2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UF"/>
    <s v=""/>
    <x v="5"/>
    <s v="MY"/>
    <s v="Scales"/>
    <n v="2126660001"/>
    <s v="2 SCALES ACROSS PER FISH"/>
    <s v="3M"/>
    <x v="5"/>
    <s v="19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UD"/>
    <s v=""/>
    <x v="6"/>
    <s v="EU"/>
    <s v="Scales"/>
    <n v="2126660001"/>
    <s v="2 SCALES ACROSS PER FISH"/>
    <s v=""/>
    <x v="6"/>
    <s v="20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0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6-30T00:00:00"/>
    <d v="2006-06-30T00:00:00"/>
    <s v="67935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0"/>
    <x v="3"/>
    <s v="MY"/>
    <s v="Scales"/>
    <n v="2126660001"/>
    <s v="2 SCALES ACROSS PER FISH"/>
    <s v="2M"/>
    <x v="3"/>
    <s v="2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0"/>
    <x v="3"/>
    <s v="MY"/>
    <s v="Scales"/>
    <n v="2126660001"/>
    <s v="2 SCALES ACROSS PER FISH"/>
    <s v="2M"/>
    <x v="3"/>
    <s v="2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RG"/>
    <s v=""/>
    <x v="5"/>
    <s v="MY"/>
    <s v="Scales"/>
    <n v="2126660001"/>
    <s v="2 SCALES ACROSS PER FISH"/>
    <s v="3M"/>
    <x v="5"/>
    <s v="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0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NS"/>
    <s v=""/>
    <x v="6"/>
    <s v="EU"/>
    <s v="Scales"/>
    <n v="2126660001"/>
    <s v="2 SCALES ACROSS PER FISH"/>
    <s v=""/>
    <x v="6"/>
    <s v="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1"/>
    <s v="EU"/>
    <s v="Scales"/>
    <n v="2126660001"/>
    <s v="2 SCALES ACROSS PER FISH"/>
    <s v="41"/>
    <x v="1"/>
    <s v="10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"/>
    <x v="8"/>
    <s v="EU"/>
    <s v="Scales"/>
    <n v="2126660001"/>
    <s v="2 SCALES ACROSS PER FISH"/>
    <s v="63"/>
    <x v="8"/>
    <s v="1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RG"/>
    <s v="0"/>
    <x v="5"/>
    <s v="MY"/>
    <s v="Scales"/>
    <n v="2126660001"/>
    <s v="2 SCALES ACROSS PER FISH"/>
    <s v="3M"/>
    <x v="5"/>
    <s v="1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"/>
    <s v="0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0T00:00:00"/>
    <s v="67937"/>
  </r>
  <r>
    <s v="RG"/>
    <s v="0"/>
    <x v="5"/>
    <s v="MY"/>
    <s v="Scales"/>
    <n v="2126660001"/>
    <s v="2 SCALES ACROSS PER FISH"/>
    <s v="3M"/>
    <x v="5"/>
    <s v="1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0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UD"/>
    <s v=""/>
    <x v="6"/>
    <s v="EU"/>
    <s v="Scales"/>
    <n v="2126660001"/>
    <s v="2 SCALES ACROSS PER FISH"/>
    <s v=""/>
    <x v="6"/>
    <s v="13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7T00:00:00"/>
    <d v="2006-07-19T00:00:00"/>
    <s v="67939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05T00:00:00"/>
    <d v="2006-07-06T00:00:00"/>
    <s v="67936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RG"/>
    <s v=""/>
    <x v="3"/>
    <s v="MY"/>
    <s v="Scales"/>
    <n v="2126660001"/>
    <s v="2 SCALES ACROSS PER FISH"/>
    <s v="2M"/>
    <x v="3"/>
    <s v="14"/>
    <s v="NORTHERN COASTAL FJORDS"/>
    <s v="R-16"/>
    <s v="8"/>
    <x v="0"/>
    <s v="SER"/>
    <s v="Bella Coola River System (Bella Coola) Sockeye Run 1"/>
    <n v="3095062"/>
    <n v="51765"/>
    <s v="ATNARKO ESCAPEMENT - 2006"/>
    <n v="968"/>
    <s v="BELLA COOLA RIVER"/>
    <x v="0"/>
    <s v="2006/0291"/>
    <n v="1"/>
    <s v="SOCKEYE SALMON"/>
    <n v="2086090006"/>
    <x v="0"/>
    <n v="11"/>
    <s v="Other Gillnet/Set Net"/>
    <s v="Adult"/>
    <d v="2006-07-10T00:00:00"/>
    <d v="2006-07-13T00:00:00"/>
    <s v="67938"/>
  </r>
  <r>
    <s v="RG"/>
    <s v=""/>
    <x v="6"/>
    <s v=""/>
    <s v="Scales"/>
    <n v="2126660001"/>
    <s v="2 SCALES ACROSS PER FISH"/>
    <s v=""/>
    <x v="6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3"/>
    <s v="MY"/>
    <s v="Scales"/>
    <n v="2126660001"/>
    <s v="2 SCALES ACROSS PER FISH"/>
    <s v="2M"/>
    <x v="3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1"/>
    <s v="EU"/>
    <s v="Scales"/>
    <n v="2126660001"/>
    <s v="2 SCALES ACROSS PER FISH"/>
    <s v="41"/>
    <x v="1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5"/>
    <s v="MY"/>
    <s v="Scales"/>
    <n v="2126660001"/>
    <s v="2 SCALES ACROSS PER FISH"/>
    <s v="3M"/>
    <x v="5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7"/>
    <s v="EU"/>
    <s v="Scales"/>
    <n v="2126660001"/>
    <s v="2 SCALES ACROSS PER FISH"/>
    <s v="31"/>
    <x v="7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MF"/>
    <s v=""/>
    <x v="6"/>
    <s v=""/>
    <s v="Scales"/>
    <n v="2126660001"/>
    <s v="2 SCALES ACROSS PER FISH"/>
    <s v=""/>
    <x v="6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MF"/>
    <s v=""/>
    <x v="6"/>
    <s v="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RG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5"/>
    <s v="MY"/>
    <s v="Scales"/>
    <n v="2126660001"/>
    <s v="2 SCALES ACROSS PER FISH"/>
    <s v="3M"/>
    <x v="5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RG"/>
    <s v=""/>
    <x v="6"/>
    <s v=""/>
    <s v="Scales"/>
    <n v="2126660001"/>
    <s v="2 SCALES ACROSS PER FISH"/>
    <s v=""/>
    <x v="6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5"/>
    <s v="MY"/>
    <s v="Scales"/>
    <n v="2126660001"/>
    <s v="2 SCALES ACROSS PER FISH"/>
    <s v="3M"/>
    <x v="5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5"/>
    <s v="MY"/>
    <s v="Scales"/>
    <n v="2126660001"/>
    <s v="2 SCALES ACROSS PER FISH"/>
    <s v="3M"/>
    <x v="5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5"/>
    <s v="MY"/>
    <s v="Scales"/>
    <n v="2126660001"/>
    <s v="2 SCALES ACROSS PER FISH"/>
    <s v="3M"/>
    <x v="5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RG"/>
    <s v=""/>
    <x v="6"/>
    <s v=""/>
    <s v="Scales"/>
    <n v="2126660001"/>
    <s v="2 SCALES ACROSS PER FISH"/>
    <s v=""/>
    <x v="6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RG"/>
    <s v=""/>
    <x v="6"/>
    <s v="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1"/>
    <s v="EU"/>
    <s v="Scales"/>
    <n v="2126660001"/>
    <s v="2 SCALES ACROSS PER FISH"/>
    <s v="41"/>
    <x v="1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7"/>
    <s v="EU"/>
    <s v="Scales"/>
    <n v="2126660001"/>
    <s v="2 SCALES ACROSS PER FISH"/>
    <s v="31"/>
    <x v="7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NA"/>
    <s v=""/>
    <x v="6"/>
    <s v=""/>
    <s v="Scales"/>
    <n v="2126660001"/>
    <s v="2 SCALES ACROSS PER FISH"/>
    <s v=""/>
    <x v="6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4"/>
    <s v="EU"/>
    <s v="Scales"/>
    <n v="2126660001"/>
    <s v="2 SCALES ACROSS PER FISH"/>
    <s v="53"/>
    <x v="4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3"/>
    <s v="MY"/>
    <s v="Scales"/>
    <n v="2126660001"/>
    <s v="2 SCALES ACROSS PER FISH"/>
    <s v="2M"/>
    <x v="3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0"/>
    <s v="EU"/>
    <s v="Scales"/>
    <n v="2126660001"/>
    <s v="2 SCALES ACROSS PER FISH"/>
    <s v="52"/>
    <x v="0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1"/>
    <s v="EU"/>
    <s v="Scales"/>
    <n v="2126660001"/>
    <s v="2 SCALES ACROSS PER FISH"/>
    <s v="41"/>
    <x v="1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RG"/>
    <s v=""/>
    <x v="6"/>
    <s v=""/>
    <s v="Scales"/>
    <n v="2126660001"/>
    <s v="2 SCALES ACROSS PER FISH"/>
    <s v=""/>
    <x v="6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7"/>
    <s v="EU"/>
    <s v="Scales"/>
    <n v="2126660001"/>
    <s v="2 SCALES ACROSS PER FISH"/>
    <s v="31"/>
    <x v="7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1"/>
    <s v="EU"/>
    <s v="Scales"/>
    <n v="2126660001"/>
    <s v="2 SCALES ACROSS PER FISH"/>
    <s v="41"/>
    <x v="1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0"/>
    <s v="EU"/>
    <s v="Scales"/>
    <n v="2126660001"/>
    <s v="2 SCALES ACROSS PER FISH"/>
    <s v="52"/>
    <x v="0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5"/>
    <s v="MY"/>
    <s v="Scales"/>
    <n v="2126660001"/>
    <s v="2 SCALES ACROSS PER FISH"/>
    <s v="3M"/>
    <x v="5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RG"/>
    <s v=""/>
    <x v="6"/>
    <s v="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7"/>
    <s v="EU"/>
    <s v="Scales"/>
    <n v="2126660001"/>
    <s v="2 SCALES ACROSS PER FISH"/>
    <s v="31"/>
    <x v="7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1"/>
    <s v="EU"/>
    <s v="Scales"/>
    <n v="2126660001"/>
    <s v="2 SCALES ACROSS PER FISH"/>
    <s v="41"/>
    <x v="1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5"/>
    <s v="MY"/>
    <s v="Scales"/>
    <n v="2126660001"/>
    <s v="2 SCALES ACROSS PER FISH"/>
    <s v="3M"/>
    <x v="5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RG"/>
    <s v=""/>
    <x v="6"/>
    <s v=""/>
    <s v="Scales"/>
    <n v="2126660001"/>
    <s v="2 SCALES ACROSS PER FISH"/>
    <s v=""/>
    <x v="6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RG"/>
    <s v=""/>
    <x v="6"/>
    <s v=""/>
    <s v="Scales"/>
    <n v="2126660001"/>
    <s v="2 SCALES ACROSS PER FISH"/>
    <s v=""/>
    <x v="6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1"/>
    <s v="EU"/>
    <s v="Scales"/>
    <n v="2126660001"/>
    <s v="2 SCALES ACROSS PER FISH"/>
    <s v="41"/>
    <x v="1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RG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7"/>
    <s v="EU"/>
    <s v="Scales"/>
    <n v="2126660001"/>
    <s v="2 SCALES ACROSS PER FISH"/>
    <s v="31"/>
    <x v="7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1"/>
    <s v="EU"/>
    <s v="Scales"/>
    <n v="2126660001"/>
    <s v="2 SCALES ACROSS PER FISH"/>
    <s v="41"/>
    <x v="1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7"/>
    <s v="EU"/>
    <s v="Scales"/>
    <n v="2126660001"/>
    <s v="2 SCALES ACROSS PER FISH"/>
    <s v="31"/>
    <x v="7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3"/>
    <s v="MY"/>
    <s v="Scales"/>
    <n v="2126660001"/>
    <s v="2 SCALES ACROSS PER FISH"/>
    <s v="2M"/>
    <x v="3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RG"/>
    <s v=""/>
    <x v="6"/>
    <s v=""/>
    <s v="Scales"/>
    <n v="2126660001"/>
    <s v="2 SCALES ACROSS PER FISH"/>
    <s v=""/>
    <x v="6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1"/>
    <s v="EU"/>
    <s v="Scales"/>
    <n v="2126660001"/>
    <s v="2 SCALES ACROSS PER FISH"/>
    <s v="41"/>
    <x v="1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1"/>
    <s v="EU"/>
    <s v="Scales"/>
    <n v="2126660001"/>
    <s v="2 SCALES ACROSS PER FISH"/>
    <s v="41"/>
    <x v="1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RG"/>
    <s v=""/>
    <x v="6"/>
    <s v=""/>
    <s v="Scales"/>
    <n v="2126660001"/>
    <s v="2 SCALES ACROSS PER FISH"/>
    <s v=""/>
    <x v="6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RG"/>
    <s v=""/>
    <x v="6"/>
    <s v=""/>
    <s v="Scales"/>
    <n v="2126660001"/>
    <s v="2 SCALES ACROSS PER FISH"/>
    <s v=""/>
    <x v="6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RG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RG"/>
    <s v=""/>
    <x v="6"/>
    <s v=""/>
    <s v="Scales"/>
    <n v="2126660001"/>
    <s v="2 SCALES ACROSS PER FISH"/>
    <s v=""/>
    <x v="6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RG"/>
    <s v=""/>
    <x v="6"/>
    <s v=""/>
    <s v="Scales"/>
    <n v="2126660001"/>
    <s v="2 SCALES ACROSS PER FISH"/>
    <s v=""/>
    <x v="6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UD"/>
    <s v=""/>
    <x v="6"/>
    <s v=""/>
    <s v="Scales"/>
    <n v="2126660001"/>
    <s v="2 SCALES ACROSS PER FISH"/>
    <s v=""/>
    <x v="6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RG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0"/>
    <s v="EU"/>
    <s v="Scales"/>
    <n v="2126660001"/>
    <s v="2 SCALES ACROSS PER FISH"/>
    <s v="52"/>
    <x v="0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RG"/>
    <s v=""/>
    <x v="6"/>
    <s v=""/>
    <s v="Scales"/>
    <n v="2126660001"/>
    <s v="2 SCALES ACROSS PER FISH"/>
    <s v=""/>
    <x v="6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1"/>
    <s v="EU"/>
    <s v="Scales"/>
    <n v="2126660001"/>
    <s v="2 SCALES ACROSS PER FISH"/>
    <s v="41"/>
    <x v="1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RG"/>
    <s v=""/>
    <x v="6"/>
    <s v=""/>
    <s v="Scales"/>
    <n v="2126660001"/>
    <s v="2 SCALES ACROSS PER FISH"/>
    <s v=""/>
    <x v="6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7"/>
    <s v="EU"/>
    <s v="Scales"/>
    <n v="2126660001"/>
    <s v="2 SCALES ACROSS PER FISH"/>
    <s v="31"/>
    <x v="7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7"/>
    <s v="EU"/>
    <s v="Scales"/>
    <n v="2126660001"/>
    <s v="2 SCALES ACROSS PER FISH"/>
    <s v="31"/>
    <x v="7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5"/>
    <s v="MY"/>
    <s v="Scales"/>
    <n v="2126660001"/>
    <s v="2 SCALES ACROSS PER FISH"/>
    <s v="3M"/>
    <x v="5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3"/>
    <s v="MY"/>
    <s v="Scales"/>
    <n v="2126660001"/>
    <s v="2 SCALES ACROSS PER FISH"/>
    <s v="2M"/>
    <x v="3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7"/>
    <s v="EU"/>
    <s v="Scales"/>
    <n v="2126660001"/>
    <s v="2 SCALES ACROSS PER FISH"/>
    <s v="31"/>
    <x v="7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7"/>
    <s v="EU"/>
    <s v="Scales"/>
    <n v="2126660001"/>
    <s v="2 SCALES ACROSS PER FISH"/>
    <s v="31"/>
    <x v="7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3"/>
    <s v="MY"/>
    <s v="Scales"/>
    <n v="2126660001"/>
    <s v="2 SCALES ACROSS PER FISH"/>
    <s v="2M"/>
    <x v="3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RG"/>
    <s v=""/>
    <x v="6"/>
    <s v="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7"/>
    <s v="EU"/>
    <s v="Scales"/>
    <n v="2126660001"/>
    <s v="2 SCALES ACROSS PER FISH"/>
    <s v="31"/>
    <x v="7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3"/>
    <s v="MY"/>
    <s v="Scales"/>
    <n v="2126660001"/>
    <s v="2 SCALES ACROSS PER FISH"/>
    <s v="2M"/>
    <x v="3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5"/>
    <s v="MY"/>
    <s v="Scales"/>
    <n v="2126660001"/>
    <s v="2 SCALES ACROSS PER FISH"/>
    <s v="3M"/>
    <x v="5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7"/>
    <s v="EU"/>
    <s v="Scales"/>
    <n v="2126660001"/>
    <s v="2 SCALES ACROSS PER FISH"/>
    <s v="31"/>
    <x v="7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RG"/>
    <s v=""/>
    <x v="6"/>
    <s v="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5"/>
    <s v="MY"/>
    <s v="Scales"/>
    <n v="2126660001"/>
    <s v="2 SCALES ACROSS PER FISH"/>
    <s v="3M"/>
    <x v="5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0"/>
    <s v="EU"/>
    <s v="Scales"/>
    <n v="2126660001"/>
    <s v="2 SCALES ACROSS PER FISH"/>
    <s v="52"/>
    <x v="0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7"/>
    <s v="EU"/>
    <s v="Scales"/>
    <n v="2126660001"/>
    <s v="2 SCALES ACROSS PER FISH"/>
    <s v="31"/>
    <x v="7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7"/>
    <s v="EU"/>
    <s v="Scales"/>
    <n v="2126660001"/>
    <s v="2 SCALES ACROSS PER FISH"/>
    <s v="31"/>
    <x v="7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4"/>
    <s v="EU"/>
    <s v="Scales"/>
    <n v="2126660001"/>
    <s v="2 SCALES ACROSS PER FISH"/>
    <s v="53"/>
    <x v="4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1"/>
    <s v="EU"/>
    <s v="Scales"/>
    <n v="2126660001"/>
    <s v="2 SCALES ACROSS PER FISH"/>
    <s v="41"/>
    <x v="1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0"/>
    <s v="EU"/>
    <s v="Scales"/>
    <n v="2126660001"/>
    <s v="2 SCALES ACROSS PER FISH"/>
    <s v="52"/>
    <x v="0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3"/>
    <s v="MY"/>
    <s v="Scales"/>
    <n v="2126660001"/>
    <s v="2 SCALES ACROSS PER FISH"/>
    <s v="2M"/>
    <x v="3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RG"/>
    <s v=""/>
    <x v="6"/>
    <s v="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1"/>
    <s v="EU"/>
    <s v="Scales"/>
    <n v="2126660001"/>
    <s v="2 SCALES ACROSS PER FISH"/>
    <s v="41"/>
    <x v="1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3"/>
    <s v="MY"/>
    <s v="Scales"/>
    <n v="2126660001"/>
    <s v="2 SCALES ACROSS PER FISH"/>
    <s v="2M"/>
    <x v="3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1"/>
    <s v="EU"/>
    <s v="Scales"/>
    <n v="2126660001"/>
    <s v="2 SCALES ACROSS PER FISH"/>
    <s v="41"/>
    <x v="1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1"/>
    <s v="EU"/>
    <s v="Scales"/>
    <n v="2126660001"/>
    <s v="2 SCALES ACROSS PER FISH"/>
    <s v="41"/>
    <x v="1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5"/>
    <s v="MY"/>
    <s v="Scales"/>
    <n v="2126660001"/>
    <s v="2 SCALES ACROSS PER FISH"/>
    <s v="3M"/>
    <x v="5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1"/>
    <s v="EU"/>
    <s v="Scales"/>
    <n v="2126660001"/>
    <s v="2 SCALES ACROSS PER FISH"/>
    <s v="41"/>
    <x v="1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5"/>
    <s v="MY"/>
    <s v="Scales"/>
    <n v="2126660001"/>
    <s v="2 SCALES ACROSS PER FISH"/>
    <s v="3M"/>
    <x v="5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7"/>
    <s v="EU"/>
    <s v="Scales"/>
    <n v="2126660001"/>
    <s v="2 SCALES ACROSS PER FISH"/>
    <s v="31"/>
    <x v="7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RG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1"/>
    <s v="EU"/>
    <s v="Scales"/>
    <n v="2126660001"/>
    <s v="2 SCALES ACROSS PER FISH"/>
    <s v="41"/>
    <x v="1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5"/>
    <s v="MY"/>
    <s v="Scales"/>
    <n v="2126660001"/>
    <s v="2 SCALES ACROSS PER FISH"/>
    <s v="3M"/>
    <x v="5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7"/>
    <s v="EU"/>
    <s v="Scales"/>
    <n v="2126660001"/>
    <s v="2 SCALES ACROSS PER FISH"/>
    <s v="31"/>
    <x v="7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RG"/>
    <s v=""/>
    <x v="6"/>
    <s v=""/>
    <s v="Scales"/>
    <n v="2126660001"/>
    <s v="2 SCALES ACROSS PER FISH"/>
    <s v=""/>
    <x v="6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1"/>
    <s v="EU"/>
    <s v="Scales"/>
    <n v="2126660001"/>
    <s v="2 SCALES ACROSS PER FISH"/>
    <s v="41"/>
    <x v="1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7"/>
    <s v="EU"/>
    <s v="Scales"/>
    <n v="2126660001"/>
    <s v="2 SCALES ACROSS PER FISH"/>
    <s v="31"/>
    <x v="7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RG"/>
    <s v=""/>
    <x v="6"/>
    <s v=""/>
    <s v="Scales"/>
    <n v="2126660001"/>
    <s v="2 SCALES ACROSS PER FISH"/>
    <s v=""/>
    <x v="6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RG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RG"/>
    <s v=""/>
    <x v="6"/>
    <s v=""/>
    <s v="Scales"/>
    <n v="2126660001"/>
    <s v="2 SCALES ACROSS PER FISH"/>
    <s v=""/>
    <x v="6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RG"/>
    <s v=""/>
    <x v="6"/>
    <s v=""/>
    <s v="Scales"/>
    <n v="2126660001"/>
    <s v="2 SCALES ACROSS PER FISH"/>
    <s v=""/>
    <x v="6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5"/>
    <s v="MY"/>
    <s v="Scales"/>
    <n v="2126660001"/>
    <s v="2 SCALES ACROSS PER FISH"/>
    <s v="3M"/>
    <x v="5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5"/>
    <s v="MY"/>
    <s v="Scales"/>
    <n v="2126660001"/>
    <s v="2 SCALES ACROSS PER FISH"/>
    <s v="3M"/>
    <x v="5"/>
    <s v="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3"/>
    <s v="MY"/>
    <s v="Scales"/>
    <n v="2126660001"/>
    <s v="2 SCALES ACROSS PER FISH"/>
    <s v="2M"/>
    <x v="3"/>
    <s v="1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0"/>
    <s v="EU"/>
    <s v="Scales"/>
    <n v="2126660001"/>
    <s v="2 SCALES ACROSS PER FISH"/>
    <s v="52"/>
    <x v="0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3T00:00:00"/>
    <d v="1991-07-03T00:00:00"/>
    <s v="1991310014562806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3"/>
    <s v="MY"/>
    <s v="Scales"/>
    <n v="2126660001"/>
    <s v="2 SCALES ACROSS PER FISH"/>
    <s v="2M"/>
    <x v="3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7"/>
    <s v="EU"/>
    <s v="Scales"/>
    <n v="2126660001"/>
    <s v="2 SCALES ACROSS PER FISH"/>
    <s v="31"/>
    <x v="7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5T00:00:00"/>
    <d v="1991-06-25T00:00:00"/>
    <s v="199131004162805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6T00:00:00"/>
    <d v="1991-07-16T00:00:00"/>
    <s v="1991310014562835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RG"/>
    <s v=""/>
    <x v="6"/>
    <s v=""/>
    <s v="Scales"/>
    <n v="2126660001"/>
    <s v="2 SCALES ACROSS PER FISH"/>
    <s v=""/>
    <x v="6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3"/>
    <s v="MY"/>
    <s v="Scales"/>
    <n v="2126660001"/>
    <s v="2 SCALES ACROSS PER FISH"/>
    <s v="2M"/>
    <x v="3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8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RG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3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2T00:00:00"/>
    <d v="1991-07-02T00:00:00"/>
    <s v="1991310014562807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7T00:00:00"/>
    <d v="1991-07-07T00:00:00"/>
    <s v="1991310014562808"/>
  </r>
  <r>
    <s v="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41"/>
    <n v="1"/>
    <s v="SOCKEYE SALMON"/>
    <n v="2086090006"/>
    <x v="0"/>
    <n v="11"/>
    <s v="Other Gillnet/Set Net"/>
    <s v="Adult"/>
    <d v="1991-06-27T00:00:00"/>
    <d v="1991-06-27T00:00:00"/>
    <s v="199131004162804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8"/>
  </r>
  <r>
    <s v=""/>
    <s v="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1T00:00:00"/>
    <d v="1991-07-11T00:00:00"/>
    <s v="1991310014562817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6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9T00:00:00"/>
    <d v="1991-07-09T00:00:00"/>
    <s v="1991310014562812"/>
  </r>
  <r>
    <s v=""/>
    <s v=""/>
    <x v="1"/>
    <s v="EU"/>
    <s v="Scales"/>
    <n v="2126660001"/>
    <s v="2 SCALES ACROSS PER FISH"/>
    <s v="41"/>
    <x v="1"/>
    <s v="19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1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8T00:00:00"/>
    <d v="1991-07-18T00:00:00"/>
    <s v="1991310014562839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5T00:00:00"/>
    <d v="1991-07-15T00:00:00"/>
    <s v="1991310014562834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09"/>
  </r>
  <r>
    <s v=""/>
    <s v=""/>
    <x v="7"/>
    <s v="EU"/>
    <s v="Scales"/>
    <n v="2126660001"/>
    <s v="2 SCALES ACROSS PER FISH"/>
    <s v="31"/>
    <x v="7"/>
    <s v="11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0T00:00:00"/>
    <d v="1991-07-10T00:00:00"/>
    <s v="1991310014562814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17T00:00:00"/>
    <d v="1991-07-17T00:00:00"/>
    <s v="1991310014562837"/>
  </r>
  <r>
    <s v=""/>
    <s v="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-1000005626"/>
    <n v="51765"/>
    <s v="ATNARKO ESCAPEMENT-1991"/>
    <n v="968"/>
    <s v="BELLA COOLA RIVER"/>
    <x v="1"/>
    <s v="145"/>
    <n v="1"/>
    <s v="SOCKEYE SALMON"/>
    <n v="2086090006"/>
    <x v="0"/>
    <n v="11"/>
    <s v="Other Gillnet/Set Net"/>
    <s v="Adult"/>
    <d v="1991-07-08T00:00:00"/>
    <d v="1991-07-08T00:00:00"/>
    <s v="1991310014562810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RG"/>
    <s v="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UD"/>
    <s v=""/>
    <x v="6"/>
    <s v="EU"/>
    <s v="Scales"/>
    <n v="2126660001"/>
    <s v="2 SCALES ACROSS PER FISH"/>
    <s v=""/>
    <x v="6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0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RG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0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RG"/>
    <s v=""/>
    <x v="9"/>
    <s v="MY"/>
    <s v="Scales"/>
    <n v="2126660001"/>
    <s v="2 SCALES ACROSS PER FISH"/>
    <s v="0M"/>
    <x v="9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0"/>
    <x v="10"/>
    <s v="EU"/>
    <s v="Scales"/>
    <n v="2126660001"/>
    <s v="2 SCALES ACROSS PER FISH"/>
    <s v="62"/>
    <x v="10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UD"/>
    <s v=""/>
    <x v="6"/>
    <s v="EU"/>
    <s v="Scales"/>
    <n v="2126660001"/>
    <s v="2 SCALES ACROSS PER FISH"/>
    <s v=""/>
    <x v="6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1"/>
    <x v="4"/>
    <s v="EU"/>
    <s v="Scales"/>
    <n v="2126660001"/>
    <s v="2 SCALES ACROSS PER FISH"/>
    <s v="53"/>
    <x v="4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RG"/>
    <s v=""/>
    <x v="3"/>
    <s v="MY"/>
    <s v="Scales"/>
    <n v="2126660001"/>
    <s v="2 SCALES ACROSS PER FISH"/>
    <s v="2M"/>
    <x v="3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RG"/>
    <s v=""/>
    <x v="5"/>
    <s v="MY"/>
    <s v="Scales"/>
    <n v="2126660001"/>
    <s v="2 SCALES ACROSS PER FISH"/>
    <s v="3M"/>
    <x v="5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RG"/>
    <s v=""/>
    <x v="11"/>
    <s v="MY"/>
    <s v="Scales"/>
    <n v="2126660001"/>
    <s v="2 SCALES ACROSS PER FISH"/>
    <s v="1M"/>
    <x v="11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0"/>
    <s v="EU"/>
    <s v="Scales"/>
    <n v="2126660001"/>
    <s v="2 SCALES ACROSS PER FISH"/>
    <s v="52"/>
    <x v="0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8"/>
    <s v="EU"/>
    <s v="Scales"/>
    <n v="2126660001"/>
    <s v="2 SCALES ACROSS PER FISH"/>
    <s v="63"/>
    <x v="8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0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7"/>
    <s v="EU"/>
    <s v="Scales"/>
    <n v="2126660001"/>
    <s v="2 SCALES ACROSS PER FISH"/>
    <s v="31"/>
    <x v="7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RG"/>
    <s v=""/>
    <x v="6"/>
    <s v="EU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0"/>
    <s v="EU"/>
    <s v="Scales"/>
    <n v="2126660001"/>
    <s v="2 SCALES ACROSS PER FISH"/>
    <s v="52"/>
    <x v="0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UD"/>
    <s v=""/>
    <x v="6"/>
    <s v="EU"/>
    <s v="Scales"/>
    <n v="2126660001"/>
    <s v="2 SCALES ACROSS PER FISH"/>
    <s v=""/>
    <x v="6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UD"/>
    <s v=""/>
    <x v="6"/>
    <s v="EU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RG"/>
    <s v=""/>
    <x v="6"/>
    <s v="EU"/>
    <s v="Scales"/>
    <n v="2126660001"/>
    <s v="2 SCALES ACROSS PER FISH"/>
    <s v=""/>
    <x v="6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1"/>
    <s v="EU"/>
    <s v="Scales"/>
    <n v="2126660001"/>
    <s v="2 SCALES ACROSS PER FISH"/>
    <s v="41"/>
    <x v="1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UD"/>
    <s v=""/>
    <x v="6"/>
    <s v="EU"/>
    <s v="Scales"/>
    <n v="2126660001"/>
    <s v="2 SCALES ACROSS PER FISH"/>
    <s v=""/>
    <x v="6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6T00:00:00"/>
    <d v="2003-07-16T00:00:00"/>
    <s v="32827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0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RG"/>
    <s v=""/>
    <x v="5"/>
    <s v="MY"/>
    <s v="Scales"/>
    <n v="2126660001"/>
    <s v="2 SCALES ACROSS PER FISH"/>
    <s v="3M"/>
    <x v="5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0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RG"/>
    <s v=""/>
    <x v="3"/>
    <s v="MY"/>
    <s v="Scales"/>
    <n v="2126660001"/>
    <s v="2 SCALES ACROSS PER FISH"/>
    <s v="2M"/>
    <x v="3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UD"/>
    <s v=""/>
    <x v="6"/>
    <s v="EU"/>
    <s v="Scales"/>
    <n v="2126660001"/>
    <s v="2 SCALES ACROSS PER FISH"/>
    <s v=""/>
    <x v="6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RG"/>
    <s v=""/>
    <x v="11"/>
    <s v="MY"/>
    <s v="Scales"/>
    <n v="2126660001"/>
    <s v="2 SCALES ACROSS PER FISH"/>
    <s v="1M"/>
    <x v="11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RG"/>
    <s v=""/>
    <x v="6"/>
    <s v="EU"/>
    <s v="Scales"/>
    <n v="2126660001"/>
    <s v="2 SCALES ACROSS PER FISH"/>
    <s v=""/>
    <x v="6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4"/>
    <s v="EU"/>
    <s v="Scales"/>
    <n v="2126660001"/>
    <s v="2 SCALES ACROSS PER FISH"/>
    <s v="53"/>
    <x v="4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"/>
    <s v=""/>
    <x v="4"/>
    <s v="EU"/>
    <s v="Scales"/>
    <n v="2126660001"/>
    <s v="2 SCALES ACROSS PER FISH"/>
    <s v="53"/>
    <x v="4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2T00:00:00"/>
    <d v="2003-07-02T00:00:00"/>
    <s v="32816"/>
  </r>
  <r>
    <s v="RG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4"/>
    <s v="EU"/>
    <s v="Scales"/>
    <n v="2126660001"/>
    <s v="2 SCALES ACROSS PER FISH"/>
    <s v="53"/>
    <x v="4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UD"/>
    <s v=""/>
    <x v="6"/>
    <s v="EU"/>
    <s v="Scales"/>
    <n v="2126660001"/>
    <s v="2 SCALES ACROSS PER FISH"/>
    <s v=""/>
    <x v="6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UD"/>
    <s v=""/>
    <x v="6"/>
    <s v="EU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RG"/>
    <s v=""/>
    <x v="5"/>
    <s v="MY"/>
    <s v="Scales"/>
    <n v="2126660001"/>
    <s v="2 SCALES ACROSS PER FISH"/>
    <s v="3M"/>
    <x v="5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0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7"/>
    <s v="EU"/>
    <s v="Scales"/>
    <n v="2126660001"/>
    <s v="2 SCALES ACROSS PER FISH"/>
    <s v="31"/>
    <x v="7"/>
    <s v="2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4"/>
    <s v="EU"/>
    <s v="Scales"/>
    <n v="2126660001"/>
    <s v="2 SCALES ACROSS PER FISH"/>
    <s v="53"/>
    <x v="4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0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0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0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0"/>
    <s v="EU"/>
    <s v="Scales"/>
    <n v="2126660001"/>
    <s v="2 SCALES ACROSS PER FISH"/>
    <s v="52"/>
    <x v="0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30T00:00:00"/>
    <d v="2003-07-30T00:00:00"/>
    <s v="32804"/>
  </r>
  <r>
    <s v=""/>
    <s v=""/>
    <x v="4"/>
    <s v="EU"/>
    <s v="Scales"/>
    <n v="2126660001"/>
    <s v="2 SCALES ACROSS PER FISH"/>
    <s v="53"/>
    <x v="4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01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2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7T00:00:00"/>
    <d v="2003-07-07T00:00:00"/>
    <s v="32823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UD"/>
    <s v=""/>
    <x v="6"/>
    <s v="EU"/>
    <s v="Scales"/>
    <n v="2126660001"/>
    <s v="2 SCALES ACROSS PER FISH"/>
    <s v=""/>
    <x v="6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RG"/>
    <s v=""/>
    <x v="6"/>
    <s v="EU"/>
    <s v="Scales"/>
    <n v="2126660001"/>
    <s v="2 SCALES ACROSS PER FISH"/>
    <s v=""/>
    <x v="6"/>
    <s v="19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RG"/>
    <s v=""/>
    <x v="3"/>
    <s v="MY"/>
    <s v="Scales"/>
    <n v="2126660001"/>
    <s v="2 SCALES ACROSS PER FISH"/>
    <s v="2M"/>
    <x v="3"/>
    <s v="2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22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7"/>
    <s v="EU"/>
    <s v="Scales"/>
    <n v="2126660001"/>
    <s v="2 SCALES ACROSS PER FISH"/>
    <s v="31"/>
    <x v="7"/>
    <s v="1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9T00:00:00"/>
    <d v="2003-07-09T00:00:00"/>
    <s v="32802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4T00:00:00"/>
    <d v="2003-07-15T00:00:00"/>
    <s v="32825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15T00:00:00"/>
    <d v="2003-07-15T00:00:00"/>
    <s v="3282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08T00:00:00"/>
    <d v="2003-07-08T00:00:00"/>
    <s v="32824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350248"/>
    <n v="51765"/>
    <s v="BELLA COOLA/ATNARKO INDIAN FOOD FISHERY(IFF)-2003"/>
    <n v="968"/>
    <s v="BELLA COOLA RIVER"/>
    <x v="2"/>
    <s v="2003/0704"/>
    <n v="1"/>
    <s v="SOCKEYE SALMON"/>
    <n v="2086090006"/>
    <x v="0"/>
    <n v="11"/>
    <s v="Other Gillnet/Set Net"/>
    <s v="Adult"/>
    <d v="2003-07-29T00:00:00"/>
    <d v="2003-07-29T00:00:00"/>
    <s v="32803"/>
  </r>
  <r>
    <s v=""/>
    <s v="*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RG"/>
    <s v="0"/>
    <x v="5"/>
    <s v="MY"/>
    <s v="Scales"/>
    <n v="2126660001"/>
    <s v="2 SCALES ACROSS PER FISH"/>
    <s v="3M"/>
    <x v="5"/>
    <s v="11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RG"/>
    <s v=""/>
    <x v="5"/>
    <s v="MY"/>
    <s v="Scales"/>
    <n v="2126660001"/>
    <s v="2 SCALES ACROSS PER FISH"/>
    <s v="3M"/>
    <x v="5"/>
    <s v="16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"/>
    <s v="0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W"/>
    <s v="0"/>
    <x v="3"/>
    <s v="MY"/>
    <s v="Scales"/>
    <n v="2126660001"/>
    <s v="2 SCALES ACROSS PER FISH"/>
    <s v="2M"/>
    <x v="3"/>
    <s v="3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7"/>
    <s v="EU"/>
    <s v="Scales"/>
    <n v="2126660001"/>
    <s v="2 SCALES ACROSS PER FISH"/>
    <s v="31"/>
    <x v="7"/>
    <s v="18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RG"/>
    <s v=""/>
    <x v="3"/>
    <s v="MY"/>
    <s v="Scales"/>
    <n v="2126660001"/>
    <s v="2 SCALES ACROSS PER FISH"/>
    <s v="2M"/>
    <x v="3"/>
    <s v="19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W"/>
    <s v=""/>
    <x v="6"/>
    <s v="EU"/>
    <s v="Scales"/>
    <n v="2126660001"/>
    <s v="2 SCALES ACROSS PER FISH"/>
    <s v=""/>
    <x v="6"/>
    <s v="21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"/>
    <s v="0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RG"/>
    <s v="*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*"/>
    <x v="4"/>
    <s v="EU"/>
    <s v="Scales"/>
    <n v="2126660001"/>
    <s v="2 SCALES ACROSS PER FISH"/>
    <s v="53"/>
    <x v="4"/>
    <s v="6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RG"/>
    <s v="0"/>
    <x v="5"/>
    <s v="MY"/>
    <s v="Scales"/>
    <n v="2126660001"/>
    <s v="2 SCALES ACROSS PER FISH"/>
    <s v="3M"/>
    <x v="5"/>
    <s v="7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RG"/>
    <s v=""/>
    <x v="3"/>
    <s v="MY"/>
    <s v="Scales"/>
    <n v="2126660001"/>
    <s v="2 SCALES ACROSS PER FISH"/>
    <s v="2M"/>
    <x v="3"/>
    <s v="22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6-18T00:00:00"/>
    <d v="2009-07-07T00:00:00"/>
    <s v="68061"/>
  </r>
  <r>
    <s v=""/>
    <s v="0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4902326"/>
    <n v="51765"/>
    <s v="ATNARKO ESCAPEMENT - 2009"/>
    <n v="968"/>
    <s v="BELLA COOLA RIVER"/>
    <x v="3"/>
    <s v="2009/0367"/>
    <n v="1"/>
    <s v="SOCKEYE SALMON"/>
    <n v="2086090006"/>
    <x v="0"/>
    <n v="11"/>
    <s v="Other Gillnet/Set Net"/>
    <s v="Adult"/>
    <d v="2009-07-27T00:00:00"/>
    <d v="2009-08-06T00:00:00"/>
    <s v="32828"/>
  </r>
  <r>
    <s v="UD"/>
    <s v=""/>
    <x v="6"/>
    <s v="EU"/>
    <s v="Scales"/>
    <n v="2126660001"/>
    <s v="5 SCALES DOWN PER FISH"/>
    <s v=""/>
    <x v="6"/>
    <s v="8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"/>
    <x v="12"/>
    <s v="EU"/>
    <s v="Scales"/>
    <n v="2126660001"/>
    <s v="5 SCALES DOWN PER FISH"/>
    <s v="32"/>
    <x v="12"/>
    <s v="10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0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RG"/>
    <s v=""/>
    <x v="3"/>
    <s v="MY"/>
    <s v="Scales"/>
    <n v="2126660001"/>
    <s v="5 SCALES DOWN PER FISH"/>
    <s v="2M"/>
    <x v="3"/>
    <s v="3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0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0"/>
    <x v="0"/>
    <s v="EU"/>
    <s v="Scales"/>
    <n v="2126660001"/>
    <s v="5 SCALES DOWN PER FISH"/>
    <s v="52"/>
    <x v="0"/>
    <s v="1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0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11707560"/>
    <n v="51765"/>
    <s v="BELLA COOLA FN (IN RIVER NET) - 2021"/>
    <n v="968"/>
    <s v="BELLA COOLA RIVER"/>
    <x v="4"/>
    <s v="2021/0266"/>
    <n v="1"/>
    <s v="SOCKEYE SALMON"/>
    <n v="2086090006"/>
    <x v="0"/>
    <n v="11"/>
    <s v="Other Gillnet/Set Net"/>
    <s v="Adult"/>
    <d v="2021-07-20T00:00:00"/>
    <d v="2021-07-21T00:00:00"/>
    <s v="1015999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0"/>
    <s v="EU"/>
    <s v="Scales"/>
    <n v="2126660001"/>
    <s v="2 SCALES ACROSS PER FISH"/>
    <s v="52"/>
    <x v="0"/>
    <s v="13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0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9269728"/>
    <n v="51765"/>
    <s v="BELLA COOLA FN (IN RIVER NET) - 2016"/>
    <n v="968"/>
    <s v="BELLA COOLA RIVER"/>
    <x v="5"/>
    <s v="2016/0561"/>
    <n v="1"/>
    <s v="SOCKEYE SALMON"/>
    <n v="2086090006"/>
    <x v="0"/>
    <n v="11"/>
    <s v="Other Gillnet/Set Net"/>
    <s v="Adult"/>
    <d v="2016-08-28T00:00:00"/>
    <d v="2016-08-28T00:00:00"/>
    <s v="73720"/>
  </r>
  <r>
    <s v="RG"/>
    <s v="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W"/>
    <s v=""/>
    <x v="6"/>
    <s v="EU"/>
    <s v="Scales"/>
    <n v="2126660001"/>
    <s v="2 SCALES ACROSS PER FISH"/>
    <s v=""/>
    <x v="6"/>
    <s v="15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RG"/>
    <s v=""/>
    <x v="3"/>
    <s v="MY"/>
    <s v="Scales"/>
    <n v="2126660001"/>
    <s v="2 SCALES ACROSS PER FISH"/>
    <s v="2M"/>
    <x v="3"/>
    <s v="16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UF"/>
    <s v="0"/>
    <x v="5"/>
    <s v="MY"/>
    <s v="Scales"/>
    <n v="2126660001"/>
    <s v="2 SCALES ACROSS PER FISH"/>
    <s v="3M"/>
    <x v="5"/>
    <s v="19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RG"/>
    <s v=""/>
    <x v="3"/>
    <s v="MY"/>
    <s v="Scales"/>
    <n v="2126660001"/>
    <s v="2 SCALES ACROSS PER FISH"/>
    <s v="2M"/>
    <x v="3"/>
    <s v="21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RG"/>
    <s v=""/>
    <x v="3"/>
    <s v="MY"/>
    <s v="Scales"/>
    <n v="2126660001"/>
    <s v="2 SCALES ACROSS PER FISH"/>
    <s v="2M"/>
    <x v="3"/>
    <s v="12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RG"/>
    <s v=""/>
    <x v="3"/>
    <s v="MY"/>
    <s v="Scales"/>
    <n v="2126660001"/>
    <s v="2 SCALES ACROSS PER FISH"/>
    <s v="2M"/>
    <x v="3"/>
    <s v="9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MF"/>
    <s v=""/>
    <x v="6"/>
    <s v="EU"/>
    <s v="Scales"/>
    <n v="2126660001"/>
    <s v="2 SCALES ACROSS PER FISH"/>
    <s v=""/>
    <x v="6"/>
    <s v="21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0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W"/>
    <s v="0"/>
    <x v="3"/>
    <s v="MY"/>
    <s v="Scales"/>
    <n v="2126660001"/>
    <s v="2 SCALES ACROSS PER FISH"/>
    <s v="2M"/>
    <x v="3"/>
    <s v="18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RG"/>
    <s v=""/>
    <x v="3"/>
    <s v="MY"/>
    <s v="Scales"/>
    <n v="2126660001"/>
    <s v="2 SCALES ACROSS PER FISH"/>
    <s v="2M"/>
    <x v="3"/>
    <s v="24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0"/>
    <x v="4"/>
    <s v="EU"/>
    <s v="Scales"/>
    <n v="2126660001"/>
    <s v="2 SCALES ACROSS PER FISH"/>
    <s v="53"/>
    <x v="4"/>
    <s v="13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RG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1"/>
    <s v="EU"/>
    <s v="Scales"/>
    <n v="2126660001"/>
    <s v="2 SCALES ACROSS PER FISH"/>
    <s v="41"/>
    <x v="1"/>
    <s v="3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0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0"/>
    <x v="4"/>
    <s v="EU"/>
    <s v="Scales"/>
    <n v="2126660001"/>
    <s v="2 SCALES ACROSS PER FISH"/>
    <s v="53"/>
    <x v="4"/>
    <s v="5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0"/>
    <s v="EU"/>
    <s v="Scales"/>
    <n v="2126660001"/>
    <s v="2 SCALES ACROSS PER FISH"/>
    <s v="52"/>
    <x v="0"/>
    <s v="14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RG"/>
    <s v=""/>
    <x v="5"/>
    <s v="MY"/>
    <s v="Scales"/>
    <n v="2126660001"/>
    <s v="2 SCALES ACROSS PER FISH"/>
    <s v="3M"/>
    <x v="5"/>
    <s v="12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7-26T00:00:00"/>
    <d v="2018-07-26T00:00:00"/>
    <s v="74561"/>
  </r>
  <r>
    <s v=""/>
    <s v="0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0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10391446"/>
    <n v="51765"/>
    <s v="BELLA COOLA FN (IN RIVER NET) - 2018"/>
    <n v="968"/>
    <s v="BELLA COOLA RIVER"/>
    <x v="6"/>
    <s v="2018/0090"/>
    <n v="1"/>
    <s v="SOCKEYE SALMON"/>
    <n v="2086090006"/>
    <x v="0"/>
    <n v="10"/>
    <s v="Salmon Gillnet, Commercial"/>
    <s v="Adult"/>
    <d v="2018-08-26T00:00:00"/>
    <d v="2018-08-26T00:00:00"/>
    <s v="74562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RG"/>
    <s v=""/>
    <x v="5"/>
    <s v="MY"/>
    <s v="Scales"/>
    <n v="2126660001"/>
    <s v="2 SCALES ACROSS PER FISH"/>
    <s v="3M"/>
    <x v="5"/>
    <s v="6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1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1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8"/>
    <s v="EU"/>
    <s v="Scales"/>
    <n v="2126660001"/>
    <s v="2 SCALES ACROSS PER FISH"/>
    <s v="63"/>
    <x v="8"/>
    <s v="1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RG"/>
    <s v=""/>
    <x v="3"/>
    <s v="MY"/>
    <s v="Scales"/>
    <n v="2126660001"/>
    <s v="2 SCALES ACROSS PER FISH"/>
    <s v="2M"/>
    <x v="3"/>
    <s v="16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RG"/>
    <s v=""/>
    <x v="6"/>
    <s v="EU"/>
    <s v="Scales"/>
    <n v="2126660001"/>
    <s v="2 SCALES ACROSS PER FISH"/>
    <s v=""/>
    <x v="6"/>
    <s v="19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5"/>
    <s v="MY"/>
    <s v="Scales"/>
    <n v="2126660001"/>
    <s v="2 SCALES ACROSS PER FISH"/>
    <s v="3M"/>
    <x v="5"/>
    <s v="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RG"/>
    <s v=""/>
    <x v="3"/>
    <s v="MY"/>
    <s v="Scales"/>
    <n v="2126660001"/>
    <s v="2 SCALES ACROSS PER FISH"/>
    <s v="2M"/>
    <x v="3"/>
    <s v="16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W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RG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S"/>
    <s v="2"/>
    <x v="9"/>
    <s v="FW"/>
    <s v="Scales"/>
    <n v="2126660001"/>
    <s v="2 SCALES ACROSS PER FISH"/>
    <s v="S1"/>
    <x v="13"/>
    <s v="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6"/>
    <s v="EU"/>
    <s v="Scales"/>
    <n v="2126660001"/>
    <s v="2 SCALES ACROSS PER FISH"/>
    <s v=""/>
    <x v="6"/>
    <s v="10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6"/>
    <s v="EU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W"/>
    <s v="0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6"/>
    <s v="EU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W"/>
    <s v=""/>
    <x v="5"/>
    <s v="MY"/>
    <s v="Scales"/>
    <n v="2126660001"/>
    <s v="2 SCALES ACROSS PER FISH"/>
    <s v="3M"/>
    <x v="5"/>
    <s v="7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UF"/>
    <s v=""/>
    <x v="3"/>
    <s v="MY"/>
    <s v="Scales"/>
    <n v="2126660001"/>
    <s v="2 SCALES ACROSS PER FISH"/>
    <s v="2M"/>
    <x v="3"/>
    <s v="2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RG"/>
    <s v=""/>
    <x v="3"/>
    <s v="MY"/>
    <s v="Scales"/>
    <n v="2126660001"/>
    <s v="2 SCALES ACROSS PER FISH"/>
    <s v="2M"/>
    <x v="3"/>
    <s v="2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5"/>
    <s v="MY"/>
    <s v="Scales"/>
    <n v="2126660001"/>
    <s v="2 SCALES ACROSS PER FISH"/>
    <s v="3M"/>
    <x v="5"/>
    <s v="1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3"/>
    <s v="MY"/>
    <s v="Scales"/>
    <n v="2126660001"/>
    <s v="2 SCALES ACROSS PER FISH"/>
    <s v="2M"/>
    <x v="3"/>
    <s v="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W"/>
    <s v=""/>
    <x v="6"/>
    <s v="EU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0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16T00:00:00"/>
    <d v="2019-07-16T00:00:00"/>
    <s v="19NC7622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RG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29T00:00:00"/>
    <d v="2019-07-29T00:00:00"/>
    <s v="19NC76227"/>
  </r>
  <r>
    <s v=""/>
    <s v="0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W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W"/>
    <s v=""/>
    <x v="3"/>
    <s v="MY"/>
    <s v="Scales"/>
    <n v="2126660001"/>
    <s v="2 SCALES ACROSS PER FISH"/>
    <s v="2M"/>
    <x v="3"/>
    <s v="14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RG"/>
    <s v=""/>
    <x v="3"/>
    <s v="MY"/>
    <s v="Scales"/>
    <n v="2126660001"/>
    <s v="2 SCALES ACROSS PER FISH"/>
    <s v="2M"/>
    <x v="3"/>
    <s v="16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10946691"/>
    <n v="51765"/>
    <s v="BELLA COOLA FN (IN RIVER NET) - 2019"/>
    <n v="968"/>
    <s v="BELLA COOLA RIVER"/>
    <x v="7"/>
    <s v="2019/0323"/>
    <n v="1"/>
    <s v="SOCKEYE SALMON"/>
    <n v="2086090006"/>
    <x v="0"/>
    <n v="11"/>
    <s v="Other Gillnet/Set Net"/>
    <s v="Adult"/>
    <d v="2019-07-08T00:00:00"/>
    <d v="2019-07-08T00:00:00"/>
    <s v="19NC71110"/>
  </r>
  <r>
    <s v=""/>
    <s v=""/>
    <x v="4"/>
    <s v="EU"/>
    <s v="Scales"/>
    <n v="2126660001"/>
    <s v="2 SCALES ACROSS PER FISH"/>
    <s v="53"/>
    <x v="4"/>
    <s v="2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1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RG"/>
    <s v=""/>
    <x v="3"/>
    <s v="MY"/>
    <s v="Scales"/>
    <n v="2126660001"/>
    <s v="2 SCALES ACROSS PER FISH"/>
    <s v="2M"/>
    <x v="3"/>
    <s v="1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RG"/>
    <s v="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2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UD"/>
    <s v=""/>
    <x v="6"/>
    <s v="EU"/>
    <s v="Scales"/>
    <n v="2126660001"/>
    <s v="2 SCALES ACROSS PER FISH"/>
    <s v=""/>
    <x v="6"/>
    <s v="2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4"/>
    <s v="EU"/>
    <s v="Scales"/>
    <n v="2126660001"/>
    <s v="2 SCALES ACROSS PER FISH"/>
    <s v="53"/>
    <x v="4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4"/>
    <s v="EU"/>
    <s v="Scales"/>
    <n v="2126660001"/>
    <s v="2 SCALES ACROSS PER FISH"/>
    <s v="53"/>
    <x v="4"/>
    <s v="1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4"/>
    <s v="EU"/>
    <s v="Scales"/>
    <n v="2126660001"/>
    <s v="2 SCALES ACROSS PER FISH"/>
    <s v="53"/>
    <x v="4"/>
    <s v="1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0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4"/>
    <s v="EU"/>
    <s v="Scales"/>
    <n v="2126660001"/>
    <s v="2 SCALES ACROSS PER FISH"/>
    <s v="53"/>
    <x v="4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1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RG"/>
    <s v=""/>
    <x v="5"/>
    <s v="MY"/>
    <s v="Scales"/>
    <n v="2126660001"/>
    <s v="2 SCALES ACROSS PER FISH"/>
    <s v="3M"/>
    <x v="5"/>
    <s v="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RG"/>
    <s v=""/>
    <x v="5"/>
    <s v="MY"/>
    <s v="Scales"/>
    <n v="2126660001"/>
    <s v="2 SCALES ACROSS PER FISH"/>
    <s v="3M"/>
    <x v="5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0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0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"/>
    <x v="4"/>
    <s v="EU"/>
    <s v="Scales"/>
    <n v="2126660001"/>
    <s v="2 SCALES ACROSS PER FISH"/>
    <s v="53"/>
    <x v="4"/>
    <s v="2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1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0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RG"/>
    <s v=""/>
    <x v="6"/>
    <s v="EU"/>
    <s v="Scales"/>
    <n v="2126660001"/>
    <s v="2 SCALES ACROSS PER FISH"/>
    <s v=""/>
    <x v="6"/>
    <s v="2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8"/>
    <s v="EU"/>
    <s v="Scales"/>
    <n v="2126660001"/>
    <s v="2 SCALES ACROSS PER FISH"/>
    <s v="63"/>
    <x v="8"/>
    <s v="1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RG"/>
    <s v=""/>
    <x v="3"/>
    <s v="MY"/>
    <s v="Scales"/>
    <n v="2126660001"/>
    <s v="2 SCALES ACROSS PER FISH"/>
    <s v="2M"/>
    <x v="3"/>
    <s v="2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RG"/>
    <s v=""/>
    <x v="5"/>
    <s v="MY"/>
    <s v="Scales"/>
    <n v="2126660001"/>
    <s v="2 SCALES ACROSS PER FISH"/>
    <s v="3M"/>
    <x v="5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RG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8"/>
    <s v="EU"/>
    <s v="Scales"/>
    <n v="2126660001"/>
    <s v="2 SCALES ACROSS PER FISH"/>
    <s v="63"/>
    <x v="8"/>
    <s v="1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"/>
    <x v="4"/>
    <s v="EU"/>
    <s v="Scales"/>
    <n v="2126660001"/>
    <s v="2 SCALES ACROSS PER FISH"/>
    <s v="53"/>
    <x v="4"/>
    <s v="2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13"/>
    <s v="EU"/>
    <s v="Scales"/>
    <n v="2126660001"/>
    <s v="2 SCALES ACROSS PER FISH"/>
    <s v="21"/>
    <x v="14"/>
    <s v="1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8"/>
    <s v="EU"/>
    <s v="Scales"/>
    <n v="2126660001"/>
    <s v="2 SCALES ACROSS PER FISH"/>
    <s v="63"/>
    <x v="8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2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UD"/>
    <s v=""/>
    <x v="6"/>
    <s v="EU"/>
    <s v="Scales"/>
    <n v="2126660001"/>
    <s v="2 SCALES ACROSS PER FISH"/>
    <s v=""/>
    <x v="6"/>
    <s v="2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NS"/>
    <s v=""/>
    <x v="6"/>
    <s v="EU"/>
    <s v="Scales"/>
    <n v="2126660001"/>
    <s v="2 SCALES ACROSS PER FISH"/>
    <s v=""/>
    <x v="6"/>
    <s v="1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RG"/>
    <s v=""/>
    <x v="3"/>
    <s v="MY"/>
    <s v="Scales"/>
    <n v="2126660001"/>
    <s v="2 SCALES ACROSS PER FISH"/>
    <s v="2M"/>
    <x v="3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1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UF"/>
    <s v=""/>
    <x v="5"/>
    <s v="MY"/>
    <s v="Scales"/>
    <n v="2126660001"/>
    <s v="2 SCALES ACROSS PER FISH"/>
    <s v="3M"/>
    <x v="5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RG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"/>
    <x v="4"/>
    <s v="EU"/>
    <s v="Scales"/>
    <n v="2126660001"/>
    <s v="2 SCALES ACROSS PER FISH"/>
    <s v="53"/>
    <x v="4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8"/>
    <s v="EU"/>
    <s v="Scales"/>
    <n v="2126660001"/>
    <s v="2 SCALES ACROSS PER FISH"/>
    <s v="63"/>
    <x v="8"/>
    <s v="2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RG"/>
    <s v=""/>
    <x v="6"/>
    <s v="EU"/>
    <s v="Scales"/>
    <n v="2126660001"/>
    <s v="2 SCALES ACROSS PER FISH"/>
    <s v=""/>
    <x v="6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0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4"/>
    <s v="EU"/>
    <s v="Scales"/>
    <n v="2126660001"/>
    <s v="2 SCALES ACROSS PER FISH"/>
    <s v="53"/>
    <x v="4"/>
    <s v="1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2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1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UF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1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RG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RG"/>
    <s v=""/>
    <x v="5"/>
    <s v="MY"/>
    <s v="Scales"/>
    <n v="2126660001"/>
    <s v="2 SCALES ACROSS PER FISH"/>
    <s v="3M"/>
    <x v="5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12"/>
    <s v="EU"/>
    <s v="Scales"/>
    <n v="2126660001"/>
    <s v="2 SCALES ACROSS PER FISH"/>
    <s v="32"/>
    <x v="12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8"/>
    <s v="EU"/>
    <s v="Scales"/>
    <n v="2126660001"/>
    <s v="2 SCALES ACROSS PER FISH"/>
    <s v="63"/>
    <x v="8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NS"/>
    <s v=""/>
    <x v="6"/>
    <s v="EU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7"/>
    <s v="EU"/>
    <s v="Scales"/>
    <n v="2126660001"/>
    <s v="2 SCALES ACROSS PER FISH"/>
    <s v="31"/>
    <x v="7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2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RG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RG"/>
    <s v="0"/>
    <x v="3"/>
    <s v="MY"/>
    <s v="Scales"/>
    <n v="2126660001"/>
    <s v="2 SCALES ACROSS PER FISH"/>
    <s v="2M"/>
    <x v="3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8-08T00:00:00"/>
    <d v="2005-08-08T00:00:00"/>
    <s v="38612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8"/>
    <s v="EU"/>
    <s v="Scales"/>
    <n v="2126660001"/>
    <s v="2 SCALES ACROSS PER FISH"/>
    <s v="63"/>
    <x v="8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"/>
    <x v="8"/>
    <s v="EU"/>
    <s v="Scales"/>
    <n v="2126660001"/>
    <s v="2 SCALES ACROSS PER FISH"/>
    <s v="63"/>
    <x v="8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20T00:00:00"/>
    <d v="2005-07-20T00:00:00"/>
    <s v="38611"/>
  </r>
  <r>
    <s v=""/>
    <s v=""/>
    <x v="4"/>
    <s v="EU"/>
    <s v="Scales"/>
    <n v="2126660001"/>
    <s v="2 SCALES ACROSS PER FISH"/>
    <s v="53"/>
    <x v="4"/>
    <s v="1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1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4"/>
    <s v="EU"/>
    <s v="Scales"/>
    <n v="2126660001"/>
    <s v="2 SCALES ACROSS PER FISH"/>
    <s v="53"/>
    <x v="4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RG"/>
    <s v=""/>
    <x v="6"/>
    <s v="EU"/>
    <s v="Scales"/>
    <n v="2126660001"/>
    <s v="2 SCALES ACROSS PER FISH"/>
    <s v=""/>
    <x v="6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RG"/>
    <s v=""/>
    <x v="3"/>
    <s v="MY"/>
    <s v="Scales"/>
    <n v="2126660001"/>
    <s v="2 SCALES ACROSS PER FISH"/>
    <s v="2M"/>
    <x v="3"/>
    <s v="2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0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1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RG"/>
    <s v=""/>
    <x v="6"/>
    <s v="EU"/>
    <s v="Scales"/>
    <n v="2126660001"/>
    <s v="2 SCALES ACROSS PER FISH"/>
    <s v=""/>
    <x v="6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4"/>
    <s v="EU"/>
    <s v="Scales"/>
    <n v="2126660001"/>
    <s v="2 SCALES ACROSS PER FISH"/>
    <s v="53"/>
    <x v="4"/>
    <s v="13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8T00:00:00"/>
    <d v="2005-07-18T00:00:00"/>
    <s v="38609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4"/>
    <s v="EU"/>
    <s v="Scales"/>
    <n v="2126660001"/>
    <s v="2 SCALES ACROSS PER FISH"/>
    <s v="53"/>
    <x v="4"/>
    <s v="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2T00:00:00"/>
    <s v="38607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9T00:00:00"/>
    <d v="2005-07-20T00:00:00"/>
    <s v="38610"/>
  </r>
  <r>
    <s v=""/>
    <s v=""/>
    <x v="4"/>
    <s v="EU"/>
    <s v="Scales"/>
    <n v="2126660001"/>
    <s v="2 SCALES ACROSS PER FISH"/>
    <s v="53"/>
    <x v="4"/>
    <s v="24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2T00:00:00"/>
    <d v="2005-07-12T00:00:00"/>
    <s v="38608"/>
  </r>
  <r>
    <s v=""/>
    <s v="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7"/>
    <s v="EU"/>
    <s v="Scales"/>
    <n v="2126660001"/>
    <s v="2 SCALES ACROSS PER FISH"/>
    <s v="31"/>
    <x v="7"/>
    <s v="10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NS"/>
    <s v=""/>
    <x v="6"/>
    <s v="EU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6-20T00:00:00"/>
    <d v="2005-07-11T00:00:00"/>
    <s v="38605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4"/>
    <s v="EU"/>
    <s v="Scales"/>
    <n v="2126660001"/>
    <s v="2 SCALES ACROSS PER FISH"/>
    <s v="53"/>
    <x v="4"/>
    <s v="18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RG"/>
    <s v=""/>
    <x v="3"/>
    <s v="MY"/>
    <s v="Scales"/>
    <n v="2126660001"/>
    <s v="2 SCALES ACROSS PER FISH"/>
    <s v="2M"/>
    <x v="3"/>
    <s v="21"/>
    <s v="NORTHERN COASTAL FJORDS"/>
    <s v="R-16"/>
    <s v="8"/>
    <x v="0"/>
    <s v="SER"/>
    <s v="Bella Coola River System (Bella Coola) Sockeye Run 1"/>
    <n v="1746084"/>
    <n v="51765"/>
    <s v="ATNARKO ESCAPEMENT - 2005"/>
    <n v="968"/>
    <s v="BELLA COOLA RIVER"/>
    <x v="8"/>
    <s v="2005/0243"/>
    <n v="1"/>
    <s v="SOCKEYE SALMON"/>
    <n v="2086090006"/>
    <x v="0"/>
    <n v="11"/>
    <s v="Other Gillnet/Set Net"/>
    <s v="Adult"/>
    <d v="2005-07-11T00:00:00"/>
    <d v="2005-07-11T00:00:00"/>
    <s v="38606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RG"/>
    <s v=""/>
    <x v="6"/>
    <s v=""/>
    <s v="Scales"/>
    <n v="2126660001"/>
    <s v="5 SCALES DOWN PER FISH"/>
    <s v=""/>
    <x v="6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1"/>
    <s v="EU"/>
    <s v="Scales"/>
    <n v="2126660001"/>
    <s v="5 SCALES DOWN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3"/>
    <s v="MY"/>
    <s v="Scales"/>
    <n v="2126660001"/>
    <s v="5 SCALES DOWN PER FISH"/>
    <s v="2M"/>
    <x v="3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1"/>
    <s v="EU"/>
    <s v="Scales"/>
    <n v="2126660001"/>
    <s v="5 SCALES DOWN PER FISH"/>
    <s v="41"/>
    <x v="1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7"/>
    <s v="EU"/>
    <s v="Scales"/>
    <n v="2126660001"/>
    <s v="5 SCALES DOWN PER FISH"/>
    <s v="31"/>
    <x v="7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3"/>
    <s v="MY"/>
    <s v="Scales"/>
    <n v="2126660001"/>
    <s v="5 SCALES DOWN PER FISH"/>
    <s v="2M"/>
    <x v="3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3"/>
    <s v="MY"/>
    <s v="Scales"/>
    <n v="2126660001"/>
    <s v="5 SCALES DOWN PER FISH"/>
    <s v="2M"/>
    <x v="3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7"/>
    <s v="EU"/>
    <s v="Scales"/>
    <n v="2126660001"/>
    <s v="5 SCALES DOWN PER FISH"/>
    <s v="31"/>
    <x v="7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7"/>
    <s v="EU"/>
    <s v="Scales"/>
    <n v="2126660001"/>
    <s v="5 SCALES DOWN PER FISH"/>
    <s v="31"/>
    <x v="7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1"/>
    <s v="EU"/>
    <s v="Scales"/>
    <n v="2126660001"/>
    <s v="2 SCALES ACROSS PER FISH"/>
    <s v="41"/>
    <x v="1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7"/>
    <s v="EU"/>
    <s v="Scales"/>
    <n v="2126660001"/>
    <s v="2 SCALES ACROSS PER FISH"/>
    <s v="31"/>
    <x v="7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RG"/>
    <s v=""/>
    <x v="6"/>
    <s v="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3"/>
    <s v="MY"/>
    <s v="Scales"/>
    <n v="2126660001"/>
    <s v="2 SCALES ACROSS PER FISH"/>
    <s v="2M"/>
    <x v="3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1"/>
    <s v="EU"/>
    <s v="Scales"/>
    <n v="2126660001"/>
    <s v="2 SCALES ACROSS PER FISH"/>
    <s v="41"/>
    <x v="1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12"/>
    <s v="EU"/>
    <s v="Scales"/>
    <n v="2126660001"/>
    <s v="2 SCALES ACROSS PER FISH"/>
    <s v="32"/>
    <x v="1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RG"/>
    <s v=""/>
    <x v="6"/>
    <s v="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0"/>
    <s v="EU"/>
    <s v="Scales"/>
    <n v="2126660001"/>
    <s v="2 SCALES ACROSS PER FISH"/>
    <s v="52"/>
    <x v="0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1"/>
    <s v="EU"/>
    <s v="Scales"/>
    <n v="2126660001"/>
    <s v="2 SCALES ACROSS PER FISH"/>
    <s v="41"/>
    <x v="1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3"/>
    <s v="MY"/>
    <s v="Scales"/>
    <n v="2126660001"/>
    <s v="2 SCALES ACROSS PER FISH"/>
    <s v="2M"/>
    <x v="3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"/>
    <s v="EU"/>
    <s v="Scales"/>
    <n v="2126660001"/>
    <s v="2 SCALES ACROSS PER FISH"/>
    <s v="41"/>
    <x v="1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7"/>
    <s v="EU"/>
    <s v="Scales"/>
    <n v="2126660001"/>
    <s v="2 SCALES ACROSS PER FISH"/>
    <s v="31"/>
    <x v="7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"/>
    <s v="EU"/>
    <s v="Scales"/>
    <n v="2126660001"/>
    <s v="2 SCALES ACROSS PER FISH"/>
    <s v="41"/>
    <x v="1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3"/>
    <s v="MY"/>
    <s v="Scales"/>
    <n v="2126660001"/>
    <s v="2 SCALES ACROSS PER FISH"/>
    <s v="2M"/>
    <x v="3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2"/>
    <s v="EU"/>
    <s v="Scales"/>
    <n v="2126660001"/>
    <s v="2 SCALES ACROSS PER FISH"/>
    <s v="32"/>
    <x v="1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3"/>
    <s v="MY"/>
    <s v="Scales"/>
    <n v="2126660001"/>
    <s v="2 SCALES ACROSS PER FISH"/>
    <s v="2M"/>
    <x v="3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UD"/>
    <s v=""/>
    <x v="6"/>
    <s v=""/>
    <s v="Scales"/>
    <n v="2126660001"/>
    <s v="5 SCALES DOWN PER FISH"/>
    <s v=""/>
    <x v="6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UD"/>
    <s v=""/>
    <x v="6"/>
    <s v=""/>
    <s v="Scales"/>
    <n v="2126660001"/>
    <s v="5 SCALES DOWN PER FISH"/>
    <s v=""/>
    <x v="6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1"/>
    <s v="EU"/>
    <s v="Scales"/>
    <n v="2126660001"/>
    <s v="5 SCALES DOWN PER FISH"/>
    <s v="41"/>
    <x v="1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3"/>
    <s v="MY"/>
    <s v="Scales"/>
    <n v="2126660001"/>
    <s v="5 SCALES DOWN PER FISH"/>
    <s v="2M"/>
    <x v="3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UD"/>
    <s v=""/>
    <x v="6"/>
    <s v=""/>
    <s v="Scales"/>
    <n v="2126660001"/>
    <s v="5 SCALES DOWN PER FISH"/>
    <s v=""/>
    <x v="6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UD"/>
    <s v=""/>
    <x v="6"/>
    <s v=""/>
    <s v="Scales"/>
    <n v="2126660001"/>
    <s v="5 SCALES DOWN PER FISH"/>
    <s v=""/>
    <x v="6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UD"/>
    <s v=""/>
    <x v="6"/>
    <s v=""/>
    <s v="Scales"/>
    <n v="2126660001"/>
    <s v="5 SCALES DOWN PER FISH"/>
    <s v=""/>
    <x v="6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3"/>
    <s v="MY"/>
    <s v="Scales"/>
    <n v="2126660001"/>
    <s v="5 SCALES DOWN PER FISH"/>
    <s v="2M"/>
    <x v="3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3"/>
    <s v="MY"/>
    <s v="Scales"/>
    <n v="2126660001"/>
    <s v="5 SCALES DOWN PER FISH"/>
    <s v="2M"/>
    <x v="3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RG"/>
    <s v=""/>
    <x v="6"/>
    <s v=""/>
    <s v="Scales"/>
    <n v="2126660001"/>
    <s v="5 SCALES DOWN PER FISH"/>
    <s v=""/>
    <x v="6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0"/>
    <s v="EU"/>
    <s v="Scales"/>
    <n v="2126660001"/>
    <s v="5 SCALES DOWN PER FISH"/>
    <s v="52"/>
    <x v="0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3"/>
    <s v="MY"/>
    <s v="Scales"/>
    <n v="2126660001"/>
    <s v="5 SCALES DOWN PER FISH"/>
    <s v="2M"/>
    <x v="3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5"/>
    <s v="MY"/>
    <s v="Scales"/>
    <n v="2126660001"/>
    <s v="5 SCALES DOWN PER FISH"/>
    <s v="3M"/>
    <x v="5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RG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5"/>
    <s v="MY"/>
    <s v="Scales"/>
    <n v="2126660001"/>
    <s v="2 SCALES ACROSS PER FISH"/>
    <s v="3M"/>
    <x v="5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3"/>
    <s v="MY"/>
    <s v="Scales"/>
    <n v="2126660001"/>
    <s v="2 SCALES ACROSS PER FISH"/>
    <s v="2M"/>
    <x v="3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7"/>
    <s v="EU"/>
    <s v="Scales"/>
    <n v="2126660001"/>
    <s v="5 SCALES DOWN PER FISH"/>
    <s v="31"/>
    <x v="7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7"/>
    <s v="EU"/>
    <s v="Scales"/>
    <n v="2126660001"/>
    <s v="5 SCALES DOWN PER FISH"/>
    <s v="31"/>
    <x v="7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0"/>
    <s v="EU"/>
    <s v="Scales"/>
    <n v="2126660001"/>
    <s v="5 SCALES DOWN PER FISH"/>
    <s v="52"/>
    <x v="0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7"/>
    <s v="EU"/>
    <s v="Scales"/>
    <n v="2126660001"/>
    <s v="5 SCALES DOWN PER FISH"/>
    <s v="31"/>
    <x v="7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7"/>
    <s v="EU"/>
    <s v="Scales"/>
    <n v="2126660001"/>
    <s v="2 SCALES ACROSS PER FISH"/>
    <s v="31"/>
    <x v="7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3"/>
    <s v="MY"/>
    <s v="Scales"/>
    <n v="2126660001"/>
    <s v="2 SCALES ACROSS PER FISH"/>
    <s v="2M"/>
    <x v="3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14"/>
    <s v="EU"/>
    <s v="Scales"/>
    <n v="2126660001"/>
    <s v="2 SCALES ACROSS PER FISH"/>
    <s v="51"/>
    <x v="15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1"/>
    <s v="EU"/>
    <s v="Scales"/>
    <n v="2126660001"/>
    <s v="2 SCALES ACROSS PER FISH"/>
    <s v="41"/>
    <x v="1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5"/>
    <s v="MY"/>
    <s v="Scales"/>
    <n v="2126660001"/>
    <s v="2 SCALES ACROSS PER FISH"/>
    <s v="3M"/>
    <x v="5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3"/>
    <s v="MY"/>
    <s v="Scales"/>
    <n v="2126660001"/>
    <s v="2 SCALES ACROSS PER FISH"/>
    <s v="2M"/>
    <x v="3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5"/>
    <s v="MY"/>
    <s v="Scales"/>
    <n v="2126660001"/>
    <s v="2 SCALES ACROSS PER FISH"/>
    <s v="3M"/>
    <x v="5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1"/>
    <s v="EU"/>
    <s v="Scales"/>
    <n v="2126660001"/>
    <s v="2 SCALES ACROSS PER FISH"/>
    <s v="41"/>
    <x v="1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W"/>
    <s v=""/>
    <x v="6"/>
    <s v=""/>
    <s v="Scales"/>
    <n v="2126660001"/>
    <s v="2 SCALES ACROSS PER FISH"/>
    <s v=""/>
    <x v="6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5"/>
    <s v="MY"/>
    <s v="Scales"/>
    <n v="2126660001"/>
    <s v="2 SCALES ACROSS PER FISH"/>
    <s v="3M"/>
    <x v="5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4"/>
    <s v="EU"/>
    <s v="Scales"/>
    <n v="2126660001"/>
    <s v="2 SCALES ACROSS PER FISH"/>
    <s v="53"/>
    <x v="4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12"/>
    <s v="EU"/>
    <s v="Scales"/>
    <n v="2126660001"/>
    <s v="2 SCALES ACROSS PER FISH"/>
    <s v="32"/>
    <x v="1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7"/>
    <s v="EU"/>
    <s v="Scales"/>
    <n v="2126660001"/>
    <s v="2 SCALES ACROSS PER FISH"/>
    <s v="31"/>
    <x v="7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3"/>
    <s v="MY"/>
    <s v="Scales"/>
    <n v="2126660001"/>
    <s v="2 SCALES ACROSS PER FISH"/>
    <s v="2M"/>
    <x v="3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7"/>
    <s v="EU"/>
    <s v="Scales"/>
    <n v="2126660001"/>
    <s v="2 SCALES ACROSS PER FISH"/>
    <s v="31"/>
    <x v="7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1"/>
    <s v="EU"/>
    <s v="Scales"/>
    <n v="2126660001"/>
    <s v="5 SCALES DOWN PER FISH"/>
    <s v="41"/>
    <x v="1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0"/>
    <s v="EU"/>
    <s v="Scales"/>
    <n v="2126660001"/>
    <s v="2 SCALES ACROSS PER FISH"/>
    <s v="52"/>
    <x v="0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RG"/>
    <s v=""/>
    <x v="11"/>
    <s v="MY"/>
    <s v="Scales"/>
    <n v="2126660001"/>
    <s v="2 SCALES ACROSS PER FISH"/>
    <s v="1M"/>
    <x v="11"/>
    <s v="7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RG"/>
    <s v=""/>
    <x v="3"/>
    <s v="MY"/>
    <s v="Scales"/>
    <n v="2126660001"/>
    <s v="2 SCALES ACROSS PER FISH"/>
    <s v="2M"/>
    <x v="3"/>
    <s v="1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0"/>
    <s v="EU"/>
    <s v="Scales"/>
    <n v="2126660001"/>
    <s v="2 SCALES ACROSS PER FISH"/>
    <s v="52"/>
    <x v="0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1"/>
    <s v="EU"/>
    <s v="Scales"/>
    <n v="2126660001"/>
    <s v="2 SCALES ACROSS PER FISH"/>
    <s v="41"/>
    <x v="1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7"/>
    <s v="EU"/>
    <s v="Scales"/>
    <n v="2126660001"/>
    <s v="5 SCALES DOWN PER FISH"/>
    <s v="31"/>
    <x v="7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5"/>
    <s v="MY"/>
    <s v="Scales"/>
    <n v="2126660001"/>
    <s v="2 SCALES ACROSS PER FISH"/>
    <s v="3M"/>
    <x v="5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1"/>
    <s v="EU"/>
    <s v="Scales"/>
    <n v="2126660001"/>
    <s v="2 SCALES ACROSS PER FISH"/>
    <s v="41"/>
    <x v="1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0"/>
    <s v="EU"/>
    <s v="Scales"/>
    <n v="2126660001"/>
    <s v="2 SCALES ACROSS PER FISH"/>
    <s v="52"/>
    <x v="0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UD"/>
    <s v=""/>
    <x v="6"/>
    <s v=""/>
    <s v="Scales"/>
    <n v="2126660001"/>
    <s v="5 SCALES DOWN PER FISH"/>
    <s v=""/>
    <x v="6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1"/>
    <s v="EU"/>
    <s v="Scales"/>
    <n v="2126660001"/>
    <s v="5 SCALES DOWN PER FISH"/>
    <s v="41"/>
    <x v="1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5"/>
    <s v="MY"/>
    <s v="Scales"/>
    <n v="2126660001"/>
    <s v="2 SCALES ACROSS PER FISH"/>
    <s v="3M"/>
    <x v="5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0"/>
    <s v="EU"/>
    <s v="Scales"/>
    <n v="2126660001"/>
    <s v="2 SCALES ACROSS PER FISH"/>
    <s v="52"/>
    <x v="0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1"/>
    <s v="EU"/>
    <s v="Scales"/>
    <n v="2126660001"/>
    <s v="2 SCALES ACROSS PER FISH"/>
    <s v="41"/>
    <x v="1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3"/>
    <s v="MY"/>
    <s v="Scales"/>
    <n v="2126660001"/>
    <s v="2 SCALES ACROSS PER FISH"/>
    <s v="2M"/>
    <x v="3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UD"/>
    <s v=""/>
    <x v="6"/>
    <s v=""/>
    <s v="Scales"/>
    <n v="2126660001"/>
    <s v="5 SCALES DOWN PER FISH"/>
    <s v=""/>
    <x v="6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UD"/>
    <s v=""/>
    <x v="6"/>
    <s v=""/>
    <s v="Scales"/>
    <n v="2126660001"/>
    <s v="5 SCALES DOWN PER FISH"/>
    <s v=""/>
    <x v="6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0"/>
    <s v="EU"/>
    <s v="Scales"/>
    <n v="2126660001"/>
    <s v="5 SCALES DOWN PER FISH"/>
    <s v="52"/>
    <x v="0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0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1"/>
    <s v="EU"/>
    <s v="Scales"/>
    <n v="2126660001"/>
    <s v="2 SCALES ACROSS PER FISH"/>
    <s v="41"/>
    <x v="1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3"/>
    <s v="MY"/>
    <s v="Scales"/>
    <n v="2126660001"/>
    <s v="5 SCALES DOWN PER FISH"/>
    <s v="2M"/>
    <x v="3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7"/>
    <s v="EU"/>
    <s v="Scales"/>
    <n v="2126660001"/>
    <s v="2 SCALES ACROSS PER FISH"/>
    <s v="31"/>
    <x v="7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0"/>
    <s v="EU"/>
    <s v="Scales"/>
    <n v="2126660001"/>
    <s v="2 SCALES ACROSS PER FISH"/>
    <s v="52"/>
    <x v="0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1"/>
    <s v="EU"/>
    <s v="Scales"/>
    <n v="2126660001"/>
    <s v="2 SCALES ACROSS PER FISH"/>
    <s v="41"/>
    <x v="1"/>
    <s v="17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RG"/>
    <s v=""/>
    <x v="6"/>
    <s v="EU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0"/>
    <s v="EU"/>
    <s v="Scales"/>
    <n v="2126660001"/>
    <s v="2 SCALES ACROSS PER FISH"/>
    <s v="52"/>
    <x v="0"/>
    <s v="8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RG"/>
    <s v=""/>
    <x v="6"/>
    <s v="EU"/>
    <s v="Scales"/>
    <n v="2126660001"/>
    <s v="2 SCALES ACROSS PER FISH"/>
    <s v=""/>
    <x v="6"/>
    <s v="1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UD"/>
    <s v=""/>
    <x v="6"/>
    <s v="EU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RG"/>
    <s v=""/>
    <x v="3"/>
    <s v="MY"/>
    <s v="Scales"/>
    <n v="2126660001"/>
    <s v="2 SCALES ACROSS PER FISH"/>
    <s v="2M"/>
    <x v="3"/>
    <s v="9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1"/>
    <s v="EU"/>
    <s v="Scales"/>
    <n v="2126660001"/>
    <s v="2 SCALES ACROSS PER FISH"/>
    <s v="41"/>
    <x v="1"/>
    <s v="10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RG"/>
    <s v="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RG"/>
    <s v=""/>
    <x v="3"/>
    <s v="MY"/>
    <s v="Scales"/>
    <n v="2126660001"/>
    <s v="2 SCALES ACROSS PER FISH"/>
    <s v="2M"/>
    <x v="3"/>
    <s v="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7"/>
    <s v="EU"/>
    <s v="Scales"/>
    <n v="2126660001"/>
    <s v="5 SCALES DOWN PER FISH"/>
    <s v="31"/>
    <x v="7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5"/>
    <s v="MY"/>
    <s v="Scales"/>
    <n v="2126660001"/>
    <s v="2 SCALES ACROSS PER FISH"/>
    <s v="3M"/>
    <x v="5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1"/>
    <s v="EU"/>
    <s v="Scales"/>
    <n v="2126660001"/>
    <s v="2 SCALES ACROSS PER FISH"/>
    <s v="41"/>
    <x v="1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MF"/>
    <s v=""/>
    <x v="6"/>
    <s v=""/>
    <s v="Scales"/>
    <n v="2126660001"/>
    <s v="2 SCALES ACROSS PER FISH"/>
    <s v=""/>
    <x v="6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3"/>
    <s v="MY"/>
    <s v="Scales"/>
    <n v="2126660001"/>
    <s v="2 SCALES ACROSS PER FISH"/>
    <s v="2M"/>
    <x v="3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3"/>
    <s v="MY"/>
    <s v="Scales"/>
    <n v="2126660001"/>
    <s v="5 SCALES DOWN PER FISH"/>
    <s v="2M"/>
    <x v="3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7"/>
    <s v="EU"/>
    <s v="Scales"/>
    <n v="2126660001"/>
    <s v="5 SCALES DOWN PER FISH"/>
    <s v="31"/>
    <x v="7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UD"/>
    <s v=""/>
    <x v="6"/>
    <s v=""/>
    <s v="Scales"/>
    <n v="2126660001"/>
    <s v="5 SCALES DOWN PER FISH"/>
    <s v=""/>
    <x v="6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8"/>
    <s v="EU"/>
    <s v="Scales"/>
    <n v="2126660001"/>
    <s v="5 SCALES DOWN PER FISH"/>
    <s v="63"/>
    <x v="8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0"/>
    <s v="EU"/>
    <s v="Scales"/>
    <n v="2126660001"/>
    <s v="2 SCALES ACROSS PER FISH"/>
    <s v="52"/>
    <x v="0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RG"/>
    <s v=""/>
    <x v="6"/>
    <s v=""/>
    <s v="Scales"/>
    <n v="2126660001"/>
    <s v="2 SCALES ACROSS PER FISH"/>
    <s v=""/>
    <x v="6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3"/>
    <s v="MY"/>
    <s v="Scales"/>
    <n v="2126660001"/>
    <s v="2 SCALES ACROSS PER FISH"/>
    <s v="2M"/>
    <x v="3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3"/>
    <s v="MY"/>
    <s v="Scales"/>
    <n v="2126660001"/>
    <s v="5 SCALES DOWN PER FISH"/>
    <s v="2M"/>
    <x v="3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UD"/>
    <s v=""/>
    <x v="6"/>
    <s v=""/>
    <s v="Scales"/>
    <n v="2126660001"/>
    <s v="2 SCALES ACROSS PER FISH"/>
    <s v=""/>
    <x v="6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0"/>
    <s v="EU"/>
    <s v="Scales"/>
    <n v="2126660001"/>
    <s v="5 SCALES DOWN PER FISH"/>
    <s v="52"/>
    <x v="0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UD"/>
    <s v=""/>
    <x v="6"/>
    <s v=""/>
    <s v="Scales"/>
    <n v="2126660001"/>
    <s v="5 SCALES DOWN PER FISH"/>
    <s v=""/>
    <x v="6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7"/>
    <s v="EU"/>
    <s v="Scales"/>
    <n v="2126660001"/>
    <s v="2 SCALES ACROSS PER FISH"/>
    <s v="31"/>
    <x v="7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RG"/>
    <s v=""/>
    <x v="6"/>
    <s v=""/>
    <s v="Scales"/>
    <n v="2126660001"/>
    <s v="2 SCALES ACROSS PER FISH"/>
    <s v=""/>
    <x v="6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RG"/>
    <s v=""/>
    <x v="6"/>
    <s v="EU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RG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1"/>
    <s v="EU"/>
    <s v="Scales"/>
    <n v="2126660001"/>
    <s v="5 SCALES DOWN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0"/>
    <s v="EU"/>
    <s v="Scales"/>
    <n v="2126660001"/>
    <s v="5 SCALES DOWN PER FISH"/>
    <s v="52"/>
    <x v="0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3"/>
    <s v="MY"/>
    <s v="Scales"/>
    <n v="2126660001"/>
    <s v="2 SCALES ACROSS PER FISH"/>
    <s v="2M"/>
    <x v="3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5"/>
    <s v="MY"/>
    <s v="Scales"/>
    <n v="2126660001"/>
    <s v="5 SCALES DOWN PER FISH"/>
    <s v="3M"/>
    <x v="5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3"/>
    <s v="MY"/>
    <s v="Scales"/>
    <n v="2126660001"/>
    <s v="5 SCALES DOWN PER FISH"/>
    <s v="2M"/>
    <x v="3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0"/>
    <s v="EU"/>
    <s v="Scales"/>
    <n v="2126660001"/>
    <s v="5 SCALES DOWN PER FISH"/>
    <s v="52"/>
    <x v="0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8"/>
    <s v="EU"/>
    <s v="Scales"/>
    <n v="2126660001"/>
    <s v="2 SCALES ACROSS PER FISH"/>
    <s v="63"/>
    <x v="8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5"/>
    <s v="MY"/>
    <s v="Scales"/>
    <n v="2126660001"/>
    <s v="5 SCALES DOWN PER FISH"/>
    <s v="3M"/>
    <x v="5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1"/>
    <s v="EU"/>
    <s v="Scales"/>
    <n v="2126660001"/>
    <s v="5 SCALES DOWN PER FISH"/>
    <s v="41"/>
    <x v="1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7"/>
    <s v="EU"/>
    <s v="Scales"/>
    <n v="2126660001"/>
    <s v="2 SCALES ACROSS PER FISH"/>
    <s v="31"/>
    <x v="7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7"/>
    <s v="EU"/>
    <s v="Scales"/>
    <n v="2126660001"/>
    <s v="5 SCALES DOWN PER FISH"/>
    <s v="31"/>
    <x v="7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5"/>
    <s v="MY"/>
    <s v="Scales"/>
    <n v="2126660001"/>
    <s v="2 SCALES ACROSS PER FISH"/>
    <s v="3M"/>
    <x v="5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1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7"/>
    <s v="EU"/>
    <s v="Scales"/>
    <n v="2126660001"/>
    <s v="5 SCALES DOWN PER FISH"/>
    <s v="31"/>
    <x v="7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MF"/>
    <s v=""/>
    <x v="6"/>
    <s v=""/>
    <s v="Scales"/>
    <n v="2126660001"/>
    <s v="2 SCALES ACROSS PER FISH"/>
    <s v=""/>
    <x v="6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5"/>
    <s v="MY"/>
    <s v="Scales"/>
    <n v="2126660001"/>
    <s v="2 SCALES ACROSS PER FISH"/>
    <s v="3M"/>
    <x v="5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7"/>
    <s v="EU"/>
    <s v="Scales"/>
    <n v="2126660001"/>
    <s v="5 SCALES DOWN PER FISH"/>
    <s v="31"/>
    <x v="7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6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1"/>
    <s v="EU"/>
    <s v="Scales"/>
    <n v="2126660001"/>
    <s v="2 SCALES ACROSS PER FISH"/>
    <s v="41"/>
    <x v="1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3"/>
    <s v="MY"/>
    <s v="Scales"/>
    <n v="2126660001"/>
    <s v="2 SCALES ACROSS PER FISH"/>
    <s v="2M"/>
    <x v="3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5"/>
    <s v="MY"/>
    <s v="Scales"/>
    <n v="2126660001"/>
    <s v="2 SCALES ACROSS PER FISH"/>
    <s v="3M"/>
    <x v="5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7"/>
    <s v="EU"/>
    <s v="Scales"/>
    <n v="2126660001"/>
    <s v="2 SCALES ACROSS PER FISH"/>
    <s v="31"/>
    <x v="7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7"/>
    <s v="EU"/>
    <s v="Scales"/>
    <n v="2126660001"/>
    <s v="2 SCALES ACROSS PER FISH"/>
    <s v="31"/>
    <x v="7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3"/>
    <s v="MY"/>
    <s v="Scales"/>
    <n v="2126660001"/>
    <s v="2 SCALES ACROSS PER FISH"/>
    <s v="2M"/>
    <x v="3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RG"/>
    <s v=""/>
    <x v="6"/>
    <s v="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5"/>
    <s v="MY"/>
    <s v="Scales"/>
    <n v="2126660001"/>
    <s v="2 SCALES ACROSS PER FISH"/>
    <s v="3M"/>
    <x v="5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3"/>
    <s v="MY"/>
    <s v="Scales"/>
    <n v="2126660001"/>
    <s v="2 SCALES ACROSS PER FISH"/>
    <s v="2M"/>
    <x v="3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RG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1"/>
    <s v="EU"/>
    <s v="Scales"/>
    <n v="2126660001"/>
    <s v="5 SCALES DOWN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W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7"/>
    <s v="EU"/>
    <s v="Scales"/>
    <n v="2126660001"/>
    <s v="2 SCALES ACROSS PER FISH"/>
    <s v="31"/>
    <x v="7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5"/>
    <s v="MY"/>
    <s v="Scales"/>
    <n v="2126660001"/>
    <s v="5 SCALES DOWN PER FISH"/>
    <s v="3M"/>
    <x v="5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7"/>
    <s v="EU"/>
    <s v="Scales"/>
    <n v="2126660001"/>
    <s v="2 SCALES ACROSS PER FISH"/>
    <s v="31"/>
    <x v="7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1"/>
    <s v="EU"/>
    <s v="Scales"/>
    <n v="2126660001"/>
    <s v="2 SCALES ACROSS PER FISH"/>
    <s v="41"/>
    <x v="1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RG"/>
    <s v=""/>
    <x v="6"/>
    <s v=""/>
    <s v="Scales"/>
    <n v="2126660001"/>
    <s v="2 SCALES ACROSS PER FISH"/>
    <s v=""/>
    <x v="6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7"/>
    <s v="EU"/>
    <s v="Scales"/>
    <n v="2126660001"/>
    <s v="2 SCALES ACROSS PER FISH"/>
    <s v="31"/>
    <x v="7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MF"/>
    <s v=""/>
    <x v="6"/>
    <s v="EU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1"/>
    <s v="EU"/>
    <s v="Scales"/>
    <n v="2126660001"/>
    <s v="2 SCALES ACROSS PER FISH"/>
    <s v="41"/>
    <x v="1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0"/>
    <s v="EU"/>
    <s v="Scales"/>
    <n v="2126660001"/>
    <s v="2 SCALES ACROSS PER FISH"/>
    <s v="52"/>
    <x v="0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RG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1"/>
    <s v="EU"/>
    <s v="Scales"/>
    <n v="2126660001"/>
    <s v="2 SCALES ACROSS PER FISH"/>
    <s v="41"/>
    <x v="1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3"/>
    <s v="MY"/>
    <s v="Scales"/>
    <n v="2126660001"/>
    <s v="5 SCALES DOWN PER FISH"/>
    <s v="2M"/>
    <x v="3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7"/>
    <s v="EU"/>
    <s v="Scales"/>
    <n v="2126660001"/>
    <s v="2 SCALES ACROSS PER FISH"/>
    <s v="31"/>
    <x v="7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7"/>
    <s v="EU"/>
    <s v="Scales"/>
    <n v="2126660001"/>
    <s v="5 SCALES DOWN PER FISH"/>
    <s v="31"/>
    <x v="7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1"/>
    <s v="EU"/>
    <s v="Scales"/>
    <n v="2126660001"/>
    <s v="5 SCALES DOWN PER FISH"/>
    <s v="41"/>
    <x v="1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0"/>
    <s v="EU"/>
    <s v="Scales"/>
    <n v="2126660001"/>
    <s v="2 SCALES ACROSS PER FISH"/>
    <s v="52"/>
    <x v="0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RG"/>
    <s v=""/>
    <x v="3"/>
    <s v="MY"/>
    <s v="Scales"/>
    <n v="2126660001"/>
    <s v="2 SCALES ACROSS PER FISH"/>
    <s v="2M"/>
    <x v="3"/>
    <s v="2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5"/>
    <s v="MY"/>
    <s v="Scales"/>
    <n v="2126660001"/>
    <s v="2 SCALES ACROSS PER FISH"/>
    <s v="3M"/>
    <x v="5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7"/>
    <s v="EU"/>
    <s v="Scales"/>
    <n v="2126660001"/>
    <s v="2 SCALES ACROSS PER FISH"/>
    <s v="31"/>
    <x v="7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7"/>
    <s v="EU"/>
    <s v="Scales"/>
    <n v="2126660001"/>
    <s v="5 SCALES DOWN PER FISH"/>
    <s v="31"/>
    <x v="7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4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29"/>
  </r>
  <r>
    <s v=""/>
    <s v=""/>
    <x v="0"/>
    <s v="EU"/>
    <s v="Scales"/>
    <n v="2126660001"/>
    <s v="5 SCALES DOWN PER FISH"/>
    <s v="52"/>
    <x v="0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7"/>
    <s v="EU"/>
    <s v="Scales"/>
    <n v="2126660001"/>
    <s v="5 SCALES DOWN PER FISH"/>
    <s v="31"/>
    <x v="7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7"/>
    <s v="EU"/>
    <s v="Scales"/>
    <n v="2126660001"/>
    <s v="5 SCALES DOWN PER FISH"/>
    <s v="31"/>
    <x v="7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1"/>
    <s v="EU"/>
    <s v="Scales"/>
    <n v="2126660001"/>
    <s v="2 SCALES ACROSS PER FISH"/>
    <s v="41"/>
    <x v="1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W"/>
    <s v=""/>
    <x v="6"/>
    <s v=""/>
    <s v="Scales"/>
    <n v="2126660001"/>
    <s v="5 SCALES DOWN PER FISH"/>
    <s v=""/>
    <x v="6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UF"/>
    <s v=""/>
    <x v="5"/>
    <s v="MY"/>
    <s v="Scales"/>
    <n v="2126660001"/>
    <s v="2 SCALES ACROSS PER FISH"/>
    <s v="3M"/>
    <x v="5"/>
    <s v="17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UD"/>
    <s v=""/>
    <x v="6"/>
    <s v=""/>
    <s v="Scales"/>
    <n v="2126660001"/>
    <s v="5 SCALES DOWN PER FISH"/>
    <s v=""/>
    <x v="6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1"/>
    <s v="EU"/>
    <s v="Scales"/>
    <n v="2126660001"/>
    <s v="5 SCALES DOWN PER FISH"/>
    <s v="41"/>
    <x v="1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8T00:00:00"/>
    <d v="1990-07-03T00:00:00"/>
    <s v="199031006649113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UD"/>
    <s v=""/>
    <x v="6"/>
    <s v="EU"/>
    <s v="Scales"/>
    <n v="2126660001"/>
    <s v="2 SCALES ACROSS PER FISH"/>
    <s v=""/>
    <x v="6"/>
    <s v="1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1"/>
    <s v="EU"/>
    <s v="Scales"/>
    <n v="2126660001"/>
    <s v="2 SCALES ACROSS PER FISH"/>
    <s v="41"/>
    <x v="1"/>
    <s v="1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7"/>
    <s v="EU"/>
    <s v="Scales"/>
    <n v="2126660001"/>
    <s v="5 SCALES DOWN PER FISH"/>
    <s v="31"/>
    <x v="7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1"/>
    <s v="EU"/>
    <s v="Scales"/>
    <n v="2126660001"/>
    <s v="2 SCALES ACROSS PER FISH"/>
    <s v="41"/>
    <x v="1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"/>
    <s v=""/>
    <x v="1"/>
    <s v="EU"/>
    <s v="Scales"/>
    <n v="2126660001"/>
    <s v="2 SCALES ACROSS PER FISH"/>
    <s v="41"/>
    <x v="1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7"/>
    <s v="EU"/>
    <s v="Scales"/>
    <n v="2126660001"/>
    <s v="2 SCALES ACROSS PER FISH"/>
    <s v="31"/>
    <x v="7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UD"/>
    <s v=""/>
    <x v="6"/>
    <s v=""/>
    <s v="Scales"/>
    <n v="2126660001"/>
    <s v="5 SCALES DOWN PER FISH"/>
    <s v=""/>
    <x v="6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1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W"/>
    <s v=""/>
    <x v="6"/>
    <s v=""/>
    <s v="Scales"/>
    <n v="2126660001"/>
    <s v="2 SCALES ACROSS PER FISH"/>
    <s v=""/>
    <x v="6"/>
    <s v="1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7"/>
    <s v="EU"/>
    <s v="Scales"/>
    <n v="2126660001"/>
    <s v="2 SCALES ACROSS PER FISH"/>
    <s v="31"/>
    <x v="7"/>
    <s v="2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NA"/>
    <s v=""/>
    <x v="6"/>
    <s v=""/>
    <s v="Scales"/>
    <n v="2126660001"/>
    <s v="2 SCALES ACROSS PER FISH"/>
    <s v=""/>
    <x v="6"/>
    <s v="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7"/>
    <s v="EU"/>
    <s v="Scales"/>
    <n v="2126660001"/>
    <s v="5 SCALES DOWN PER FISH"/>
    <s v="31"/>
    <x v="7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7"/>
    <s v="EU"/>
    <s v="Scales"/>
    <n v="2126660001"/>
    <s v="5 SCALES DOWN PER FISH"/>
    <s v="31"/>
    <x v="7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1"/>
    <s v="EU"/>
    <s v="Scales"/>
    <n v="2126660001"/>
    <s v="2 SCALES ACROSS PER FISH"/>
    <s v="41"/>
    <x v="1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RG"/>
    <s v=""/>
    <x v="6"/>
    <s v=""/>
    <s v="Scales"/>
    <n v="2126660001"/>
    <s v="2 SCALES ACROSS PER FISH"/>
    <s v=""/>
    <x v="6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RG"/>
    <s v=""/>
    <x v="6"/>
    <s v=""/>
    <s v="Scales"/>
    <n v="2126660001"/>
    <s v="2 SCALES ACROSS PER FISH"/>
    <s v=""/>
    <x v="6"/>
    <s v="1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7"/>
    <s v="EU"/>
    <s v="Scales"/>
    <n v="2126660001"/>
    <s v="2 SCALES ACROSS PER FISH"/>
    <s v="31"/>
    <x v="7"/>
    <s v="1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RG"/>
    <s v=""/>
    <x v="6"/>
    <s v=""/>
    <s v="Scales"/>
    <n v="2126660001"/>
    <s v="2 SCALES ACROSS PER FISH"/>
    <s v=""/>
    <x v="6"/>
    <s v="1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W"/>
    <s v=""/>
    <x v="6"/>
    <s v=""/>
    <s v="Scales"/>
    <n v="2126660001"/>
    <s v="2 SCALES ACROSS PER FISH"/>
    <s v=""/>
    <x v="6"/>
    <s v="2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NP"/>
    <s v=""/>
    <x v="6"/>
    <s v=""/>
    <s v="Scales"/>
    <n v="2126660001"/>
    <s v="2 SCALES ACROSS PER FISH"/>
    <s v=""/>
    <x v="6"/>
    <s v="2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MF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1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RG"/>
    <s v=""/>
    <x v="6"/>
    <s v=""/>
    <s v="Scales"/>
    <n v="2126660001"/>
    <s v="2 SCALES ACROSS PER FISH"/>
    <s v=""/>
    <x v="6"/>
    <s v="1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1"/>
    <s v="EU"/>
    <s v="Scales"/>
    <n v="2126660001"/>
    <s v="2 SCALES ACROSS PER FISH"/>
    <s v="41"/>
    <x v="1"/>
    <s v="2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0"/>
    <s v="EU"/>
    <s v="Scales"/>
    <n v="2126660001"/>
    <s v="2 SCALES ACROSS PER FISH"/>
    <s v="52"/>
    <x v="0"/>
    <s v="2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1"/>
    <s v="EU"/>
    <s v="Scales"/>
    <n v="2126660001"/>
    <s v="2 SCALES ACROSS PER FISH"/>
    <s v="41"/>
    <x v="1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1"/>
    <s v="EU"/>
    <s v="Scales"/>
    <n v="2126660001"/>
    <s v="2 SCALES ACROSS PER FISH"/>
    <s v="41"/>
    <x v="1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0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43"/>
  </r>
  <r>
    <s v=""/>
    <s v=""/>
    <x v="12"/>
    <s v="EU"/>
    <s v="Scales"/>
    <n v="2126660001"/>
    <s v="2 SCALES ACROSS PER FISH"/>
    <s v="32"/>
    <x v="12"/>
    <s v="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RG"/>
    <s v=""/>
    <x v="6"/>
    <s v=""/>
    <s v="Scales"/>
    <n v="2126660001"/>
    <s v="2 SCALES ACROSS PER FISH"/>
    <s v=""/>
    <x v="6"/>
    <s v="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RG"/>
    <s v=""/>
    <x v="6"/>
    <s v=""/>
    <s v="Scales"/>
    <n v="2126660001"/>
    <s v="2 SCALES ACROSS PER FISH"/>
    <s v=""/>
    <x v="6"/>
    <s v="1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1"/>
    <s v="EU"/>
    <s v="Scales"/>
    <n v="2126660001"/>
    <s v="2 SCALES ACROSS PER FISH"/>
    <s v="41"/>
    <x v="1"/>
    <s v="1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W"/>
    <s v=""/>
    <x v="6"/>
    <s v="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5"/>
    <s v="MY"/>
    <s v="Scales"/>
    <n v="2126660001"/>
    <s v="2 SCALES ACROSS PER FISH"/>
    <s v="3M"/>
    <x v="5"/>
    <s v="1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5"/>
  </r>
  <r>
    <s v=""/>
    <s v="0"/>
    <x v="1"/>
    <s v="EU"/>
    <s v="Scales"/>
    <n v="2126660001"/>
    <s v="2 SCALES ACROSS PER FISH"/>
    <s v="41"/>
    <x v="1"/>
    <s v="9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4"/>
    <s v="EU"/>
    <s v="Scales"/>
    <n v="2126660001"/>
    <s v="2 SCALES ACROSS PER FISH"/>
    <s v="53"/>
    <x v="4"/>
    <s v="8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12T00:00:00"/>
    <d v="2010-07-12T00:00:00"/>
    <s v="69243"/>
  </r>
  <r>
    <s v=""/>
    <s v=""/>
    <x v="3"/>
    <s v="MY"/>
    <s v="Scales"/>
    <n v="2126660001"/>
    <s v="2 SCALES ACROSS PER FISH"/>
    <s v="2M"/>
    <x v="3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0T00:00:00"/>
    <d v="1990-07-10T00:00:00"/>
    <s v="199031009765150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5"/>
    <s v="MY"/>
    <s v="Scales"/>
    <n v="2126660001"/>
    <s v="2 SCALES ACROSS PER FISH"/>
    <s v="3M"/>
    <x v="5"/>
    <s v="2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2T00:00:00"/>
    <d v="1990-07-12T00:00:00"/>
    <s v="1990310012949148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1T00:00:00"/>
    <d v="1990-07-11T00:00:00"/>
    <s v="1990310012949147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12"/>
    <s v="EU"/>
    <s v="Scales"/>
    <n v="2126660001"/>
    <s v="5 SCALES DOWN PER FISH"/>
    <s v="32"/>
    <x v="1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3"/>
  </r>
  <r>
    <s v=""/>
    <s v=""/>
    <x v="2"/>
    <s v="EU"/>
    <s v="Scales"/>
    <n v="2126660001"/>
    <s v="2 SCALES ACROSS PER FISH"/>
    <s v="42"/>
    <x v="2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2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9T00:00:00"/>
    <d v="1990-07-09T00:00:00"/>
    <s v="199031009765142"/>
  </r>
  <r>
    <s v="UF"/>
    <s v=""/>
    <x v="5"/>
    <s v="MY"/>
    <s v="Scales"/>
    <n v="2126660001"/>
    <s v="2 SCALES ACROSS PER FISH"/>
    <s v="3M"/>
    <x v="5"/>
    <s v="4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22T00:00:00"/>
    <d v="2010-07-22T00:00:00"/>
    <s v="69244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4"/>
    <s v="EU"/>
    <s v="Scales"/>
    <n v="2126660001"/>
    <s v="5 SCALES DOWN PER FISH"/>
    <s v="53"/>
    <x v="4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6T00:00:00"/>
    <d v="1990-07-06T00:00:00"/>
    <s v="199031009765135"/>
  </r>
  <r>
    <s v="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1"/>
    <s v="EU"/>
    <s v="Scales"/>
    <n v="2126660001"/>
    <s v="2 SCALES ACROSS PER FISH"/>
    <s v="41"/>
    <x v="1"/>
    <s v="2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2T00:00:00"/>
    <d v="1990-07-02T00:00:00"/>
    <s v="199031006649114"/>
  </r>
  <r>
    <s v=""/>
    <s v="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2T00:00:00"/>
    <d v="1990-06-18T00:00:00"/>
    <s v="199031002049086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8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09T00:00:00"/>
    <d v="1990-07-09T00:00:00"/>
    <s v="1990310012965137"/>
  </r>
  <r>
    <s v="W"/>
    <s v=""/>
    <x v="6"/>
    <s v=""/>
    <s v="Scales"/>
    <n v="2126660001"/>
    <s v="5 SCALES DOWN PER FISH"/>
    <s v=""/>
    <x v="6"/>
    <s v="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5"/>
    <s v="MY"/>
    <s v="Scales"/>
    <n v="2126660001"/>
    <s v="5 SCALES DOWN PER FISH"/>
    <s v="3M"/>
    <x v="5"/>
    <s v="9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7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0T00:00:00"/>
    <d v="1990-07-10T00:00:00"/>
    <s v="1990310012949137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7T00:00:00"/>
    <d v="1990-06-28T00:00:00"/>
    <s v="199031006649112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6-21T00:00:00"/>
    <d v="1990-06-27T00:00:00"/>
    <s v="199031006649111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1"/>
    <s v="EU"/>
    <s v="Scales"/>
    <n v="2126660001"/>
    <s v="5 SCALES DOWN PER FISH"/>
    <s v="41"/>
    <x v="1"/>
    <s v="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05T00:00:00"/>
    <d v="1990-07-05T00:00:00"/>
    <s v="199031009765134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97"/>
    <n v="1"/>
    <s v="SOCKEYE SALMON"/>
    <n v="2086090006"/>
    <x v="0"/>
    <n v="11"/>
    <s v="Other Gillnet/Set Net"/>
    <s v="Adult"/>
    <d v="1990-07-12T00:00:00"/>
    <d v="1990-07-12T00:00:00"/>
    <s v="199031009765146"/>
  </r>
  <r>
    <s v="RG"/>
    <s v=""/>
    <x v="3"/>
    <s v="MY"/>
    <s v="Scales"/>
    <n v="2126660001"/>
    <s v="2 SCALES ACROSS PER FISH"/>
    <s v="2M"/>
    <x v="3"/>
    <s v="11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8-16T00:00:00"/>
    <d v="2010-08-16T00:00:00"/>
    <s v="69035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20"/>
    <n v="1"/>
    <s v="SOCKEYE SALMON"/>
    <n v="2086090006"/>
    <x v="0"/>
    <n v="11"/>
    <s v="Other Gillnet/Set Net"/>
    <s v="Adult"/>
    <d v="1990-06-19T00:00:00"/>
    <d v="1990-06-21T00:00:00"/>
    <s v="199031002049103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3"/>
    <s v="MY"/>
    <s v="Scales"/>
    <n v="2126660001"/>
    <s v="2 SCALES ACROSS PER FISH"/>
    <s v="2M"/>
    <x v="3"/>
    <s v="22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129"/>
    <n v="1"/>
    <s v="SOCKEYE SALMON"/>
    <n v="2086090006"/>
    <x v="0"/>
    <n v="11"/>
    <s v="Other Gillnet/Set Net"/>
    <s v="Adult"/>
    <d v="1990-07-15T00:00:00"/>
    <d v="1990-07-15T00:00:00"/>
    <s v="1990310012949149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3T00:00:00"/>
    <d v="1990-07-03T00:00:00"/>
    <s v="199031006649115"/>
  </r>
  <r>
    <s v="W"/>
    <s v=""/>
    <x v="6"/>
    <s v=""/>
    <s v="Scales"/>
    <n v="2126660001"/>
    <s v="2 SCALES ACROSS PER FISH"/>
    <s v=""/>
    <x v="6"/>
    <s v="2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5T00:00:00"/>
    <d v="1990-07-05T00:00:00"/>
    <s v="19903100666514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5546189"/>
    <n v="51765"/>
    <s v="BELLA COOLA FN (IN RIVER NET) - 2010"/>
    <n v="968"/>
    <s v="BELLA COOLA RIVER"/>
    <x v="10"/>
    <s v="2010/0366"/>
    <n v="1"/>
    <s v="SOCKEYE SALMON"/>
    <n v="2086090006"/>
    <x v="0"/>
    <n v="11"/>
    <s v="Other Gillnet/Set Net"/>
    <s v="Adult"/>
    <d v="2010-07-08T00:00:00"/>
    <d v="2010-07-08T00:00:00"/>
    <s v="6923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3"/>
    <n v="51765"/>
    <s v="ATNARKO ESCAPEMENT-1990"/>
    <n v="968"/>
    <s v="BELLA COOLA RIVER"/>
    <x v="9"/>
    <s v="66"/>
    <n v="1"/>
    <s v="SOCKEYE SALMON"/>
    <n v="2086090006"/>
    <x v="0"/>
    <n v="11"/>
    <s v="Other Gillnet/Set Net"/>
    <s v="Adult"/>
    <d v="1990-07-04T00:00:00"/>
    <d v="1990-07-04T00:00:00"/>
    <s v="199031006665127"/>
  </r>
  <r>
    <s v="RG"/>
    <s v=""/>
    <x v="6"/>
    <s v=""/>
    <s v="Scales"/>
    <n v="2126660001"/>
    <s v="2 SCALES ACROSS PER FISH"/>
    <s v=""/>
    <x v="6"/>
    <s v="2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W"/>
    <s v=""/>
    <x v="6"/>
    <s v=""/>
    <s v="Scales"/>
    <n v="2126660001"/>
    <s v="2 SCALES ACROSS PER FISH"/>
    <s v=""/>
    <x v="6"/>
    <s v="2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RG"/>
    <s v=""/>
    <x v="6"/>
    <s v=""/>
    <s v="Scales"/>
    <n v="2126660001"/>
    <s v="2 SCALES ACROSS PER FISH"/>
    <s v=""/>
    <x v="6"/>
    <s v="2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RG"/>
    <s v=""/>
    <x v="6"/>
    <s v=""/>
    <s v="Scales"/>
    <n v="2126660001"/>
    <s v="2 SCALES ACROSS PER FISH"/>
    <s v=""/>
    <x v="6"/>
    <s v="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RS"/>
    <s v=""/>
    <x v="6"/>
    <s v=""/>
    <s v="Scales"/>
    <n v="2126660001"/>
    <s v="2 SCALES ACROSS PER FISH"/>
    <s v=""/>
    <x v="6"/>
    <s v="2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0"/>
    <s v="EU"/>
    <s v="Scales"/>
    <n v="2126660001"/>
    <s v="2 SCALES ACROSS PER FISH"/>
    <s v="52"/>
    <x v="0"/>
    <s v="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W"/>
    <s v=""/>
    <x v="6"/>
    <s v=""/>
    <s v="Scales"/>
    <n v="2126660001"/>
    <s v="2 SCALES ACROSS PER FISH"/>
    <s v=""/>
    <x v="6"/>
    <s v="1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RG"/>
    <s v=""/>
    <x v="6"/>
    <s v="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7"/>
    <s v="EU"/>
    <s v="Scales"/>
    <n v="2126660001"/>
    <s v="2 SCALES ACROSS PER FISH"/>
    <s v="31"/>
    <x v="7"/>
    <s v="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RG"/>
    <s v=""/>
    <x v="6"/>
    <s v=""/>
    <s v="Scales"/>
    <n v="2126660001"/>
    <s v="2 SCALES ACROSS PER FISH"/>
    <s v=""/>
    <x v="6"/>
    <s v="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W"/>
    <s v=""/>
    <x v="6"/>
    <s v=""/>
    <s v="Scales"/>
    <n v="2126660001"/>
    <s v="2 SCALES ACROSS PER FISH"/>
    <s v=""/>
    <x v="6"/>
    <s v="1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NP"/>
    <s v=""/>
    <x v="6"/>
    <s v=""/>
    <s v="Scales"/>
    <n v="2126660001"/>
    <s v="2 SCALES ACROSS PER FISH"/>
    <s v=""/>
    <x v="6"/>
    <s v="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NP"/>
    <s v=""/>
    <x v="6"/>
    <s v=""/>
    <s v="Scales"/>
    <n v="2126660001"/>
    <s v="2 SCALES ACROSS PER FISH"/>
    <s v=""/>
    <x v="6"/>
    <s v="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1"/>
    <s v="EU"/>
    <s v="Scales"/>
    <n v="2126660001"/>
    <s v="2 SCALES ACROSS PER FISH"/>
    <s v="41"/>
    <x v="1"/>
    <s v="2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1"/>
    <s v="EU"/>
    <s v="Scales"/>
    <n v="2126660001"/>
    <s v="2 SCALES ACROSS PER FISH"/>
    <s v="41"/>
    <x v="1"/>
    <s v="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RG"/>
    <s v=""/>
    <x v="6"/>
    <s v=""/>
    <s v="Scales"/>
    <n v="2126660001"/>
    <s v="2 SCALES ACROSS PER FISH"/>
    <s v=""/>
    <x v="6"/>
    <s v="1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W"/>
    <s v=""/>
    <x v="6"/>
    <s v=""/>
    <s v="Scales"/>
    <n v="2126660001"/>
    <s v="2 SCALES ACROSS PER FISH"/>
    <s v=""/>
    <x v="6"/>
    <s v="1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W"/>
    <s v=""/>
    <x v="6"/>
    <s v=""/>
    <s v="Scales"/>
    <n v="2126660001"/>
    <s v="2 SCALES ACROSS PER FISH"/>
    <s v=""/>
    <x v="6"/>
    <s v="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RG"/>
    <s v=""/>
    <x v="6"/>
    <s v="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NP"/>
    <s v=""/>
    <x v="6"/>
    <s v=""/>
    <s v="Scales"/>
    <n v="2126660001"/>
    <s v="2 SCALES ACROSS PER FISH"/>
    <s v=""/>
    <x v="6"/>
    <s v="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W"/>
    <s v=""/>
    <x v="6"/>
    <s v=""/>
    <s v="Scales"/>
    <n v="2126660001"/>
    <s v="2 SCALES ACROSS PER FISH"/>
    <s v=""/>
    <x v="6"/>
    <s v="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2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7"/>
    <s v="EU"/>
    <s v="Scales"/>
    <n v="2126660001"/>
    <s v="2 SCALES ACROSS PER FISH"/>
    <s v="31"/>
    <x v="7"/>
    <s v="1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1"/>
    <s v="EU"/>
    <s v="Scales"/>
    <n v="2126660001"/>
    <s v="2 SCALES ACROSS PER FISH"/>
    <s v="41"/>
    <x v="1"/>
    <s v="1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NP"/>
    <s v=""/>
    <x v="6"/>
    <s v=""/>
    <s v="Scales"/>
    <n v="2126660001"/>
    <s v="2 SCALES ACROSS PER FISH"/>
    <s v=""/>
    <x v="6"/>
    <s v="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RG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7"/>
    <s v="EU"/>
    <s v="Scales"/>
    <n v="2126660001"/>
    <s v="2 SCALES ACROSS PER FISH"/>
    <s v="31"/>
    <x v="7"/>
    <s v="1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7"/>
    <s v="EU"/>
    <s v="Scales"/>
    <n v="2126660001"/>
    <s v="2 SCALES ACROSS PER FISH"/>
    <s v="31"/>
    <x v="7"/>
    <s v="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NP"/>
    <s v=""/>
    <x v="6"/>
    <s v=""/>
    <s v="Scales"/>
    <n v="2126660001"/>
    <s v="2 SCALES ACROSS PER FISH"/>
    <s v=""/>
    <x v="6"/>
    <s v="1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0"/>
    <s v="EU"/>
    <s v="Scales"/>
    <n v="2126660001"/>
    <s v="2 SCALES ACROSS PER FISH"/>
    <s v="52"/>
    <x v="0"/>
    <s v="2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0"/>
    <s v="EU"/>
    <s v="Scales"/>
    <n v="2126660001"/>
    <s v="2 SCALES ACROSS PER FISH"/>
    <s v="52"/>
    <x v="0"/>
    <s v="1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W"/>
    <s v=""/>
    <x v="6"/>
    <s v=""/>
    <s v="Scales"/>
    <n v="2126660001"/>
    <s v="2 SCALES ACROSS PER FISH"/>
    <s v=""/>
    <x v="6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7"/>
    <s v="EU"/>
    <s v="Scales"/>
    <n v="2126660001"/>
    <s v="2 SCALES ACROSS PER FISH"/>
    <s v="31"/>
    <x v="7"/>
    <s v="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NP"/>
    <s v=""/>
    <x v="6"/>
    <s v=""/>
    <s v="Scales"/>
    <n v="2126660001"/>
    <s v="2 SCALES ACROSS PER FISH"/>
    <s v=""/>
    <x v="6"/>
    <s v="1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1"/>
    <s v="EU"/>
    <s v="Scales"/>
    <n v="2126660001"/>
    <s v="2 SCALES ACROSS PER FISH"/>
    <s v="41"/>
    <x v="1"/>
    <s v="2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1"/>
    <s v="EU"/>
    <s v="Scales"/>
    <n v="2126660001"/>
    <s v="2 SCALES ACROSS PER FISH"/>
    <s v="41"/>
    <x v="1"/>
    <s v="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RG"/>
    <s v=""/>
    <x v="6"/>
    <s v=""/>
    <s v="Scales"/>
    <n v="2126660001"/>
    <s v="2 SCALES ACROSS PER FISH"/>
    <s v=""/>
    <x v="6"/>
    <s v="1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1"/>
    <s v="EU"/>
    <s v="Scales"/>
    <n v="2126660001"/>
    <s v="2 SCALES ACROSS PER FISH"/>
    <s v="41"/>
    <x v="1"/>
    <s v="10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7"/>
    <s v="EU"/>
    <s v="Scales"/>
    <n v="2126660001"/>
    <s v="2 SCALES ACROSS PER FISH"/>
    <s v="31"/>
    <x v="7"/>
    <s v="1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W"/>
    <s v=""/>
    <x v="6"/>
    <s v=""/>
    <s v="Scales"/>
    <n v="2126660001"/>
    <s v="2 SCALES ACROSS PER FISH"/>
    <s v=""/>
    <x v="6"/>
    <s v="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0"/>
    <s v="EU"/>
    <s v="Scales"/>
    <n v="2126660001"/>
    <s v="2 SCALES ACROSS PER FISH"/>
    <s v="52"/>
    <x v="0"/>
    <s v="1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0"/>
    <s v="EU"/>
    <s v="Scales"/>
    <n v="2126660001"/>
    <s v="2 SCALES ACROSS PER FISH"/>
    <s v="52"/>
    <x v="0"/>
    <s v="1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NP"/>
    <s v=""/>
    <x v="6"/>
    <s v=""/>
    <s v="Scales"/>
    <n v="2126660001"/>
    <s v="2 SCALES ACROSS PER FISH"/>
    <s v=""/>
    <x v="6"/>
    <s v="2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7"/>
    <s v="EU"/>
    <s v="Scales"/>
    <n v="2126660001"/>
    <s v="2 SCALES ACROSS PER FISH"/>
    <s v="31"/>
    <x v="7"/>
    <s v="2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RG"/>
    <s v=""/>
    <x v="6"/>
    <s v=""/>
    <s v="Scales"/>
    <n v="2126660001"/>
    <s v="2 SCALES ACROSS PER FISH"/>
    <s v=""/>
    <x v="6"/>
    <s v="1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12"/>
    <s v="EU"/>
    <s v="Scales"/>
    <n v="2126660001"/>
    <s v="2 SCALES ACROSS PER FISH"/>
    <s v="32"/>
    <x v="12"/>
    <s v="1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2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W"/>
    <s v=""/>
    <x v="6"/>
    <s v="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6"/>
    <s v=""/>
    <s v="Scales"/>
    <n v="2126660001"/>
    <s v="10 SCALES ACROSS PER FISH"/>
    <s v=""/>
    <x v="6"/>
    <s v="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107"/>
    <n v="1"/>
    <s v="SOCKEYE SALMON"/>
    <n v="2086090006"/>
    <x v="0"/>
    <n v="11"/>
    <s v="Other Gillnet/Set Net"/>
    <s v="Adult"/>
    <d v="1989-06-20T00:00:00"/>
    <d v="1989-06-20T00:00:00"/>
    <s v="1989310010747954"/>
  </r>
  <r>
    <s v=""/>
    <s v=""/>
    <x v="1"/>
    <s v="EU"/>
    <s v="Scales"/>
    <n v="2126660001"/>
    <s v="2 SCALES ACROSS PER FISH"/>
    <s v="41"/>
    <x v="1"/>
    <s v="1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RG"/>
    <s v=""/>
    <x v="6"/>
    <s v=""/>
    <s v="Scales"/>
    <n v="2126660001"/>
    <s v="2 SCALES ACROSS PER FISH"/>
    <s v=""/>
    <x v="6"/>
    <s v="7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6"/>
    <s v=""/>
    <s v="Scales"/>
    <n v="2126660001"/>
    <s v="2 SCALES ACROSS PER FISH"/>
    <s v=""/>
    <x v="6"/>
    <s v="2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W"/>
    <s v=""/>
    <x v="6"/>
    <s v=""/>
    <s v="Scales"/>
    <n v="2126660001"/>
    <s v="2 SCALES ACROSS PER FISH"/>
    <s v=""/>
    <x v="6"/>
    <s v="2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0"/>
    <s v="EU"/>
    <s v="Scales"/>
    <n v="2126660001"/>
    <s v="5 SCALES DOWN PER FISH"/>
    <s v="52"/>
    <x v="0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0"/>
    <s v="EU"/>
    <s v="Scales"/>
    <n v="2126660001"/>
    <s v="5 SCALES DOWN PER FISH"/>
    <s v="52"/>
    <x v="0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1"/>
    <s v="EU"/>
    <s v="Scales"/>
    <n v="2126660001"/>
    <s v="5 SCALES DOWN PER FISH"/>
    <s v="41"/>
    <x v="1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1"/>
    <s v="EU"/>
    <s v="Scales"/>
    <n v="2126660001"/>
    <s v="5 SCALES DOWN PER FISH"/>
    <s v="41"/>
    <x v="1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1"/>
    <s v="EU"/>
    <s v="Scales"/>
    <n v="2126660001"/>
    <s v="5 SCALES DOWN PER FISH"/>
    <s v="41"/>
    <x v="1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0"/>
    <s v="EU"/>
    <s v="Scales"/>
    <n v="2126660001"/>
    <s v="5 SCALES DOWN PER FISH"/>
    <s v="52"/>
    <x v="0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0"/>
    <s v="EU"/>
    <s v="Scales"/>
    <n v="2126660001"/>
    <s v="5 SCALES DOWN PER FISH"/>
    <s v="52"/>
    <x v="0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1"/>
    <s v="EU"/>
    <s v="Scales"/>
    <n v="2126660001"/>
    <s v="5 SCALES DOWN PER FISH"/>
    <s v="41"/>
    <x v="1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1"/>
    <s v="EU"/>
    <s v="Scales"/>
    <n v="2126660001"/>
    <s v="5 SCALES DOWN PER FISH"/>
    <s v="41"/>
    <x v="1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0"/>
    <s v="EU"/>
    <s v="Scales"/>
    <n v="2126660001"/>
    <s v="5 SCALES DOWN PER FISH"/>
    <s v="52"/>
    <x v="0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1"/>
    <s v="EU"/>
    <s v="Scales"/>
    <n v="2126660001"/>
    <s v="5 SCALES DOWN PER FISH"/>
    <s v="41"/>
    <x v="1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W"/>
    <s v=""/>
    <x v="6"/>
    <s v=""/>
    <s v="Scales"/>
    <n v="2126660001"/>
    <s v="2 SCALES ACROSS PER FISH"/>
    <s v=""/>
    <x v="6"/>
    <s v="1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2T00:00:00"/>
    <d v="1989-07-12T00:00:00"/>
    <s v="1989310031248081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3T00:00:00"/>
    <d v="1989-07-13T00:00:00"/>
    <s v="1989310031248082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1T00:00:00"/>
    <d v="1989-07-11T00:00:00"/>
    <s v="1989310031248080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9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7"/>
    <s v="EU"/>
    <s v="Scales"/>
    <n v="2126660001"/>
    <s v="2 SCALES ACROSS PER FISH"/>
    <s v="31"/>
    <x v="7"/>
    <s v="8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W"/>
    <s v=""/>
    <x v="6"/>
    <s v=""/>
    <s v="Scales"/>
    <n v="2126660001"/>
    <s v="2 SCALES ACROSS PER FISH"/>
    <s v=""/>
    <x v="6"/>
    <s v="13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9T00:00:00"/>
    <d v="1989-07-19T00:00:00"/>
    <s v="1989310031248084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6T00:00:00"/>
    <d v="1989-07-16T00:00:00"/>
    <s v="1989310031248083"/>
  </r>
  <r>
    <s v=""/>
    <s v=""/>
    <x v="12"/>
    <s v="EU"/>
    <s v="Scales"/>
    <n v="2126660001"/>
    <s v="2 SCALES ACROSS PER FISH"/>
    <s v="32"/>
    <x v="12"/>
    <s v="25"/>
    <s v="NORTHERN COASTAL FJORDS"/>
    <s v="R-16"/>
    <s v="8"/>
    <x v="0"/>
    <s v="SER"/>
    <s v="Bella Coola River System (Bella Coola) Sockeye Run 1"/>
    <n v="-1000005620"/>
    <n v="51765"/>
    <s v="ATNARKO ESCAPEMENT-1989"/>
    <n v="968"/>
    <s v="BELLA COOLA RIVER"/>
    <x v="11"/>
    <s v="312"/>
    <n v="1"/>
    <s v="SOCKEYE SALMON"/>
    <n v="2086090006"/>
    <x v="0"/>
    <n v="11"/>
    <s v="Other Gillnet/Set Net"/>
    <s v="Adult"/>
    <d v="1989-07-10T00:00:00"/>
    <d v="1989-07-10T00:00:00"/>
    <s v="1989310031248079"/>
  </r>
  <r>
    <s v=""/>
    <s v=""/>
    <x v="0"/>
    <s v="EU"/>
    <s v="Scales"/>
    <n v="2126660001"/>
    <s v="5 SCALES DOWN PER FISH"/>
    <s v="52"/>
    <x v="0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RG"/>
    <s v=""/>
    <x v="3"/>
    <s v="MY"/>
    <s v="Scales"/>
    <n v="2126660001"/>
    <s v="2 SCALES ACROSS PER FISH"/>
    <s v="2M"/>
    <x v="3"/>
    <s v="17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0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RG"/>
    <s v=""/>
    <x v="6"/>
    <s v="EU"/>
    <s v="Scales"/>
    <n v="2126660001"/>
    <s v="2 SCALES ACROSS PER FISH"/>
    <s v=""/>
    <x v="6"/>
    <s v="15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6-19T00:00:00"/>
    <d v="2008-07-08T00:00:00"/>
    <s v="67356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UF"/>
    <s v=""/>
    <x v="5"/>
    <s v="MY"/>
    <s v="Scales"/>
    <n v="2126660001"/>
    <s v="2 SCALES ACROSS PER FISH"/>
    <s v="3M"/>
    <x v="5"/>
    <s v="5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0"/>
    <s v="EU"/>
    <s v="Scales"/>
    <n v="2126660001"/>
    <s v="2 SCALES ACROSS PER FISH"/>
    <s v="52"/>
    <x v="0"/>
    <s v="15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7"/>
    <s v="EU"/>
    <s v="Scales"/>
    <n v="2126660001"/>
    <s v="5 SCALES DOWN PER FISH"/>
    <s v="31"/>
    <x v="7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UF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0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0"/>
    <s v="EU"/>
    <s v="Scales"/>
    <n v="2126660001"/>
    <s v="5 SCALES DOWN PER FISH"/>
    <s v="52"/>
    <x v="0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1"/>
    <s v="EU"/>
    <s v="Scales"/>
    <n v="2126660001"/>
    <s v="5 SCALES DOWN PER FISH"/>
    <s v="41"/>
    <x v="1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0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0"/>
    <s v="EU"/>
    <s v="Scales"/>
    <n v="2126660001"/>
    <s v="5 SCALES DOWN PER FISH"/>
    <s v="52"/>
    <x v="0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0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5 SCALES DOWN PER FISH"/>
    <s v="42"/>
    <x v="2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1"/>
    <s v="EU"/>
    <s v="Scales"/>
    <n v="2126660001"/>
    <s v="5 SCALES DOWN PER FISH"/>
    <s v="41"/>
    <x v="1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RG"/>
    <s v=""/>
    <x v="6"/>
    <s v=""/>
    <s v="Scales"/>
    <n v="2126660001"/>
    <s v="5 SCALES DOWN PER FISH"/>
    <s v=""/>
    <x v="6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11"/>
    <s v="MY"/>
    <s v="Scales"/>
    <n v="2126660001"/>
    <s v="5 SCALES DOWN PER FISH"/>
    <s v="1M"/>
    <x v="11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0"/>
    <x v="7"/>
    <s v="EU"/>
    <s v="Scales"/>
    <n v="2126660001"/>
    <s v="2 SCALES ACROSS PER FISH"/>
    <s v="31"/>
    <x v="7"/>
    <s v="7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0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RG"/>
    <s v="0"/>
    <x v="3"/>
    <s v="MY"/>
    <s v="Scales"/>
    <n v="2126660001"/>
    <s v="2 SCALES ACROSS PER FISH"/>
    <s v="2M"/>
    <x v="3"/>
    <s v="2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0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1"/>
    <s v="EU"/>
    <s v="Scales"/>
    <n v="2126660001"/>
    <s v="5 SCALES DOWN PER FISH"/>
    <s v="41"/>
    <x v="1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0"/>
    <s v="EU"/>
    <s v="Scales"/>
    <n v="2126660001"/>
    <s v="2 SCALES ACROSS PER FISH"/>
    <s v="52"/>
    <x v="0"/>
    <s v="18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2"/>
    <s v="EU"/>
    <s v="Scales"/>
    <n v="2126660001"/>
    <s v="5 SCALES DOWN PER FISH"/>
    <s v="42"/>
    <x v="2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0"/>
    <s v="EU"/>
    <s v="Scales"/>
    <n v="2126660001"/>
    <s v="5 SCALES DOWN PER FISH"/>
    <s v="52"/>
    <x v="0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1"/>
    <s v="EU"/>
    <s v="Scales"/>
    <n v="2126660001"/>
    <s v="5 SCALES DOWN PER FISH"/>
    <s v="41"/>
    <x v="1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2"/>
    <s v="EU"/>
    <s v="Scales"/>
    <n v="2126660001"/>
    <s v="5 SCALES DOWN PER FISH"/>
    <s v="42"/>
    <x v="2"/>
    <s v="10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RG"/>
    <s v="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1"/>
    <s v="EU"/>
    <s v="Scales"/>
    <n v="2126660001"/>
    <s v="5 SCALES DOWN PER FISH"/>
    <s v="41"/>
    <x v="1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1"/>
    <s v="EU"/>
    <s v="Scales"/>
    <n v="2126660001"/>
    <s v="5 SCALES DOWN PER FISH"/>
    <s v="41"/>
    <x v="1"/>
    <s v="1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2"/>
  </r>
  <r>
    <s v=""/>
    <s v=""/>
    <x v="1"/>
    <s v="EU"/>
    <s v="Scales"/>
    <n v="2126660001"/>
    <s v="5 SCALES DOWN PER FISH"/>
    <s v="41"/>
    <x v="1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1"/>
    <s v="EU"/>
    <s v="Scales"/>
    <n v="2126660001"/>
    <s v="5 SCALES DOWN PER FISH"/>
    <s v="41"/>
    <x v="1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0"/>
    <x v="1"/>
    <s v="EU"/>
    <s v="Scales"/>
    <n v="2126660001"/>
    <s v="2 SCALES ACROSS PER FISH"/>
    <s v="41"/>
    <x v="1"/>
    <s v="16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UD"/>
    <s v=""/>
    <x v="6"/>
    <s v="EU"/>
    <s v="Scales"/>
    <n v="2126660001"/>
    <s v="2 SCALES ACROSS PER FISH"/>
    <s v=""/>
    <x v="6"/>
    <s v="1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9T00:00:00"/>
    <d v="1992-07-19T00:00:00"/>
    <s v="1992310098762878"/>
  </r>
  <r>
    <s v=""/>
    <s v=""/>
    <x v="1"/>
    <s v="EU"/>
    <s v="Scales"/>
    <n v="2126660001"/>
    <s v="5 SCALES DOWN PER FISH"/>
    <s v="41"/>
    <x v="1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2"/>
    <s v="EU"/>
    <s v="Scales"/>
    <n v="2126660001"/>
    <s v="5 SCALES DOWN PER FISH"/>
    <s v="42"/>
    <x v="2"/>
    <s v="3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W"/>
    <s v=""/>
    <x v="3"/>
    <s v="MY"/>
    <s v="Scales"/>
    <n v="2126660001"/>
    <s v="2 SCALES ACROSS PER FISH"/>
    <s v="2M"/>
    <x v="3"/>
    <s v="14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7-02T00:00:00"/>
    <d v="1992-07-06T00:00:00"/>
    <s v="199231005962850"/>
  </r>
  <r>
    <s v=""/>
    <s v="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14T00:00:00"/>
    <d v="2008-07-21T00:00:00"/>
    <s v="67357"/>
  </r>
  <r>
    <s v="RG"/>
    <s v=""/>
    <x v="6"/>
    <s v=""/>
    <s v="Scales"/>
    <n v="2126660001"/>
    <s v="5 SCALES DOWN PER FISH"/>
    <s v=""/>
    <x v="6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4T00:00:00"/>
    <d v="1992-06-24T00:00:00"/>
    <s v="199231005962851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"/>
    <x v="0"/>
    <s v="EU"/>
    <s v="Scales"/>
    <n v="2126660001"/>
    <s v="5 SCALES DOWN PER FISH"/>
    <s v="52"/>
    <x v="0"/>
    <s v="5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16T00:00:00"/>
    <d v="1992-06-23T00:00:00"/>
    <s v="199231005962830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0"/>
    <s v="EU"/>
    <s v="Scales"/>
    <n v="2126660001"/>
    <s v="5 SCALES DOWN PER FISH"/>
    <s v="52"/>
    <x v="0"/>
    <s v="4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07T00:00:00"/>
    <d v="1992-07-09T00:00:00"/>
    <s v="1992310098762877"/>
  </r>
  <r>
    <s v=""/>
    <s v=""/>
    <x v="0"/>
    <s v="EU"/>
    <s v="Scales"/>
    <n v="2126660001"/>
    <s v="5 SCALES DOWN PER FISH"/>
    <s v="52"/>
    <x v="0"/>
    <s v="9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987"/>
    <n v="1"/>
    <s v="SOCKEYE SALMON"/>
    <n v="2086090006"/>
    <x v="0"/>
    <n v="11"/>
    <s v="Other Gillnet/Set Net"/>
    <s v="Adult"/>
    <d v="1992-07-14T00:00:00"/>
    <d v="1992-07-16T00:00:00"/>
    <s v="1992310098762879"/>
  </r>
  <r>
    <s v=""/>
    <s v="0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UF"/>
    <s v="0"/>
    <x v="3"/>
    <s v="MY"/>
    <s v="Scales"/>
    <n v="2126660001"/>
    <s v="2 SCALES ACROSS PER FISH"/>
    <s v="2M"/>
    <x v="3"/>
    <s v="7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7-21T00:00:00"/>
    <d v="2008-07-30T00:00:00"/>
    <s v="67358"/>
  </r>
  <r>
    <s v=""/>
    <s v="0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4268609"/>
    <n v="51765"/>
    <s v="ATNARKO ESCAPEMENT - 2008"/>
    <n v="968"/>
    <s v="BELLA COOLA RIVER"/>
    <x v="13"/>
    <s v="2008/0396"/>
    <n v="1"/>
    <s v="SOCKEYE SALMON"/>
    <n v="2086090006"/>
    <x v="0"/>
    <n v="11"/>
    <s v="Other Gillnet/Set Net"/>
    <s v="Adult"/>
    <d v="2008-06-19T00:00:00"/>
    <d v="2008-07-08T00:00:00"/>
    <s v="67356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0"/>
    <s v="SER"/>
    <s v="Bella Coola River System (Bella Coola) Sockeye Run 1"/>
    <n v="-1000005629"/>
    <n v="51765"/>
    <s v="ATNARKO ESCAPEMENT-1992"/>
    <n v="968"/>
    <s v="BELLA COOLA RIVER"/>
    <x v="12"/>
    <s v="59"/>
    <n v="1"/>
    <s v="SOCKEYE SALMON"/>
    <n v="2086090006"/>
    <x v="0"/>
    <n v="11"/>
    <s v="Other Gillnet/Set Net"/>
    <s v="Adult"/>
    <d v="1992-06-29T00:00:00"/>
    <d v="1992-07-02T00:00:00"/>
    <s v="199231005962849"/>
  </r>
  <r>
    <s v=""/>
    <s v=""/>
    <x v="4"/>
    <s v="EU"/>
    <s v="Scales"/>
    <n v="2126660001"/>
    <s v="2 SCALES ACROSS PER FISH"/>
    <s v="53"/>
    <x v="4"/>
    <s v="9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7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22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24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s v=""/>
    <s v=""/>
    <x v="7"/>
    <s v="EU"/>
    <s v="Scales"/>
    <n v="2126660001"/>
    <s v="2 SCALES ACROSS PER FISH"/>
    <s v="31"/>
    <x v="7"/>
    <s v="4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s v=""/>
    <s v="0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0"/>
    <x v="4"/>
    <s v="EU"/>
    <s v="Scales"/>
    <n v="2126660001"/>
    <s v="2 SCALES ACROSS PER FISH"/>
    <s v="53"/>
    <x v="4"/>
    <s v="7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W"/>
    <s v=""/>
    <x v="11"/>
    <s v="FW"/>
    <s v="Scales"/>
    <n v="2126660001"/>
    <s v="2 SCALES ACROSS PER FISH"/>
    <s v="S2"/>
    <x v="16"/>
    <s v="1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RG"/>
    <s v=""/>
    <x v="5"/>
    <s v="MY"/>
    <s v="Scales"/>
    <n v="2126660001"/>
    <s v="2 SCALES ACROSS PER FISH"/>
    <s v="3M"/>
    <x v="5"/>
    <s v="2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2"/>
    <s v="EU"/>
    <s v="Scales"/>
    <n v="2126660001"/>
    <s v="2 SCALES ACROSS PER FISH"/>
    <s v="42"/>
    <x v="2"/>
    <s v="6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0"/>
    <s v="EU"/>
    <s v="Scales"/>
    <n v="2126660001"/>
    <s v="2 SCALES ACROSS PER FISH"/>
    <s v="52"/>
    <x v="0"/>
    <s v="7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0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W"/>
    <s v=""/>
    <x v="3"/>
    <s v="MY"/>
    <s v="Scales"/>
    <n v="2126660001"/>
    <s v="2 SCALES ACROSS PER FISH"/>
    <s v="2M"/>
    <x v="3"/>
    <s v="12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4"/>
    <s v="EU"/>
    <s v="Scales"/>
    <n v="2126660001"/>
    <s v="2 SCALES ACROSS PER FISH"/>
    <s v="53"/>
    <x v="4"/>
    <s v="3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0"/>
    <x v="2"/>
    <s v="EU"/>
    <s v="Scales"/>
    <n v="2126660001"/>
    <s v="2 SCALES ACROSS PER FISH"/>
    <s v="42"/>
    <x v="2"/>
    <s v="23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RG"/>
    <s v=""/>
    <x v="3"/>
    <s v="MY"/>
    <s v="Scales"/>
    <n v="2126660001"/>
    <s v="2 SCALES ACROSS PER FISH"/>
    <s v="2M"/>
    <x v="3"/>
    <s v="13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"/>
    <s v=""/>
    <x v="2"/>
    <s v="EU"/>
    <s v="Scales"/>
    <n v="2126660001"/>
    <s v="2 SCALES ACROSS PER FISH"/>
    <s v="42"/>
    <x v="2"/>
    <s v="12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10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1"/>
    <s v="EU"/>
    <s v="Scales"/>
    <n v="2126660001"/>
    <s v="5 SCALES DOWN PER FISH"/>
    <s v="41"/>
    <x v="1"/>
    <s v="4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NS"/>
    <s v=""/>
    <x v="6"/>
    <s v=""/>
    <s v="Scales"/>
    <n v="2126660001"/>
    <s v="5 SCALES DOWN PER FISH"/>
    <s v=""/>
    <x v="6"/>
    <s v="2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NS"/>
    <s v=""/>
    <x v="6"/>
    <s v=""/>
    <s v="Scales"/>
    <n v="2126660001"/>
    <s v="5 SCALES DOWN PER FISH"/>
    <s v=""/>
    <x v="6"/>
    <s v="1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2"/>
    <s v="EU"/>
    <s v="Scales"/>
    <n v="2126660001"/>
    <s v="2 SCALES ACROSS PER FISH"/>
    <s v="42"/>
    <x v="2"/>
    <s v="25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13T00:00:00"/>
    <d v="2012-07-13T00:00:00"/>
    <s v="71111"/>
  </r>
  <r>
    <s v=""/>
    <s v="0"/>
    <x v="2"/>
    <s v="EU"/>
    <s v="Scales"/>
    <n v="2126660001"/>
    <s v="2 SCALES ACROSS PER FISH"/>
    <s v="42"/>
    <x v="2"/>
    <s v="2"/>
    <s v="NORTHERN COASTAL FJORDS"/>
    <s v="R-16"/>
    <s v="8"/>
    <x v="0"/>
    <s v="SER"/>
    <s v="Bella Coola River System (Bella Coola) Sockeye Run 1"/>
    <n v="6968376"/>
    <n v="51765"/>
    <s v="BELLA COOLA FN (IN RIVER NET) - 2012"/>
    <n v="968"/>
    <s v="BELLA COOLA RIVER"/>
    <x v="14"/>
    <s v="2012/0198"/>
    <n v="1"/>
    <s v="SOCKEYE SALMON"/>
    <n v="2086090006"/>
    <x v="0"/>
    <n v="11"/>
    <s v="Other Gillnet/Set Net"/>
    <s v="Adult"/>
    <d v="2012-07-23T00:00:00"/>
    <d v="2012-07-23T00:00:00"/>
    <s v="71112"/>
  </r>
  <r>
    <s v=""/>
    <s v=""/>
    <x v="2"/>
    <s v="EU"/>
    <s v="Scales"/>
    <n v="2126660001"/>
    <s v="2 SCALES ACROSS PER FISH"/>
    <s v="42"/>
    <x v="2"/>
    <s v="9"/>
    <s v="NORTHERN COASTAL FJORDS"/>
    <s v="R-16"/>
    <s v="8"/>
    <x v="0"/>
    <s v="SER"/>
    <s v="Bella Coola River System (Bella Coola) Sockeye Run 1"/>
    <n v="11378940"/>
    <n v="51765"/>
    <s v="BELLA COOLA FN (IN RIVER NET) - 2020"/>
    <n v="968"/>
    <s v="BELLA COOLA RIVER"/>
    <x v="15"/>
    <s v="2020/0157"/>
    <n v="1"/>
    <s v="SOCKEYE SALMON"/>
    <n v="2086090006"/>
    <x v="0"/>
    <n v="11"/>
    <s v="Other Gillnet/Set Net"/>
    <s v="Adult"/>
    <d v="2020-07-01T00:00:00"/>
    <d v="2020-07-21T00:00:00"/>
    <s v="20NC67914"/>
  </r>
  <r>
    <s v="RG"/>
    <s v=""/>
    <x v="5"/>
    <s v="MY"/>
    <s v="Scales"/>
    <n v="2126660001"/>
    <s v="2 SCALES ACROSS PER FISH"/>
    <s v="3M"/>
    <x v="5"/>
    <s v="7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8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RG"/>
    <s v=""/>
    <x v="3"/>
    <s v="MY"/>
    <s v="Scales"/>
    <n v="2126660001"/>
    <s v="2 SCALES ACROSS PER FISH"/>
    <s v="2M"/>
    <x v="3"/>
    <s v="9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16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18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0"/>
    <x v="2"/>
    <s v="EU"/>
    <s v="Scales"/>
    <n v="2126660001"/>
    <s v="2 SCALES ACROSS PER FISH"/>
    <s v="42"/>
    <x v="2"/>
    <s v="21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7"/>
    <s v="EU"/>
    <s v="Scales"/>
    <n v="2126660001"/>
    <s v="2 SCALES ACROSS PER FISH"/>
    <s v="31"/>
    <x v="7"/>
    <s v="22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0"/>
    <x v="7"/>
    <s v="EU"/>
    <s v="Scales"/>
    <n v="2126660001"/>
    <s v="2 SCALES ACROSS PER FISH"/>
    <s v="31"/>
    <x v="7"/>
    <s v="23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s v=""/>
    <s v="0"/>
    <x v="2"/>
    <s v="EU"/>
    <s v="Scales"/>
    <n v="2126660001"/>
    <s v="2 SCALES ACROSS PER FISH"/>
    <s v="42"/>
    <x v="2"/>
    <s v="4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s v=""/>
    <s v=""/>
    <x v="0"/>
    <s v="EU"/>
    <s v="Scales"/>
    <n v="2126660001"/>
    <s v="2 SCALES ACROSS PER FISH"/>
    <s v="52"/>
    <x v="0"/>
    <s v="1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"/>
    <s v=""/>
    <x v="0"/>
    <s v="EU"/>
    <s v="Scales"/>
    <n v="2126660001"/>
    <s v="2 SCALES ACROSS PER FISH"/>
    <s v="52"/>
    <x v="0"/>
    <s v="2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RG"/>
    <s v=""/>
    <x v="5"/>
    <s v="MY"/>
    <s v="Scales"/>
    <n v="2126660001"/>
    <s v="2 SCALES ACROSS PER FISH"/>
    <s v="3M"/>
    <x v="5"/>
    <s v="6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"/>
    <s v=""/>
    <x v="2"/>
    <s v="EU"/>
    <s v="Scales"/>
    <n v="2126660001"/>
    <s v="2 SCALES ACROSS PER FISH"/>
    <s v="42"/>
    <x v="2"/>
    <s v="15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0"/>
    <x v="2"/>
    <s v="EU"/>
    <s v="Scales"/>
    <n v="2126660001"/>
    <s v="2 SCALES ACROSS PER FISH"/>
    <s v="42"/>
    <x v="2"/>
    <s v="19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14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RG"/>
    <s v=""/>
    <x v="5"/>
    <s v="MY"/>
    <s v="Scales"/>
    <n v="2126660001"/>
    <s v="2 SCALES ACROSS PER FISH"/>
    <s v="3M"/>
    <x v="5"/>
    <s v="8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RG"/>
    <s v=""/>
    <x v="5"/>
    <s v="MY"/>
    <s v="Scales"/>
    <n v="2126660001"/>
    <s v="2 SCALES ACROSS PER FISH"/>
    <s v="3M"/>
    <x v="5"/>
    <s v="9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RG"/>
    <s v=""/>
    <x v="5"/>
    <s v="MY"/>
    <s v="Scales"/>
    <n v="2126660001"/>
    <s v="2 SCALES ACROSS PER FISH"/>
    <s v="3M"/>
    <x v="5"/>
    <s v="2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0"/>
    <x v="7"/>
    <s v="EU"/>
    <s v="Scales"/>
    <n v="2126660001"/>
    <s v="2 SCALES ACROSS PER FISH"/>
    <s v="31"/>
    <x v="7"/>
    <s v="2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s v=""/>
    <s v=""/>
    <x v="2"/>
    <s v="EU"/>
    <s v="Scales"/>
    <n v="2126660001"/>
    <s v="2 SCALES ACROSS PER FISH"/>
    <s v="42"/>
    <x v="2"/>
    <s v="20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7"/>
    <s v="EU"/>
    <s v="Scales"/>
    <n v="2126660001"/>
    <s v="2 SCALES ACROSS PER FISH"/>
    <s v="31"/>
    <x v="7"/>
    <s v="13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0"/>
    <s v="EU"/>
    <s v="Scales"/>
    <n v="2126660001"/>
    <s v="2 SCALES ACROSS PER FISH"/>
    <s v="52"/>
    <x v="0"/>
    <s v="17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12"/>
    <s v="EU"/>
    <s v="Scales"/>
    <n v="2126660001"/>
    <s v="2 SCALES ACROSS PER FISH"/>
    <s v="32"/>
    <x v="12"/>
    <s v="24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0"/>
    <s v="EU"/>
    <s v="Scales"/>
    <n v="2126660001"/>
    <s v="2 SCALES ACROSS PER FISH"/>
    <s v="52"/>
    <x v="0"/>
    <s v="3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"/>
    <s v=""/>
    <x v="2"/>
    <s v="EU"/>
    <s v="Scales"/>
    <n v="2126660001"/>
    <s v="5 SCALES DOWN PER FISH"/>
    <s v="42"/>
    <x v="2"/>
    <s v="8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2"/>
    <s v="EU"/>
    <s v="Scales"/>
    <n v="2126660001"/>
    <s v="2 SCALES ACROSS PER FISH"/>
    <s v="42"/>
    <x v="2"/>
    <s v="3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RG"/>
    <s v=""/>
    <x v="3"/>
    <s v="MY"/>
    <s v="Scales"/>
    <n v="2126660001"/>
    <s v="2 SCALES ACROSS PER FISH"/>
    <s v="2M"/>
    <x v="3"/>
    <s v="10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0"/>
    <x v="7"/>
    <s v="EU"/>
    <s v="Scales"/>
    <n v="2126660001"/>
    <s v="2 SCALES ACROSS PER FISH"/>
    <s v="31"/>
    <x v="7"/>
    <s v="25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2"/>
    <s v="EU"/>
    <s v="Scales"/>
    <n v="2126660001"/>
    <s v="2 SCALES ACROSS PER FISH"/>
    <s v="42"/>
    <x v="2"/>
    <s v="5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1"/>
    <s v="EU"/>
    <s v="Scales"/>
    <n v="2126660001"/>
    <s v="2 SCALES ACROSS PER FISH"/>
    <s v="41"/>
    <x v="1"/>
    <s v="6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12"/>
    <s v="EU"/>
    <s v="Scales"/>
    <n v="2126660001"/>
    <s v="2 SCALES ACROSS PER FISH"/>
    <s v="32"/>
    <x v="12"/>
    <s v="12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1"/>
    <s v="EU"/>
    <s v="Scales"/>
    <n v="2126660001"/>
    <s v="5 SCALES DOWN PER FISH"/>
    <s v="41"/>
    <x v="1"/>
    <s v="10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1"/>
    <s v="EU"/>
    <s v="Scales"/>
    <n v="2126660001"/>
    <s v="5 SCALES DOWN PER FISH"/>
    <s v="41"/>
    <x v="1"/>
    <s v="3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1"/>
    <s v="EU"/>
    <s v="Scales"/>
    <n v="2126660001"/>
    <s v="2 SCALES ACROSS PER FISH"/>
    <s v="41"/>
    <x v="1"/>
    <s v="7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"/>
    <s v=""/>
    <x v="0"/>
    <s v="EU"/>
    <s v="Scales"/>
    <n v="2126660001"/>
    <s v="2 SCALES ACROSS PER FISH"/>
    <s v="52"/>
    <x v="0"/>
    <s v="4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1"/>
    <s v="EU"/>
    <s v="Scales"/>
    <n v="2126660001"/>
    <s v="5 SCALES DOWN PER FISH"/>
    <s v="41"/>
    <x v="1"/>
    <s v="6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"/>
    <x v="2"/>
    <s v="EU"/>
    <s v="Scales"/>
    <n v="2126660001"/>
    <s v="2 SCALES ACROSS PER FISH"/>
    <s v="42"/>
    <x v="2"/>
    <s v="11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24T00:00:00"/>
    <d v="2014-07-24T00:00:00"/>
    <s v="73486"/>
  </r>
  <r>
    <s v=""/>
    <s v=""/>
    <x v="0"/>
    <s v="EU"/>
    <s v="Scales"/>
    <n v="2126660001"/>
    <s v="5 SCALES DOWN PER FISH"/>
    <s v="52"/>
    <x v="0"/>
    <s v="7"/>
    <s v="NORTHERN COASTAL FJORDS"/>
    <s v="R-16"/>
    <s v="8"/>
    <x v="0"/>
    <s v="SER"/>
    <s v="Bella Coola River System (Bella Coola) Sockeye Run 1"/>
    <n v="-1000005632"/>
    <n v="51765"/>
    <s v="ATNARKO ESCAPEMENT-1993"/>
    <n v="968"/>
    <s v="BELLA COOLA RIVER"/>
    <x v="16"/>
    <s v="120"/>
    <n v="1"/>
    <s v="SOCKEYE SALMON"/>
    <n v="2086090006"/>
    <x v="0"/>
    <n v="11"/>
    <s v="Other Gillnet/Set Net"/>
    <s v="Adult"/>
    <d v="1993-07-16T00:00:00"/>
    <d v="1993-07-16T00:00:00"/>
    <s v="1993310012062886"/>
  </r>
  <r>
    <s v=""/>
    <s v="0"/>
    <x v="1"/>
    <s v="EU"/>
    <s v="Scales"/>
    <n v="2126660001"/>
    <s v="2 SCALES ACROSS PER FISH"/>
    <s v="41"/>
    <x v="1"/>
    <s v="1"/>
    <s v="NORTHERN COASTAL FJORDS"/>
    <s v="R-16"/>
    <s v="8"/>
    <x v="0"/>
    <s v="SER"/>
    <s v="Bella Coola River System (Bella Coola) Sockeye Run 1"/>
    <n v="8134025"/>
    <n v="51765"/>
    <s v="BELLA COOLA FN (IN RIVER NET) - 2014"/>
    <n v="968"/>
    <s v="BELLA COOLA RIVER"/>
    <x v="17"/>
    <s v="2014/0381"/>
    <n v="1"/>
    <s v="SOCKEYE SALMON"/>
    <n v="2086090006"/>
    <x v="0"/>
    <n v="11"/>
    <s v="Other Gillnet/Set Net"/>
    <s v="Adult"/>
    <d v="2014-07-30T00:00:00"/>
    <d v="2014-07-30T00:00:00"/>
    <s v="73487"/>
  </r>
  <r>
    <s v=""/>
    <s v=""/>
    <x v="0"/>
    <s v="EU"/>
    <s v="Scales"/>
    <n v="2126660001"/>
    <s v="2 SCALES ACROSS PER FISH"/>
    <s v="52"/>
    <x v="0"/>
    <s v="5"/>
    <s v="NORTHERN COASTAL FJORDS"/>
    <s v="R-16"/>
    <s v="8"/>
    <x v="0"/>
    <s v="SER"/>
    <s v="Bella Coola River System (Bella Coola) Sockeye Run 1"/>
    <n v="6248726"/>
    <n v="51765"/>
    <s v="BELLA COOLA FN (IN RIVER NET) - 2011"/>
    <n v="968"/>
    <s v="BELLA COOLA RIVER"/>
    <x v="18"/>
    <s v="2011/0229"/>
    <n v="1"/>
    <s v="SOCKEYE SALMON"/>
    <n v="2086090006"/>
    <x v="0"/>
    <n v="11"/>
    <s v="Other Gillnet/Set Net"/>
    <s v="Adult"/>
    <d v="2011-07-19T00:00:00"/>
    <d v="2011-07-19T00:00:00"/>
    <s v="70720"/>
  </r>
  <r>
    <s v=""/>
    <s v=""/>
    <x v="2"/>
    <s v="EU"/>
    <s v="Scales"/>
    <n v="2126660001"/>
    <s v="1 SCALE ACROSS PER FISH"/>
    <s v="42"/>
    <x v="2"/>
    <s v="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0"/>
    <s v="EU"/>
    <s v="Scales"/>
    <n v="2126660001"/>
    <s v="1 SCALE ACROSS PER FISH"/>
    <s v="52"/>
    <x v="0"/>
    <s v="2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0"/>
    <s v="EU"/>
    <s v="Scales"/>
    <n v="2126660001"/>
    <s v="1 SCALE ACROSS PER FISH"/>
    <s v="52"/>
    <x v="0"/>
    <s v="1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1"/>
    <s v="EU"/>
    <s v="Scales"/>
    <n v="2126660001"/>
    <s v="1 SCALE ACROSS PER FISH"/>
    <s v="41"/>
    <x v="1"/>
    <s v="1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1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1"/>
    <s v="EU"/>
    <s v="Scales"/>
    <n v="2126660001"/>
    <s v="1 SCALE ACROSS PER FISH"/>
    <s v="41"/>
    <x v="1"/>
    <s v="1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0"/>
    <s v="EU"/>
    <s v="Scales"/>
    <n v="2126660001"/>
    <s v="1 SCALE ACROSS PER FISH"/>
    <s v="52"/>
    <x v="0"/>
    <s v="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0"/>
    <s v="EU"/>
    <s v="Scales"/>
    <n v="2126660001"/>
    <s v="1 SCALE ACROSS PER FISH"/>
    <s v="52"/>
    <x v="0"/>
    <s v="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1"/>
    <s v="EU"/>
    <s v="Scales"/>
    <n v="2126660001"/>
    <s v="1 SCALE ACROSS PER FISH"/>
    <s v="41"/>
    <x v="1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2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0"/>
    <s v="EU"/>
    <s v="Scales"/>
    <n v="2126660001"/>
    <s v="1 SCALE ACROSS PER FISH"/>
    <s v="52"/>
    <x v="0"/>
    <s v="1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1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2"/>
    <s v="EU"/>
    <s v="Scales"/>
    <n v="2126660001"/>
    <s v="1 SCALE ACROSS PER FISH"/>
    <s v="42"/>
    <x v="2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7"/>
    <s v="EU"/>
    <s v="Scales"/>
    <n v="2126660001"/>
    <s v="1 SCALE ACROSS PER FISH"/>
    <s v="31"/>
    <x v="7"/>
    <s v="2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1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1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NS"/>
    <s v=""/>
    <x v="6"/>
    <s v=""/>
    <s v="Scales"/>
    <n v="2126660001"/>
    <s v="1 SCALE ACROSS PER FISH"/>
    <s v=""/>
    <x v="6"/>
    <s v="1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NS"/>
    <s v=""/>
    <x v="6"/>
    <s v=""/>
    <s v="Scales"/>
    <n v="2126660001"/>
    <s v="1 SCALE ACROSS PER FISH"/>
    <s v=""/>
    <x v="6"/>
    <s v="1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7"/>
    <s v="EU"/>
    <s v="Scales"/>
    <n v="2126660001"/>
    <s v="1 SCALE ACROSS PER FISH"/>
    <s v="31"/>
    <x v="7"/>
    <s v="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1"/>
    <s v="EU"/>
    <s v="Scales"/>
    <n v="2126660001"/>
    <s v="1 SCALE ACROSS PER FISH"/>
    <s v="41"/>
    <x v="1"/>
    <s v="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1"/>
    <s v="EU"/>
    <s v="Scales"/>
    <n v="2126660001"/>
    <s v="1 SCALE ACROSS PER FISH"/>
    <s v="41"/>
    <x v="1"/>
    <s v="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0"/>
    <s v="EU"/>
    <s v="Scales"/>
    <n v="2126660001"/>
    <s v="1 SCALE ACROSS PER FISH"/>
    <s v="52"/>
    <x v="0"/>
    <s v="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4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3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3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3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1"/>
    <s v="EU"/>
    <s v="Scales"/>
    <n v="2126660001"/>
    <s v="1 SCALE ACROSS PER FISH"/>
    <s v="41"/>
    <x v="1"/>
    <s v="3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1"/>
    <s v="EU"/>
    <s v="Scales"/>
    <n v="2126660001"/>
    <s v="1 SCALE ACROSS PER FISH"/>
    <s v="41"/>
    <x v="1"/>
    <s v="3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0"/>
    <s v="EU"/>
    <s v="Scales"/>
    <n v="2126660001"/>
    <s v="1 SCALE ACROSS PER FISH"/>
    <s v="52"/>
    <x v="0"/>
    <s v="2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1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13"/>
    <s v="EU"/>
    <s v="Scales"/>
    <n v="2126660001"/>
    <s v="1 SCALE ACROSS PER FISH"/>
    <s v="21"/>
    <x v="14"/>
    <s v="1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2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2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0"/>
    <s v="EU"/>
    <s v="Scales"/>
    <n v="2126660001"/>
    <s v="1 SCALE ACROSS PER FISH"/>
    <s v="52"/>
    <x v="0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s v=""/>
    <s v=""/>
    <s v="1997310041740967"/>
  </r>
  <r>
    <s v=""/>
    <s v=""/>
    <x v="7"/>
    <s v="EU"/>
    <s v="Scales"/>
    <n v="2126660001"/>
    <s v="1 SCALE ACROSS PER FISH"/>
    <s v="31"/>
    <x v="7"/>
    <s v="2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0"/>
    <s v="EU"/>
    <s v="Scales"/>
    <n v="2126660001"/>
    <s v="1 SCALE ACROSS PER FISH"/>
    <s v="52"/>
    <x v="0"/>
    <s v="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7"/>
    <s v="EU"/>
    <s v="Scales"/>
    <n v="2126660001"/>
    <s v="1 SCALE ACROSS PER FISH"/>
    <s v="31"/>
    <x v="7"/>
    <s v="1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2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7"/>
    <s v="EU"/>
    <s v="Scales"/>
    <n v="2126660001"/>
    <s v="1 SCALE ACROSS PER FISH"/>
    <s v="31"/>
    <x v="7"/>
    <s v="1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NS"/>
    <s v=""/>
    <x v="6"/>
    <s v=""/>
    <s v="Scales"/>
    <n v="2126660001"/>
    <s v="1 SCALE ACROSS PER FISH"/>
    <s v=""/>
    <x v="6"/>
    <s v="1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0"/>
    <s v="EU"/>
    <s v="Scales"/>
    <n v="2126660001"/>
    <s v="1 SCALE ACROSS PER FISH"/>
    <s v="52"/>
    <x v="0"/>
    <s v="4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7"/>
    <s v="EU"/>
    <s v="Scales"/>
    <n v="2126660001"/>
    <s v="1 SCALE ACROSS PER FISH"/>
    <s v="31"/>
    <x v="7"/>
    <s v="1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NS"/>
    <s v=""/>
    <x v="6"/>
    <s v=""/>
    <s v="Scales"/>
    <n v="2126660001"/>
    <s v="1 SCALE ACROSS PER FISH"/>
    <s v=""/>
    <x v="6"/>
    <s v="1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1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7"/>
    <s v="EU"/>
    <s v="Scales"/>
    <n v="2126660001"/>
    <s v="1 SCALE ACROSS PER FISH"/>
    <s v="31"/>
    <x v="7"/>
    <s v="2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0"/>
    <s v="EU"/>
    <s v="Scales"/>
    <n v="2126660001"/>
    <s v="1 SCALE ACROSS PER FISH"/>
    <s v="52"/>
    <x v="0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1"/>
    <s v="EU"/>
    <s v="Scales"/>
    <n v="2126660001"/>
    <s v="1 SCALE ACROSS PER FISH"/>
    <s v="41"/>
    <x v="1"/>
    <s v="2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2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7"/>
    <s v="EU"/>
    <s v="Scales"/>
    <n v="2126660001"/>
    <s v="1 SCALE ACROSS PER FISH"/>
    <s v="31"/>
    <x v="7"/>
    <s v="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3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1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s v=""/>
    <s v=""/>
    <s v="1997310041740967"/>
  </r>
  <r>
    <s v=""/>
    <s v=""/>
    <x v="7"/>
    <s v="EU"/>
    <s v="Scales"/>
    <n v="2126660001"/>
    <s v="1 SCALE ACROSS PER FISH"/>
    <s v="31"/>
    <x v="7"/>
    <s v="1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0"/>
    <s v="EU"/>
    <s v="Scales"/>
    <n v="2126660001"/>
    <s v="1 SCALE ACROSS PER FISH"/>
    <s v="52"/>
    <x v="0"/>
    <s v="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4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0"/>
    <s v="EU"/>
    <s v="Scales"/>
    <n v="2126660001"/>
    <s v="1 SCALE ACROSS PER FISH"/>
    <s v="52"/>
    <x v="0"/>
    <s v="1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NS"/>
    <s v=""/>
    <x v="6"/>
    <s v=""/>
    <s v="Scales"/>
    <n v="2126660001"/>
    <s v="1 SCALE ACROSS PER FISH"/>
    <s v=""/>
    <x v="6"/>
    <s v="1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2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1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2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2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13"/>
    <s v="EU"/>
    <s v="Scales"/>
    <n v="2126660001"/>
    <s v="1 SCALE ACROSS PER FISH"/>
    <s v="21"/>
    <x v="14"/>
    <s v="2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2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0"/>
    <s v="EU"/>
    <s v="Scales"/>
    <n v="2126660001"/>
    <s v="1 SCALE ACROSS PER FISH"/>
    <s v="52"/>
    <x v="0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s v=""/>
    <s v=""/>
    <s v="1997310041740967"/>
  </r>
  <r>
    <s v=""/>
    <s v=""/>
    <x v="2"/>
    <s v="EU"/>
    <s v="Scales"/>
    <n v="2126660001"/>
    <s v="1 SCALE ACROSS PER FISH"/>
    <s v="42"/>
    <x v="2"/>
    <s v="2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7"/>
    <s v="EU"/>
    <s v="Scales"/>
    <n v="2126660001"/>
    <s v="1 SCALE ACROSS PER FISH"/>
    <s v="31"/>
    <x v="7"/>
    <s v="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3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7"/>
    <s v="EU"/>
    <s v="Scales"/>
    <n v="2126660001"/>
    <s v="1 SCALE ACROSS PER FISH"/>
    <s v="31"/>
    <x v="7"/>
    <s v="3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13"/>
    <s v="EU"/>
    <s v="Scales"/>
    <n v="2126660001"/>
    <s v="1 SCALE ACROSS PER FISH"/>
    <s v="21"/>
    <x v="14"/>
    <s v="2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7"/>
    <s v="EU"/>
    <s v="Scales"/>
    <n v="2126660001"/>
    <s v="1 SCALE ACROSS PER FISH"/>
    <s v="31"/>
    <x v="7"/>
    <s v="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1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0"/>
    <s v="EU"/>
    <s v="Scales"/>
    <n v="2126660001"/>
    <s v="1 SCALE ACROSS PER FISH"/>
    <s v="52"/>
    <x v="0"/>
    <s v="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2"/>
    <s v="EU"/>
    <s v="Scales"/>
    <n v="2126660001"/>
    <s v="1 SCALE ACROSS PER FISH"/>
    <s v="42"/>
    <x v="2"/>
    <s v="2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7"/>
    <s v="EU"/>
    <s v="Scales"/>
    <n v="2126660001"/>
    <s v="1 SCALE ACROSS PER FISH"/>
    <s v="31"/>
    <x v="7"/>
    <s v="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2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7"/>
    <s v="EU"/>
    <s v="Scales"/>
    <n v="2126660001"/>
    <s v="1 SCALE ACROSS PER FISH"/>
    <s v="31"/>
    <x v="7"/>
    <s v="1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1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2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7"/>
    <s v="EU"/>
    <s v="Scales"/>
    <n v="2126660001"/>
    <s v="1 SCALE ACROSS PER FISH"/>
    <s v="31"/>
    <x v="7"/>
    <s v="1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7"/>
    <s v="EU"/>
    <s v="Scales"/>
    <n v="2126660001"/>
    <s v="1 SCALE ACROSS PER FISH"/>
    <s v="31"/>
    <x v="7"/>
    <s v="2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NS"/>
    <s v=""/>
    <x v="6"/>
    <s v=""/>
    <s v="Scales"/>
    <n v="2126660001"/>
    <s v="1 SCALE ACROSS PER FISH"/>
    <s v=""/>
    <x v="6"/>
    <s v="1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7"/>
    <s v="EU"/>
    <s v="Scales"/>
    <n v="2126660001"/>
    <s v="1 SCALE ACROSS PER FISH"/>
    <s v="31"/>
    <x v="7"/>
    <s v="1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4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1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0"/>
    <s v="EU"/>
    <s v="Scales"/>
    <n v="2126660001"/>
    <s v="1 SCALE ACROSS PER FISH"/>
    <s v="52"/>
    <x v="0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13"/>
    <s v="EU"/>
    <s v="Scales"/>
    <n v="2126660001"/>
    <s v="1 SCALE ACROSS PER FISH"/>
    <s v="21"/>
    <x v="14"/>
    <s v="1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1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0"/>
    <s v="EU"/>
    <s v="Scales"/>
    <n v="2126660001"/>
    <s v="1 SCALE ACROSS PER FISH"/>
    <s v="52"/>
    <x v="0"/>
    <s v="1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1"/>
    <s v="EU"/>
    <s v="Scales"/>
    <n v="2126660001"/>
    <s v="1 SCALE ACROSS PER FISH"/>
    <s v="41"/>
    <x v="1"/>
    <s v="2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1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2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7"/>
    <s v="EU"/>
    <s v="Scales"/>
    <n v="2126660001"/>
    <s v="1 SCALE ACROSS PER FISH"/>
    <s v="31"/>
    <x v="7"/>
    <s v="1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7"/>
    <s v="EU"/>
    <s v="Scales"/>
    <n v="2126660001"/>
    <s v="1 SCALE ACROSS PER FISH"/>
    <s v="31"/>
    <x v="7"/>
    <s v="3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2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1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7"/>
    <s v="EU"/>
    <s v="Scales"/>
    <n v="2126660001"/>
    <s v="1 SCALE ACROSS PER FISH"/>
    <s v="31"/>
    <x v="7"/>
    <s v="2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1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7"/>
    <s v="EU"/>
    <s v="Scales"/>
    <n v="2126660001"/>
    <s v="1 SCALE ACROSS PER FISH"/>
    <s v="31"/>
    <x v="7"/>
    <s v="4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2"/>
    <s v="EU"/>
    <s v="Scales"/>
    <n v="2126660001"/>
    <s v="1 SCALE ACROSS PER FISH"/>
    <s v="42"/>
    <x v="2"/>
    <s v="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4T00:00:00"/>
    <d v="1997-09-24T00:00:00"/>
    <s v="1997310041514411"/>
  </r>
  <r>
    <s v=""/>
    <s v=""/>
    <x v="2"/>
    <s v="EU"/>
    <s v="Scales"/>
    <n v="2126660001"/>
    <s v="1 SCALE ACROSS PER FISH"/>
    <s v="42"/>
    <x v="2"/>
    <s v="1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0"/>
    <s v="EU"/>
    <s v="Scales"/>
    <n v="2126660001"/>
    <s v="1 SCALE ACROSS PER FISH"/>
    <s v="52"/>
    <x v="0"/>
    <s v="16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7"/>
    <s v="EU"/>
    <s v="Scales"/>
    <n v="2126660001"/>
    <s v="1 SCALE ACROSS PER FISH"/>
    <s v="31"/>
    <x v="7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Scales"/>
    <n v="2126660001"/>
    <s v="1 SCALE ACROSS PER FISH"/>
    <s v="42"/>
    <x v="2"/>
    <s v="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NS"/>
    <s v=""/>
    <x v="6"/>
    <s v=""/>
    <s v="Scales"/>
    <n v="2126660001"/>
    <s v="1 SCALE ACROSS PER FISH"/>
    <s v=""/>
    <x v="6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2"/>
    <s v="EU"/>
    <s v="Scales"/>
    <n v="2126660001"/>
    <s v="1 SCALE ACROSS PER FISH"/>
    <s v="42"/>
    <x v="2"/>
    <s v="2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2"/>
  </r>
  <r>
    <s v=""/>
    <s v=""/>
    <x v="7"/>
    <s v="EU"/>
    <s v="Scales"/>
    <n v="2126660001"/>
    <s v="1 SCALE ACROSS PER FISH"/>
    <s v="31"/>
    <x v="7"/>
    <s v="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2"/>
    <s v="EU"/>
    <s v="Scales"/>
    <n v="2126660001"/>
    <s v="1 SCALE ACROSS PER FISH"/>
    <s v="42"/>
    <x v="2"/>
    <s v="1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7"/>
    <n v="1"/>
    <s v="SOCKEYE SALMON"/>
    <n v="2086090012"/>
    <x v="1"/>
    <n v="70"/>
    <s v="Beach Seine"/>
    <s v="Adult"/>
    <d v="1997-09-23T00:00:00"/>
    <d v="1997-09-23T00:00:00"/>
    <s v="1997310041740961"/>
  </r>
  <r>
    <s v=""/>
    <s v=""/>
    <x v="1"/>
    <s v="EU"/>
    <s v="Scales"/>
    <n v="2126660001"/>
    <s v="1 SCALE ACROSS PER FISH"/>
    <s v="41"/>
    <x v="1"/>
    <s v="3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28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1"/>
    <s v="EU"/>
    <s v="Scales"/>
    <n v="2126660001"/>
    <s v="1 SCALE ACROSS PER FISH"/>
    <s v="41"/>
    <x v="1"/>
    <s v="7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19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12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7"/>
    <s v="EU"/>
    <s v="Scales"/>
    <n v="2126660001"/>
    <s v="1 SCALE ACROSS PER FISH"/>
    <s v="31"/>
    <x v="7"/>
    <s v="11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NS"/>
    <s v=""/>
    <x v="6"/>
    <s v=""/>
    <s v="Scales"/>
    <n v="2126660001"/>
    <s v="1 SCALE ACROSS PER FISH"/>
    <s v=""/>
    <x v="6"/>
    <s v="13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8"/>
  </r>
  <r>
    <s v=""/>
    <s v=""/>
    <x v="2"/>
    <s v="EU"/>
    <s v="Scales"/>
    <n v="2126660001"/>
    <s v="1 SCALE ACROSS PER FISH"/>
    <s v="42"/>
    <x v="2"/>
    <s v="40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6"/>
    <n v="1"/>
    <s v="SOCKEYE SALMON"/>
    <n v="2086090012"/>
    <x v="1"/>
    <n v="70"/>
    <s v="Beach Seine"/>
    <s v="Adult"/>
    <d v="1997-09-23T00:00:00"/>
    <d v="1997-09-23T00:00:00"/>
    <s v="1997310041680025"/>
  </r>
  <r>
    <s v=""/>
    <s v=""/>
    <x v="7"/>
    <s v="EU"/>
    <s v="Scales"/>
    <n v="2126660001"/>
    <s v="1 SCALE ACROSS PER FISH"/>
    <s v="31"/>
    <x v="7"/>
    <s v="25"/>
    <s v="NORTHERN COASTAL FJORDS"/>
    <s v="R-16"/>
    <s v="8"/>
    <x v="1"/>
    <s v="SER"/>
    <s v="Atnarko River (Bella Coola) Sockeye"/>
    <n v="-1000005644"/>
    <n v="51780"/>
    <s v="ATNARKO ESCAPEMENT-1997"/>
    <n v="970"/>
    <s v="ATNARKO RIVER"/>
    <x v="19"/>
    <s v="415"/>
    <n v="1"/>
    <s v="SOCKEYE SALMON"/>
    <n v="2086090012"/>
    <x v="1"/>
    <n v="70"/>
    <s v="Beach Seine"/>
    <s v="Adult"/>
    <d v="1997-09-23T00:00:00"/>
    <d v="1997-09-23T00:00:00"/>
    <s v="1997310041540963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1"/>
    <s v="EU"/>
    <s v="Otolith - Surface"/>
    <n v="2126660002"/>
    <s v="1 OTOLITH ACROSS (TRAY)"/>
    <s v="41"/>
    <x v="1"/>
    <s v="14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4"/>
    <s v="EU"/>
    <s v="Otolith - Surface"/>
    <n v="2126660002"/>
    <s v="1 OTOLITH ACROSS (TRAY)"/>
    <s v="53"/>
    <x v="4"/>
    <s v="31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45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46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8"/>
    <s v="EU"/>
    <s v="Otolith - Surface"/>
    <n v="2126660002"/>
    <s v="1 OTOLITH ACROSS (TRAY)"/>
    <s v="63"/>
    <x v="8"/>
    <s v="47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50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7"/>
    <s v="EU"/>
    <s v="Otolith - Surface"/>
    <n v="2126660002"/>
    <s v="1 OTOLITH ACROSS (TRAY)"/>
    <s v="31"/>
    <x v="7"/>
    <s v="29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17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4"/>
    <s v="EU"/>
    <s v="Otolith - Surface"/>
    <n v="2126660002"/>
    <s v="1 OTOLITH ACROSS (TRAY)"/>
    <s v="53"/>
    <x v="4"/>
    <s v="39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8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16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6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13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7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53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24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1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7"/>
    <s v="EU"/>
    <s v="Otolith - Surface"/>
    <n v="2126660002"/>
    <s v="1 OTOLITH ACROSS (TRAY)"/>
    <s v="31"/>
    <x v="7"/>
    <s v="20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1"/>
    <s v="EU"/>
    <s v="Otolith - Surface"/>
    <n v="2126660002"/>
    <s v="1 OTOLITH ACROSS (TRAY)"/>
    <s v="41"/>
    <x v="1"/>
    <s v="4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10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43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21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22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1"/>
    <s v="EU"/>
    <s v="Otolith - Surface"/>
    <n v="2126660002"/>
    <s v="1 OTOLITH ACROSS (TRAY)"/>
    <s v="41"/>
    <x v="1"/>
    <s v="33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9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0"/>
    <s v="EU"/>
    <s v="Otolith - Surface"/>
    <n v="2126660002"/>
    <s v="1 OTOLITH ACROSS (TRAY)"/>
    <s v="52"/>
    <x v="0"/>
    <s v="37"/>
    <s v="NORTHERN COASTAL FJORDS"/>
    <s v="R-16"/>
    <s v="8"/>
    <x v="1"/>
    <s v="SER"/>
    <s v="Atnarko River (Bella Coola) Sockeye"/>
    <n v="5546088"/>
    <n v="51780"/>
    <s v="ATNARKO ESCAPEMENT - 2010"/>
    <n v="970"/>
    <s v="ATNARKO RIVER"/>
    <x v="10"/>
    <s v="2010/0361"/>
    <n v="1"/>
    <s v="SOCKEYE SALMON"/>
    <n v="2086090012"/>
    <x v="1"/>
    <n v="83"/>
    <s v="Gaff (Deadpitch)"/>
    <s v="Adult"/>
    <d v="2010-09-17T00:00:00"/>
    <d v="2010-10-12T00:00:00"/>
    <s v="Oto Tray #1"/>
  </r>
  <r>
    <s v=""/>
    <s v=""/>
    <x v="1"/>
    <s v="EU"/>
    <s v="Otolith - Surface"/>
    <n v="2126660002"/>
    <s v="1 OTOLITH ACROSS (TRAY)"/>
    <s v="41"/>
    <x v="1"/>
    <s v="5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3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0"/>
    <s v="EU"/>
    <s v="Otolith - Surface"/>
    <n v="2126660002"/>
    <s v="1 OTOLITH ACROSS (TRAY)"/>
    <s v="52"/>
    <x v="0"/>
    <s v="2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2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8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2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0"/>
    <s v="EU"/>
    <s v="Otolith - Surface"/>
    <n v="2126660002"/>
    <s v="1 OTOLITH ACROSS (TRAY)"/>
    <s v="52"/>
    <x v="0"/>
    <s v="2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8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9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0"/>
    <s v="EU"/>
    <s v="Otolith - Surface"/>
    <n v="2126660002"/>
    <s v="1 OTOLITH ACROSS (TRAY)"/>
    <s v="52"/>
    <x v="0"/>
    <s v="9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0"/>
    <s v="EU"/>
    <s v="Otolith - Surface"/>
    <n v="2126660002"/>
    <s v="1 OTOLITH ACROSS (TRAY)"/>
    <s v="52"/>
    <x v="0"/>
    <s v="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7"/>
    <s v="EU"/>
    <s v="Otolith - Surface"/>
    <n v="2126660002"/>
    <s v="1 OTOLITH ACROSS (TRAY)"/>
    <s v="31"/>
    <x v="7"/>
    <s v="1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3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7"/>
    <s v="EU"/>
    <s v="Otolith - Surface"/>
    <n v="2126660002"/>
    <s v="1 OTOLITH ACROSS (TRAY)"/>
    <s v="31"/>
    <x v="7"/>
    <s v="4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0"/>
    <s v="EU"/>
    <s v="Otolith - Surface"/>
    <n v="2126660002"/>
    <s v="1 OTOLITH ACROSS (TRAY)"/>
    <s v="52"/>
    <x v="0"/>
    <s v="4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3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1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23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1"/>
    <s v="EU"/>
    <s v="Otolith - Surface"/>
    <n v="2126660002"/>
    <s v="1 OTOLITH ACROSS (TRAY)"/>
    <s v="41"/>
    <x v="1"/>
    <s v="9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7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8665297"/>
    <n v="51780"/>
    <s v="ATNARKO ESCAPEMENT - 2015"/>
    <n v="970"/>
    <s v="ATNARKO RIVER"/>
    <x v="20"/>
    <s v="2015/0329"/>
    <n v="1"/>
    <s v="SOCKEYE SALMON"/>
    <n v="2086090012"/>
    <x v="1"/>
    <n v="11"/>
    <s v="Other Gillnet/Set Net"/>
    <s v="Adult"/>
    <d v="2015-09-26T00:00:00"/>
    <d v="2015-09-30T00:00:00"/>
    <s v="Oto Tray #1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4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15"/>
    <s v="EU"/>
    <s v="Otolith - Surface"/>
    <n v="2126660002"/>
    <s v="1 OTOLITH ACROSS (TRAY)"/>
    <s v="43"/>
    <x v="17"/>
    <s v="4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5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5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6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12"/>
    <s v="EU"/>
    <s v="Otolith - Surface"/>
    <n v="2126660002"/>
    <s v="1 OTOLITH ACROSS (TRAY)"/>
    <s v="32"/>
    <x v="12"/>
    <s v="3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6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2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5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7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6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6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6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7"/>
    <s v="EU"/>
    <s v="Otolith - Surface"/>
    <n v="2126660002"/>
    <s v="1 OTOLITH ACROSS (TRAY)"/>
    <s v="31"/>
    <x v="7"/>
    <s v="3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4"/>
    <s v="EU"/>
    <s v="Otolith - Surface"/>
    <n v="2126660002"/>
    <s v="1 OTOLITH ACROSS (TRAY)"/>
    <s v="53"/>
    <x v="4"/>
    <s v="7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7"/>
    <s v="EU"/>
    <s v="Otolith - Surface"/>
    <n v="2126660002"/>
    <s v="1 OTOLITH ACROSS (TRAY)"/>
    <s v="31"/>
    <x v="7"/>
    <s v="2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7"/>
    <s v="EU"/>
    <s v="Otolith - Surface"/>
    <n v="2126660002"/>
    <s v="1 OTOLITH ACROSS (TRAY)"/>
    <s v="31"/>
    <x v="7"/>
    <s v="3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1"/>
    <s v="EU"/>
    <s v="Otolith - Surface"/>
    <n v="2126660002"/>
    <s v="1 OTOLITH ACROSS (TRAY)"/>
    <s v="41"/>
    <x v="1"/>
    <s v="8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7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3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6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12"/>
    <s v="EU"/>
    <s v="Otolith - Surface"/>
    <n v="2126660002"/>
    <s v="1 OTOLITH ACROSS (TRAY)"/>
    <s v="32"/>
    <x v="12"/>
    <s v="5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5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7"/>
    <s v="EU"/>
    <s v="Otolith - Surface"/>
    <n v="2126660002"/>
    <s v="1 OTOLITH ACROSS (TRAY)"/>
    <s v="31"/>
    <x v="7"/>
    <s v="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7"/>
    <s v="EU"/>
    <s v="Otolith - Surface"/>
    <n v="2126660002"/>
    <s v="1 OTOLITH ACROSS (TRAY)"/>
    <s v="31"/>
    <x v="7"/>
    <s v="2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9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4"/>
    <s v="EU"/>
    <s v="Otolith - Surface"/>
    <n v="2126660002"/>
    <s v="1 OTOLITH ACROSS (TRAY)"/>
    <s v="53"/>
    <x v="4"/>
    <s v="4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4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1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5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1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8"/>
    <s v="EU"/>
    <s v="Otolith - Surface"/>
    <n v="2126660002"/>
    <s v="1 OTOLITH ACROSS (TRAY)"/>
    <s v="63"/>
    <x v="8"/>
    <s v="5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8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2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4"/>
    <s v="EU"/>
    <s v="Otolith - Surface"/>
    <n v="2126660002"/>
    <s v="1 OTOLITH ACROSS (TRAY)"/>
    <s v="53"/>
    <x v="4"/>
    <s v="4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5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7"/>
    <s v="EU"/>
    <s v="Otolith - Surface"/>
    <n v="2126660002"/>
    <s v="1 OTOLITH ACROSS (TRAY)"/>
    <s v="31"/>
    <x v="7"/>
    <s v="6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6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4"/>
    <s v="EU"/>
    <s v="Otolith - Surface"/>
    <n v="2126660002"/>
    <s v="1 OTOLITH ACROSS (TRAY)"/>
    <s v="53"/>
    <x v="4"/>
    <s v="7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8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8"/>
    <s v="EU"/>
    <s v="Otolith - Surface"/>
    <n v="2126660002"/>
    <s v="1 OTOLITH ACROSS (TRAY)"/>
    <s v="63"/>
    <x v="8"/>
    <s v="8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0"/>
    <s v="EU"/>
    <s v="Otolith - Surface"/>
    <n v="2126660002"/>
    <s v="1 OTOLITH ACROSS (TRAY)"/>
    <s v="52"/>
    <x v="0"/>
    <s v="8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9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8"/>
    <n v="1"/>
    <s v="SOCKEYE SALMON"/>
    <n v="2086090012"/>
    <x v="1"/>
    <n v="11"/>
    <s v="Other Gillnet/Set Net"/>
    <s v="Adult"/>
    <d v="2012-10-03T00:00:00"/>
    <d v="2012-10-03T00:00:00"/>
    <s v="Oto Tray #2"/>
  </r>
  <r>
    <s v=""/>
    <s v=""/>
    <x v="0"/>
    <s v="EU"/>
    <s v="Otolith - Surface"/>
    <n v="2126660002"/>
    <s v="1 OTOLITH ACROSS (TRAY)"/>
    <s v="52"/>
    <x v="0"/>
    <s v="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7"/>
    <s v="EU"/>
    <s v="Otolith - Surface"/>
    <n v="2126660002"/>
    <s v="1 OTOLITH ACROSS (TRAY)"/>
    <s v="31"/>
    <x v="7"/>
    <s v="14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"/>
    <x v="0"/>
    <s v="EU"/>
    <s v="Otolith - Surface"/>
    <n v="2126660002"/>
    <s v="1 OTOLITH ACROSS (TRAY)"/>
    <s v="52"/>
    <x v="0"/>
    <s v="36"/>
    <s v="NORTHERN COASTAL FJORDS"/>
    <s v="R-16"/>
    <s v="8"/>
    <x v="1"/>
    <s v="SER"/>
    <s v="Atnarko River (Bella Coola) Sockeye"/>
    <n v="6968367"/>
    <n v="51780"/>
    <s v="ATNARKO ESCAPEMENT - 2012"/>
    <n v="970"/>
    <s v="ATNARKO RIVER"/>
    <x v="14"/>
    <s v="2012/0469"/>
    <n v="1"/>
    <s v="SOCKEYE SALMON"/>
    <n v="2086090012"/>
    <x v="1"/>
    <n v="11"/>
    <s v="Other Gillnet/Set Net"/>
    <s v="Adult"/>
    <d v="2012-09-24T00:00:00"/>
    <d v="2012-10-01T00:00:00"/>
    <s v="Oto Tray #1"/>
  </r>
  <r>
    <s v=""/>
    <s v="0"/>
    <x v="2"/>
    <s v="EU"/>
    <s v="Scales"/>
    <n v="2126660001"/>
    <s v="2 SCALES ACROSS PER FISH"/>
    <s v="42"/>
    <x v="2"/>
    <s v="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*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RS"/>
    <s v="2"/>
    <x v="11"/>
    <s v="FW"/>
    <s v="Scales"/>
    <n v="2126660001"/>
    <s v="2 SCALES ACROSS PER FISH"/>
    <s v="S2"/>
    <x v="16"/>
    <s v="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0"/>
    <s v="EU"/>
    <s v="Otolith - Surface"/>
    <n v="2126660002"/>
    <s v="1 OTOLITH ACROSS (TRAY)"/>
    <s v="52"/>
    <x v="0"/>
    <s v="2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3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4"/>
    <s v="EU"/>
    <s v="Otolith - Surface"/>
    <n v="2126660002"/>
    <s v="1 OTOLITH ACROSS (TRAY)"/>
    <s v="53"/>
    <x v="4"/>
    <s v="5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1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Scales"/>
    <n v="2126660001"/>
    <s v="2 SCALES ACROSS PER FISH"/>
    <s v="42"/>
    <x v="2"/>
    <s v="2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6T00:00:00"/>
    <d v="2009-09-27T00:00:00"/>
    <s v="67855"/>
  </r>
  <r>
    <s v=""/>
    <s v="*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4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8"/>
    <s v="EU"/>
    <s v="Otolith - Surface"/>
    <n v="2126660002"/>
    <s v="1 OTOLITH ACROSS (TRAY)"/>
    <s v="63"/>
    <x v="8"/>
    <s v="8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4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4"/>
    <s v="EU"/>
    <s v="Otolith - Surface"/>
    <n v="2126660002"/>
    <s v="1 OTOLITH ACROSS (TRAY)"/>
    <s v="53"/>
    <x v="4"/>
    <s v="3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0"/>
    <s v="EU"/>
    <s v="Otolith - Surface"/>
    <n v="2126660002"/>
    <s v="1 OTOLITH ACROSS (TRAY)"/>
    <s v="52"/>
    <x v="0"/>
    <s v="1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Scales"/>
    <n v="2126660001"/>
    <s v="2 SCALES ACROSS PER FISH"/>
    <s v="42"/>
    <x v="2"/>
    <s v="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7T00:00:00"/>
    <d v="2009-09-27T00:00:00"/>
    <s v="67856"/>
  </r>
  <r>
    <s v=""/>
    <s v="*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9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3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0"/>
    <s v="EU"/>
    <s v="Otolith - Surface"/>
    <n v="2126660002"/>
    <s v="1 OTOLITH ACROSS (TRAY)"/>
    <s v="52"/>
    <x v="0"/>
    <s v="3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6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5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11"/>
    <s v="FW"/>
    <s v="Otolith - Surface"/>
    <n v="2126660002"/>
    <s v="1 OTOLITH ACROSS (TRAY)"/>
    <s v="S2"/>
    <x v="16"/>
    <s v="7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5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4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W"/>
    <s v="0"/>
    <x v="3"/>
    <s v="MY"/>
    <s v="Scales"/>
    <n v="2126660001"/>
    <s v="2 SCALES ACROSS PER FISH"/>
    <s v="2M"/>
    <x v="3"/>
    <s v="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*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4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5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4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3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1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2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2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1"/>
    <s v="EU"/>
    <s v="Otolith - Surface"/>
    <n v="2126660002"/>
    <s v="1 OTOLITH ACROSS (TRAY)"/>
    <s v="41"/>
    <x v="1"/>
    <s v="6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4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5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0"/>
    <s v="EU"/>
    <s v="Otolith - Surface"/>
    <n v="2126660002"/>
    <s v="1 OTOLITH ACROSS (TRAY)"/>
    <s v="52"/>
    <x v="0"/>
    <s v="9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1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0"/>
    <x v="0"/>
    <s v="EU"/>
    <s v="Scales"/>
    <n v="2126660001"/>
    <s v="2 SCALES ACROSS PER FISH"/>
    <s v="52"/>
    <x v="0"/>
    <s v="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"/>
    <x v="0"/>
    <s v="EU"/>
    <s v="Otolith - Surface"/>
    <n v="2126660002"/>
    <s v="1 OTOLITH ACROSS (TRAY)"/>
    <s v="52"/>
    <x v="0"/>
    <s v="6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0"/>
    <s v="EU"/>
    <s v="Otolith - Surface"/>
    <n v="2126660002"/>
    <s v="1 OTOLITH ACROSS (TRAY)"/>
    <s v="52"/>
    <x v="0"/>
    <s v="1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5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7"/>
    <s v="EU"/>
    <s v="Otolith - Surface"/>
    <n v="2126660002"/>
    <s v="1 OTOLITH ACROSS (TRAY)"/>
    <s v="31"/>
    <x v="7"/>
    <s v="3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7"/>
    <s v="EU"/>
    <s v="Scales"/>
    <n v="2126660001"/>
    <s v="2 SCALES ACROSS PER FISH"/>
    <s v="31"/>
    <x v="7"/>
    <s v="1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6T00:00:00"/>
    <d v="2009-09-27T00:00:00"/>
    <s v="67855"/>
  </r>
  <r>
    <s v=""/>
    <s v="*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9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6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4"/>
    <s v="EU"/>
    <s v="Otolith - Surface"/>
    <n v="2126660002"/>
    <s v="1 OTOLITH ACROSS (TRAY)"/>
    <s v="53"/>
    <x v="4"/>
    <s v="3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12"/>
    <s v="EU"/>
    <s v="Otolith - Surface"/>
    <n v="2126660002"/>
    <s v="1 OTOLITH ACROSS (TRAY)"/>
    <s v="32"/>
    <x v="12"/>
    <s v="1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1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4"/>
    <s v="EU"/>
    <s v="Otolith - Surface"/>
    <n v="2126660002"/>
    <s v="1 OTOLITH ACROSS (TRAY)"/>
    <s v="53"/>
    <x v="4"/>
    <s v="1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3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3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3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3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3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4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4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10-09T00:00:00"/>
    <d v="2009-10-09T00:00:00"/>
    <s v="67860"/>
  </r>
  <r>
    <s v=""/>
    <s v=""/>
    <x v="7"/>
    <s v="EU"/>
    <s v="Scales"/>
    <n v="2126660001"/>
    <s v="2 SCALES ACROSS PER FISH"/>
    <s v="31"/>
    <x v="7"/>
    <s v="1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10-09T00:00:00"/>
    <d v="2009-10-09T00:00:00"/>
    <s v="67860"/>
  </r>
  <r>
    <s v=""/>
    <s v=""/>
    <x v="4"/>
    <s v="EU"/>
    <s v="Scales"/>
    <n v="2126660001"/>
    <s v="2 SCALES ACROSS PER FISH"/>
    <s v="53"/>
    <x v="4"/>
    <s v="1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10-09T00:00:00"/>
    <d v="2009-10-09T00:00:00"/>
    <s v="67860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1"/>
    <x v="0"/>
    <s v="EU"/>
    <s v="Scales"/>
    <n v="2126660001"/>
    <s v="2 SCALES ACROSS PER FISH"/>
    <s v="52"/>
    <x v="0"/>
    <s v="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1"/>
    <x v="0"/>
    <s v="EU"/>
    <s v="Scales"/>
    <n v="2126660001"/>
    <s v="2 SCALES ACROSS PER FISH"/>
    <s v="52"/>
    <x v="0"/>
    <s v="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0"/>
    <x v="2"/>
    <s v="EU"/>
    <s v="Scales"/>
    <n v="2126660001"/>
    <s v="2 SCALES ACROSS PER FISH"/>
    <s v="42"/>
    <x v="2"/>
    <s v="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0"/>
    <x v="0"/>
    <s v="EU"/>
    <s v="Scales"/>
    <n v="2126660001"/>
    <s v="2 SCALES ACROSS PER FISH"/>
    <s v="52"/>
    <x v="0"/>
    <s v="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UD"/>
    <s v=""/>
    <x v="6"/>
    <s v="EU"/>
    <s v="Scales"/>
    <n v="2126660001"/>
    <s v="2 SCALES ACROSS PER FISH"/>
    <s v=""/>
    <x v="6"/>
    <s v="1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0"/>
    <x v="15"/>
    <s v="EU"/>
    <s v="Scales"/>
    <n v="2126660001"/>
    <s v="2 SCALES ACROSS PER FISH"/>
    <s v="43"/>
    <x v="17"/>
    <s v="1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0"/>
    <x v="0"/>
    <s v="EU"/>
    <s v="Scales"/>
    <n v="2126660001"/>
    <s v="2 SCALES ACROSS PER FISH"/>
    <s v="52"/>
    <x v="0"/>
    <s v="1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5"/>
    <n v="1"/>
    <s v="SOCKEYE SALMON"/>
    <n v="2086090012"/>
    <x v="1"/>
    <n v="11"/>
    <s v="Other Gillnet/Set Net"/>
    <s v="Adult"/>
    <d v="2009-09-15T00:00:00"/>
    <d v="2009-09-24T00:00:00"/>
    <s v="79367"/>
  </r>
  <r>
    <s v=""/>
    <s v="*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1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3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Scales"/>
    <n v="2126660001"/>
    <s v="2 SCALES ACROSS PER FISH"/>
    <s v="42"/>
    <x v="2"/>
    <s v="2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6T00:00:00"/>
    <d v="2009-09-27T00:00:00"/>
    <s v="67855"/>
  </r>
  <r>
    <s v=""/>
    <s v="*"/>
    <x v="0"/>
    <s v="EU"/>
    <s v="Otolith - Surface"/>
    <n v="2126660002"/>
    <s v="1 OTOLITH ACROSS (TRAY)"/>
    <s v="52"/>
    <x v="0"/>
    <s v="5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6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4"/>
    <s v="EU"/>
    <s v="Otolith - Surface"/>
    <n v="2126660002"/>
    <s v="1 OTOLITH ACROSS (TRAY)"/>
    <s v="53"/>
    <x v="4"/>
    <s v="6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7"/>
    <s v="EU"/>
    <s v="Otolith - Surface"/>
    <n v="2126660002"/>
    <s v="1 OTOLITH ACROSS (TRAY)"/>
    <s v="31"/>
    <x v="7"/>
    <s v="8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3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0"/>
    <s v="EU"/>
    <s v="Otolith - Surface"/>
    <n v="2126660002"/>
    <s v="1 OTOLITH ACROSS (TRAY)"/>
    <s v="52"/>
    <x v="0"/>
    <s v="56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*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0"/>
    <s v="EU"/>
    <s v="Otolith - Surface"/>
    <n v="2126660002"/>
    <s v="1 OTOLITH ACROSS (TRAY)"/>
    <s v="52"/>
    <x v="0"/>
    <s v="69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*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5T00:00:00"/>
    <d v="2009-09-29T00:00:00"/>
    <s v="Oto Tray #1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2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0"/>
    <s v="EU"/>
    <s v="Otolith - Surface"/>
    <n v="2126660002"/>
    <s v="1 OTOLITH ACROSS (TRAY)"/>
    <s v="52"/>
    <x v="0"/>
    <s v="32"/>
    <s v="NORTHERN COASTAL FJORDS"/>
    <s v="R-16"/>
    <s v="8"/>
    <x v="1"/>
    <s v="SER"/>
    <s v="Atnarko River (Bella Coola) Sockeye"/>
    <n v="4902326"/>
    <n v="51780"/>
    <s v="ATNARKO ESCAPEMENT - 2009"/>
    <n v="970"/>
    <s v="ATNARKO RIVER"/>
    <x v="3"/>
    <s v="2009/0354"/>
    <n v="1"/>
    <s v="SOCKEYE SALMON"/>
    <n v="2086090012"/>
    <x v="1"/>
    <n v="83"/>
    <s v="Gaff (Deadpitch)"/>
    <s v="Adult"/>
    <d v="2009-09-29T00:00:00"/>
    <d v="2009-10-09T00:00:00"/>
    <s v="Oto Tray #2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3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3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6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7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UF"/>
    <s v=""/>
    <x v="5"/>
    <s v="MY"/>
    <s v="Otolith - Surface"/>
    <n v="2126660002"/>
    <s v="1 OTOLITH ACROSS (TRAY)"/>
    <s v="3M"/>
    <x v="5"/>
    <s v="5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3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4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0"/>
    <s v="EU"/>
    <s v="Otolith - Surface"/>
    <n v="2126660002"/>
    <s v="1 OTOLITH ACROSS (TRAY)"/>
    <s v="52"/>
    <x v="0"/>
    <s v="1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12"/>
    <s v="EU"/>
    <s v="Otolith - Surface"/>
    <n v="2126660002"/>
    <s v="1 OTOLITH ACROSS (TRAY)"/>
    <s v="32"/>
    <x v="12"/>
    <s v="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1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3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5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7"/>
    <s v="EU"/>
    <s v="Otolith - Surface"/>
    <n v="2126660002"/>
    <s v="1 OTOLITH ACROSS (TRAY)"/>
    <s v="31"/>
    <x v="7"/>
    <s v="4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0"/>
    <s v="EU"/>
    <s v="Otolith - Surface"/>
    <n v="2126660002"/>
    <s v="1 OTOLITH ACROSS (TRAY)"/>
    <s v="52"/>
    <x v="0"/>
    <s v="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5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1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4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3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8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4"/>
    <s v="EU"/>
    <s v="Otolith - Surface"/>
    <n v="2126660002"/>
    <s v="1 OTOLITH ACROSS (TRAY)"/>
    <s v="53"/>
    <x v="4"/>
    <s v="1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0"/>
    <s v="EU"/>
    <s v="Otolith - Surface"/>
    <n v="2126660002"/>
    <s v="1 OTOLITH ACROSS (TRAY)"/>
    <s v="52"/>
    <x v="0"/>
    <s v="6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4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1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0"/>
    <s v="EU"/>
    <s v="Otolith - Surface"/>
    <n v="2126660002"/>
    <s v="1 OTOLITH ACROSS (TRAY)"/>
    <s v="52"/>
    <x v="0"/>
    <s v="1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7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0"/>
    <s v="EU"/>
    <s v="Otolith - Surface"/>
    <n v="2126660002"/>
    <s v="1 OTOLITH ACROSS (TRAY)"/>
    <s v="52"/>
    <x v="0"/>
    <s v="3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9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8"/>
    <s v="EU"/>
    <s v="Otolith - Surface"/>
    <n v="2126660002"/>
    <s v="1 OTOLITH ACROSS (TRAY)"/>
    <s v="63"/>
    <x v="8"/>
    <s v="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4"/>
    <s v="EU"/>
    <s v="Otolith - Surface"/>
    <n v="2126660002"/>
    <s v="1 OTOLITH ACROSS (TRAY)"/>
    <s v="53"/>
    <x v="4"/>
    <s v="4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8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5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UM"/>
    <s v=""/>
    <x v="11"/>
    <s v="FW"/>
    <s v="Otolith - Surface"/>
    <n v="2126660002"/>
    <s v="1 OTOLITH ACROSS (TRAY)"/>
    <s v="S2"/>
    <x v="16"/>
    <s v="2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4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12"/>
    <s v="EU"/>
    <s v="Otolith - Surface"/>
    <n v="2126660002"/>
    <s v="1 OTOLITH ACROSS (TRAY)"/>
    <s v="32"/>
    <x v="12"/>
    <s v="1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3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9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54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2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5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9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0"/>
    <s v="EU"/>
    <s v="Otolith - Surface"/>
    <n v="2126660002"/>
    <s v="1 OTOLITH ACROSS (TRAY)"/>
    <s v="52"/>
    <x v="0"/>
    <s v="2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0"/>
    <s v="EU"/>
    <s v="Otolith - Surface"/>
    <n v="2126660002"/>
    <s v="1 OTOLITH ACROSS (TRAY)"/>
    <s v="52"/>
    <x v="0"/>
    <s v="50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4"/>
    <s v="EU"/>
    <s v="Otolith - Surface"/>
    <n v="2126660002"/>
    <s v="1 OTOLITH ACROSS (TRAY)"/>
    <s v="53"/>
    <x v="4"/>
    <s v="4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357"/>
    <n v="1"/>
    <s v="SOCKEYE SALMON"/>
    <n v="2086090012"/>
    <x v="1"/>
    <n v="11"/>
    <s v="Other Gillnet/Set Net"/>
    <s v="Adult"/>
    <d v="2018-10-11T00:00:00"/>
    <d v="2018-10-11T00:00:00"/>
    <s v="Oto Tray #3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2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"/>
    <s v=""/>
    <x v="2"/>
    <s v="EU"/>
    <s v="Otolith - Surface"/>
    <n v="2126660002"/>
    <s v="1 OTOLITH ACROSS (TRAY)"/>
    <s v="42"/>
    <x v="2"/>
    <s v="81"/>
    <s v="NORTHERN COASTAL FJORDS"/>
    <s v="R-16"/>
    <s v="8"/>
    <x v="1"/>
    <s v="SER"/>
    <s v="Atnarko River (Bella Coola) Sockeye"/>
    <n v="10391438"/>
    <n v="51780"/>
    <s v="ATNARKO ESCAPEMENT - 2018"/>
    <n v="970"/>
    <s v="ATNARKO RIVER"/>
    <x v="6"/>
    <s v="2018/0139"/>
    <n v="1"/>
    <s v="SOCKEYE SALMON"/>
    <n v="2086090012"/>
    <x v="1"/>
    <n v="11"/>
    <s v="Other Gillnet/Set Net"/>
    <s v="Adult"/>
    <d v="2018-09-27T00:00:00"/>
    <d v="2018-09-27T00:00:00"/>
    <s v="Oto Tray #1"/>
  </r>
  <r>
    <s v="RG"/>
    <s v=""/>
    <x v="6"/>
    <s v=""/>
    <s v="Scales"/>
    <n v="2126660001"/>
    <s v="10 SCALES DOWN PER FISH"/>
    <s v=""/>
    <x v="6"/>
    <s v="3"/>
    <s v="NORTHERN COASTAL FJORDS"/>
    <s v="R-16"/>
    <s v="8"/>
    <x v="1"/>
    <s v="SER"/>
    <s v="Atnarko River (Bella Coola) Sockeye"/>
    <n v="-1000006987"/>
    <n v="51780"/>
    <s v="MISCELLANEOUS SAMPLES-1989"/>
    <n v="970"/>
    <s v="ATNARKO RIVER"/>
    <x v="11"/>
    <s v="1476"/>
    <n v="1"/>
    <s v="SOCKEYE SALMON"/>
    <n v="2086090007"/>
    <x v="2"/>
    <n v="7"/>
    <s v="Rod &amp; Reel"/>
    <s v="Adult"/>
    <d v="1989-08-15T00:00:00"/>
    <d v="1989-08-15T00:00:00"/>
    <s v="19898040147648735"/>
  </r>
  <r>
    <s v=""/>
    <s v=""/>
    <x v="0"/>
    <s v="EU"/>
    <s v="Scales"/>
    <n v="2126660001"/>
    <s v="10 SCALES DOWN PER FISH"/>
    <s v="52"/>
    <x v="0"/>
    <s v="4"/>
    <s v="NORTHERN COASTAL FJORDS"/>
    <s v="R-16"/>
    <s v="8"/>
    <x v="1"/>
    <s v="SER"/>
    <s v="Atnarko River (Bella Coola) Sockeye"/>
    <n v="-1000006987"/>
    <n v="51780"/>
    <s v="MISCELLANEOUS SAMPLES-1989"/>
    <n v="970"/>
    <s v="ATNARKO RIVER"/>
    <x v="11"/>
    <s v="1476"/>
    <n v="1"/>
    <s v="SOCKEYE SALMON"/>
    <n v="2086090007"/>
    <x v="2"/>
    <n v="7"/>
    <s v="Rod &amp; Reel"/>
    <s v="Adult"/>
    <d v="1989-08-15T00:00:00"/>
    <d v="1989-08-15T00:00:00"/>
    <s v="19898040147648735"/>
  </r>
  <r>
    <s v="NS"/>
    <s v=""/>
    <x v="6"/>
    <s v=""/>
    <s v="Scales"/>
    <n v="2126660001"/>
    <s v="10 SCALES DOWN PER FISH"/>
    <s v=""/>
    <x v="6"/>
    <s v="1"/>
    <s v="NORTHERN COASTAL FJORDS"/>
    <s v="R-16"/>
    <s v="8"/>
    <x v="1"/>
    <s v="SER"/>
    <s v="Atnarko River (Bella Coola) Sockeye"/>
    <n v="-1000006987"/>
    <n v="51780"/>
    <s v="MISCELLANEOUS SAMPLES-1989"/>
    <n v="970"/>
    <s v="ATNARKO RIVER"/>
    <x v="11"/>
    <s v="1476"/>
    <n v="1"/>
    <s v="SOCKEYE SALMON"/>
    <n v="2086090007"/>
    <x v="2"/>
    <n v="7"/>
    <s v="Rod &amp; Reel"/>
    <s v="Adult"/>
    <d v="1989-08-15T00:00:00"/>
    <d v="1989-08-15T00:00:00"/>
    <s v="19898040147648735"/>
  </r>
  <r>
    <s v="W"/>
    <s v=""/>
    <x v="6"/>
    <s v=""/>
    <s v="Scales"/>
    <n v="2126660001"/>
    <s v="10 SCALES DOWN PER FISH"/>
    <s v=""/>
    <x v="6"/>
    <s v="5"/>
    <s v="NORTHERN COASTAL FJORDS"/>
    <s v="R-16"/>
    <s v="8"/>
    <x v="1"/>
    <s v="SER"/>
    <s v="Atnarko River (Bella Coola) Sockeye"/>
    <n v="-1000006987"/>
    <n v="51780"/>
    <s v="MISCELLANEOUS SAMPLES-1989"/>
    <n v="970"/>
    <s v="ATNARKO RIVER"/>
    <x v="11"/>
    <s v="1476"/>
    <n v="1"/>
    <s v="SOCKEYE SALMON"/>
    <n v="2086090007"/>
    <x v="2"/>
    <n v="7"/>
    <s v="Rod &amp; Reel"/>
    <s v="Adult"/>
    <d v="1989-08-15T00:00:00"/>
    <d v="1989-08-15T00:00:00"/>
    <s v="19898040147648735"/>
  </r>
  <r>
    <s v=""/>
    <s v=""/>
    <x v="0"/>
    <s v="EU"/>
    <s v="Scales"/>
    <n v="2126660001"/>
    <s v="10 SCALES DOWN PER FISH"/>
    <s v="52"/>
    <x v="0"/>
    <s v="2"/>
    <s v="NORTHERN COASTAL FJORDS"/>
    <s v="R-16"/>
    <s v="8"/>
    <x v="1"/>
    <s v="SER"/>
    <s v="Atnarko River (Bella Coola) Sockeye"/>
    <n v="-1000006987"/>
    <n v="51780"/>
    <s v="MISCELLANEOUS SAMPLES-1989"/>
    <n v="970"/>
    <s v="ATNARKO RIVER"/>
    <x v="11"/>
    <s v="1476"/>
    <n v="1"/>
    <s v="SOCKEYE SALMON"/>
    <n v="2086090007"/>
    <x v="2"/>
    <n v="7"/>
    <s v="Rod &amp; Reel"/>
    <s v="Adult"/>
    <d v="1989-08-15T00:00:00"/>
    <d v="1989-08-15T00:00:00"/>
    <s v="19898040147648735"/>
  </r>
  <r>
    <s v="RS"/>
    <s v="2"/>
    <x v="6"/>
    <s v="EU"/>
    <s v="Scales"/>
    <n v="2126660001"/>
    <s v="2 SCALES ACROSS PER FISH"/>
    <s v=""/>
    <x v="6"/>
    <s v="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S"/>
    <s v="2"/>
    <x v="11"/>
    <s v="FW"/>
    <s v="Scales"/>
    <n v="2126660001"/>
    <s v="2 SCALES ACROSS PER FISH"/>
    <s v="S2"/>
    <x v="16"/>
    <s v="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S"/>
    <s v="2"/>
    <x v="9"/>
    <s v="FW"/>
    <s v="Scales"/>
    <n v="2126660001"/>
    <s v="2 SCALES ACROSS PER FISH"/>
    <s v="S1"/>
    <x v="13"/>
    <s v="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G"/>
    <s v=""/>
    <x v="6"/>
    <s v="EU"/>
    <s v="Scales"/>
    <n v="2126660001"/>
    <s v="2 SCALES ACROSS PER FISH"/>
    <s v=""/>
    <x v="6"/>
    <s v="1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S"/>
    <s v="2"/>
    <x v="6"/>
    <s v="EU"/>
    <s v="Scales"/>
    <n v="2126660001"/>
    <s v="2 SCALES ACROSS PER FISH"/>
    <s v=""/>
    <x v="6"/>
    <s v="1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S"/>
    <s v="2"/>
    <x v="6"/>
    <s v="EU"/>
    <s v="Scales"/>
    <n v="2126660001"/>
    <s v="2 SCALES ACROSS PER FISH"/>
    <s v=""/>
    <x v="6"/>
    <s v="1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S"/>
    <s v="2"/>
    <x v="6"/>
    <s v="EU"/>
    <s v="Scales"/>
    <n v="2126660001"/>
    <s v="2 SCALES ACROSS PER FISH"/>
    <s v=""/>
    <x v="6"/>
    <s v="1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0"/>
    <s v="EU"/>
    <s v="Scales"/>
    <n v="2126660001"/>
    <s v="2 SCALES ACROSS PER FISH"/>
    <s v="52"/>
    <x v="0"/>
    <s v="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2"/>
    <s v="EU"/>
    <s v="Scales"/>
    <n v="2126660001"/>
    <s v="2 SCALES ACROSS PER FISH"/>
    <s v="42"/>
    <x v="2"/>
    <s v="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2"/>
    <s v="EU"/>
    <s v="Scales"/>
    <n v="2126660001"/>
    <s v="2 SCALES ACROSS PER FISH"/>
    <s v="42"/>
    <x v="2"/>
    <s v="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"/>
    <x v="2"/>
    <s v="EU"/>
    <s v="Scales"/>
    <n v="2126660001"/>
    <s v="2 SCALES ACROSS PER FISH"/>
    <s v="42"/>
    <x v="2"/>
    <s v="1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2"/>
    <s v="EU"/>
    <s v="Scales"/>
    <n v="2126660001"/>
    <s v="2 SCALES ACROSS PER FISH"/>
    <s v="42"/>
    <x v="2"/>
    <s v="1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"/>
    <x v="1"/>
    <s v="EU"/>
    <s v="Scales"/>
    <n v="2126660001"/>
    <s v="2 SCALES ACROSS PER FISH"/>
    <s v="41"/>
    <x v="1"/>
    <s v="2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0"/>
    <s v="EU"/>
    <s v="Scales"/>
    <n v="2126660001"/>
    <s v="2 SCALES ACROSS PER FISH"/>
    <s v="52"/>
    <x v="0"/>
    <s v="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2"/>
    <s v="EU"/>
    <s v="Scales"/>
    <n v="2126660001"/>
    <s v="2 SCALES ACROSS PER FISH"/>
    <s v="42"/>
    <x v="2"/>
    <s v="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7"/>
    <s v="EU"/>
    <s v="Scales"/>
    <n v="2126660001"/>
    <s v="2 SCALES ACROSS PER FISH"/>
    <s v="31"/>
    <x v="7"/>
    <s v="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1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G"/>
    <s v="0"/>
    <x v="3"/>
    <s v="MY"/>
    <s v="Scales"/>
    <n v="2126660001"/>
    <s v="2 SCALES ACROSS PER FISH"/>
    <s v="2M"/>
    <x v="3"/>
    <s v="1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1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1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2"/>
    <s v="EU"/>
    <s v="Scales"/>
    <n v="2126660001"/>
    <s v="2 SCALES ACROSS PER FISH"/>
    <s v="42"/>
    <x v="2"/>
    <s v="2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"/>
    <x v="1"/>
    <s v="EU"/>
    <s v="Otolith - Surface"/>
    <n v="2126660002"/>
    <s v="1 OTOLITH ACROSS (TRAY)"/>
    <s v="41"/>
    <x v="1"/>
    <s v="A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1"/>
    <s v="EU"/>
    <s v="Otolith - Surface"/>
    <n v="2126660002"/>
    <s v="1 OTOLITH ACROSS (TRAY)"/>
    <s v="41"/>
    <x v="1"/>
    <s v="A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0"/>
    <s v="EU"/>
    <s v="Otolith - Surface"/>
    <n v="2126660002"/>
    <s v="1 OTOLITH ACROSS (TRAY)"/>
    <s v="52"/>
    <x v="0"/>
    <s v="B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0"/>
    <s v="EU"/>
    <s v="Otolith - Surface"/>
    <n v="2126660002"/>
    <s v="1 OTOLITH ACROSS (TRAY)"/>
    <s v="52"/>
    <x v="0"/>
    <s v="B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1"/>
    <s v="EU"/>
    <s v="Otolith - Surface"/>
    <n v="2126660002"/>
    <s v="1 OTOLITH ACROSS (TRAY)"/>
    <s v="41"/>
    <x v="1"/>
    <s v="B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RS"/>
    <s v="2"/>
    <x v="11"/>
    <s v="FW"/>
    <s v="Scales"/>
    <n v="2126660001"/>
    <s v="2 SCALES ACROSS PER FISH"/>
    <s v="S2"/>
    <x v="16"/>
    <s v="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67331"/>
  </r>
  <r>
    <s v=""/>
    <s v="0"/>
    <x v="2"/>
    <s v="EU"/>
    <s v="Scales"/>
    <n v="2126660001"/>
    <s v="2 SCALES ACROSS PER FISH"/>
    <s v="42"/>
    <x v="2"/>
    <s v="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2"/>
    <s v="EU"/>
    <s v="Scales"/>
    <n v="2126660001"/>
    <s v="2 SCALES ACROSS PER FISH"/>
    <s v="42"/>
    <x v="2"/>
    <s v="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0"/>
    <s v="EU"/>
    <s v="Scales"/>
    <n v="2126660001"/>
    <s v="2 SCALES ACROSS PER FISH"/>
    <s v="52"/>
    <x v="0"/>
    <s v="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0"/>
    <s v="EU"/>
    <s v="Scales"/>
    <n v="2126660001"/>
    <s v="2 SCALES ACROSS PER FISH"/>
    <s v="52"/>
    <x v="0"/>
    <s v="1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7"/>
    <s v="EU"/>
    <s v="Scales"/>
    <n v="2126660001"/>
    <s v="2 SCALES ACROSS PER FISH"/>
    <s v="31"/>
    <x v="7"/>
    <s v="1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8"/>
    <s v="EU"/>
    <s v="Scales"/>
    <n v="2126660001"/>
    <s v="2 SCALES ACROSS PER FISH"/>
    <s v="63"/>
    <x v="8"/>
    <s v="1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2"/>
    <s v="EU"/>
    <s v="Scales"/>
    <n v="2126660001"/>
    <s v="2 SCALES ACROSS PER FISH"/>
    <s v="42"/>
    <x v="2"/>
    <s v="1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UF"/>
    <s v="0"/>
    <x v="3"/>
    <s v="MY"/>
    <s v="Scales"/>
    <n v="2126660001"/>
    <s v="2 SCALES ACROSS PER FISH"/>
    <s v="2M"/>
    <x v="3"/>
    <s v="1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0"/>
    <s v="EU"/>
    <s v="Scales"/>
    <n v="2126660001"/>
    <s v="2 SCALES ACROSS PER FISH"/>
    <s v="52"/>
    <x v="0"/>
    <s v="2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G"/>
    <s v="0"/>
    <x v="3"/>
    <s v="MY"/>
    <s v="Scales"/>
    <n v="2126660001"/>
    <s v="2 SCALES ACROSS PER FISH"/>
    <s v="2M"/>
    <x v="3"/>
    <s v="2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G"/>
    <s v="0"/>
    <x v="5"/>
    <s v="MY"/>
    <s v="Scales"/>
    <n v="2126660001"/>
    <s v="2 SCALES ACROSS PER FISH"/>
    <s v="3M"/>
    <x v="5"/>
    <s v="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2"/>
    <s v="EU"/>
    <s v="Scales"/>
    <n v="2126660001"/>
    <s v="2 SCALES ACROSS PER FISH"/>
    <s v="42"/>
    <x v="2"/>
    <s v="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1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1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W"/>
    <s v="0"/>
    <x v="3"/>
    <s v="MY"/>
    <s v="Scales"/>
    <n v="2126660001"/>
    <s v="2 SCALES ACROSS PER FISH"/>
    <s v="2M"/>
    <x v="3"/>
    <s v="1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2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RG"/>
    <s v=""/>
    <x v="6"/>
    <s v="EU"/>
    <s v="Scales"/>
    <n v="2126660001"/>
    <s v="2 SCALES ACROSS PER FISH"/>
    <s v=""/>
    <x v="6"/>
    <s v="2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2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7"/>
    <s v="EU"/>
    <s v="Scales"/>
    <n v="2126660001"/>
    <s v="2 SCALES ACROSS PER FISH"/>
    <s v="31"/>
    <x v="7"/>
    <s v="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RS"/>
    <s v="2"/>
    <x v="11"/>
    <s v="FW"/>
    <s v="Scales"/>
    <n v="2126660001"/>
    <s v="2 SCALES ACROSS PER FISH"/>
    <s v="S2"/>
    <x v="16"/>
    <s v="1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UF"/>
    <s v=""/>
    <x v="5"/>
    <s v="MY"/>
    <s v="Scales"/>
    <n v="2126660001"/>
    <s v="2 SCALES ACROSS PER FISH"/>
    <s v="3M"/>
    <x v="5"/>
    <s v="1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2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W"/>
    <s v="0"/>
    <x v="5"/>
    <s v="MY"/>
    <s v="Scales"/>
    <n v="2126660001"/>
    <s v="2 SCALES ACROSS PER FISH"/>
    <s v="3M"/>
    <x v="5"/>
    <s v="1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"/>
    <x v="2"/>
    <s v="EU"/>
    <s v="Otolith - Surface"/>
    <n v="2126660002"/>
    <s v="1 OTOLITH ACROSS (TRAY)"/>
    <s v="42"/>
    <x v="2"/>
    <s v="A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2"/>
    <s v="EU"/>
    <s v="Scales"/>
    <n v="2126660001"/>
    <s v="2 SCALES ACROSS PER FISH"/>
    <s v="42"/>
    <x v="2"/>
    <s v="1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RS"/>
    <s v="2"/>
    <x v="11"/>
    <s v="FW"/>
    <s v="Scales"/>
    <n v="2126660001"/>
    <s v="2 SCALES ACROSS PER FISH"/>
    <s v="S2"/>
    <x v="16"/>
    <s v="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"/>
    <x v="13"/>
    <s v="EU"/>
    <s v="Otolith - Surface"/>
    <n v="2126660002"/>
    <s v="1 OTOLITH ACROSS (TRAY)"/>
    <s v="21"/>
    <x v="14"/>
    <s v="B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RS"/>
    <s v="2"/>
    <x v="6"/>
    <s v="EU"/>
    <s v="Scales"/>
    <n v="2126660001"/>
    <s v="2 SCALES ACROSS PER FISH"/>
    <s v=""/>
    <x v="6"/>
    <s v="2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"/>
    <x v="7"/>
    <s v="EU"/>
    <s v="Scales"/>
    <n v="2126660001"/>
    <s v="2 SCALES ACROSS PER FISH"/>
    <s v="31"/>
    <x v="7"/>
    <s v="1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1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2"/>
    <s v="EU"/>
    <s v="Scales"/>
    <n v="2126660001"/>
    <s v="2 SCALES ACROSS PER FISH"/>
    <s v="42"/>
    <x v="2"/>
    <s v="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8"/>
    <s v="EU"/>
    <s v="Scales"/>
    <n v="2126660001"/>
    <s v="2 SCALES ACROSS PER FISH"/>
    <s v="63"/>
    <x v="8"/>
    <s v="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UD"/>
    <s v=""/>
    <x v="6"/>
    <s v="EU"/>
    <s v="Scales"/>
    <n v="2126660001"/>
    <s v="2 SCALES ACROSS PER FISH"/>
    <s v=""/>
    <x v="6"/>
    <s v="1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G"/>
    <s v="0"/>
    <x v="3"/>
    <s v="MY"/>
    <s v="Scales"/>
    <n v="2126660001"/>
    <s v="2 SCALES ACROSS PER FISH"/>
    <s v="2M"/>
    <x v="3"/>
    <s v="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G"/>
    <s v="0"/>
    <x v="5"/>
    <s v="MY"/>
    <s v="Scales"/>
    <n v="2126660001"/>
    <s v="2 SCALES ACROSS PER FISH"/>
    <s v="3M"/>
    <x v="5"/>
    <s v="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2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"/>
    <x v="7"/>
    <s v="EU"/>
    <s v="Otolith - Surface"/>
    <n v="2126660002"/>
    <s v="1 OTOLITH ACROSS (TRAY)"/>
    <s v="31"/>
    <x v="7"/>
    <s v="A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1"/>
    <s v="EU"/>
    <s v="Otolith - Surface"/>
    <n v="2126660002"/>
    <s v="1 OTOLITH ACROSS (TRAY)"/>
    <s v="41"/>
    <x v="1"/>
    <s v="A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0"/>
    <s v="EU"/>
    <s v="Otolith - Surface"/>
    <n v="2126660002"/>
    <s v="1 OTOLITH ACROSS (TRAY)"/>
    <s v="52"/>
    <x v="0"/>
    <s v="B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8"/>
    <s v="EU"/>
    <s v="Scales"/>
    <n v="2126660001"/>
    <s v="2 SCALES ACROSS PER FISH"/>
    <s v="63"/>
    <x v="8"/>
    <s v="1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4"/>
    <s v="EU"/>
    <s v="Scales"/>
    <n v="2126660001"/>
    <s v="2 SCALES ACROSS PER FISH"/>
    <s v="53"/>
    <x v="4"/>
    <s v="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0"/>
    <s v="EU"/>
    <s v="Scales"/>
    <n v="2126660001"/>
    <s v="2 SCALES ACROSS PER FISH"/>
    <s v="52"/>
    <x v="0"/>
    <s v="1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0"/>
    <s v="EU"/>
    <s v="Scales"/>
    <n v="2126660001"/>
    <s v="2 SCALES ACROSS PER FISH"/>
    <s v="52"/>
    <x v="0"/>
    <s v="1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"/>
    <x v="0"/>
    <s v="EU"/>
    <s v="Otolith - Surface"/>
    <n v="2126660002"/>
    <s v="1 OTOLITH ACROSS (TRAY)"/>
    <s v="52"/>
    <x v="0"/>
    <s v="B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2"/>
    <s v="EU"/>
    <s v="Scales"/>
    <n v="2126660001"/>
    <s v="2 SCALES ACROSS PER FISH"/>
    <s v="42"/>
    <x v="2"/>
    <s v="1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G"/>
    <s v="0"/>
    <x v="5"/>
    <s v="MY"/>
    <s v="Scales"/>
    <n v="2126660001"/>
    <s v="2 SCALES ACROSS PER FISH"/>
    <s v="3M"/>
    <x v="5"/>
    <s v="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S"/>
    <s v="2"/>
    <x v="11"/>
    <s v="FW"/>
    <s v="Scales"/>
    <n v="2126660001"/>
    <s v="2 SCALES ACROSS PER FISH"/>
    <s v="S2"/>
    <x v="16"/>
    <s v="2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S"/>
    <s v="2"/>
    <x v="6"/>
    <s v="EU"/>
    <s v="Scales"/>
    <n v="2126660001"/>
    <s v="2 SCALES ACROSS PER FISH"/>
    <s v=""/>
    <x v="6"/>
    <s v="2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0"/>
    <s v="EU"/>
    <s v="Scales"/>
    <n v="2126660001"/>
    <s v="2 SCALES ACROSS PER FISH"/>
    <s v="52"/>
    <x v="0"/>
    <s v="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0"/>
    <s v="EU"/>
    <s v="Scales"/>
    <n v="2126660001"/>
    <s v="2 SCALES ACROSS PER FISH"/>
    <s v="52"/>
    <x v="0"/>
    <s v="2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S"/>
    <s v="2"/>
    <x v="6"/>
    <s v="EU"/>
    <s v="Scales"/>
    <n v="2126660001"/>
    <s v="2 SCALES ACROSS PER FISH"/>
    <s v=""/>
    <x v="6"/>
    <s v="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W"/>
    <s v="0"/>
    <x v="5"/>
    <s v="MY"/>
    <s v="Scales"/>
    <n v="2126660001"/>
    <s v="2 SCALES ACROSS PER FISH"/>
    <s v="3M"/>
    <x v="5"/>
    <s v="1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2"/>
    <s v="EU"/>
    <s v="Scales"/>
    <n v="2126660001"/>
    <s v="2 SCALES ACROSS PER FISH"/>
    <s v="42"/>
    <x v="2"/>
    <s v="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G"/>
    <s v="0"/>
    <x v="3"/>
    <s v="MY"/>
    <s v="Scales"/>
    <n v="2126660001"/>
    <s v="2 SCALES ACROSS PER FISH"/>
    <s v="2M"/>
    <x v="3"/>
    <s v="1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RG"/>
    <s v="0"/>
    <x v="5"/>
    <s v="MY"/>
    <s v="Scales"/>
    <n v="2126660001"/>
    <s v="2 SCALES ACROSS PER FISH"/>
    <s v="3M"/>
    <x v="5"/>
    <s v="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RG"/>
    <s v=""/>
    <x v="6"/>
    <s v="EU"/>
    <s v="Scales"/>
    <n v="2126660001"/>
    <s v="2 SCALES ACROSS PER FISH"/>
    <s v=""/>
    <x v="6"/>
    <s v="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67331"/>
  </r>
  <r>
    <s v=""/>
    <s v="0"/>
    <x v="2"/>
    <s v="EU"/>
    <s v="Scales"/>
    <n v="2126660001"/>
    <s v="2 SCALES ACROSS PER FISH"/>
    <s v="42"/>
    <x v="2"/>
    <s v="2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G"/>
    <s v=""/>
    <x v="6"/>
    <s v="EU"/>
    <s v="Scales"/>
    <n v="2126660001"/>
    <s v="2 SCALES ACROSS PER FISH"/>
    <s v=""/>
    <x v="6"/>
    <s v="1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8"/>
    <s v="EU"/>
    <s v="Scales"/>
    <n v="2126660001"/>
    <s v="2 SCALES ACROSS PER FISH"/>
    <s v="63"/>
    <x v="8"/>
    <s v="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"/>
    <x v="7"/>
    <s v="EU"/>
    <s v="Scales"/>
    <n v="2126660001"/>
    <s v="2 SCALES ACROSS PER FISH"/>
    <s v="31"/>
    <x v="7"/>
    <s v="1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"/>
    <x v="7"/>
    <s v="EU"/>
    <s v="Scales"/>
    <n v="2126660001"/>
    <s v="2 SCALES ACROSS PER FISH"/>
    <s v="31"/>
    <x v="7"/>
    <s v="2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7"/>
    <s v="EU"/>
    <s v="Scales"/>
    <n v="2126660001"/>
    <s v="2 SCALES ACROSS PER FISH"/>
    <s v="31"/>
    <x v="7"/>
    <s v="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S"/>
    <s v="2"/>
    <x v="6"/>
    <s v="EU"/>
    <s v="Scales"/>
    <n v="2126660001"/>
    <s v="2 SCALES ACROSS PER FISH"/>
    <s v=""/>
    <x v="6"/>
    <s v="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7"/>
    <s v="EU"/>
    <s v="Scales"/>
    <n v="2126660001"/>
    <s v="2 SCALES ACROSS PER FISH"/>
    <s v="31"/>
    <x v="7"/>
    <s v="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S"/>
    <s v="2"/>
    <x v="3"/>
    <s v="FW"/>
    <s v="Scales"/>
    <n v="2126660001"/>
    <s v="2 SCALES ACROSS PER FISH"/>
    <s v="S3"/>
    <x v="18"/>
    <s v="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0"/>
    <s v="EU"/>
    <s v="Scales"/>
    <n v="2126660001"/>
    <s v="2 SCALES ACROSS PER FISH"/>
    <s v="52"/>
    <x v="0"/>
    <s v="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S"/>
    <s v="2"/>
    <x v="6"/>
    <s v="EU"/>
    <s v="Scales"/>
    <n v="2126660001"/>
    <s v="2 SCALES ACROSS PER FISH"/>
    <s v=""/>
    <x v="6"/>
    <s v="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"/>
    <x v="0"/>
    <s v="EU"/>
    <s v="Otolith - Surface"/>
    <n v="2126660002"/>
    <s v="1 OTOLITH ACROSS (TRAY)"/>
    <s v="52"/>
    <x v="0"/>
    <s v="A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RS"/>
    <s v="2"/>
    <x v="11"/>
    <s v="FW"/>
    <s v="Scales"/>
    <n v="2126660001"/>
    <s v="2 SCALES ACROSS PER FISH"/>
    <s v="S2"/>
    <x v="16"/>
    <s v="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G"/>
    <s v=""/>
    <x v="6"/>
    <s v="EU"/>
    <s v="Scales"/>
    <n v="2126660001"/>
    <s v="2 SCALES ACROSS PER FISH"/>
    <s v=""/>
    <x v="6"/>
    <s v="1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0"/>
    <s v="EU"/>
    <s v="Scales"/>
    <n v="2126660001"/>
    <s v="2 SCALES ACROSS PER FISH"/>
    <s v="52"/>
    <x v="0"/>
    <s v="2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0"/>
    <s v="EU"/>
    <s v="Scales"/>
    <n v="2126660001"/>
    <s v="2 SCALES ACROSS PER FISH"/>
    <s v="52"/>
    <x v="0"/>
    <s v="1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"/>
    <x v="1"/>
    <s v="EU"/>
    <s v="Otolith - Surface"/>
    <n v="2126660002"/>
    <s v="1 OTOLITH ACROSS (TRAY)"/>
    <s v="41"/>
    <x v="1"/>
    <s v="A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0"/>
    <s v="EU"/>
    <s v="Otolith - Surface"/>
    <n v="2126660002"/>
    <s v="1 OTOLITH ACROSS (TRAY)"/>
    <s v="52"/>
    <x v="0"/>
    <s v="B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2"/>
    <s v="EU"/>
    <s v="Scales"/>
    <n v="2126660001"/>
    <s v="2 SCALES ACROSS PER FISH"/>
    <s v="42"/>
    <x v="2"/>
    <s v="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G"/>
    <s v="0"/>
    <x v="5"/>
    <s v="MY"/>
    <s v="Scales"/>
    <n v="2126660001"/>
    <s v="2 SCALES ACROSS PER FISH"/>
    <s v="3M"/>
    <x v="5"/>
    <s v="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"/>
    <x v="1"/>
    <s v="EU"/>
    <s v="Otolith - Surface"/>
    <n v="2126660002"/>
    <s v="1 OTOLITH ACROSS (TRAY)"/>
    <s v="41"/>
    <x v="1"/>
    <s v="B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0"/>
    <s v="EU"/>
    <s v="Scales"/>
    <n v="2126660001"/>
    <s v="2 SCALES ACROSS PER FISH"/>
    <s v="52"/>
    <x v="0"/>
    <s v="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RS"/>
    <s v="2"/>
    <x v="6"/>
    <s v="EU"/>
    <s v="Scales"/>
    <n v="2126660001"/>
    <s v="2 SCALES ACROSS PER FISH"/>
    <s v=""/>
    <x v="6"/>
    <s v="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RG"/>
    <s v="0"/>
    <x v="3"/>
    <s v="MY"/>
    <s v="Scales"/>
    <n v="2126660001"/>
    <s v="2 SCALES ACROSS PER FISH"/>
    <s v="2M"/>
    <x v="3"/>
    <s v="2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RS"/>
    <s v="2"/>
    <x v="11"/>
    <s v="FW"/>
    <s v="Scales"/>
    <n v="2126660001"/>
    <s v="2 SCALES ACROSS PER FISH"/>
    <s v="S2"/>
    <x v="16"/>
    <s v="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67331"/>
  </r>
  <r>
    <s v=""/>
    <s v="0"/>
    <x v="0"/>
    <s v="EU"/>
    <s v="Scales"/>
    <n v="2126660001"/>
    <s v="2 SCALES ACROSS PER FISH"/>
    <s v="52"/>
    <x v="0"/>
    <s v="8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0"/>
    <x v="2"/>
    <s v="EU"/>
    <s v="Scales"/>
    <n v="2126660001"/>
    <s v="2 SCALES ACROSS PER FISH"/>
    <s v="42"/>
    <x v="2"/>
    <s v="1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2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"/>
    <x v="1"/>
    <s v="EU"/>
    <s v="Otolith - Surface"/>
    <n v="2126660002"/>
    <s v="1 OTOLITH ACROSS (TRAY)"/>
    <s v="41"/>
    <x v="1"/>
    <s v="A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0"/>
    <s v="EU"/>
    <s v="Scales"/>
    <n v="2126660001"/>
    <s v="2 SCALES ACROSS PER FISH"/>
    <s v="52"/>
    <x v="0"/>
    <s v="1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"/>
    <x v="2"/>
    <s v="EU"/>
    <s v="Otolith - Surface"/>
    <n v="2126660002"/>
    <s v="1 OTOLITH ACROSS (TRAY)"/>
    <s v="42"/>
    <x v="2"/>
    <s v="A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NS"/>
    <s v=""/>
    <x v="6"/>
    <s v="EU"/>
    <s v="Scales"/>
    <n v="2126660001"/>
    <s v="2 SCALES ACROSS PER FISH"/>
    <s v=""/>
    <x v="6"/>
    <s v="1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8"/>
    <s v="EU"/>
    <s v="Scales"/>
    <n v="2126660001"/>
    <s v="2 SCALES ACROSS PER FISH"/>
    <s v="63"/>
    <x v="8"/>
    <s v="2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W"/>
    <s v="0"/>
    <x v="3"/>
    <s v="MY"/>
    <s v="Scales"/>
    <n v="2126660001"/>
    <s v="2 SCALES ACROSS PER FISH"/>
    <s v="2M"/>
    <x v="3"/>
    <s v="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0"/>
    <s v="EU"/>
    <s v="Scales"/>
    <n v="2126660001"/>
    <s v="2 SCALES ACROSS PER FISH"/>
    <s v="52"/>
    <x v="0"/>
    <s v="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RG"/>
    <s v="0"/>
    <x v="3"/>
    <s v="MY"/>
    <s v="Scales"/>
    <n v="2126660001"/>
    <s v="2 SCALES ACROSS PER FISH"/>
    <s v="2M"/>
    <x v="3"/>
    <s v="2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0"/>
    <s v="EU"/>
    <s v="Scales"/>
    <n v="2126660001"/>
    <s v="2 SCALES ACROSS PER FISH"/>
    <s v="52"/>
    <x v="0"/>
    <s v="24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1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7"/>
    <s v="EU"/>
    <s v="Scales"/>
    <n v="2126660001"/>
    <s v="2 SCALES ACROSS PER FISH"/>
    <s v="31"/>
    <x v="7"/>
    <s v="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0"/>
    <s v="EU"/>
    <s v="Scales"/>
    <n v="2126660001"/>
    <s v="2 SCALES ACROSS PER FISH"/>
    <s v="52"/>
    <x v="0"/>
    <s v="1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2"/>
    <s v="EU"/>
    <s v="Scales"/>
    <n v="2126660001"/>
    <s v="2 SCALES ACROSS PER FISH"/>
    <s v="42"/>
    <x v="2"/>
    <s v="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1"/>
    <s v="EU"/>
    <s v="Scales"/>
    <n v="2126660001"/>
    <s v="2 SCALES ACROSS PER FISH"/>
    <s v="41"/>
    <x v="1"/>
    <s v="2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W"/>
    <s v="1"/>
    <x v="5"/>
    <s v="MY"/>
    <s v="Scales"/>
    <n v="2126660001"/>
    <s v="2 SCALES ACROSS PER FISH"/>
    <s v="3M"/>
    <x v="5"/>
    <s v="1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0"/>
    <n v="1"/>
    <s v="SOCKEYE SALMON"/>
    <n v="2086090013"/>
    <x v="3"/>
    <n v="11"/>
    <s v="Other Gillnet/Set Net"/>
    <s v="Adult"/>
    <d v="2007-09-27T00:00:00"/>
    <d v="2007-09-27T00:00:00"/>
    <s v="67355"/>
  </r>
  <r>
    <s v=""/>
    <s v="0"/>
    <x v="2"/>
    <s v="EU"/>
    <s v="Scales"/>
    <n v="2126660001"/>
    <s v="2 SCALES ACROSS PER FISH"/>
    <s v="42"/>
    <x v="2"/>
    <s v="3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24T00:00:00"/>
    <d v="2007-07-30T00:00:00"/>
    <s v="67352"/>
  </r>
  <r>
    <s v=""/>
    <s v="0"/>
    <x v="7"/>
    <s v="EU"/>
    <s v="Scales"/>
    <n v="2126660001"/>
    <s v="2 SCALES ACROSS PER FISH"/>
    <s v="31"/>
    <x v="7"/>
    <s v="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RG"/>
    <s v=""/>
    <x v="6"/>
    <s v="EU"/>
    <s v="Scales"/>
    <n v="2126660001"/>
    <s v="2 SCALES ACROSS PER FISH"/>
    <s v=""/>
    <x v="6"/>
    <s v="19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"/>
    <x v="7"/>
    <s v="EU"/>
    <s v="Otolith - Surface"/>
    <n v="2126660002"/>
    <s v="1 OTOLITH ACROSS (TRAY)"/>
    <s v="31"/>
    <x v="7"/>
    <s v="A5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2"/>
    <s v="EU"/>
    <s v="Scales"/>
    <n v="2126660001"/>
    <s v="2 SCALES ACROSS PER FISH"/>
    <s v="42"/>
    <x v="2"/>
    <s v="1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"/>
    <x v="0"/>
    <s v="EU"/>
    <s v="Otolith - Surface"/>
    <n v="2126660002"/>
    <s v="1 OTOLITH ACROSS (TRAY)"/>
    <s v="52"/>
    <x v="0"/>
    <s v="B7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"/>
    <x v="0"/>
    <s v="EU"/>
    <s v="Otolith - Surface"/>
    <n v="2126660002"/>
    <s v="1 OTOLITH ACROSS (TRAY)"/>
    <s v="52"/>
    <x v="0"/>
    <s v="B10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249"/>
    <n v="1"/>
    <s v="SOCKEYE SALMON"/>
    <n v="2086090012"/>
    <x v="1"/>
    <n v="83"/>
    <s v="Gaff (Deadpitch)"/>
    <s v="Adult"/>
    <d v="2007-09-27T00:00:00"/>
    <d v="2007-09-27T00:00:00"/>
    <s v="stad 1"/>
  </r>
  <r>
    <s v=""/>
    <s v="0"/>
    <x v="8"/>
    <s v="EU"/>
    <s v="Scales"/>
    <n v="2126660001"/>
    <s v="2 SCALES ACROSS PER FISH"/>
    <s v="63"/>
    <x v="8"/>
    <s v="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7"/>
    <s v="EU"/>
    <s v="Scales"/>
    <n v="2126660001"/>
    <s v="2 SCALES ACROSS PER FISH"/>
    <s v="31"/>
    <x v="7"/>
    <s v="1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6-23T00:00:00"/>
    <d v="2007-07-24T00:00:00"/>
    <s v="67351"/>
  </r>
  <r>
    <s v=""/>
    <s v="0"/>
    <x v="0"/>
    <s v="EU"/>
    <s v="Scales"/>
    <n v="2126660001"/>
    <s v="2 SCALES ACROSS PER FISH"/>
    <s v="52"/>
    <x v="0"/>
    <s v="22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7-30T00:00:00"/>
    <d v="2007-07-30T00:00:00"/>
    <s v="67353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1"/>
    <s v="SER"/>
    <s v="Atnarko River (Bella Coola) Sockeye"/>
    <n v="3733095"/>
    <n v="51780"/>
    <s v="ATNARKO ESCAPEMENT - 2007"/>
    <n v="970"/>
    <s v="ATNARKO RIVER"/>
    <x v="21"/>
    <s v="2007/0481"/>
    <n v="1"/>
    <s v="SOCKEYE SALMON"/>
    <n v="2086090012"/>
    <x v="1"/>
    <n v="11"/>
    <s v="Other Gillnet/Set Net"/>
    <s v="Adult"/>
    <d v="2007-08-01T00:00:00"/>
    <d v="2007-08-07T00:00:00"/>
    <s v="67354"/>
  </r>
  <r>
    <s v=""/>
    <s v="1"/>
    <x v="2"/>
    <s v="EU"/>
    <s v="Scales"/>
    <n v="2126660001"/>
    <s v="2 SCALES ACROSS PER FISH"/>
    <s v="42"/>
    <x v="2"/>
    <s v="15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RG"/>
    <s v="0"/>
    <x v="3"/>
    <s v="MY"/>
    <s v="Scales"/>
    <n v="2126660001"/>
    <s v="2 SCALES ACROSS PER FISH"/>
    <s v="2M"/>
    <x v="3"/>
    <s v="16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2"/>
    <s v="EU"/>
    <s v="Scales"/>
    <n v="2126660001"/>
    <s v="2 SCALES ACROSS PER FISH"/>
    <s v="42"/>
    <x v="2"/>
    <s v="18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1"/>
    <x v="2"/>
    <s v="EU"/>
    <s v="Scales"/>
    <n v="2126660001"/>
    <s v="2 SCALES ACROSS PER FISH"/>
    <s v="42"/>
    <x v="2"/>
    <s v="19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RG"/>
    <s v="0"/>
    <x v="5"/>
    <s v="MY"/>
    <s v="Scales"/>
    <n v="2126660001"/>
    <s v="2 SCALES ACROSS PER FISH"/>
    <s v="3M"/>
    <x v="5"/>
    <s v="2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2"/>
    <s v="EU"/>
    <s v="Scales"/>
    <n v="2126660001"/>
    <s v="2 SCALES ACROSS PER FISH"/>
    <s v="42"/>
    <x v="2"/>
    <s v="8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1"/>
    <x v="2"/>
    <s v="EU"/>
    <s v="Scales"/>
    <n v="2126660001"/>
    <s v="2 SCALES ACROSS PER FISH"/>
    <s v="42"/>
    <x v="2"/>
    <s v="13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2"/>
    <s v="EU"/>
    <s v="Scales"/>
    <n v="2126660001"/>
    <s v="2 SCALES ACROSS PER FISH"/>
    <s v="42"/>
    <x v="2"/>
    <s v="16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RG"/>
    <s v="0"/>
    <x v="3"/>
    <s v="MY"/>
    <s v="Scales"/>
    <n v="2126660001"/>
    <s v="2 SCALES ACROSS PER FISH"/>
    <s v="2M"/>
    <x v="3"/>
    <s v="3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RS"/>
    <s v="2"/>
    <x v="11"/>
    <s v="FW"/>
    <s v="Scales"/>
    <n v="2126660001"/>
    <s v="2 SCALES ACROSS PER FISH"/>
    <s v="S2"/>
    <x v="16"/>
    <s v="20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16"/>
    <s v="EU"/>
    <s v="Scales"/>
    <n v="2126660001"/>
    <s v="2 SCALES ACROSS PER FISH"/>
    <s v="22"/>
    <x v="19"/>
    <s v="10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1"/>
    <x v="2"/>
    <s v="EU"/>
    <s v="Scales"/>
    <n v="2126660001"/>
    <s v="2 SCALES ACROSS PER FISH"/>
    <s v="42"/>
    <x v="2"/>
    <s v="11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0"/>
    <s v="EU"/>
    <s v="Scales"/>
    <n v="2126660001"/>
    <s v="2 SCALES ACROSS PER FISH"/>
    <s v="52"/>
    <x v="0"/>
    <s v="3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2"/>
    <s v="EU"/>
    <s v="Scales"/>
    <n v="2126660001"/>
    <s v="2 SCALES ACROSS PER FISH"/>
    <s v="42"/>
    <x v="2"/>
    <s v="14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2"/>
    <s v="EU"/>
    <s v="Scales"/>
    <n v="2126660001"/>
    <s v="2 SCALES ACROSS PER FISH"/>
    <s v="42"/>
    <x v="2"/>
    <s v="9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1"/>
    <x v="2"/>
    <s v="EU"/>
    <s v="Scales"/>
    <n v="2126660001"/>
    <s v="2 SCALES ACROSS PER FISH"/>
    <s v="42"/>
    <x v="2"/>
    <s v="10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UD"/>
    <s v=""/>
    <x v="6"/>
    <s v="EU"/>
    <s v="Scales"/>
    <n v="2126660001"/>
    <s v="2 SCALES ACROSS PER FISH"/>
    <s v=""/>
    <x v="6"/>
    <s v="17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1"/>
    <x v="2"/>
    <s v="EU"/>
    <s v="Scales"/>
    <n v="2126660001"/>
    <s v="2 SCALES ACROSS PER FISH"/>
    <s v="42"/>
    <x v="2"/>
    <s v="7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2"/>
    <s v="EU"/>
    <s v="Scales"/>
    <n v="2126660001"/>
    <s v="2 SCALES ACROSS PER FISH"/>
    <s v="42"/>
    <x v="2"/>
    <s v="4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1"/>
    <x v="2"/>
    <s v="EU"/>
    <s v="Scales"/>
    <n v="2126660001"/>
    <s v="2 SCALES ACROSS PER FISH"/>
    <s v="42"/>
    <x v="2"/>
    <s v="12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2"/>
    <s v="EU"/>
    <s v="Scales"/>
    <n v="2126660001"/>
    <s v="2 SCALES ACROSS PER FISH"/>
    <s v="42"/>
    <x v="2"/>
    <s v="17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W"/>
    <s v="0"/>
    <x v="3"/>
    <s v="MY"/>
    <s v="Scales"/>
    <n v="2126660001"/>
    <s v="2 SCALES ACROSS PER FISH"/>
    <s v="2M"/>
    <x v="3"/>
    <s v="1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2"/>
    <s v="EU"/>
    <s v="Scales"/>
    <n v="2126660001"/>
    <s v="2 SCALES ACROSS PER FISH"/>
    <s v="42"/>
    <x v="2"/>
    <s v="22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2"/>
    <s v="EU"/>
    <s v="Scales"/>
    <n v="2126660001"/>
    <s v="2 SCALES ACROSS PER FISH"/>
    <s v="42"/>
    <x v="2"/>
    <s v="6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1"/>
    <x v="2"/>
    <s v="EU"/>
    <s v="Scales"/>
    <n v="2126660001"/>
    <s v="2 SCALES ACROSS PER FISH"/>
    <s v="42"/>
    <x v="2"/>
    <s v="5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12"/>
    <s v="EU"/>
    <s v="Scales"/>
    <n v="2126660001"/>
    <s v="2 SCALES ACROSS PER FISH"/>
    <s v="32"/>
    <x v="12"/>
    <s v="25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0"/>
    <s v="EU"/>
    <s v="Scales"/>
    <n v="2126660001"/>
    <s v="2 SCALES ACROSS PER FISH"/>
    <s v="52"/>
    <x v="0"/>
    <s v="9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1"/>
    <x v="2"/>
    <s v="EU"/>
    <s v="Scales"/>
    <n v="2126660001"/>
    <s v="2 SCALES ACROSS PER FISH"/>
    <s v="42"/>
    <x v="2"/>
    <s v="13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UF"/>
    <s v="2"/>
    <x v="6"/>
    <s v="EU"/>
    <s v="Scales"/>
    <n v="2126660001"/>
    <s v="2 SCALES ACROSS PER FISH"/>
    <s v=""/>
    <x v="6"/>
    <s v="15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12"/>
    <s v="EU"/>
    <s v="Scales"/>
    <n v="2126660001"/>
    <s v="2 SCALES ACROSS PER FISH"/>
    <s v="32"/>
    <x v="12"/>
    <s v="12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1"/>
    <x v="2"/>
    <s v="EU"/>
    <s v="Scales"/>
    <n v="2126660001"/>
    <s v="2 SCALES ACROSS PER FISH"/>
    <s v="42"/>
    <x v="2"/>
    <s v="2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RS"/>
    <s v="2"/>
    <x v="11"/>
    <s v="FW"/>
    <s v="Scales"/>
    <n v="2126660001"/>
    <s v="2 SCALES ACROSS PER FISH"/>
    <s v="S2"/>
    <x v="16"/>
    <s v="5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12"/>
    <s v="EU"/>
    <s v="Scales"/>
    <n v="2126660001"/>
    <s v="2 SCALES ACROSS PER FISH"/>
    <s v="32"/>
    <x v="12"/>
    <s v="1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2"/>
    <s v="EU"/>
    <s v="Scales"/>
    <n v="2126660001"/>
    <s v="2 SCALES ACROSS PER FISH"/>
    <s v="42"/>
    <x v="2"/>
    <s v="21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1"/>
    <x v="2"/>
    <s v="EU"/>
    <s v="Scales"/>
    <n v="2126660001"/>
    <s v="2 SCALES ACROSS PER FISH"/>
    <s v="42"/>
    <x v="2"/>
    <s v="7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RG"/>
    <s v="0"/>
    <x v="11"/>
    <s v="MY"/>
    <s v="Scales"/>
    <n v="2126660001"/>
    <s v="2 SCALES ACROSS PER FISH"/>
    <s v="1M"/>
    <x v="11"/>
    <s v="11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0"/>
    <s v="EU"/>
    <s v="Scales"/>
    <n v="2126660001"/>
    <s v="2 SCALES ACROSS PER FISH"/>
    <s v="52"/>
    <x v="0"/>
    <s v="8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0"/>
    <s v="EU"/>
    <s v="Scales"/>
    <n v="2126660001"/>
    <s v="2 SCALES ACROSS PER FISH"/>
    <s v="52"/>
    <x v="0"/>
    <s v="6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RG"/>
    <s v="0"/>
    <x v="11"/>
    <s v="MY"/>
    <s v="Scales"/>
    <n v="2126660001"/>
    <s v="2 SCALES ACROSS PER FISH"/>
    <s v="1M"/>
    <x v="11"/>
    <s v="23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12"/>
    <s v="EU"/>
    <s v="Scales"/>
    <n v="2126660001"/>
    <s v="2 SCALES ACROSS PER FISH"/>
    <s v="32"/>
    <x v="12"/>
    <s v="24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1"/>
  </r>
  <r>
    <s v=""/>
    <s v="0"/>
    <x v="0"/>
    <s v="EU"/>
    <s v="Scales"/>
    <n v="2126660001"/>
    <s v="2 SCALES ACROSS PER FISH"/>
    <s v="52"/>
    <x v="0"/>
    <s v="4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0"/>
    <x v="2"/>
    <s v="EU"/>
    <s v="Scales"/>
    <n v="2126660001"/>
    <s v="2 SCALES ACROSS PER FISH"/>
    <s v="42"/>
    <x v="2"/>
    <s v="14"/>
    <s v="NORTHERN COASTAL FJORDS"/>
    <s v="R-16"/>
    <s v="8"/>
    <x v="1"/>
    <s v="SER"/>
    <s v="Atnarko River (Bella Coola) Sockeye"/>
    <n v="1746084"/>
    <n v="51780"/>
    <s v="ATNARKO ESCAPEMENT - 2005"/>
    <n v="970"/>
    <s v="ATNARKO RIVER"/>
    <x v="8"/>
    <s v="2005/0425"/>
    <n v="1"/>
    <s v="SOCKEYE SALMON"/>
    <n v="2086090012"/>
    <x v="1"/>
    <n v="88"/>
    <s v="Unknown"/>
    <s v="Adult"/>
    <d v="2005-09-16T00:00:00"/>
    <d v="2005-09-16T00:00:00"/>
    <s v="38602"/>
  </r>
  <r>
    <s v=""/>
    <s v=""/>
    <x v="1"/>
    <s v="EU"/>
    <s v="Scales"/>
    <n v="2126660001"/>
    <s v="1 OTOLITH ACROSS (TRAY)"/>
    <s v="41"/>
    <x v="1"/>
    <s v="2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7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11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12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15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23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24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25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28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29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31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35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37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7"/>
    <s v="EU"/>
    <s v="Scales"/>
    <n v="2126660001"/>
    <s v="1 OTOLITH ACROSS (TRAY)"/>
    <s v="31"/>
    <x v="7"/>
    <s v="45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50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47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19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43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46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18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38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54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6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39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20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44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30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33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41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56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4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53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17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2"/>
    <s v="EU"/>
    <s v="Scales"/>
    <n v="2126660001"/>
    <s v="1 OTOLITH ACROSS (TRAY)"/>
    <s v="32"/>
    <x v="12"/>
    <s v="36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7"/>
    <s v="EU"/>
    <s v="Scales"/>
    <n v="2126660001"/>
    <s v="1 OTOLITH ACROSS (TRAY)"/>
    <s v="31"/>
    <x v="7"/>
    <s v="51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1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21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9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7"/>
    <s v="EU"/>
    <s v="Scales"/>
    <n v="2126660001"/>
    <s v="1 OTOLITH ACROSS (TRAY)"/>
    <s v="31"/>
    <x v="7"/>
    <s v="42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40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55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34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48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26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57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5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16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14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49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3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52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1"/>
    <s v="EU"/>
    <s v="Scales"/>
    <n v="2126660001"/>
    <s v="1 OTOLITH ACROSS (TRAY)"/>
    <s v="41"/>
    <x v="1"/>
    <s v="8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7"/>
    <s v="EU"/>
    <s v="Scales"/>
    <n v="2126660001"/>
    <s v="1 OTOLITH ACROSS (TRAY)"/>
    <s v="31"/>
    <x v="7"/>
    <s v="32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2"/>
    <s v="EU"/>
    <s v="Scales"/>
    <n v="2126660001"/>
    <s v="1 OTOLITH ACROSS (TRAY)"/>
    <s v="42"/>
    <x v="2"/>
    <s v="27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13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MF"/>
    <s v=""/>
    <x v="6"/>
    <s v="EU"/>
    <s v="Scales"/>
    <n v="2126660001"/>
    <s v="1 OTOLITH ACROSS (TRAY)"/>
    <s v=""/>
    <x v="6"/>
    <s v="10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Scales"/>
    <n v="2126660001"/>
    <s v="1 OTOLITH ACROSS (TRAY)"/>
    <s v="52"/>
    <x v="0"/>
    <s v="22"/>
    <s v="NORTHERN COASTAL FJORDS"/>
    <s v="R-16"/>
    <s v="8"/>
    <x v="1"/>
    <s v="SER"/>
    <s v="Atnarko River (Bella Coola) Sockeye"/>
    <n v="6248627"/>
    <n v="51780"/>
    <s v="ATNARKO ESCAPEMENT - 2011"/>
    <n v="970"/>
    <s v="ATNARKO RIVER"/>
    <x v="18"/>
    <s v="2011/0426"/>
    <n v="1"/>
    <s v="SOCKEYE SALMON"/>
    <n v="2086090012"/>
    <x v="1"/>
    <n v="88"/>
    <s v="Unknown"/>
    <s v="Adult"/>
    <d v="2011-09-21T00:00:00"/>
    <d v="2011-09-26T00:00:00"/>
    <s v="1 oto tray"/>
  </r>
  <r>
    <s v=""/>
    <s v=""/>
    <x v="0"/>
    <s v="EU"/>
    <s v="Otolith - Surface"/>
    <n v="2126660002"/>
    <s v="1 OTOLITH ACROSS (TRAY)"/>
    <s v="52"/>
    <x v="0"/>
    <s v="3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4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4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4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4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5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1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1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6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7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7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7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7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8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8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7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8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8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9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9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9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2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2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2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2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3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3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4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4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4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5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5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5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5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5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6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6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2"/>
    <s v="EU"/>
    <s v="Otolith - Surface"/>
    <n v="2126660002"/>
    <s v="1 OTOLITH ACROSS (TRAY)"/>
    <s v="32"/>
    <x v="12"/>
    <s v="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0"/>
    <s v="EU"/>
    <s v="Otolith - Surface"/>
    <n v="2126660002"/>
    <s v="1 OTOLITH ACROSS (TRAY)"/>
    <s v="62"/>
    <x v="10"/>
    <s v="2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2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2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2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4"/>
    <s v="EU"/>
    <s v="Otolith - Surface"/>
    <n v="2126660002"/>
    <s v="1 OTOLITH ACROSS (TRAY)"/>
    <s v="51"/>
    <x v="15"/>
    <s v="2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2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2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2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2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3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4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4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4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4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9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9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9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2"/>
    <s v="EU"/>
    <s v="Otolith - Surface"/>
    <n v="2126660002"/>
    <s v="1 OTOLITH ACROSS (TRAY)"/>
    <s v="32"/>
    <x v="12"/>
    <s v="10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2"/>
    <s v="EU"/>
    <s v="Otolith - Surface"/>
    <n v="2126660002"/>
    <s v="1 OTOLITH ACROSS (TRAY)"/>
    <s v="32"/>
    <x v="12"/>
    <s v="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s v=""/>
    <s v=""/>
    <x v="0"/>
    <s v="EU"/>
    <s v="Otolith - Surface"/>
    <n v="2126660002"/>
    <s v="1 OTOLITH ACROSS (TRAY)"/>
    <s v="52"/>
    <x v="0"/>
    <s v="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s v="NA"/>
    <s v=""/>
    <x v="6"/>
    <s v="EU"/>
    <s v="Otolith - Surface"/>
    <n v="2126660002"/>
    <s v="1 OTOLITH ACROSS (TRAY)"/>
    <s v=""/>
    <x v="6"/>
    <s v="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8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9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9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1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1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1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1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1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4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2"/>
    <s v="EU"/>
    <s v="Otolith - Surface"/>
    <n v="2126660002"/>
    <s v="1 OTOLITH ACROSS (TRAY)"/>
    <s v="32"/>
    <x v="12"/>
    <s v="5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5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6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6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7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8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4"/>
    <s v="EU"/>
    <s v="Otolith - Surface"/>
    <n v="2126660002"/>
    <s v="1 OTOLITH ACROSS (TRAY)"/>
    <s v="53"/>
    <x v="4"/>
    <s v="8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8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5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7"/>
    <s v="EU"/>
    <s v="Otolith - Surface"/>
    <n v="2126660002"/>
    <s v="1 OTOLITH ACROSS (TRAY)"/>
    <s v="31"/>
    <x v="7"/>
    <s v="22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RS"/>
    <s v="2"/>
    <x v="9"/>
    <s v="FW"/>
    <s v="Scales"/>
    <n v="2126660001"/>
    <s v="5 SCALES DOWN PER FISH"/>
    <s v="S1"/>
    <x v="13"/>
    <s v="5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236"/>
    <n v="1"/>
    <s v="SOCKEYE SALMON"/>
    <n v="2086090012"/>
    <x v="1"/>
    <n v="83"/>
    <s v="Gaff (Deadpitch)"/>
    <s v="Adult"/>
    <d v="2020-09-21T00:00:00"/>
    <d v="2020-09-21T00:00:00"/>
    <s v="1003943"/>
  </r>
  <r>
    <s v=""/>
    <s v=""/>
    <x v="2"/>
    <s v="EU"/>
    <s v="Otolith - Surface"/>
    <n v="2126660002"/>
    <s v="1 OTOLITH ACROSS (TRAY)"/>
    <s v="42"/>
    <x v="2"/>
    <s v="3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3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DM"/>
    <s v=""/>
    <x v="3"/>
    <s v="MY"/>
    <s v="Otolith - Surface"/>
    <n v="2126660002"/>
    <s v="1 OTOLITH ACROSS (TRAY)"/>
    <s v="2M"/>
    <x v="3"/>
    <s v="4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5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7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7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8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8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8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8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9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9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9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9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1"/>
    <x v="2"/>
    <s v="EU"/>
    <s v="Scales"/>
    <n v="2126660001"/>
    <s v="2 SCALES ACROSS PER FISH"/>
    <s v="42"/>
    <x v="2"/>
    <s v="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RG"/>
    <s v="1"/>
    <x v="3"/>
    <s v="MY"/>
    <s v="Scales"/>
    <n v="2126660001"/>
    <s v="2 SCALES ACROSS PER FISH"/>
    <s v="2M"/>
    <x v="3"/>
    <s v="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1"/>
    <x v="2"/>
    <s v="EU"/>
    <s v="Scales"/>
    <n v="2126660001"/>
    <s v="2 SCALES ACROSS PER FISH"/>
    <s v="42"/>
    <x v="2"/>
    <s v="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MF"/>
    <s v=""/>
    <x v="6"/>
    <s v="EU"/>
    <s v="Scales"/>
    <n v="2126660001"/>
    <s v="2 SCALES ACROSS PER FISH"/>
    <s v=""/>
    <x v="6"/>
    <s v="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RS"/>
    <s v="2"/>
    <x v="11"/>
    <s v="FW"/>
    <s v="Scales"/>
    <n v="2126660001"/>
    <s v="2 SCALES ACROSS PER FISH"/>
    <s v="S2"/>
    <x v="16"/>
    <s v="1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1"/>
    <x v="2"/>
    <s v="EU"/>
    <s v="Scales"/>
    <n v="2126660001"/>
    <s v="2 SCALES ACROSS PER FISH"/>
    <s v="42"/>
    <x v="2"/>
    <s v="1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RS"/>
    <s v="2"/>
    <x v="11"/>
    <s v="FW"/>
    <s v="Scales"/>
    <n v="2126660001"/>
    <s v="2 SCALES ACROSS PER FISH"/>
    <s v="S2"/>
    <x v="16"/>
    <s v="1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1"/>
    <x v="2"/>
    <s v="EU"/>
    <s v="Scales"/>
    <n v="2126660001"/>
    <s v="2 SCALES ACROSS PER FISH"/>
    <s v="42"/>
    <x v="2"/>
    <s v="1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1"/>
    <x v="2"/>
    <s v="EU"/>
    <s v="Scales"/>
    <n v="2126660001"/>
    <s v="2 SCALES ACROSS PER FISH"/>
    <s v="42"/>
    <x v="2"/>
    <s v="2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1"/>
    <x v="0"/>
    <s v="EU"/>
    <s v="Scales"/>
    <n v="2126660001"/>
    <s v="2 SCALES ACROSS PER FISH"/>
    <s v="52"/>
    <x v="0"/>
    <s v="2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0"/>
    <x v="0"/>
    <s v="EU"/>
    <s v="Scales"/>
    <n v="2126660001"/>
    <s v="2 SCALES ACROSS PER FISH"/>
    <s v="52"/>
    <x v="0"/>
    <s v="2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RS"/>
    <s v="2"/>
    <x v="11"/>
    <s v="FW"/>
    <s v="Scales"/>
    <n v="2126660001"/>
    <s v="2 SCALES ACROSS PER FISH"/>
    <s v="S2"/>
    <x v="16"/>
    <s v="2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1"/>
    <x v="2"/>
    <s v="EU"/>
    <s v="Scales"/>
    <n v="2126660001"/>
    <s v="2 SCALES ACROSS PER FISH"/>
    <s v="42"/>
    <x v="2"/>
    <s v="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W"/>
    <s v="1"/>
    <x v="3"/>
    <s v="MY"/>
    <s v="Scales"/>
    <n v="2126660001"/>
    <s v="2 SCALES ACROSS PER FISH"/>
    <s v="2M"/>
    <x v="3"/>
    <s v="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0"/>
    <x v="0"/>
    <s v="EU"/>
    <s v="Scales"/>
    <n v="2126660001"/>
    <s v="2 SCALES ACROSS PER FISH"/>
    <s v="52"/>
    <x v="0"/>
    <s v="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1"/>
    <x v="2"/>
    <s v="EU"/>
    <s v="Scales"/>
    <n v="2126660001"/>
    <s v="2 SCALES ACROSS PER FISH"/>
    <s v="42"/>
    <x v="2"/>
    <s v="1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0"/>
    <x v="2"/>
    <s v="EU"/>
    <s v="Scales"/>
    <n v="2126660001"/>
    <s v="2 SCALES ACROSS PER FISH"/>
    <s v="42"/>
    <x v="2"/>
    <s v="1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1"/>
    <x v="1"/>
    <s v="EU"/>
    <s v="Scales"/>
    <n v="2126660001"/>
    <s v="2 SCALES ACROSS PER FISH"/>
    <s v="41"/>
    <x v="1"/>
    <s v="1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1"/>
    <x v="0"/>
    <s v="EU"/>
    <s v="Scales"/>
    <n v="2126660001"/>
    <s v="2 SCALES ACROSS PER FISH"/>
    <s v="52"/>
    <x v="0"/>
    <s v="1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RS"/>
    <s v="2"/>
    <x v="11"/>
    <s v="FW"/>
    <s v="Scales"/>
    <n v="2126660001"/>
    <s v="5 SCALES DOWN PER FISH"/>
    <s v="S2"/>
    <x v="16"/>
    <s v="4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236"/>
    <n v="1"/>
    <s v="SOCKEYE SALMON"/>
    <n v="2086090012"/>
    <x v="1"/>
    <n v="83"/>
    <s v="Gaff (Deadpitch)"/>
    <s v="Adult"/>
    <d v="2020-09-21T00:00:00"/>
    <d v="2020-09-21T00:00:00"/>
    <s v="1003943"/>
  </r>
  <r>
    <s v="RS"/>
    <s v="2"/>
    <x v="11"/>
    <s v="FW"/>
    <s v="Scales"/>
    <n v="2126660001"/>
    <s v="2 SCALES ACROSS PER FISH"/>
    <s v="S2"/>
    <x v="16"/>
    <s v="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s v=""/>
    <s v=""/>
    <x v="1"/>
    <s v="EU"/>
    <s v="Otolith - Surface"/>
    <n v="2126660002"/>
    <s v="1 OTOLITH ACROSS (TRAY)"/>
    <s v="41"/>
    <x v="1"/>
    <s v="5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7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1"/>
    <x v="0"/>
    <s v="EU"/>
    <s v="Scales"/>
    <n v="2126660001"/>
    <s v="2 SCALES ACROSS PER FISH"/>
    <s v="52"/>
    <x v="0"/>
    <s v="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0"/>
    <s v="EU"/>
    <s v="Otolith - Surface"/>
    <n v="2126660002"/>
    <s v="1 OTOLITH ACROSS (TRAY)"/>
    <s v="52"/>
    <x v="0"/>
    <s v="7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8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9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S"/>
    <s v="2"/>
    <x v="11"/>
    <s v="FW"/>
    <s v="Scales"/>
    <n v="2126660001"/>
    <s v="2 SCALES ACROSS PER FISH"/>
    <s v="S2"/>
    <x v="16"/>
    <s v="2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09-30T00:00:00"/>
    <s v="67931"/>
  </r>
  <r>
    <s v="RS"/>
    <s v="2"/>
    <x v="11"/>
    <s v="FW"/>
    <s v="Scales"/>
    <n v="2126660001"/>
    <s v="2 SCALES ACROSS PER FISH"/>
    <s v="S2"/>
    <x v="16"/>
    <s v="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S"/>
    <s v="2"/>
    <x v="11"/>
    <s v="FW"/>
    <s v="Scales"/>
    <n v="2126660001"/>
    <s v="2 SCALES ACROSS PER FISH"/>
    <s v="S2"/>
    <x v="16"/>
    <s v="1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W"/>
    <s v="1"/>
    <x v="3"/>
    <s v="MY"/>
    <s v="Scales"/>
    <n v="2126660001"/>
    <s v="2 SCALES ACROSS PER FISH"/>
    <s v="2M"/>
    <x v="3"/>
    <s v="2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1"/>
    <s v="EU"/>
    <s v="Otolith - Surface"/>
    <n v="2126660002"/>
    <s v="1 OTOLITH ACROSS (TRAY)"/>
    <s v="41"/>
    <x v="1"/>
    <s v="4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7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3"/>
    <s v="MY"/>
    <s v="Otolith - Surface"/>
    <n v="2126660002"/>
    <s v="1 OTOLITH ACROSS (TRAY)"/>
    <s v="2M"/>
    <x v="3"/>
    <s v="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2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10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1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4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3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6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1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8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9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3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9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236"/>
    <n v="1"/>
    <s v="SOCKEYE SALMON"/>
    <n v="2086090012"/>
    <x v="1"/>
    <n v="83"/>
    <s v="Gaff (Deadpitch)"/>
    <s v="Adult"/>
    <d v="2020-09-21T00:00:00"/>
    <d v="2020-09-21T00:00:00"/>
    <s v="Oto Box 5"/>
  </r>
  <r>
    <s v=""/>
    <s v=""/>
    <x v="13"/>
    <s v="EU"/>
    <s v="Otolith - Surface"/>
    <n v="2126660002"/>
    <s v="1 OTOLITH ACROSS (TRAY)"/>
    <s v="21"/>
    <x v="14"/>
    <s v="15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6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7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4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7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2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1"/>
    <x v="2"/>
    <s v="EU"/>
    <s v="Scales"/>
    <n v="2126660001"/>
    <s v="2 SCALES ACROSS PER FISH"/>
    <s v="42"/>
    <x v="2"/>
    <s v="1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0"/>
    <s v="EU"/>
    <s v="Otolith - Surface"/>
    <n v="2126660002"/>
    <s v="1 OTOLITH ACROSS (TRAY)"/>
    <s v="52"/>
    <x v="0"/>
    <s v="1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2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1"/>
    <x v="2"/>
    <s v="EU"/>
    <s v="Scales"/>
    <n v="2126660001"/>
    <s v="2 SCALES ACROSS PER FISH"/>
    <s v="42"/>
    <x v="2"/>
    <s v="1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0"/>
    <s v="EU"/>
    <s v="Otolith - Surface"/>
    <n v="2126660002"/>
    <s v="1 OTOLITH ACROSS (TRAY)"/>
    <s v="52"/>
    <x v="0"/>
    <s v="7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1"/>
    <x v="4"/>
    <s v="EU"/>
    <s v="Scales"/>
    <n v="2126660001"/>
    <s v="2 SCALES ACROSS PER FISH"/>
    <s v="53"/>
    <x v="4"/>
    <s v="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1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0"/>
    <x v="0"/>
    <s v="EU"/>
    <s v="Scales"/>
    <n v="2126660001"/>
    <s v="2 SCALES ACROSS PER FISH"/>
    <s v="52"/>
    <x v="0"/>
    <s v="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1"/>
    <s v="EU"/>
    <s v="Otolith - Surface"/>
    <n v="2126660002"/>
    <s v="1 OTOLITH ACROSS (TRAY)"/>
    <s v="41"/>
    <x v="1"/>
    <s v="9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0"/>
    <s v="EU"/>
    <s v="Otolith - Surface"/>
    <n v="2126660002"/>
    <s v="1 OTOLITH ACROSS (TRAY)"/>
    <s v="62"/>
    <x v="10"/>
    <s v="5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1"/>
    <s v="EU"/>
    <s v="Otolith - Surface"/>
    <n v="2126660002"/>
    <s v="1 OTOLITH ACROSS (TRAY)"/>
    <s v="41"/>
    <x v="1"/>
    <s v="6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5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9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9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3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3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1"/>
    <s v="EU"/>
    <s v="Otolith - Surface"/>
    <n v="2126660002"/>
    <s v="1 OTOLITH ACROSS (TRAY)"/>
    <s v="41"/>
    <x v="1"/>
    <s v="9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6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5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8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2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8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0"/>
    <s v="EU"/>
    <s v="Otolith - Surface"/>
    <n v="2126660002"/>
    <s v="1 OTOLITH ACROSS (TRAY)"/>
    <s v="52"/>
    <x v="0"/>
    <s v="4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9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7"/>
    <s v="EU"/>
    <s v="Otolith - Surface"/>
    <n v="2126660002"/>
    <s v="1 OTOLITH ACROSS (TRAY)"/>
    <s v="31"/>
    <x v="7"/>
    <s v="4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5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8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1"/>
    <x v="2"/>
    <s v="EU"/>
    <s v="Scales"/>
    <n v="2126660001"/>
    <s v="2 SCALES ACROSS PER FISH"/>
    <s v="42"/>
    <x v="2"/>
    <s v="1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2"/>
    <s v="EU"/>
    <s v="Otolith - Surface"/>
    <n v="2126660002"/>
    <s v="1 OTOLITH ACROSS (TRAY)"/>
    <s v="42"/>
    <x v="2"/>
    <s v="1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RG"/>
    <s v="1"/>
    <x v="5"/>
    <s v="MY"/>
    <s v="Scales"/>
    <n v="2126660001"/>
    <s v="2 SCALES ACROSS PER FISH"/>
    <s v="3M"/>
    <x v="5"/>
    <s v="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0"/>
    <s v="EU"/>
    <s v="Otolith - Surface"/>
    <n v="2126660002"/>
    <s v="1 OTOLITH ACROSS (TRAY)"/>
    <s v="52"/>
    <x v="0"/>
    <s v="5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2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2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2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2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9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S"/>
    <s v="2"/>
    <x v="11"/>
    <s v="FW"/>
    <s v="Scales"/>
    <n v="2126660001"/>
    <s v="2 SCALES ACROSS PER FISH"/>
    <s v="S2"/>
    <x v="16"/>
    <s v="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RS"/>
    <s v="2"/>
    <x v="11"/>
    <s v="FW"/>
    <s v="Scales"/>
    <n v="2126660001"/>
    <s v="2 SCALES ACROSS PER FISH"/>
    <s v="S2"/>
    <x v="16"/>
    <s v="2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1"/>
    <s v="EU"/>
    <s v="Otolith - Surface"/>
    <n v="2126660002"/>
    <s v="1 OTOLITH ACROSS (TRAY)"/>
    <s v="41"/>
    <x v="1"/>
    <s v="7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S"/>
    <s v="2"/>
    <x v="6"/>
    <s v="EU"/>
    <s v="Scales"/>
    <n v="2126660001"/>
    <s v="2 SCALES ACROSS PER FISH"/>
    <s v=""/>
    <x v="6"/>
    <s v="1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UD"/>
    <s v=""/>
    <x v="6"/>
    <s v="EU"/>
    <s v="Scales"/>
    <n v="2126660001"/>
    <s v="2 SCALES ACROSS PER FISH"/>
    <s v=""/>
    <x v="6"/>
    <s v="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5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2"/>
    <s v="EU"/>
    <s v="Otolith - Surface"/>
    <n v="2126660002"/>
    <s v="1 OTOLITH ACROSS (TRAY)"/>
    <s v="32"/>
    <x v="12"/>
    <s v="1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7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5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9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1"/>
    <x v="2"/>
    <s v="EU"/>
    <s v="Scales"/>
    <n v="2126660001"/>
    <s v="2 SCALES ACROSS PER FISH"/>
    <s v="42"/>
    <x v="2"/>
    <s v="2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5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5"/>
    <s v="MY"/>
    <s v="Otolith - Surface"/>
    <n v="2126660002"/>
    <s v="1 OTOLITH ACROSS (TRAY)"/>
    <s v="3M"/>
    <x v="5"/>
    <s v="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1"/>
    <x v="2"/>
    <s v="EU"/>
    <s v="Scales"/>
    <n v="2126660001"/>
    <s v="2 SCALES ACROSS PER FISH"/>
    <s v="42"/>
    <x v="2"/>
    <s v="1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1"/>
    <s v="EU"/>
    <s v="Otolith - Surface"/>
    <n v="2126660002"/>
    <s v="1 OTOLITH ACROSS (TRAY)"/>
    <s v="41"/>
    <x v="1"/>
    <s v="19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1"/>
    <s v="EU"/>
    <s v="Otolith - Surface"/>
    <n v="2126660002"/>
    <s v="1 OTOLITH ACROSS (TRAY)"/>
    <s v="41"/>
    <x v="1"/>
    <s v="17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3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5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2"/>
    <s v="EU"/>
    <s v="Otolith - Surface"/>
    <n v="2126660002"/>
    <s v="1 OTOLITH ACROSS (TRAY)"/>
    <s v="32"/>
    <x v="12"/>
    <s v="1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7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10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6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9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6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UF"/>
    <s v=""/>
    <x v="3"/>
    <s v="MY"/>
    <s v="Otolith - Surface"/>
    <n v="2126660002"/>
    <s v="1 OTOLITH ACROSS (TRAY)"/>
    <s v="2M"/>
    <x v="3"/>
    <s v="9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0"/>
    <s v="EU"/>
    <s v="Otolith - Surface"/>
    <n v="2126660002"/>
    <s v="1 OTOLITH ACROSS (TRAY)"/>
    <s v="62"/>
    <x v="10"/>
    <s v="5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4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3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8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3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0"/>
    <s v="EU"/>
    <s v="Otolith - Surface"/>
    <n v="2126660002"/>
    <s v="1 OTOLITH ACROSS (TRAY)"/>
    <s v="62"/>
    <x v="10"/>
    <s v="7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3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8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6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0"/>
    <s v="EU"/>
    <s v="Otolith - Surface"/>
    <n v="2126660002"/>
    <s v="1 OTOLITH ACROSS (TRAY)"/>
    <s v="52"/>
    <x v="0"/>
    <s v="3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7"/>
    <s v="EU"/>
    <s v="Otolith - Surface"/>
    <n v="2126660002"/>
    <s v="1 OTOLITH ACROSS (TRAY)"/>
    <s v="31"/>
    <x v="7"/>
    <s v="7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4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0"/>
    <s v="EU"/>
    <s v="Otolith - Surface"/>
    <n v="2126660002"/>
    <s v="1 OTOLITH ACROSS (TRAY)"/>
    <s v="52"/>
    <x v="0"/>
    <s v="33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0"/>
    <x v="2"/>
    <s v="EU"/>
    <s v="Scales"/>
    <n v="2126660001"/>
    <s v="2 SCALES ACROSS PER FISH"/>
    <s v="42"/>
    <x v="2"/>
    <s v="1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0"/>
    <s v="EU"/>
    <s v="Otolith - Surface"/>
    <n v="2126660002"/>
    <s v="1 OTOLITH ACROSS (TRAY)"/>
    <s v="52"/>
    <x v="0"/>
    <s v="8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6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9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1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3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1"/>
    <x v="2"/>
    <s v="EU"/>
    <s v="Scales"/>
    <n v="2126660001"/>
    <s v="2 SCALES ACROSS PER FISH"/>
    <s v="42"/>
    <x v="2"/>
    <s v="1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2"/>
    <s v="EU"/>
    <s v="Otolith - Surface"/>
    <n v="2126660002"/>
    <s v="1 OTOLITH ACROSS (TRAY)"/>
    <s v="32"/>
    <x v="12"/>
    <s v="2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9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6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5"/>
    <s v="MY"/>
    <s v="Otolith - Surface"/>
    <n v="2126660002"/>
    <s v="1 OTOLITH ACROSS (TRAY)"/>
    <s v="3M"/>
    <x v="5"/>
    <s v="8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5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RS"/>
    <s v="2"/>
    <x v="11"/>
    <s v="FW"/>
    <s v="Scales"/>
    <n v="2126660001"/>
    <s v="5 SCALES DOWN PER FISH"/>
    <s v="S2"/>
    <x v="16"/>
    <s v="1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236"/>
    <n v="1"/>
    <s v="SOCKEYE SALMON"/>
    <n v="2086090012"/>
    <x v="1"/>
    <n v="83"/>
    <s v="Gaff (Deadpitch)"/>
    <s v="Adult"/>
    <d v="2020-09-21T00:00:00"/>
    <d v="2020-09-21T00:00:00"/>
    <s v="1003943"/>
  </r>
  <r>
    <s v=""/>
    <s v=""/>
    <x v="1"/>
    <s v="EU"/>
    <s v="Otolith - Surface"/>
    <n v="2126660002"/>
    <s v="1 OTOLITH ACROSS (TRAY)"/>
    <s v="41"/>
    <x v="1"/>
    <s v="1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UF"/>
    <s v=""/>
    <x v="5"/>
    <s v="MY"/>
    <s v="Otolith - Surface"/>
    <n v="2126660002"/>
    <s v="1 OTOLITH ACROSS (TRAY)"/>
    <s v="3M"/>
    <x v="5"/>
    <s v="4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S"/>
    <s v="2"/>
    <x v="6"/>
    <s v="EU"/>
    <s v="Scales"/>
    <n v="2126660001"/>
    <s v="2 SCALES ACROSS PER FISH"/>
    <s v=""/>
    <x v="6"/>
    <s v="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0"/>
    <s v="EU"/>
    <s v="Otolith - Surface"/>
    <n v="2126660002"/>
    <s v="1 OTOLITH ACROSS (TRAY)"/>
    <s v="52"/>
    <x v="0"/>
    <s v="1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3"/>
    <s v="EU"/>
    <s v="Otolith - Surface"/>
    <n v="2126660002"/>
    <s v="1 OTOLITH ACROSS (TRAY)"/>
    <s v="21"/>
    <x v="14"/>
    <s v="20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8"/>
    <s v="EU"/>
    <s v="Otolith - Surface"/>
    <n v="2126660002"/>
    <s v="1 OTOLITH ACROSS (TRAY)"/>
    <s v="63"/>
    <x v="8"/>
    <s v="6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9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85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8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1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2"/>
    <s v="EU"/>
    <s v="Otolith - Surface"/>
    <n v="2126660002"/>
    <s v="1 OTOLITH ACROSS (TRAY)"/>
    <s v="32"/>
    <x v="12"/>
    <s v="8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7"/>
    <s v="EU"/>
    <s v="Otolith - Surface"/>
    <n v="2126660002"/>
    <s v="1 OTOLITH ACROSS (TRAY)"/>
    <s v="31"/>
    <x v="7"/>
    <s v="9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G"/>
    <s v="0"/>
    <x v="5"/>
    <s v="MY"/>
    <s v="Scales"/>
    <n v="2126660001"/>
    <s v="2 SCALES ACROSS PER FISH"/>
    <s v="3M"/>
    <x v="5"/>
    <s v="1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"/>
    <x v="1"/>
    <s v="EU"/>
    <s v="Otolith - Surface"/>
    <n v="2126660002"/>
    <s v="1 OTOLITH ACROSS (TRAY)"/>
    <s v="41"/>
    <x v="1"/>
    <s v="13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0"/>
    <s v="EU"/>
    <s v="Otolith - Surface"/>
    <n v="2126660002"/>
    <s v="1 OTOLITH ACROSS (TRAY)"/>
    <s v="52"/>
    <x v="0"/>
    <s v="5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1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8"/>
    <s v="EU"/>
    <s v="Otolith - Surface"/>
    <n v="2126660002"/>
    <s v="1 OTOLITH ACROSS (TRAY)"/>
    <s v="63"/>
    <x v="8"/>
    <s v="9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2"/>
    <s v="EU"/>
    <s v="Otolith - Surface"/>
    <n v="2126660002"/>
    <s v="1 OTOLITH ACROSS (TRAY)"/>
    <s v="32"/>
    <x v="12"/>
    <s v="4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7"/>
    <s v="EU"/>
    <s v="Otolith - Surface"/>
    <n v="2126660002"/>
    <s v="1 OTOLITH ACROSS (TRAY)"/>
    <s v="31"/>
    <x v="7"/>
    <s v="8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0"/>
    <x v="2"/>
    <s v="EU"/>
    <s v="Scales"/>
    <n v="2126660001"/>
    <s v="2 SCALES ACROSS PER FISH"/>
    <s v="42"/>
    <x v="2"/>
    <s v="1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5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7"/>
    <s v="EU"/>
    <s v="Otolith - Surface"/>
    <n v="2126660002"/>
    <s v="1 OTOLITH ACROSS (TRAY)"/>
    <s v="31"/>
    <x v="7"/>
    <s v="9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1"/>
    <x v="2"/>
    <s v="EU"/>
    <s v="Scales"/>
    <n v="2126660001"/>
    <s v="2 SCALES ACROSS PER FISH"/>
    <s v="42"/>
    <x v="2"/>
    <s v="2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09T00:00:00"/>
    <d v="2008-09-23T00:00:00"/>
    <s v="67359"/>
  </r>
  <r>
    <s v=""/>
    <s v="0"/>
    <x v="0"/>
    <s v="EU"/>
    <s v="Scales"/>
    <n v="2126660001"/>
    <s v="2 SCALES ACROSS PER FISH"/>
    <s v="52"/>
    <x v="0"/>
    <s v="1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1"/>
    <s v="EU"/>
    <s v="Otolith - Surface"/>
    <n v="2126660002"/>
    <s v="1 OTOLITH ACROSS (TRAY)"/>
    <s v="41"/>
    <x v="1"/>
    <s v="2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32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3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9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5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0"/>
    <s v="EU"/>
    <s v="Otolith - Surface"/>
    <n v="2126660002"/>
    <s v="1 OTOLITH ACROSS (TRAY)"/>
    <s v="52"/>
    <x v="0"/>
    <s v="6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"/>
    <s v="EU"/>
    <s v="Otolith - Surface"/>
    <n v="2126660002"/>
    <s v="1 OTOLITH ACROSS (TRAY)"/>
    <s v="41"/>
    <x v="1"/>
    <s v="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7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0"/>
    <s v="EU"/>
    <s v="Otolith - Surface"/>
    <n v="2126660002"/>
    <s v="1 OTOLITH ACROSS (TRAY)"/>
    <s v="52"/>
    <x v="0"/>
    <s v="18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11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155"/>
    <n v="1"/>
    <s v="SOCKEYE SALMON"/>
    <n v="2086090012"/>
    <x v="1"/>
    <n v="8"/>
    <s v="Tangle Net"/>
    <s v="Adult"/>
    <d v="2020-09-21T00:00:00"/>
    <d v="2020-10-05T00:00:00"/>
    <s v="Oto Box 4"/>
  </r>
  <r>
    <s v=""/>
    <s v=""/>
    <x v="2"/>
    <s v="EU"/>
    <s v="Otolith - Surface"/>
    <n v="2126660002"/>
    <s v="1 OTOLITH ACROSS (TRAY)"/>
    <s v="42"/>
    <x v="2"/>
    <s v="2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3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12"/>
    <s v="EU"/>
    <s v="Otolith - Surface"/>
    <n v="2126660002"/>
    <s v="1 OTOLITH ACROSS (TRAY)"/>
    <s v="32"/>
    <x v="12"/>
    <s v="7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0"/>
    <s v="EU"/>
    <s v="Otolith - Surface"/>
    <n v="2126660002"/>
    <s v="1 OTOLITH ACROSS (TRAY)"/>
    <s v="52"/>
    <x v="0"/>
    <s v="6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s v=""/>
    <s v=""/>
    <x v="1"/>
    <s v="EU"/>
    <s v="Otolith - Surface"/>
    <n v="2126660002"/>
    <s v="1 OTOLITH ACROSS (TRAY)"/>
    <s v="41"/>
    <x v="1"/>
    <s v="9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2"/>
    <s v="EU"/>
    <s v="Otolith - Surface"/>
    <n v="2126660002"/>
    <s v="1 OTOLITH ACROSS (TRAY)"/>
    <s v="32"/>
    <x v="12"/>
    <s v="9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RS"/>
    <s v="2"/>
    <x v="11"/>
    <s v="FW"/>
    <s v="Scales"/>
    <n v="2126660001"/>
    <s v="5 SCALES DOWN PER FISH"/>
    <s v="S2"/>
    <x v="16"/>
    <s v="3"/>
    <s v="NORTHERN COASTAL FJORDS"/>
    <s v="R-16"/>
    <s v="8"/>
    <x v="1"/>
    <s v="SER"/>
    <s v="Atnarko River (Bella Coola) Sockeye"/>
    <n v="11378932"/>
    <n v="51780"/>
    <s v="ATNARKO ESCAPEMENT - 2020"/>
    <n v="970"/>
    <s v="ATNARKO RIVER"/>
    <x v="15"/>
    <s v="2020/0236"/>
    <n v="1"/>
    <s v="SOCKEYE SALMON"/>
    <n v="2086090012"/>
    <x v="1"/>
    <n v="83"/>
    <s v="Gaff (Deadpitch)"/>
    <s v="Adult"/>
    <d v="2020-09-21T00:00:00"/>
    <d v="2020-09-21T00:00:00"/>
    <s v="1003943"/>
  </r>
  <r>
    <s v=""/>
    <s v=""/>
    <x v="0"/>
    <s v="EU"/>
    <s v="Otolith - Surface"/>
    <n v="2126660002"/>
    <s v="1 OTOLITH ACROSS (TRAY)"/>
    <s v="52"/>
    <x v="0"/>
    <s v="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4T00:00:00"/>
    <d v="2013-10-04T00:00:00"/>
    <s v="Oto Tray #4"/>
  </r>
  <r>
    <s v=""/>
    <s v=""/>
    <x v="0"/>
    <s v="EU"/>
    <s v="Otolith - Surface"/>
    <n v="2126660002"/>
    <s v="1 OTOLITH ACROSS (TRAY)"/>
    <s v="52"/>
    <x v="0"/>
    <s v="1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7"/>
    <s v="EU"/>
    <s v="Otolith - Surface"/>
    <n v="2126660002"/>
    <s v="1 OTOLITH ACROSS (TRAY)"/>
    <s v="31"/>
    <x v="7"/>
    <s v="59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Otolith - Surface"/>
    <n v="2126660002"/>
    <s v="1 OTOLITH ACROSS (TRAY)"/>
    <s v="31"/>
    <x v="7"/>
    <s v="4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1"/>
    <s v="EU"/>
    <s v="Otolith - Surface"/>
    <n v="2126660002"/>
    <s v="1 OTOLITH ACROSS (TRAY)"/>
    <s v="41"/>
    <x v="1"/>
    <s v="1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RS"/>
    <s v="2"/>
    <x v="11"/>
    <s v="FW"/>
    <s v="Scales"/>
    <n v="2126660001"/>
    <s v="2 SCALES ACROSS PER FISH"/>
    <s v="S2"/>
    <x v="16"/>
    <s v="4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7"/>
    <s v="EU"/>
    <s v="Otolith - Surface"/>
    <n v="2126660002"/>
    <s v="1 OTOLITH ACROSS (TRAY)"/>
    <s v="31"/>
    <x v="7"/>
    <s v="9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0"/>
    <s v="EU"/>
    <s v="Otolith - Surface"/>
    <n v="2126660002"/>
    <s v="1 OTOLITH ACROSS (TRAY)"/>
    <s v="52"/>
    <x v="0"/>
    <s v="1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RS"/>
    <s v="2"/>
    <x v="6"/>
    <s v="EU"/>
    <s v="Scales"/>
    <n v="2126660001"/>
    <s v="2 SCALES ACROSS PER FISH"/>
    <s v=""/>
    <x v="6"/>
    <s v="8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7"/>
    <s v="EU"/>
    <s v="Otolith - Surface"/>
    <n v="2126660002"/>
    <s v="1 OTOLITH ACROSS (TRAY)"/>
    <s v="31"/>
    <x v="7"/>
    <s v="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30T00:00:00"/>
    <d v="2008-10-02T00:00:00"/>
    <s v="Oto Tray #2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W"/>
    <s v="1"/>
    <x v="3"/>
    <s v="MY"/>
    <s v="Scales"/>
    <n v="2126660001"/>
    <s v="2 SCALES ACROSS PER FISH"/>
    <s v="2M"/>
    <x v="3"/>
    <s v="1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5"/>
    <n v="1"/>
    <s v="SOCKEYE SALMON"/>
    <n v="2086090012"/>
    <x v="1"/>
    <n v="11"/>
    <s v="Other Gillnet/Set Net"/>
    <s v="Adult"/>
    <d v="2008-09-23T00:00:00"/>
    <d v="2008-09-26T00:00:00"/>
    <s v="67360"/>
  </r>
  <r>
    <s v=""/>
    <s v=""/>
    <x v="0"/>
    <s v="EU"/>
    <s v="Otolith - Surface"/>
    <n v="2126660002"/>
    <s v="1 OTOLITH ACROSS (TRAY)"/>
    <s v="52"/>
    <x v="0"/>
    <s v="17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7"/>
    <s v="EU"/>
    <s v="Otolith - Surface"/>
    <n v="2126660002"/>
    <s v="1 OTOLITH ACROSS (TRAY)"/>
    <s v="31"/>
    <x v="7"/>
    <s v="17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4268609"/>
    <n v="51780"/>
    <s v="ATNARKO ESCAPEMENT - 2008"/>
    <n v="970"/>
    <s v="ATNARKO RIVER"/>
    <x v="13"/>
    <s v="2008/0394"/>
    <n v="1"/>
    <s v="SOCKEYE SALMON"/>
    <n v="2086090012"/>
    <x v="1"/>
    <n v="83"/>
    <s v="Gaff (Deadpitch)"/>
    <s v="Adult"/>
    <d v="2008-09-29T00:00:00"/>
    <d v="2008-09-30T00:00:00"/>
    <s v="Oto Tray #1"/>
  </r>
  <r>
    <s v=""/>
    <s v=""/>
    <x v="1"/>
    <s v="EU"/>
    <s v="Otolith - Surface"/>
    <n v="2126660002"/>
    <s v="1 OTOLITH ACROSS (TRAY)"/>
    <s v="41"/>
    <x v="1"/>
    <s v="84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8"/>
    <s v="EU"/>
    <s v="Otolith - Surface"/>
    <n v="2126660002"/>
    <s v="1 OTOLITH ACROSS (TRAY)"/>
    <s v="63"/>
    <x v="8"/>
    <s v="83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09-24T00:00:00"/>
    <d v="2013-10-04T00:00:00"/>
    <s v="Oto Tray #3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7582771"/>
    <n v="51780"/>
    <s v="ATNARKO ESCAPEMENT - 2013"/>
    <n v="970"/>
    <s v="ATNARKO RIVER"/>
    <x v="22"/>
    <s v="2013/0368"/>
    <n v="1"/>
    <s v="SOCKEYE SALMON"/>
    <n v="2086090012"/>
    <x v="1"/>
    <n v="11"/>
    <s v="Other Gillnet/Set Net"/>
    <s v="Adult"/>
    <d v="2013-10-03T00:00:00"/>
    <d v="2013-10-03T00:00:00"/>
    <s v="Oto Tray #2"/>
  </r>
  <r>
    <s v=""/>
    <s v=""/>
    <x v="7"/>
    <s v="EU"/>
    <s v="Scales"/>
    <n v="2126660001"/>
    <s v="1 OTOLITH ACROSS (TRAY)"/>
    <s v="31"/>
    <x v="7"/>
    <s v="8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13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19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21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24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31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4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6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34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10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33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15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2"/>
    <s v="EU"/>
    <s v="Scales"/>
    <n v="2126660001"/>
    <s v="1 OTOLITH ACROSS (TRAY)"/>
    <s v="42"/>
    <x v="2"/>
    <s v="30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25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32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16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14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2"/>
    <s v="EU"/>
    <s v="Scales"/>
    <n v="2126660001"/>
    <s v="1 OTOLITH ACROSS (TRAY)"/>
    <s v="42"/>
    <x v="2"/>
    <s v="1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2"/>
    <s v="EU"/>
    <s v="Scales"/>
    <n v="2126660001"/>
    <s v="1 OTOLITH ACROSS (TRAY)"/>
    <s v="42"/>
    <x v="2"/>
    <s v="7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3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22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29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12"/>
    <s v="EU"/>
    <s v="Scales"/>
    <n v="2126660001"/>
    <s v="1 OTOLITH ACROSS (TRAY)"/>
    <s v="32"/>
    <x v="12"/>
    <s v="27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2"/>
    <s v="EU"/>
    <s v="Scales"/>
    <n v="2126660001"/>
    <s v="1 OTOLITH ACROSS (TRAY)"/>
    <s v="42"/>
    <x v="2"/>
    <s v="20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28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5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Scales"/>
    <n v="2126660001"/>
    <s v="1 OTOLITH ACROSS (TRAY)"/>
    <s v="52"/>
    <x v="0"/>
    <s v="11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2"/>
    <s v="EU"/>
    <s v="Scales"/>
    <n v="2126660001"/>
    <s v="1 OTOLITH ACROSS (TRAY)"/>
    <s v="42"/>
    <x v="2"/>
    <s v="17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12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18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5 SCALES DOWN PER FISH"/>
    <s v="31"/>
    <x v="7"/>
    <s v="10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2"/>
    <s v="EU"/>
    <s v="Scales"/>
    <n v="2126660001"/>
    <s v="5 SCALES DOWN PER FISH"/>
    <s v="42"/>
    <x v="2"/>
    <s v="9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2"/>
    <s v="EU"/>
    <s v="Scales"/>
    <n v="2126660001"/>
    <s v="5 SCALES DOWN PER FISH"/>
    <s v="42"/>
    <x v="2"/>
    <s v="6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2"/>
    <s v="EU"/>
    <s v="Scales"/>
    <n v="2126660001"/>
    <s v="5 SCALES DOWN PER FISH"/>
    <s v="42"/>
    <x v="2"/>
    <s v="4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7"/>
    <s v="EU"/>
    <s v="Scales"/>
    <n v="2126660001"/>
    <s v="1 OTOLITH ACROSS (TRAY)"/>
    <s v="31"/>
    <x v="7"/>
    <s v="26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2"/>
    <s v="EU"/>
    <s v="Scales"/>
    <n v="2126660001"/>
    <s v="1 OTOLITH ACROSS (TRAY)"/>
    <s v="42"/>
    <x v="2"/>
    <s v="2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7"/>
    <s v="EU"/>
    <s v="Scales"/>
    <n v="2126660001"/>
    <s v="1 OTOLITH ACROSS (TRAY)"/>
    <s v="31"/>
    <x v="7"/>
    <s v="9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MF"/>
    <s v=""/>
    <x v="6"/>
    <s v="EU"/>
    <s v="Scales"/>
    <n v="2126660001"/>
    <s v="1 OTOLITH ACROSS (TRAY)"/>
    <s v=""/>
    <x v="6"/>
    <s v="23"/>
    <s v="NORTHERN COASTAL FJORDS"/>
    <s v="R-16"/>
    <s v="8"/>
    <x v="1"/>
    <s v="SER"/>
    <s v="Atnarko River (Bella Coola) Sockeye"/>
    <n v="8134017"/>
    <n v="51780"/>
    <s v="ATNARKO ESCAPEMENT - 2014"/>
    <n v="970"/>
    <s v="ATNARKO RIVER"/>
    <x v="17"/>
    <s v="2014/0403"/>
    <n v="1"/>
    <s v="SOCKEYE SALMON"/>
    <n v="2086090012"/>
    <x v="1"/>
    <n v="11"/>
    <s v="Other Gillnet/Set Net"/>
    <s v="Adult"/>
    <d v="2014-09-30T00:00:00"/>
    <d v="2014-10-03T00:00:00"/>
    <s v="Oto Tray #1"/>
  </r>
  <r>
    <s v=""/>
    <s v=""/>
    <x v="0"/>
    <s v="EU"/>
    <s v="Otolith - Surface"/>
    <n v="2126660002"/>
    <s v="1 OTOLITH ACROSS (TRAY)"/>
    <s v="52"/>
    <x v="0"/>
    <s v="5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6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1"/>
    <s v="EU"/>
    <s v="Otolith - Surface"/>
    <n v="2126660002"/>
    <s v="1 OTOLITH ACROSS (TRAY)"/>
    <s v="41"/>
    <x v="1"/>
    <s v="6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6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8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9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9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8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4"/>
    <s v="EU"/>
    <s v="Otolith - Surface"/>
    <n v="2126660002"/>
    <s v="1 OTOLITH ACROSS (TRAY)"/>
    <s v="53"/>
    <x v="4"/>
    <s v="5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"/>
    <s v="EU"/>
    <s v="Otolith - Surface"/>
    <n v="2126660002"/>
    <s v="1 OTOLITH ACROSS (TRAY)"/>
    <s v="41"/>
    <x v="1"/>
    <s v="7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7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1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"/>
    <s v="EU"/>
    <s v="Otolith - Surface"/>
    <n v="2126660002"/>
    <s v="1 OTOLITH ACROSS (TRAY)"/>
    <s v="41"/>
    <x v="1"/>
    <s v="1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1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2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2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2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3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3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2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4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"/>
    <s v="EU"/>
    <s v="Otolith - Surface"/>
    <n v="2126660002"/>
    <s v="1 OTOLITH ACROSS (TRAY)"/>
    <s v="41"/>
    <x v="1"/>
    <s v="4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12"/>
    <s v="EU"/>
    <s v="Otolith - Surface"/>
    <n v="2126660002"/>
    <s v="1 OTOLITH ACROSS (TRAY)"/>
    <s v="32"/>
    <x v="12"/>
    <s v="2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5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2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6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Scales"/>
    <n v="2126660001"/>
    <s v="5 SCALES DOWN PER FISH"/>
    <s v="52"/>
    <x v="0"/>
    <s v="1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0"/>
    <s v="EU"/>
    <s v="Otolith - Surface"/>
    <n v="2126660002"/>
    <s v="1 OTOLITH ACROSS (TRAY)"/>
    <s v="52"/>
    <x v="0"/>
    <s v="6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7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3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Scales"/>
    <n v="2126660001"/>
    <s v="5 SCALES DOWN PER FISH"/>
    <s v="52"/>
    <x v="0"/>
    <s v="1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5T00:00:00"/>
    <d v="1997-07-25T00:00:00"/>
    <s v="1997310141978774"/>
  </r>
  <r>
    <s v=""/>
    <s v=""/>
    <x v="2"/>
    <s v="EU"/>
    <s v="Scales"/>
    <n v="2126660001"/>
    <s v="5 SCALES DOWN PER FISH"/>
    <s v="42"/>
    <x v="2"/>
    <s v="7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12"/>
    <s v="EU"/>
    <s v="Otolith - Surface"/>
    <n v="2126660002"/>
    <s v="1 OTOLITH ACROSS (TRAY)"/>
    <s v="32"/>
    <x v="12"/>
    <s v="3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2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7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4"/>
    <s v="EU"/>
    <s v="Otolith - Surface"/>
    <n v="2126660002"/>
    <s v="1 OTOLITH ACROSS (TRAY)"/>
    <s v="53"/>
    <x v="4"/>
    <s v="2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5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5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9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4"/>
    <s v="EU"/>
    <s v="Otolith - Surface"/>
    <n v="2126660002"/>
    <s v="1 OTOLITH ACROSS (TRAY)"/>
    <s v="53"/>
    <x v="4"/>
    <s v="9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2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4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1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9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6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3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4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7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2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1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7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7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2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5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"/>
    <s v="EU"/>
    <s v="Otolith - Surface"/>
    <n v="2126660002"/>
    <s v="1 OTOLITH ACROSS (TRAY)"/>
    <s v="41"/>
    <x v="1"/>
    <s v="3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8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2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"/>
    <s v="EU"/>
    <s v="Otolith - Surface"/>
    <n v="2126660002"/>
    <s v="1 OTOLITH ACROSS (TRAY)"/>
    <s v="41"/>
    <x v="1"/>
    <s v="4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4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3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3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12"/>
    <s v="EU"/>
    <s v="Otolith - Surface"/>
    <n v="2126660002"/>
    <s v="1 OTOLITH ACROSS (TRAY)"/>
    <s v="32"/>
    <x v="12"/>
    <s v="3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7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2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9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1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7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4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5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1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Scales"/>
    <n v="2126660001"/>
    <s v="5 SCALES DOWN PER FISH"/>
    <s v="52"/>
    <x v="0"/>
    <s v="2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8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9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9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9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1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8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12"/>
    <s v="EU"/>
    <s v="Otolith - Surface"/>
    <n v="2126660002"/>
    <s v="1 OTOLITH ACROSS (TRAY)"/>
    <s v="32"/>
    <x v="12"/>
    <s v="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3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5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7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6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6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6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9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5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6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74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0"/>
    <s v="EU"/>
    <s v="Otolith - Surface"/>
    <n v="2126660002"/>
    <s v="1 OTOLITH ACROSS (TRAY)"/>
    <s v="52"/>
    <x v="0"/>
    <s v="9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1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8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8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9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Scales"/>
    <n v="2126660001"/>
    <s v="5 SCALES DOWN PER FISH"/>
    <s v="42"/>
    <x v="2"/>
    <s v="5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0"/>
    <s v="EU"/>
    <s v="Otolith - Surface"/>
    <n v="2126660002"/>
    <s v="1 OTOLITH ACROSS (TRAY)"/>
    <s v="52"/>
    <x v="0"/>
    <s v="4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6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4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5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0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Otolith - Surface"/>
    <n v="2126660002"/>
    <s v="1 OTOLITH ACROSS (TRAY)"/>
    <s v="52"/>
    <x v="0"/>
    <s v="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15"/>
    <s v="EU"/>
    <s v="Otolith - Surface"/>
    <n v="2126660002"/>
    <s v="1 OTOLITH ACROSS (TRAY)"/>
    <s v="43"/>
    <x v="17"/>
    <s v="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72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2"/>
    <s v="EU"/>
    <s v="Otolith - Surface"/>
    <n v="2126660002"/>
    <s v="1 OTOLITH ACROSS (TRAY)"/>
    <s v="32"/>
    <x v="12"/>
    <s v="79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83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9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5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25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26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0"/>
    <s v="EU"/>
    <s v="Scales"/>
    <n v="2126660001"/>
    <s v="5 SCALES DOWN PER FISH"/>
    <s v="52"/>
    <x v="0"/>
    <s v="3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2"/>
    <s v="EU"/>
    <s v="Otolith - Surface"/>
    <n v="2126660002"/>
    <s v="1 OTOLITH ACROSS (TRAY)"/>
    <s v="42"/>
    <x v="2"/>
    <s v="2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0"/>
    <s v="EU"/>
    <s v="Otolith - Surface"/>
    <n v="2126660002"/>
    <s v="1 OTOLITH ACROSS (TRAY)"/>
    <s v="52"/>
    <x v="0"/>
    <s v="6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1T00:00:00"/>
    <d v="2016-09-28T00:00:00"/>
    <s v="Oto Tray SX Brood"/>
  </r>
  <r>
    <s v=""/>
    <s v=""/>
    <x v="2"/>
    <s v="EU"/>
    <s v="Otolith - Surface"/>
    <n v="2126660002"/>
    <s v="1 OTOLITH ACROSS (TRAY)"/>
    <s v="42"/>
    <x v="2"/>
    <s v="71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2"/>
    <s v="EU"/>
    <s v="Otolith - Surface"/>
    <n v="2126660002"/>
    <s v="1 OTOLITH ACROSS (TRAY)"/>
    <s v="42"/>
    <x v="2"/>
    <s v="10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2"/>
  </r>
  <r>
    <s v=""/>
    <s v=""/>
    <x v="2"/>
    <s v="EU"/>
    <s v="Otolith - Surface"/>
    <n v="2126660002"/>
    <s v="1 OTOLITH ACROSS (TRAY)"/>
    <s v="42"/>
    <x v="2"/>
    <s v="57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s v=""/>
    <s v=""/>
    <x v="1"/>
    <s v="EU"/>
    <s v="Scales"/>
    <n v="2126660001"/>
    <s v="5 SCALES DOWN PER FISH"/>
    <s v="41"/>
    <x v="1"/>
    <s v="8"/>
    <s v="NORTHERN COASTAL FJORDS"/>
    <s v="R-16"/>
    <s v="8"/>
    <x v="1"/>
    <s v="SER"/>
    <s v="Atnarko River (Bella Coola) Sockeye"/>
    <n v="-1000004773"/>
    <n v="51780"/>
    <s v="BELLA COOLA/ATNARKO INDIAN FOOD FISHERY(IFF)-1997"/>
    <n v="970"/>
    <s v="ATNARKO RIVER"/>
    <x v="19"/>
    <s v="419"/>
    <n v="1"/>
    <s v="SOCKEYE SALMON"/>
    <n v="2086090006"/>
    <x v="0"/>
    <n v="10"/>
    <s v="Salmon Gillnet, Commercial"/>
    <s v="Adult"/>
    <d v="1997-07-22T00:00:00"/>
    <d v="1997-07-22T00:00:00"/>
    <s v="1997310141978773"/>
  </r>
  <r>
    <s v=""/>
    <s v=""/>
    <x v="2"/>
    <s v="EU"/>
    <s v="Otolith - Surface"/>
    <n v="2126660002"/>
    <s v="1 OTOLITH ACROSS (TRAY)"/>
    <s v="42"/>
    <x v="2"/>
    <s v="8"/>
    <s v="NORTHERN COASTAL FJORDS"/>
    <s v="R-16"/>
    <s v="8"/>
    <x v="1"/>
    <s v="SER"/>
    <s v="Atnarko River (Bella Coola) Sockeye"/>
    <n v="9269719"/>
    <n v="51780"/>
    <s v="ATNARKO ESCAPEMENT - 2016"/>
    <n v="970"/>
    <s v="ATNARKO RIVER"/>
    <x v="5"/>
    <s v="2016/0333"/>
    <n v="1"/>
    <s v="SOCKEYE SALMON"/>
    <n v="2086090012"/>
    <x v="1"/>
    <n v="11"/>
    <s v="Other Gillnet/Set Net"/>
    <s v="Adult"/>
    <d v="2016-09-27T00:00:00"/>
    <d v="2016-09-27T00:00:00"/>
    <s v="Oto Tray 1"/>
  </r>
  <r>
    <m/>
    <m/>
    <x v="17"/>
    <m/>
    <m/>
    <m/>
    <m/>
    <m/>
    <x v="20"/>
    <m/>
    <m/>
    <m/>
    <m/>
    <x v="2"/>
    <m/>
    <m/>
    <m/>
    <m/>
    <m/>
    <m/>
    <m/>
    <x v="23"/>
    <m/>
    <m/>
    <m/>
    <m/>
    <x v="4"/>
    <m/>
    <m/>
    <m/>
    <m/>
    <m/>
    <m/>
  </r>
  <r>
    <m/>
    <m/>
    <x v="17"/>
    <m/>
    <m/>
    <m/>
    <m/>
    <m/>
    <x v="20"/>
    <m/>
    <m/>
    <m/>
    <m/>
    <x v="2"/>
    <m/>
    <m/>
    <m/>
    <m/>
    <m/>
    <m/>
    <m/>
    <x v="23"/>
    <m/>
    <m/>
    <m/>
    <m/>
    <x v="4"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4">
  <r>
    <n v="102061"/>
    <x v="0"/>
    <x v="0"/>
    <s v="8"/>
    <x v="0"/>
    <s v="1034101"/>
    <s v="2022-06-13"/>
    <s v="2022-07-20"/>
    <x v="0"/>
    <s v="Adult"/>
    <s v="First Nations - FSC"/>
    <s v="Gillnet"/>
    <s v="Scales"/>
    <n v="1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3"/>
    <x v="1"/>
    <x v="0"/>
    <s v="Regenerate Scale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4"/>
    <x v="1"/>
    <x v="1"/>
    <s v="Regenerate Scale"/>
    <m/>
    <x v="2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5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6"/>
    <x v="0"/>
    <x v="0"/>
    <m/>
    <m/>
    <x v="0"/>
  </r>
  <r>
    <n v="102061"/>
    <x v="0"/>
    <x v="0"/>
    <s v="8"/>
    <x v="0"/>
    <s v="1034101"/>
    <s v="2022-06-13"/>
    <s v="2022-07-20"/>
    <x v="1"/>
    <s v="Adult"/>
    <s v="First Nations - FSC"/>
    <s v="Gillnet"/>
    <s v="Scales"/>
    <n v="7"/>
    <x v="2"/>
    <x v="0"/>
    <m/>
    <m/>
    <x v="3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8"/>
    <x v="1"/>
    <x v="0"/>
    <s v="Mixed Fish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9"/>
    <x v="1"/>
    <x v="1"/>
    <s v="Regenerate Scale"/>
    <m/>
    <x v="2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0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1"/>
    <x v="1"/>
    <x v="1"/>
    <s v="Regenerate Scale"/>
    <m/>
    <x v="2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2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3"/>
    <x v="3"/>
    <x v="0"/>
    <m/>
    <m/>
    <x v="4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4"/>
    <x v="1"/>
    <x v="0"/>
    <s v="Regenerate Scale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5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6"/>
    <x v="4"/>
    <x v="0"/>
    <m/>
    <m/>
    <x v="5"/>
  </r>
  <r>
    <n v="102061"/>
    <x v="0"/>
    <x v="0"/>
    <s v="8"/>
    <x v="0"/>
    <s v="1034101"/>
    <s v="2022-06-13"/>
    <s v="2022-07-20"/>
    <x v="1"/>
    <s v="Adult"/>
    <s v="First Nations - FSC"/>
    <s v="Gillnet"/>
    <s v="Scales"/>
    <n v="17"/>
    <x v="2"/>
    <x v="0"/>
    <m/>
    <m/>
    <x v="3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8"/>
    <x v="1"/>
    <x v="2"/>
    <s v="Regenerate Scale"/>
    <m/>
    <x v="6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19"/>
    <x v="4"/>
    <x v="0"/>
    <m/>
    <m/>
    <x v="5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0"/>
    <x v="0"/>
    <x v="0"/>
    <m/>
    <m/>
    <x v="0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1"/>
    <x v="1"/>
    <x v="0"/>
    <s v="Regenerate Scale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2"/>
    <x v="1"/>
    <x v="0"/>
    <s v="Regenerate Scale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3"/>
    <x v="1"/>
    <x v="0"/>
    <s v="Upside Down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4"/>
    <x v="1"/>
    <x v="0"/>
    <s v="Upside Down"/>
    <m/>
    <x v="1"/>
  </r>
  <r>
    <n v="102061"/>
    <x v="0"/>
    <x v="0"/>
    <s v="8"/>
    <x v="0"/>
    <s v="1034101"/>
    <s v="2022-06-13"/>
    <s v="2022-07-20"/>
    <x v="0"/>
    <s v="Adult"/>
    <s v="First Nations - FSC"/>
    <s v="Gillnet"/>
    <s v="Scales"/>
    <n v="25"/>
    <x v="1"/>
    <x v="0"/>
    <s v="Upside Down"/>
    <m/>
    <x v="1"/>
  </r>
  <r>
    <n v="102061"/>
    <x v="0"/>
    <x v="0"/>
    <s v="8"/>
    <x v="0"/>
    <s v="1034102"/>
    <s v="2022-06-13"/>
    <s v="2022-07-20"/>
    <x v="0"/>
    <s v="Adult"/>
    <s v="First Nations - FSC"/>
    <s v="Gillnet"/>
    <s v="Scales"/>
    <n v="1"/>
    <x v="1"/>
    <x v="0"/>
    <s v="Upside Down"/>
    <m/>
    <x v="1"/>
  </r>
  <r>
    <n v="102061"/>
    <x v="0"/>
    <x v="0"/>
    <s v="8"/>
    <x v="0"/>
    <s v="1034102"/>
    <s v="2022-06-13"/>
    <s v="2022-07-20"/>
    <x v="0"/>
    <s v="Adult"/>
    <s v="First Nations - FSC"/>
    <s v="Gillnet"/>
    <s v="Scales"/>
    <n v="2"/>
    <x v="1"/>
    <x v="2"/>
    <s v="Regenerate Scale"/>
    <m/>
    <x v="6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1"/>
    <x v="1"/>
    <x v="1"/>
    <s v="Wet Scale"/>
    <m/>
    <x v="2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2"/>
    <x v="0"/>
    <x v="0"/>
    <m/>
    <m/>
    <x v="0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3"/>
    <x v="0"/>
    <x v="0"/>
    <m/>
    <m/>
    <x v="0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4"/>
    <x v="1"/>
    <x v="0"/>
    <s v="Upside Down"/>
    <m/>
    <x v="1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5"/>
    <x v="4"/>
    <x v="0"/>
    <m/>
    <s v="Resorption present but not enough to suspect an annuli is missing.  Age unaffected."/>
    <x v="5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6"/>
    <x v="0"/>
    <x v="0"/>
    <m/>
    <m/>
    <x v="0"/>
  </r>
  <r>
    <n v="114303"/>
    <x v="1"/>
    <x v="0"/>
    <s v="8"/>
    <x v="1"/>
    <s v="1010144"/>
    <s v="2023-07-04"/>
    <s v="2023-07-04"/>
    <x v="0"/>
    <s v="Adult"/>
    <s v="First Nations - FSC"/>
    <s v="Drift Net"/>
    <s v="Scales"/>
    <n v="7"/>
    <x v="1"/>
    <x v="1"/>
    <s v="Wet Scale"/>
    <m/>
    <x v="2"/>
  </r>
  <r>
    <n v="114303"/>
    <x v="1"/>
    <x v="0"/>
    <s v="8"/>
    <x v="1"/>
    <s v="1010145"/>
    <s v="2023-07-11"/>
    <s v="2023-07-12"/>
    <x v="0"/>
    <s v="Adult"/>
    <s v="First Nations - FSC"/>
    <s v="Drift Net"/>
    <s v="Scales"/>
    <n v="1"/>
    <x v="1"/>
    <x v="0"/>
    <s v="No Structure"/>
    <m/>
    <x v="1"/>
  </r>
  <r>
    <n v="114303"/>
    <x v="1"/>
    <x v="0"/>
    <s v="8"/>
    <x v="1"/>
    <s v="1010145"/>
    <s v="2023-07-11"/>
    <s v="2023-07-12"/>
    <x v="0"/>
    <s v="Adult"/>
    <s v="First Nations - FSC"/>
    <s v="Drift Net"/>
    <s v="Scales"/>
    <n v="2"/>
    <x v="1"/>
    <x v="0"/>
    <s v="No Structure"/>
    <m/>
    <x v="1"/>
  </r>
  <r>
    <n v="114303"/>
    <x v="1"/>
    <x v="0"/>
    <s v="8"/>
    <x v="1"/>
    <s v="1010145"/>
    <s v="2023-07-11"/>
    <s v="2023-07-12"/>
    <x v="0"/>
    <s v="Adult"/>
    <s v="First Nations - FSC"/>
    <s v="Drift Net"/>
    <s v="Scales"/>
    <n v="3"/>
    <x v="0"/>
    <x v="0"/>
    <m/>
    <m/>
    <x v="0"/>
  </r>
  <r>
    <n v="114303"/>
    <x v="1"/>
    <x v="0"/>
    <s v="8"/>
    <x v="1"/>
    <s v="1010145"/>
    <s v="2023-07-11"/>
    <s v="2023-07-12"/>
    <x v="0"/>
    <s v="Adult"/>
    <s v="First Nations - FSC"/>
    <s v="Drift Net"/>
    <s v="Scales"/>
    <n v="4"/>
    <x v="1"/>
    <x v="0"/>
    <s v="Upside Down"/>
    <m/>
    <x v="1"/>
  </r>
  <r>
    <n v="114303"/>
    <x v="1"/>
    <x v="0"/>
    <s v="8"/>
    <x v="1"/>
    <s v="1010145"/>
    <s v="2023-07-11"/>
    <s v="2023-07-12"/>
    <x v="0"/>
    <s v="Adult"/>
    <s v="First Nations - FSC"/>
    <s v="Drift Net"/>
    <s v="Scales"/>
    <n v="5"/>
    <x v="1"/>
    <x v="0"/>
    <s v="Upside Down"/>
    <m/>
    <x v="1"/>
  </r>
  <r>
    <n v="114303"/>
    <x v="1"/>
    <x v="0"/>
    <s v="8"/>
    <x v="1"/>
    <s v="1010145"/>
    <s v="2023-07-11"/>
    <s v="2023-07-12"/>
    <x v="0"/>
    <s v="Adult"/>
    <s v="First Nations - FSC"/>
    <s v="Drift Net"/>
    <s v="Scales"/>
    <n v="6"/>
    <x v="0"/>
    <x v="0"/>
    <m/>
    <m/>
    <x v="0"/>
  </r>
  <r>
    <n v="114303"/>
    <x v="1"/>
    <x v="0"/>
    <s v="8"/>
    <x v="1"/>
    <s v="1012012"/>
    <s v="2023-06-27"/>
    <s v="2023-06-29"/>
    <x v="0"/>
    <s v="Adult"/>
    <s v="First Nations - FSC"/>
    <s v="Drift Net"/>
    <s v="Scales"/>
    <n v="1"/>
    <x v="1"/>
    <x v="2"/>
    <s v="Regenerate Scale"/>
    <m/>
    <x v="6"/>
  </r>
  <r>
    <n v="114303"/>
    <x v="1"/>
    <x v="0"/>
    <s v="8"/>
    <x v="1"/>
    <s v="1012012"/>
    <s v="2023-06-27"/>
    <s v="2023-06-29"/>
    <x v="0"/>
    <s v="Adult"/>
    <s v="First Nations - FSC"/>
    <s v="Drift Net"/>
    <s v="Scales"/>
    <n v="2"/>
    <x v="1"/>
    <x v="0"/>
    <s v="Upside Down"/>
    <m/>
    <x v="1"/>
  </r>
  <r>
    <n v="114303"/>
    <x v="1"/>
    <x v="0"/>
    <s v="8"/>
    <x v="1"/>
    <s v="1012012"/>
    <s v="2023-06-27"/>
    <s v="2023-06-29"/>
    <x v="0"/>
    <s v="Adult"/>
    <s v="First Nations - FSC"/>
    <s v="Drift Net"/>
    <s v="Scales"/>
    <n v="3"/>
    <x v="1"/>
    <x v="2"/>
    <s v="Regenerate Scale"/>
    <m/>
    <x v="6"/>
  </r>
  <r>
    <n v="114303"/>
    <x v="1"/>
    <x v="0"/>
    <s v="8"/>
    <x v="1"/>
    <s v="1012012"/>
    <s v="2023-06-27"/>
    <s v="2023-06-29"/>
    <x v="0"/>
    <s v="Adult"/>
    <s v="First Nations - FSC"/>
    <s v="Drift Net"/>
    <s v="Scales"/>
    <n v="4"/>
    <x v="0"/>
    <x v="0"/>
    <m/>
    <m/>
    <x v="0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1"/>
    <x v="1"/>
    <x v="2"/>
    <m/>
    <m/>
    <x v="6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2"/>
    <x v="4"/>
    <x v="0"/>
    <m/>
    <m/>
    <x v="5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3"/>
    <x v="0"/>
    <x v="0"/>
    <m/>
    <s v="Resorption present but not enough to suspect an annuli is missing.  Age unaffected."/>
    <x v="0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4"/>
    <x v="1"/>
    <x v="0"/>
    <s v="Mixed Fish"/>
    <m/>
    <x v="1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5"/>
    <x v="0"/>
    <x v="0"/>
    <m/>
    <s v="Resorption present but not enough to suspect an annuli is missing.  Age unaffected."/>
    <x v="0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6"/>
    <x v="5"/>
    <x v="0"/>
    <m/>
    <s v="Resorption present but not enough to suspect an annuli is missing.  Age unaffected."/>
    <x v="7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7"/>
    <x v="0"/>
    <x v="0"/>
    <m/>
    <s v="Resorption present but not enough to suspect an annuli is missing.  Age unaffected."/>
    <x v="0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8"/>
    <x v="5"/>
    <x v="0"/>
    <m/>
    <s v="Resorption present but not enough to suspect an annuli is missing.  Age unaffected."/>
    <x v="7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9"/>
    <x v="0"/>
    <x v="0"/>
    <m/>
    <s v="Resorption present but not enough to suspect an annuli is missing.  Age unaffected."/>
    <x v="0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10"/>
    <x v="0"/>
    <x v="0"/>
    <m/>
    <s v="Resorption present but not enough to suspect an annuli is missing.  Age unaffected."/>
    <x v="0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11"/>
    <x v="1"/>
    <x v="0"/>
    <s v="Regenerate Scale"/>
    <m/>
    <x v="1"/>
  </r>
  <r>
    <n v="128623"/>
    <x v="2"/>
    <x v="0"/>
    <s v="8"/>
    <x v="1"/>
    <s v="1048453"/>
    <s v="2024-06-18"/>
    <s v="2024-07-25"/>
    <x v="0"/>
    <s v="Adult"/>
    <s v="First Nations - FSC"/>
    <s v="Gillnet"/>
    <s v="Scales"/>
    <n v="12"/>
    <x v="0"/>
    <x v="0"/>
    <m/>
    <s v="Resorption present but not enough to suspect an annuli is missing.  Age unaffected."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1"/>
    <x v="4"/>
    <x v="0"/>
    <m/>
    <m/>
    <x v="5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2"/>
    <x v="0"/>
    <x v="0"/>
    <m/>
    <s v="Resorption present but not enough to suspect an annuli is missing.  Age unaffected."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3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4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5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6"/>
    <x v="1"/>
    <x v="0"/>
    <s v="2 structures; ages do no agree/another abbrev. does not provide the reason"/>
    <m/>
    <x v="1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7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8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9"/>
    <x v="4"/>
    <x v="0"/>
    <m/>
    <m/>
    <x v="5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10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11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12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13"/>
    <x v="0"/>
    <x v="0"/>
    <m/>
    <m/>
    <x v="0"/>
  </r>
  <r>
    <n v="101623"/>
    <x v="0"/>
    <x v="1"/>
    <s v="8"/>
    <x v="2"/>
    <s v="1036218"/>
    <s v="2022-09-23"/>
    <s v="2022-09-23"/>
    <x v="0"/>
    <s v="Adult"/>
    <s v="Escapement"/>
    <s v="Gaff"/>
    <s v="Otoliths and Scales"/>
    <n v="14"/>
    <x v="0"/>
    <x v="0"/>
    <m/>
    <s v="Resorption present but not enough to suspect an annuli is missing.  Age unaffected."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"/>
    <x v="1"/>
    <x v="3"/>
    <m/>
    <m/>
    <x v="8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2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3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4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5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6"/>
    <x v="0"/>
    <x v="0"/>
    <m/>
    <s v="Resorption present but not enough to suspect an annuli is missing.  Age unaffected."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7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8"/>
    <x v="0"/>
    <x v="0"/>
    <m/>
    <s v="Resorption present but not enough to suspect an annuli is missing.  Age unaffected."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9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0"/>
    <x v="1"/>
    <x v="3"/>
    <m/>
    <m/>
    <x v="8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1"/>
    <x v="4"/>
    <x v="0"/>
    <m/>
    <m/>
    <x v="5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2"/>
    <x v="0"/>
    <x v="0"/>
    <m/>
    <m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3"/>
    <x v="4"/>
    <x v="0"/>
    <m/>
    <s v="Resorption present but not enough to suspect an annuli is missing.  Age unaffected."/>
    <x v="5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4"/>
    <x v="0"/>
    <x v="0"/>
    <m/>
    <s v="Resorption present but not enough to suspect an annuli is missing.  Age unaffected."/>
    <x v="0"/>
  </r>
  <r>
    <n v="101625"/>
    <x v="0"/>
    <x v="1"/>
    <s v="8"/>
    <x v="2"/>
    <s v="1036519"/>
    <s v="2022-09-12"/>
    <s v="2022-10-03"/>
    <x v="0"/>
    <s v="Adult"/>
    <s v="Escapement"/>
    <s v="Gaff"/>
    <s v="Otoliths and Scales"/>
    <n v="15"/>
    <x v="0"/>
    <x v="0"/>
    <m/>
    <m/>
    <x v="0"/>
  </r>
  <r>
    <n v="101625"/>
    <x v="0"/>
    <x v="1"/>
    <s v="8"/>
    <x v="2"/>
    <s v="1036520"/>
    <s v="2022-09-12"/>
    <s v="2022-10-03"/>
    <x v="0"/>
    <s v="Adult"/>
    <s v="Escapement"/>
    <s v="Gaff"/>
    <s v="Otoliths and Scales"/>
    <n v="1"/>
    <x v="0"/>
    <x v="0"/>
    <m/>
    <m/>
    <x v="0"/>
  </r>
  <r>
    <n v="101625"/>
    <x v="0"/>
    <x v="1"/>
    <s v="8"/>
    <x v="2"/>
    <s v="1036520"/>
    <s v="2022-09-12"/>
    <s v="2022-10-03"/>
    <x v="0"/>
    <s v="Adult"/>
    <s v="Escapement"/>
    <s v="Gaff"/>
    <s v="Otoliths and Scales"/>
    <n v="2"/>
    <x v="1"/>
    <x v="3"/>
    <m/>
    <m/>
    <x v="8"/>
  </r>
  <r>
    <n v="101625"/>
    <x v="0"/>
    <x v="1"/>
    <s v="8"/>
    <x v="2"/>
    <s v="1036520"/>
    <s v="2022-09-12"/>
    <s v="2022-10-03"/>
    <x v="0"/>
    <s v="Adult"/>
    <s v="Escapement"/>
    <s v="Gaff"/>
    <s v="Otoliths and Scales"/>
    <n v="3"/>
    <x v="1"/>
    <x v="3"/>
    <m/>
    <m/>
    <x v="8"/>
  </r>
  <r>
    <n v="101627"/>
    <x v="0"/>
    <x v="1"/>
    <s v="8"/>
    <x v="2"/>
    <s v="1036220"/>
    <s v="2022-09-28"/>
    <s v="2022-09-28"/>
    <x v="0"/>
    <s v="Adult"/>
    <s v="Escapement"/>
    <s v="Gaff"/>
    <s v="Otoliths and Scales"/>
    <n v="1"/>
    <x v="0"/>
    <x v="0"/>
    <m/>
    <m/>
    <x v="0"/>
  </r>
  <r>
    <n v="101627"/>
    <x v="0"/>
    <x v="1"/>
    <s v="8"/>
    <x v="2"/>
    <s v="1036220"/>
    <s v="2022-09-28"/>
    <s v="2022-09-28"/>
    <x v="0"/>
    <s v="Adult"/>
    <s v="Escapement"/>
    <s v="Gaff"/>
    <s v="Otoliths and Scales"/>
    <n v="2"/>
    <x v="4"/>
    <x v="0"/>
    <m/>
    <m/>
    <x v="5"/>
  </r>
  <r>
    <n v="101629"/>
    <x v="0"/>
    <x v="1"/>
    <s v="8"/>
    <x v="2"/>
    <s v="1036522"/>
    <s v="2022-09-21"/>
    <s v="2022-09-28"/>
    <x v="0"/>
    <s v="Adult"/>
    <s v="Escapement"/>
    <s v="Gillnet"/>
    <s v="Scales"/>
    <n v="1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2"/>
    <s v="2022-09-21"/>
    <s v="2022-09-28"/>
    <x v="0"/>
    <s v="Adult"/>
    <s v="Escapement"/>
    <s v="Gillnet"/>
    <s v="Scales"/>
    <n v="2"/>
    <x v="1"/>
    <x v="1"/>
    <s v="Regenerate Scale"/>
    <s v="Resorbed Age Interpretation. Resorption affecting age and missing 1 marine annulus"/>
    <x v="2"/>
  </r>
  <r>
    <n v="101629"/>
    <x v="0"/>
    <x v="1"/>
    <s v="8"/>
    <x v="2"/>
    <s v="1036522"/>
    <s v="2022-09-21"/>
    <s v="2022-09-28"/>
    <x v="0"/>
    <s v="Adult"/>
    <s v="Escapement"/>
    <s v="Gillnet"/>
    <s v="Scales"/>
    <n v="3"/>
    <x v="1"/>
    <x v="1"/>
    <s v="Regenerate Scale"/>
    <s v="Resorbed Age Interpretation. Resorption affecting age and missing 1 marine annulus"/>
    <x v="2"/>
  </r>
  <r>
    <n v="101629"/>
    <x v="0"/>
    <x v="1"/>
    <s v="8"/>
    <x v="2"/>
    <s v="1036522"/>
    <s v="2022-09-21"/>
    <s v="2022-09-28"/>
    <x v="0"/>
    <s v="Adult"/>
    <s v="Escapement"/>
    <s v="Gillnet"/>
    <s v="Scales"/>
    <n v="4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2"/>
    <s v="2022-09-21"/>
    <s v="2022-09-28"/>
    <x v="0"/>
    <s v="Adult"/>
    <s v="Escapement"/>
    <s v="Gillnet"/>
    <s v="Scales"/>
    <n v="5"/>
    <x v="0"/>
    <x v="0"/>
    <m/>
    <s v="Resorbed Age Interpretation. Resorption affecting age and missing 1 marine annulus"/>
    <x v="0"/>
  </r>
  <r>
    <n v="101629"/>
    <x v="0"/>
    <x v="1"/>
    <s v="8"/>
    <x v="2"/>
    <s v="1036522"/>
    <s v="2022-09-21"/>
    <s v="2022-09-28"/>
    <x v="0"/>
    <s v="Adult"/>
    <s v="Escapement"/>
    <s v="Gillnet"/>
    <s v="Scales"/>
    <n v="6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2"/>
    <s v="2022-09-21"/>
    <s v="2022-09-28"/>
    <x v="0"/>
    <s v="Adult"/>
    <s v="Escapement"/>
    <s v="Gillnet"/>
    <s v="Scales"/>
    <n v="7"/>
    <x v="0"/>
    <x v="0"/>
    <m/>
    <s v="Resorbed Age Interpretation. Resorption affecting age and missing 1 marine annulus"/>
    <x v="0"/>
  </r>
  <r>
    <n v="101629"/>
    <x v="0"/>
    <x v="1"/>
    <s v="8"/>
    <x v="2"/>
    <s v="1036522"/>
    <s v="2022-09-21"/>
    <s v="2022-09-28"/>
    <x v="0"/>
    <s v="Adult"/>
    <s v="Escapement"/>
    <s v="Gillnet"/>
    <s v="Scales"/>
    <n v="8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2"/>
    <s v="2022-09-21"/>
    <s v="2022-09-28"/>
    <x v="0"/>
    <s v="Adult"/>
    <s v="Escapement"/>
    <s v="Gillnet"/>
    <s v="Scales"/>
    <n v="9"/>
    <x v="0"/>
    <x v="0"/>
    <m/>
    <s v="Resorbed Age Interpretation. Resorption affecting age and missing 1 marine annulus"/>
    <x v="0"/>
  </r>
  <r>
    <n v="101629"/>
    <x v="0"/>
    <x v="1"/>
    <s v="8"/>
    <x v="2"/>
    <s v="1036522"/>
    <s v="2022-09-21"/>
    <s v="2022-09-28"/>
    <x v="0"/>
    <s v="Adult"/>
    <s v="Escapement"/>
    <s v="Gillnet"/>
    <s v="Scales"/>
    <n v="10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3"/>
    <s v="2022-09-14"/>
    <s v="2022-09-21"/>
    <x v="0"/>
    <s v="Adult"/>
    <s v="Escapement"/>
    <s v="Gillnet"/>
    <s v="Scales"/>
    <n v="1"/>
    <x v="4"/>
    <x v="0"/>
    <m/>
    <s v="Resorption present but not enough to suspect an annuli is missing.  Age unaffected."/>
    <x v="5"/>
  </r>
  <r>
    <n v="101629"/>
    <x v="0"/>
    <x v="1"/>
    <s v="8"/>
    <x v="2"/>
    <s v="1036523"/>
    <s v="2022-09-14"/>
    <s v="2022-09-21"/>
    <x v="0"/>
    <s v="Adult"/>
    <s v="Escapement"/>
    <s v="Gillnet"/>
    <s v="Scales"/>
    <n v="2"/>
    <x v="2"/>
    <x v="0"/>
    <m/>
    <s v="Resorbed Age Interpretation. Resorption affecting age and missing 1 marine annulus"/>
    <x v="3"/>
  </r>
  <r>
    <n v="101629"/>
    <x v="0"/>
    <x v="1"/>
    <s v="8"/>
    <x v="2"/>
    <s v="1036523"/>
    <s v="2022-09-14"/>
    <s v="2022-09-21"/>
    <x v="0"/>
    <s v="Adult"/>
    <s v="Escapement"/>
    <s v="Gillnet"/>
    <s v="Scales"/>
    <n v="3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3"/>
    <s v="2022-09-14"/>
    <s v="2022-09-21"/>
    <x v="0"/>
    <s v="Adult"/>
    <s v="Escapement"/>
    <s v="Gillnet"/>
    <s v="Scales"/>
    <n v="4"/>
    <x v="4"/>
    <x v="0"/>
    <m/>
    <s v="Resorption present but not enough to suspect an annuli is missing.  Age unaffected."/>
    <x v="5"/>
  </r>
  <r>
    <n v="101629"/>
    <x v="0"/>
    <x v="1"/>
    <s v="8"/>
    <x v="2"/>
    <s v="1036523"/>
    <s v="2022-09-14"/>
    <s v="2022-09-21"/>
    <x v="0"/>
    <s v="Adult"/>
    <s v="Escapement"/>
    <s v="Gillnet"/>
    <s v="Scales"/>
    <n v="5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3"/>
    <s v="2022-09-14"/>
    <s v="2022-09-21"/>
    <x v="0"/>
    <s v="Adult"/>
    <s v="Escapement"/>
    <s v="Gillnet"/>
    <s v="Scales"/>
    <n v="6"/>
    <x v="0"/>
    <x v="0"/>
    <m/>
    <s v="Resorbed Age Interpretation. Resorption affecting age and missing 1 marine annulus"/>
    <x v="0"/>
  </r>
  <r>
    <n v="101629"/>
    <x v="0"/>
    <x v="1"/>
    <s v="8"/>
    <x v="2"/>
    <s v="1036523"/>
    <s v="2022-09-14"/>
    <s v="2022-09-21"/>
    <x v="0"/>
    <s v="Adult"/>
    <s v="Escapement"/>
    <s v="Gillnet"/>
    <s v="Scales"/>
    <n v="7"/>
    <x v="0"/>
    <x v="0"/>
    <m/>
    <s v="Resorbed Age Interpretation. Resorption affecting age and missing 1 marine annulus"/>
    <x v="0"/>
  </r>
  <r>
    <n v="101629"/>
    <x v="0"/>
    <x v="1"/>
    <s v="8"/>
    <x v="2"/>
    <s v="1036523"/>
    <s v="2022-09-14"/>
    <s v="2022-09-21"/>
    <x v="0"/>
    <s v="Adult"/>
    <s v="Escapement"/>
    <s v="Gillnet"/>
    <s v="Scales"/>
    <n v="8"/>
    <x v="0"/>
    <x v="0"/>
    <m/>
    <s v="Resorbed Age Interpretation. Resorption affecting age and missing 1 marine annulus"/>
    <x v="0"/>
  </r>
  <r>
    <n v="101629"/>
    <x v="0"/>
    <x v="1"/>
    <s v="8"/>
    <x v="2"/>
    <s v="1036523"/>
    <s v="2022-09-14"/>
    <s v="2022-09-21"/>
    <x v="0"/>
    <s v="Adult"/>
    <s v="Escapement"/>
    <s v="Gillnet"/>
    <s v="Scales"/>
    <n v="9"/>
    <x v="1"/>
    <x v="0"/>
    <s v="Regenerate Scale"/>
    <s v="Unknown amount of resorption. Cannot assess the number of marine annuli missing. Only freshwater age given, no marine age given."/>
    <x v="1"/>
  </r>
  <r>
    <n v="101629"/>
    <x v="0"/>
    <x v="1"/>
    <s v="8"/>
    <x v="2"/>
    <s v="1036523"/>
    <s v="2022-09-14"/>
    <s v="2022-09-21"/>
    <x v="0"/>
    <s v="Adult"/>
    <s v="Escapement"/>
    <s v="Gillnet"/>
    <s v="Scales"/>
    <n v="10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4"/>
    <s v="2022-09-23"/>
    <s v="2022-09-28"/>
    <x v="0"/>
    <s v="Adult"/>
    <s v="Escapement"/>
    <s v="Gillnet"/>
    <s v="Scales"/>
    <n v="1"/>
    <x v="0"/>
    <x v="0"/>
    <m/>
    <s v="Resorbed Age Interpretation. Resorption affecting age and missing 1 marine annulus"/>
    <x v="0"/>
  </r>
  <r>
    <n v="101629"/>
    <x v="0"/>
    <x v="1"/>
    <s v="8"/>
    <x v="2"/>
    <s v="1036524"/>
    <s v="2022-09-23"/>
    <s v="2022-09-28"/>
    <x v="0"/>
    <s v="Adult"/>
    <s v="Escapement"/>
    <s v="Gillnet"/>
    <s v="Scales"/>
    <n v="2"/>
    <x v="0"/>
    <x v="0"/>
    <m/>
    <s v="Resorbed Age Interpretation. Resorption affecting age and missing 1 marine annulus"/>
    <x v="0"/>
  </r>
  <r>
    <n v="101629"/>
    <x v="0"/>
    <x v="1"/>
    <s v="8"/>
    <x v="2"/>
    <s v="1036524"/>
    <s v="2022-09-23"/>
    <s v="2022-09-28"/>
    <x v="0"/>
    <s v="Adult"/>
    <s v="Escapement"/>
    <s v="Gillnet"/>
    <s v="Scales"/>
    <n v="3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4"/>
    <s v="2022-09-23"/>
    <s v="2022-09-28"/>
    <x v="0"/>
    <s v="Adult"/>
    <s v="Escapement"/>
    <s v="Gillnet"/>
    <s v="Scales"/>
    <n v="4"/>
    <x v="0"/>
    <x v="0"/>
    <m/>
    <s v="Resorption present but not enough to suspect an annuli is missing.  Age unaffected."/>
    <x v="0"/>
  </r>
  <r>
    <n v="101629"/>
    <x v="0"/>
    <x v="1"/>
    <s v="8"/>
    <x v="2"/>
    <s v="1036524"/>
    <s v="2022-09-23"/>
    <s v="2022-09-28"/>
    <x v="0"/>
    <s v="Adult"/>
    <s v="Escapement"/>
    <s v="Gillnet"/>
    <s v="Scales"/>
    <n v="5"/>
    <x v="1"/>
    <x v="3"/>
    <s v="Resorbed Scale"/>
    <s v="Unknown amount of resorption. Cannot assess the number of marine annuli missing. Only freshwater age given, no marine age given."/>
    <x v="8"/>
  </r>
  <r>
    <n v="101629"/>
    <x v="0"/>
    <x v="1"/>
    <s v="8"/>
    <x v="2"/>
    <s v="1036524"/>
    <s v="2022-09-23"/>
    <s v="2022-09-28"/>
    <x v="0"/>
    <s v="Adult"/>
    <s v="Escapement"/>
    <s v="Gillnet"/>
    <s v="Scales"/>
    <n v="6"/>
    <x v="0"/>
    <x v="0"/>
    <m/>
    <s v="Resorbed Age Interpretation. Resorption affecting age and missing 1 marine annulus"/>
    <x v="0"/>
  </r>
  <r>
    <n v="101629"/>
    <x v="0"/>
    <x v="1"/>
    <s v="8"/>
    <x v="2"/>
    <s v="1036524"/>
    <s v="2022-09-23"/>
    <s v="2022-09-28"/>
    <x v="0"/>
    <s v="Adult"/>
    <s v="Escapement"/>
    <s v="Gillnet"/>
    <s v="Scales"/>
    <n v="7"/>
    <x v="0"/>
    <x v="0"/>
    <m/>
    <s v="Resorbed Age Interpretation. Resorption affecting age and missing 1 marine annulus"/>
    <x v="0"/>
  </r>
  <r>
    <n v="101629"/>
    <x v="0"/>
    <x v="1"/>
    <s v="8"/>
    <x v="2"/>
    <s v="1036524"/>
    <s v="2022-09-23"/>
    <s v="2022-09-28"/>
    <x v="0"/>
    <s v="Adult"/>
    <s v="Escapement"/>
    <s v="Gillnet"/>
    <s v="Scales"/>
    <n v="8"/>
    <x v="0"/>
    <x v="0"/>
    <m/>
    <s v="Resorbed Age Interpretation. Resorption affecting age and missing 1 marine annulus"/>
    <x v="0"/>
  </r>
  <r>
    <n v="101629"/>
    <x v="0"/>
    <x v="1"/>
    <s v="8"/>
    <x v="2"/>
    <s v="1036524"/>
    <s v="2022-09-23"/>
    <s v="2022-09-28"/>
    <x v="0"/>
    <s v="Adult"/>
    <s v="Escapement"/>
    <s v="Gillnet"/>
    <s v="Scales"/>
    <n v="9"/>
    <x v="1"/>
    <x v="3"/>
    <s v="Resorbed Scale"/>
    <s v="Unknown amount of resorption. Cannot assess the number of marine annuli missing. Only freshwater age given, no marine age given."/>
    <x v="8"/>
  </r>
  <r>
    <n v="101631"/>
    <x v="0"/>
    <x v="1"/>
    <s v="8"/>
    <x v="2"/>
    <s v="1036221"/>
    <s v="2022-09-23"/>
    <s v="2022-09-28"/>
    <x v="0"/>
    <s v="Adult"/>
    <s v="Escapement"/>
    <s v="Gaff"/>
    <s v="Otoliths and Scales"/>
    <n v="1"/>
    <x v="4"/>
    <x v="0"/>
    <m/>
    <m/>
    <x v="5"/>
  </r>
  <r>
    <n v="101631"/>
    <x v="0"/>
    <x v="1"/>
    <s v="8"/>
    <x v="2"/>
    <s v="1036221"/>
    <s v="2022-09-23"/>
    <s v="2022-09-28"/>
    <x v="0"/>
    <s v="Adult"/>
    <s v="Escapement"/>
    <s v="Gaff"/>
    <s v="Otoliths and Scales"/>
    <n v="2"/>
    <x v="0"/>
    <x v="0"/>
    <m/>
    <m/>
    <x v="0"/>
  </r>
  <r>
    <n v="101631"/>
    <x v="0"/>
    <x v="1"/>
    <s v="8"/>
    <x v="2"/>
    <s v="1036221"/>
    <s v="2022-09-23"/>
    <s v="2022-09-28"/>
    <x v="0"/>
    <s v="Adult"/>
    <s v="Escapement"/>
    <s v="Gaff"/>
    <s v="Otoliths and Scales"/>
    <n v="3"/>
    <x v="0"/>
    <x v="0"/>
    <m/>
    <m/>
    <x v="0"/>
  </r>
  <r>
    <n v="101631"/>
    <x v="0"/>
    <x v="1"/>
    <s v="8"/>
    <x v="2"/>
    <s v="1036221"/>
    <s v="2022-09-23"/>
    <s v="2022-09-28"/>
    <x v="0"/>
    <s v="Adult"/>
    <s v="Escapement"/>
    <s v="Gaff"/>
    <s v="Otoliths and Scales"/>
    <n v="4"/>
    <x v="4"/>
    <x v="0"/>
    <m/>
    <m/>
    <x v="5"/>
  </r>
  <r>
    <n v="101631"/>
    <x v="0"/>
    <x v="1"/>
    <s v="8"/>
    <x v="2"/>
    <s v="1036221"/>
    <s v="2022-09-23"/>
    <s v="2022-09-28"/>
    <x v="0"/>
    <s v="Adult"/>
    <s v="Escapement"/>
    <s v="Gaff"/>
    <s v="Otoliths and Scales"/>
    <n v="5"/>
    <x v="5"/>
    <x v="0"/>
    <m/>
    <m/>
    <x v="7"/>
  </r>
  <r>
    <n v="101633"/>
    <x v="0"/>
    <x v="1"/>
    <s v="8"/>
    <x v="2"/>
    <s v="1036526"/>
    <s v="2022-09-21"/>
    <s v="2022-09-21"/>
    <x v="0"/>
    <s v="Adult"/>
    <s v="Escapement"/>
    <s v="Gillnet"/>
    <s v="Scales"/>
    <n v="1"/>
    <x v="0"/>
    <x v="0"/>
    <m/>
    <s v="Resorbed Age Interpretation. Resorption affecting age and missing 1 marine annulus"/>
    <x v="0"/>
  </r>
  <r>
    <n v="101633"/>
    <x v="0"/>
    <x v="1"/>
    <s v="8"/>
    <x v="2"/>
    <s v="1036526"/>
    <s v="2022-09-21"/>
    <s v="2022-09-21"/>
    <x v="0"/>
    <s v="Adult"/>
    <s v="Escapement"/>
    <s v="Gillnet"/>
    <s v="Scales"/>
    <n v="2"/>
    <x v="0"/>
    <x v="0"/>
    <m/>
    <s v="Resorbed Age Interpretation. Resorption affecting age and missing 1 marine annulus"/>
    <x v="0"/>
  </r>
  <r>
    <n v="101633"/>
    <x v="0"/>
    <x v="1"/>
    <s v="8"/>
    <x v="2"/>
    <s v="1036526"/>
    <s v="2022-09-21"/>
    <s v="2022-09-21"/>
    <x v="0"/>
    <s v="Adult"/>
    <s v="Escapement"/>
    <s v="Gillnet"/>
    <s v="Scales"/>
    <n v="3"/>
    <x v="1"/>
    <x v="3"/>
    <s v="Resorbed Scale"/>
    <s v="Unknown amount of resorption. Cannot assess the number of marine annuli missing. Only freshwater age given, no marine age given."/>
    <x v="8"/>
  </r>
  <r>
    <n v="101633"/>
    <x v="0"/>
    <x v="1"/>
    <s v="8"/>
    <x v="2"/>
    <s v="1036526"/>
    <s v="2022-09-21"/>
    <s v="2022-09-21"/>
    <x v="0"/>
    <s v="Adult"/>
    <s v="Escapement"/>
    <s v="Gillnet"/>
    <s v="Scales"/>
    <n v="4"/>
    <x v="4"/>
    <x v="0"/>
    <m/>
    <s v="Resorption present but not enough to suspect an annuli is missing.  Age unaffected."/>
    <x v="5"/>
  </r>
  <r>
    <n v="101633"/>
    <x v="0"/>
    <x v="1"/>
    <s v="8"/>
    <x v="2"/>
    <s v="1036526"/>
    <s v="2022-09-21"/>
    <s v="2022-09-21"/>
    <x v="0"/>
    <s v="Adult"/>
    <s v="Escapement"/>
    <s v="Gillnet"/>
    <s v="Scales"/>
    <n v="5"/>
    <x v="0"/>
    <x v="0"/>
    <m/>
    <s v="Resorbed Age Interpretation. Resorption affecting age and missing 1 marine annulus"/>
    <x v="0"/>
  </r>
  <r>
    <n v="101633"/>
    <x v="0"/>
    <x v="1"/>
    <s v="8"/>
    <x v="2"/>
    <s v="1036526"/>
    <s v="2022-09-21"/>
    <s v="2022-09-21"/>
    <x v="0"/>
    <s v="Adult"/>
    <s v="Escapement"/>
    <s v="Gillnet"/>
    <s v="Scales"/>
    <n v="6"/>
    <x v="4"/>
    <x v="0"/>
    <m/>
    <s v="Resorption present but not enough to suspect an annuli is missing.  Age unaffected."/>
    <x v="5"/>
  </r>
  <r>
    <n v="101633"/>
    <x v="0"/>
    <x v="1"/>
    <s v="8"/>
    <x v="2"/>
    <s v="1036526"/>
    <s v="2022-09-21"/>
    <s v="2022-09-21"/>
    <x v="0"/>
    <s v="Adult"/>
    <s v="Escapement"/>
    <s v="Gillnet"/>
    <s v="Scales"/>
    <n v="7"/>
    <x v="4"/>
    <x v="0"/>
    <m/>
    <s v="Resorbed Age Interpretation. Resorption affecting age and missing 1 marine annulus"/>
    <x v="5"/>
  </r>
  <r>
    <n v="101633"/>
    <x v="0"/>
    <x v="1"/>
    <s v="8"/>
    <x v="2"/>
    <s v="1036527"/>
    <s v="2022-09-21"/>
    <s v="2022-09-28"/>
    <x v="0"/>
    <s v="Adult"/>
    <s v="Escapement"/>
    <s v="Gillnet"/>
    <s v="Scales"/>
    <n v="1"/>
    <x v="1"/>
    <x v="3"/>
    <s v="Resorbed Scale"/>
    <s v="Unknown amount of resorption. Cannot assess the number of marine annuli missing. Only freshwater age given, no marine age given."/>
    <x v="8"/>
  </r>
  <r>
    <n v="101633"/>
    <x v="0"/>
    <x v="1"/>
    <s v="8"/>
    <x v="2"/>
    <s v="1036527"/>
    <s v="2022-09-21"/>
    <s v="2022-09-28"/>
    <x v="0"/>
    <s v="Adult"/>
    <s v="Escapement"/>
    <s v="Gillnet"/>
    <s v="Scales"/>
    <n v="2"/>
    <x v="1"/>
    <x v="3"/>
    <s v="Resorbed Scale"/>
    <s v="Unknown amount of resorption. Cannot assess the number of marine annuli missing. Only freshwater age given, no marine age given."/>
    <x v="8"/>
  </r>
  <r>
    <n v="101633"/>
    <x v="0"/>
    <x v="1"/>
    <s v="8"/>
    <x v="2"/>
    <s v="1036527"/>
    <s v="2022-09-21"/>
    <s v="2022-09-28"/>
    <x v="0"/>
    <s v="Adult"/>
    <s v="Escapement"/>
    <s v="Gillnet"/>
    <s v="Scales"/>
    <n v="3"/>
    <x v="0"/>
    <x v="0"/>
    <m/>
    <s v="Resorbed Age Interpretation. Resorption affecting age and missing 1 marine annulus"/>
    <x v="0"/>
  </r>
  <r>
    <n v="101633"/>
    <x v="0"/>
    <x v="1"/>
    <s v="8"/>
    <x v="2"/>
    <s v="1036527"/>
    <s v="2022-09-21"/>
    <s v="2022-09-28"/>
    <x v="0"/>
    <s v="Adult"/>
    <s v="Escapement"/>
    <s v="Gillnet"/>
    <s v="Scales"/>
    <n v="4"/>
    <x v="0"/>
    <x v="0"/>
    <m/>
    <s v="Resorbed Age Interpretation. Resorption affecting age and missing 1 marine annulus"/>
    <x v="0"/>
  </r>
  <r>
    <n v="101633"/>
    <x v="0"/>
    <x v="1"/>
    <s v="8"/>
    <x v="2"/>
    <s v="1036527"/>
    <s v="2022-09-21"/>
    <s v="2022-09-28"/>
    <x v="0"/>
    <s v="Adult"/>
    <s v="Escapement"/>
    <s v="Gillnet"/>
    <s v="Scales"/>
    <n v="5"/>
    <x v="1"/>
    <x v="3"/>
    <s v="Resorbed Scale"/>
    <s v="Unknown amount of resorption. Cannot assess the number of marine annuli missing. Only freshwater age given, no marine age given."/>
    <x v="8"/>
  </r>
  <r>
    <n v="101633"/>
    <x v="0"/>
    <x v="1"/>
    <s v="8"/>
    <x v="2"/>
    <s v="1036527"/>
    <s v="2022-09-21"/>
    <s v="2022-09-28"/>
    <x v="0"/>
    <s v="Adult"/>
    <s v="Escapement"/>
    <s v="Gillnet"/>
    <s v="Scales"/>
    <n v="6"/>
    <x v="0"/>
    <x v="0"/>
    <m/>
    <s v="Resorption present but not enough to suspect an annuli is missing.  Age unaffected."/>
    <x v="0"/>
  </r>
  <r>
    <n v="101633"/>
    <x v="0"/>
    <x v="1"/>
    <s v="8"/>
    <x v="2"/>
    <s v="1036527"/>
    <s v="2022-09-21"/>
    <s v="2022-09-28"/>
    <x v="0"/>
    <s v="Adult"/>
    <s v="Escapement"/>
    <s v="Gillnet"/>
    <s v="Scales"/>
    <n v="7"/>
    <x v="4"/>
    <x v="0"/>
    <m/>
    <s v="Resorption present but not enough to suspect an annuli is missing.  Age unaffected."/>
    <x v="5"/>
  </r>
  <r>
    <n v="101633"/>
    <x v="0"/>
    <x v="1"/>
    <s v="8"/>
    <x v="2"/>
    <s v="1036527"/>
    <s v="2022-09-21"/>
    <s v="2022-09-28"/>
    <x v="0"/>
    <s v="Adult"/>
    <s v="Escapement"/>
    <s v="Gillnet"/>
    <s v="Scales"/>
    <n v="8"/>
    <x v="1"/>
    <x v="3"/>
    <s v="Resorbed Scale"/>
    <s v="Unknown amount of resorption. Cannot assess the number of marine annuli missing. Only freshwater age given, no marine age given."/>
    <x v="8"/>
  </r>
  <r>
    <n v="101635"/>
    <x v="0"/>
    <x v="1"/>
    <s v="8"/>
    <x v="2"/>
    <s v="1036222"/>
    <s v="2022-09-23"/>
    <s v="2022-09-23"/>
    <x v="0"/>
    <s v="Adult"/>
    <s v="Escapement"/>
    <s v="Gaff"/>
    <s v="Otoliths and Scales"/>
    <n v="1"/>
    <x v="1"/>
    <x v="0"/>
    <s v="No Structure"/>
    <m/>
    <x v="1"/>
  </r>
  <r>
    <n v="101635"/>
    <x v="0"/>
    <x v="1"/>
    <s v="8"/>
    <x v="2"/>
    <s v="1036222"/>
    <s v="2022-09-23"/>
    <s v="2022-09-23"/>
    <x v="0"/>
    <s v="Adult"/>
    <s v="Escapement"/>
    <s v="Gaff"/>
    <s v="Otoliths and Scales"/>
    <n v="2"/>
    <x v="0"/>
    <x v="0"/>
    <m/>
    <m/>
    <x v="0"/>
  </r>
  <r>
    <n v="101635"/>
    <x v="0"/>
    <x v="1"/>
    <s v="8"/>
    <x v="2"/>
    <s v="1036222"/>
    <s v="2022-09-23"/>
    <s v="2022-09-23"/>
    <x v="0"/>
    <s v="Adult"/>
    <s v="Escapement"/>
    <s v="Gaff"/>
    <s v="Otoliths and Scales"/>
    <n v="3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"/>
    <x v="6"/>
    <x v="0"/>
    <m/>
    <m/>
    <x v="9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9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0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1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2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4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5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6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7"/>
    <x v="6"/>
    <x v="0"/>
    <m/>
    <m/>
    <x v="9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8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19"/>
    <x v="1"/>
    <x v="1"/>
    <s v="Unresolved Freshwater Age"/>
    <m/>
    <x v="2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0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1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4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5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6"/>
    <x v="6"/>
    <x v="0"/>
    <m/>
    <m/>
    <x v="9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7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8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29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0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1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4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5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6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7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8"/>
    <x v="0"/>
    <x v="0"/>
    <m/>
    <s v="Resorbed Age Interpretation. Resorption affecting age and missing 1 marine annulus"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39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0"/>
    <x v="7"/>
    <x v="0"/>
    <m/>
    <m/>
    <x v="1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1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4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5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6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7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8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49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0"/>
    <x v="1"/>
    <x v="0"/>
    <s v="No Structure"/>
    <m/>
    <x v="1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1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2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4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5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6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7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8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59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0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1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3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4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5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6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7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8"/>
    <x v="5"/>
    <x v="0"/>
    <m/>
    <m/>
    <x v="7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69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0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1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2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3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4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5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6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7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8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79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0"/>
    <x v="7"/>
    <x v="0"/>
    <m/>
    <m/>
    <x v="1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1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3"/>
    <x v="1"/>
    <x v="3"/>
    <s v="Resorbed Scale"/>
    <s v="Unknown amount of resorption. Cannot assess the number of marine annuli missing. Only freshwater age given, no marine age given."/>
    <x v="8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4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5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6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7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8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89"/>
    <x v="4"/>
    <x v="0"/>
    <m/>
    <m/>
    <x v="5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90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91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92"/>
    <x v="0"/>
    <x v="0"/>
    <m/>
    <m/>
    <x v="0"/>
  </r>
  <r>
    <n v="102641"/>
    <x v="0"/>
    <x v="1"/>
    <s v="8"/>
    <x v="3"/>
    <s v="1036784"/>
    <s v="2022-09-26"/>
    <s v="2022-09-27"/>
    <x v="0"/>
    <s v="Adult"/>
    <s v="Escapement"/>
    <s v="Gillnet"/>
    <s v="Otoliths and Scales"/>
    <n v="93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1"/>
    <x v="5"/>
    <x v="0"/>
    <m/>
    <s v="Resorption present but not enough to suspect an annuli is missing.  Age unaffected."/>
    <x v="7"/>
  </r>
  <r>
    <n v="102661"/>
    <x v="0"/>
    <x v="1"/>
    <s v="8"/>
    <x v="4"/>
    <s v="1036804"/>
    <s v="2022-09-21"/>
    <s v=""/>
    <x v="0"/>
    <s v="Adult"/>
    <s v="Escapement"/>
    <s v="Gillnet"/>
    <s v="Otoliths and Scales"/>
    <n v="2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4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9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10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11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12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13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14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15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16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17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18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19"/>
    <x v="5"/>
    <x v="0"/>
    <m/>
    <m/>
    <x v="7"/>
  </r>
  <r>
    <n v="102661"/>
    <x v="0"/>
    <x v="1"/>
    <s v="8"/>
    <x v="4"/>
    <s v="1036804"/>
    <s v="2022-09-21"/>
    <s v=""/>
    <x v="0"/>
    <s v="Adult"/>
    <s v="Escapement"/>
    <s v="Gillnet"/>
    <s v="Otoliths and Scales"/>
    <n v="20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1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2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3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4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5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6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27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28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29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0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1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2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3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4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5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6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7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38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39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40"/>
    <x v="5"/>
    <x v="0"/>
    <m/>
    <m/>
    <x v="7"/>
  </r>
  <r>
    <n v="102661"/>
    <x v="0"/>
    <x v="1"/>
    <s v="8"/>
    <x v="4"/>
    <s v="1036804"/>
    <s v="2022-09-21"/>
    <s v=""/>
    <x v="0"/>
    <s v="Adult"/>
    <s v="Escapement"/>
    <s v="Gillnet"/>
    <s v="Otoliths and Scales"/>
    <n v="41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42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43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44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45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46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47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48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49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50"/>
    <x v="1"/>
    <x v="0"/>
    <s v="No Structure"/>
    <m/>
    <x v="1"/>
  </r>
  <r>
    <n v="102661"/>
    <x v="0"/>
    <x v="1"/>
    <s v="8"/>
    <x v="4"/>
    <s v="1036804"/>
    <s v="2022-09-21"/>
    <s v=""/>
    <x v="0"/>
    <s v="Adult"/>
    <s v="Escapement"/>
    <s v="Gillnet"/>
    <s v="Otoliths and Scales"/>
    <n v="51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2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3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4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5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6"/>
    <x v="4"/>
    <x v="0"/>
    <m/>
    <m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57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8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59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0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1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2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3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4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65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6"/>
    <x v="2"/>
    <x v="0"/>
    <m/>
    <m/>
    <x v="3"/>
  </r>
  <r>
    <n v="102661"/>
    <x v="0"/>
    <x v="1"/>
    <s v="8"/>
    <x v="4"/>
    <s v="1036804"/>
    <s v="2022-09-21"/>
    <s v=""/>
    <x v="0"/>
    <s v="Adult"/>
    <s v="Escapement"/>
    <s v="Gillnet"/>
    <s v="Otoliths and Scales"/>
    <n v="67"/>
    <x v="5"/>
    <x v="0"/>
    <m/>
    <m/>
    <x v="7"/>
  </r>
  <r>
    <n v="102661"/>
    <x v="0"/>
    <x v="1"/>
    <s v="8"/>
    <x v="4"/>
    <s v="1036804"/>
    <s v="2022-09-21"/>
    <s v=""/>
    <x v="0"/>
    <s v="Adult"/>
    <s v="Escapement"/>
    <s v="Gillnet"/>
    <s v="Otoliths and Scales"/>
    <n v="68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69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70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71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2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3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4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5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6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7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8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79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0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1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2"/>
    <x v="4"/>
    <x v="0"/>
    <m/>
    <s v="Resorption present but not enough to suspect an annuli is missing.  Age unaffected."/>
    <x v="5"/>
  </r>
  <r>
    <n v="102661"/>
    <x v="0"/>
    <x v="1"/>
    <s v="8"/>
    <x v="4"/>
    <s v="1036804"/>
    <s v="2022-09-21"/>
    <s v=""/>
    <x v="0"/>
    <s v="Adult"/>
    <s v="Escapement"/>
    <s v="Gillnet"/>
    <s v="Otoliths and Scales"/>
    <n v="83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4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5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6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7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8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89"/>
    <x v="5"/>
    <x v="0"/>
    <m/>
    <s v="Resorption present but not enough to suspect an annuli is missing.  Age unaffected."/>
    <x v="7"/>
  </r>
  <r>
    <n v="102661"/>
    <x v="0"/>
    <x v="1"/>
    <s v="8"/>
    <x v="4"/>
    <s v="1036804"/>
    <s v="2022-09-21"/>
    <s v=""/>
    <x v="0"/>
    <s v="Adult"/>
    <s v="Escapement"/>
    <s v="Gillnet"/>
    <s v="Otoliths and Scales"/>
    <n v="90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91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92"/>
    <x v="0"/>
    <x v="0"/>
    <m/>
    <s v="Resorption present but not enough to suspect an annuli is missing.  Age unaffected."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93"/>
    <x v="0"/>
    <x v="0"/>
    <m/>
    <m/>
    <x v="0"/>
  </r>
  <r>
    <n v="102661"/>
    <x v="0"/>
    <x v="1"/>
    <s v="8"/>
    <x v="4"/>
    <s v="1036804"/>
    <s v="2022-09-21"/>
    <s v=""/>
    <x v="0"/>
    <s v="Adult"/>
    <s v="Escapement"/>
    <s v="Gillnet"/>
    <s v="Otoliths and Scales"/>
    <n v="94"/>
    <x v="5"/>
    <x v="0"/>
    <m/>
    <s v="Resorption present but not enough to suspect an annuli is missing.  Age unaffected."/>
    <x v="7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1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2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3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4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5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6"/>
    <x v="0"/>
    <x v="0"/>
    <m/>
    <s v="Resorption present but not enough to suspect an annuli is missing.  Age unaffected."/>
    <x v="0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7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8"/>
    <x v="0"/>
    <x v="0"/>
    <m/>
    <s v="Resorption present but not enough to suspect an annuli is missing.  Age unaffected."/>
    <x v="0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9"/>
    <x v="4"/>
    <x v="0"/>
    <m/>
    <s v="Resorption present but not enough to suspect an annuli is missing.  Age unaffected."/>
    <x v="5"/>
  </r>
  <r>
    <n v="113245"/>
    <x v="1"/>
    <x v="1"/>
    <s v="8"/>
    <x v="5"/>
    <s v="1049190"/>
    <s v="2023-09-25"/>
    <s v="2023-10-05"/>
    <x v="0"/>
    <s v="Adult"/>
    <s v="Escapement"/>
    <s v="Gaff"/>
    <s v="Otoliths and Scales"/>
    <n v="10"/>
    <x v="2"/>
    <x v="0"/>
    <s v="Scale Age - No otolith age expected"/>
    <s v="Resorption present but not enough to suspect an annuli is missing.  Age unaffected."/>
    <x v="3"/>
  </r>
  <r>
    <n v="113253"/>
    <x v="1"/>
    <x v="1"/>
    <s v="8"/>
    <x v="3"/>
    <s v="1049194"/>
    <s v="2023-09-25"/>
    <s v="2023-10-05"/>
    <x v="0"/>
    <s v="Adult"/>
    <s v="Escapement"/>
    <s v="Gaff"/>
    <s v="Otoliths and Scales"/>
    <n v="1"/>
    <x v="0"/>
    <x v="0"/>
    <m/>
    <m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1"/>
    <x v="0"/>
    <x v="0"/>
    <m/>
    <s v="Resorption present but not enough to suspect an annuli is missing.  Age unaffected."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2"/>
    <x v="0"/>
    <x v="0"/>
    <m/>
    <s v="Resorbed Age Interpretation. Resorption affecting age and missing 1 marine annulus"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3"/>
    <x v="4"/>
    <x v="0"/>
    <m/>
    <s v="Resorbed Age Interpretation. Resorption affecting age and missing 1 marine annulus"/>
    <x v="5"/>
  </r>
  <r>
    <n v="113281"/>
    <x v="1"/>
    <x v="1"/>
    <s v="8"/>
    <x v="6"/>
    <s v="1010201"/>
    <s v="2023-09-22"/>
    <s v="2023-09-25"/>
    <x v="0"/>
    <s v="Adult"/>
    <s v="Escapement"/>
    <s v="Gillnet"/>
    <s v="Scales"/>
    <n v="4"/>
    <x v="1"/>
    <x v="3"/>
    <s v="Resorbed Scale"/>
    <s v="Unknown amount of resorption. Cannot assess the number of marine annuli missing. Only freshwater age given, no marine age given."/>
    <x v="8"/>
  </r>
  <r>
    <n v="113281"/>
    <x v="1"/>
    <x v="1"/>
    <s v="8"/>
    <x v="6"/>
    <s v="1010201"/>
    <s v="2023-09-22"/>
    <s v="2023-09-25"/>
    <x v="0"/>
    <s v="Adult"/>
    <s v="Escapement"/>
    <s v="Gillnet"/>
    <s v="Scales"/>
    <n v="5"/>
    <x v="4"/>
    <x v="0"/>
    <m/>
    <s v="Resorbed Age Interpretation. Resorption affecting age and missing 1 marine annulus"/>
    <x v="5"/>
  </r>
  <r>
    <n v="113281"/>
    <x v="1"/>
    <x v="1"/>
    <s v="8"/>
    <x v="6"/>
    <s v="1010201"/>
    <s v="2023-09-22"/>
    <s v="2023-09-25"/>
    <x v="0"/>
    <s v="Adult"/>
    <s v="Escapement"/>
    <s v="Gillnet"/>
    <s v="Scales"/>
    <n v="6"/>
    <x v="2"/>
    <x v="0"/>
    <m/>
    <s v="Resorption present but not enough to suspect an annuli is missing.  Age unaffected."/>
    <x v="3"/>
  </r>
  <r>
    <n v="113281"/>
    <x v="1"/>
    <x v="1"/>
    <s v="8"/>
    <x v="6"/>
    <s v="1010201"/>
    <s v="2023-09-22"/>
    <s v="2023-09-25"/>
    <x v="0"/>
    <s v="Adult"/>
    <s v="Escapement"/>
    <s v="Gillnet"/>
    <s v="Scales"/>
    <n v="7"/>
    <x v="0"/>
    <x v="0"/>
    <m/>
    <s v="Resorption present but not enough to suspect an annuli is missing.  Age unaffected."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8"/>
    <x v="4"/>
    <x v="0"/>
    <m/>
    <s v="Resorbed Age Interpretation. Resorption affecting age and missing 1 marine annulus"/>
    <x v="5"/>
  </r>
  <r>
    <n v="113281"/>
    <x v="1"/>
    <x v="1"/>
    <s v="8"/>
    <x v="6"/>
    <s v="1010201"/>
    <s v="2023-09-22"/>
    <s v="2023-09-25"/>
    <x v="0"/>
    <s v="Adult"/>
    <s v="Escapement"/>
    <s v="Gillnet"/>
    <s v="Scales"/>
    <n v="9"/>
    <x v="1"/>
    <x v="3"/>
    <s v="Resorbed Scale"/>
    <s v="Unknown amount of resorption. Cannot assess the number of marine annuli missing. Only freshwater age given, no marine age given."/>
    <x v="8"/>
  </r>
  <r>
    <n v="113281"/>
    <x v="1"/>
    <x v="1"/>
    <s v="8"/>
    <x v="6"/>
    <s v="1010201"/>
    <s v="2023-09-22"/>
    <s v="2023-09-25"/>
    <x v="0"/>
    <s v="Adult"/>
    <s v="Escapement"/>
    <s v="Gillnet"/>
    <s v="Scales"/>
    <n v="10"/>
    <x v="0"/>
    <x v="0"/>
    <m/>
    <s v="Resorbed Age Interpretation. Resorption affecting age and missing 1 marine annulus"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11"/>
    <x v="0"/>
    <x v="0"/>
    <m/>
    <s v="Resorbed Age Interpretation. Resorption affecting age and missing 1 marine annulus"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12"/>
    <x v="1"/>
    <x v="2"/>
    <s v="Regenerate Scale"/>
    <s v="Resorption present but not enough to suspect an annuli is missing.  Age unaffected."/>
    <x v="6"/>
  </r>
  <r>
    <n v="113281"/>
    <x v="1"/>
    <x v="1"/>
    <s v="8"/>
    <x v="6"/>
    <s v="1010201"/>
    <s v="2023-09-22"/>
    <s v="2023-09-25"/>
    <x v="0"/>
    <s v="Adult"/>
    <s v="Escapement"/>
    <s v="Gillnet"/>
    <s v="Scales"/>
    <n v="13"/>
    <x v="0"/>
    <x v="0"/>
    <m/>
    <s v="Resorption present but not enough to suspect an annuli is missing.  Age unaffected."/>
    <x v="0"/>
  </r>
  <r>
    <n v="113281"/>
    <x v="1"/>
    <x v="1"/>
    <s v="8"/>
    <x v="6"/>
    <s v="1010201"/>
    <s v="2023-09-22"/>
    <s v="2023-09-25"/>
    <x v="0"/>
    <s v="Adult"/>
    <s v="Escapement"/>
    <s v="Gillnet"/>
    <s v="Scales"/>
    <n v="14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"/>
    <x v="4"/>
    <x v="0"/>
    <m/>
    <s v="Resorption present but not enough to suspect an annuli is missing.  Age unaffected."/>
    <x v="5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"/>
    <x v="0"/>
    <x v="0"/>
    <m/>
    <s v="Resorption present but not enough to suspect an annuli is missing.  Age unaffected."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3"/>
    <x v="0"/>
    <x v="0"/>
    <m/>
    <s v="Resorption present but not enough to suspect an annuli is missing.  Age unaffected."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4"/>
    <x v="0"/>
    <x v="0"/>
    <m/>
    <m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5"/>
    <x v="3"/>
    <x v="0"/>
    <m/>
    <s v="Resorption present but not enough to suspect an annuli is missing.  Age unaffected."/>
    <x v="4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6"/>
    <x v="3"/>
    <x v="0"/>
    <m/>
    <m/>
    <x v="4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7"/>
    <x v="3"/>
    <x v="0"/>
    <m/>
    <s v="Resorption present but not enough to suspect an annuli is missing.  Age unaffected."/>
    <x v="4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8"/>
    <x v="1"/>
    <x v="4"/>
    <s v="Resorbed Scale"/>
    <s v="Unknown amount of resorption. Cannot assess the number of marine annuli missing. Only freshwater age given, no marine age given."/>
    <x v="11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9"/>
    <x v="4"/>
    <x v="0"/>
    <m/>
    <s v="Resorption present but not enough to suspect an annuli is missing.  Age unaffected."/>
    <x v="5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0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1"/>
    <x v="0"/>
    <x v="0"/>
    <m/>
    <m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2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3"/>
    <x v="0"/>
    <x v="0"/>
    <m/>
    <s v="Resorption present but not enough to suspect an annuli is missing.  Age unaffected."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4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5"/>
    <x v="0"/>
    <x v="0"/>
    <m/>
    <s v="Resorption present but not enough to suspect an annuli is missing.  Age unaffected."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6"/>
    <x v="0"/>
    <x v="0"/>
    <m/>
    <m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7"/>
    <x v="0"/>
    <x v="0"/>
    <m/>
    <m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8"/>
    <x v="0"/>
    <x v="0"/>
    <m/>
    <m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19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0"/>
    <x v="3"/>
    <x v="0"/>
    <m/>
    <s v="Resorption present but not enough to suspect an annuli is missing.  Age unaffected."/>
    <x v="4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1"/>
    <x v="0"/>
    <x v="0"/>
    <m/>
    <s v="Resorption present but not enough to suspect an annuli is missing.  Age unaffected."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2"/>
    <x v="0"/>
    <x v="0"/>
    <m/>
    <s v="Resorption present but not enough to suspect an annuli is missing.  Age unaffected."/>
    <x v="0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3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4"/>
    <x v="1"/>
    <x v="4"/>
    <s v="Resorbed Scale"/>
    <m/>
    <x v="11"/>
  </r>
  <r>
    <n v="131261"/>
    <x v="2"/>
    <x v="1"/>
    <s v="8"/>
    <x v="4"/>
    <s v="1048455"/>
    <s v="2024-09-18"/>
    <s v="2024-10-07"/>
    <x v="0"/>
    <s v="Adult"/>
    <s v="Escapement"/>
    <s v="Gaff"/>
    <s v="Otoliths and Scales"/>
    <n v="25"/>
    <x v="1"/>
    <x v="3"/>
    <s v="Resorbed Scale"/>
    <m/>
    <x v="8"/>
  </r>
  <r>
    <n v="131261"/>
    <x v="2"/>
    <x v="1"/>
    <s v="8"/>
    <x v="4"/>
    <s v="1048456"/>
    <s v="2024-09-18"/>
    <s v="2024-10-07"/>
    <x v="0"/>
    <s v="Adult"/>
    <s v="Escapement"/>
    <s v="Gaff"/>
    <s v="Otoliths and Scales"/>
    <n v="1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6"/>
    <s v="2024-09-18"/>
    <s v="2024-10-07"/>
    <x v="0"/>
    <s v="Adult"/>
    <s v="Escapement"/>
    <s v="Gaff"/>
    <s v="Otoliths and Scales"/>
    <n v="2"/>
    <x v="1"/>
    <x v="3"/>
    <s v="Resorbed Scale"/>
    <s v="Unknown amount of resorption. Cannot assess the number of marine annuli missing. Only freshwater age given, no marine age given."/>
    <x v="8"/>
  </r>
  <r>
    <n v="131261"/>
    <x v="2"/>
    <x v="1"/>
    <s v="8"/>
    <x v="4"/>
    <s v="1048456"/>
    <s v="2024-09-18"/>
    <s v="2024-10-07"/>
    <x v="0"/>
    <s v="Adult"/>
    <s v="Escapement"/>
    <s v="Gaff"/>
    <s v="Otoliths and Scales"/>
    <n v="3"/>
    <x v="0"/>
    <x v="0"/>
    <m/>
    <s v="Resorption present but not enough to suspect an annuli is missing.  Age unaffected."/>
    <x v="0"/>
  </r>
  <r>
    <n v="131261"/>
    <x v="2"/>
    <x v="1"/>
    <s v="8"/>
    <x v="4"/>
    <s v="1048456"/>
    <s v="2024-09-18"/>
    <s v="2024-10-07"/>
    <x v="0"/>
    <s v="Adult"/>
    <s v="Escapement"/>
    <s v="Gaff"/>
    <s v="Otoliths and Scales"/>
    <n v="4"/>
    <x v="1"/>
    <x v="4"/>
    <s v="Unresolved Marine Age"/>
    <s v="Unknown amount of resorption. Cannot assess the number of marine annuli missing. Only freshwater age given, no marine age given."/>
    <x v="11"/>
  </r>
  <r>
    <n v="131261"/>
    <x v="2"/>
    <x v="1"/>
    <s v="8"/>
    <x v="4"/>
    <s v="1048456"/>
    <s v="2024-09-18"/>
    <s v="2024-10-07"/>
    <x v="0"/>
    <s v="Adult"/>
    <s v="Escapement"/>
    <s v="Gaff"/>
    <s v="Otoliths and Scales"/>
    <n v="5"/>
    <x v="1"/>
    <x v="0"/>
    <s v="Upside Down"/>
    <m/>
    <x v="1"/>
  </r>
  <r>
    <n v="131281"/>
    <x v="2"/>
    <x v="1"/>
    <s v="8"/>
    <x v="7"/>
    <s v="1013160"/>
    <s v="2024-09-25"/>
    <s v="2024-09-25"/>
    <x v="0"/>
    <s v="Adult"/>
    <s v="Escapement"/>
    <s v="Dip Net"/>
    <s v="Scales"/>
    <n v="1"/>
    <x v="0"/>
    <x v="0"/>
    <m/>
    <s v="Resorption present but not enough to suspect an annuli is missing.  Age unaffected."/>
    <x v="0"/>
  </r>
  <r>
    <n v="131281"/>
    <x v="2"/>
    <x v="1"/>
    <s v="8"/>
    <x v="7"/>
    <s v="1013160"/>
    <s v="2024-09-25"/>
    <s v="2024-09-25"/>
    <x v="0"/>
    <s v="Adult"/>
    <s v="Escapement"/>
    <s v="Dip Net"/>
    <s v="Scales"/>
    <n v="2"/>
    <x v="2"/>
    <x v="0"/>
    <m/>
    <s v="Resorption present but not enough to suspect an annuli is missing.  Age unaffected."/>
    <x v="3"/>
  </r>
  <r>
    <n v="131283"/>
    <x v="2"/>
    <x v="1"/>
    <s v="8"/>
    <x v="3"/>
    <s v="1048459"/>
    <s v="2024-09-25"/>
    <s v="2024-09-25"/>
    <x v="0"/>
    <s v="Adult"/>
    <s v="Escapement"/>
    <s v="Gaff"/>
    <s v="Scales"/>
    <n v="1"/>
    <x v="2"/>
    <x v="0"/>
    <m/>
    <s v="Resorption present but not enough to suspect an annuli is missing.  Age unaffected."/>
    <x v="3"/>
  </r>
  <r>
    <n v="131283"/>
    <x v="2"/>
    <x v="1"/>
    <s v="8"/>
    <x v="3"/>
    <s v="1048459"/>
    <s v="2024-09-25"/>
    <s v="2024-09-25"/>
    <x v="0"/>
    <s v="Adult"/>
    <s v="Escapement"/>
    <s v="Gaff"/>
    <s v="Scales"/>
    <n v="2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1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2"/>
    <x v="0"/>
    <x v="0"/>
    <m/>
    <s v="Resorption present but not enough to suspect an annuli is missing.  Age unaffected.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3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4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5"/>
    <x v="0"/>
    <x v="0"/>
    <m/>
    <s v="Resorption present but not enough to suspect an annuli is missing.  Age unaffected.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6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7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8"/>
    <x v="0"/>
    <x v="0"/>
    <m/>
    <s v="Resorbed Age Interpretation. Resorption affecting age and missing 1 marine annulus"/>
    <x v="0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9"/>
    <x v="3"/>
    <x v="0"/>
    <m/>
    <s v="Resorbed Age Interpretation. Resorption affecting age and missing 1 marine annulus"/>
    <x v="4"/>
  </r>
  <r>
    <n v="131285"/>
    <x v="2"/>
    <x v="1"/>
    <s v="8"/>
    <x v="6"/>
    <s v="1013161"/>
    <s v="2024-09-14"/>
    <s v="2024-09-25"/>
    <x v="0"/>
    <s v="Adult"/>
    <s v="Escapement"/>
    <s v="Dip Net"/>
    <s v="Otoliths and Scales"/>
    <n v="10"/>
    <x v="5"/>
    <x v="0"/>
    <m/>
    <s v="Resorption present but not enough to suspect an annuli is missing.  Age unaffected."/>
    <x v="7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1"/>
    <x v="0"/>
    <x v="0"/>
    <m/>
    <s v="Resorbed Age Interpretation. Resorption affecting age and missing 1 marine annulus"/>
    <x v="0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2"/>
    <x v="0"/>
    <x v="0"/>
    <m/>
    <s v="Resorbed Age Interpretation. Resorption affecting age and missing 1 marine annulus"/>
    <x v="0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3"/>
    <x v="0"/>
    <x v="0"/>
    <m/>
    <s v="Resorbed Age Interpretation. Resorption affecting age and missing 1 marine annulus"/>
    <x v="0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4"/>
    <x v="0"/>
    <x v="0"/>
    <m/>
    <s v="Resorbed Age Interpretation. Resorption affecting age and missing 1 marine annulus"/>
    <x v="0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5"/>
    <x v="1"/>
    <x v="0"/>
    <s v="Wet Scale"/>
    <m/>
    <x v="1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6"/>
    <x v="0"/>
    <x v="0"/>
    <m/>
    <s v="Resorbed Age Interpretation. Resorption affecting age and missing 1 marine annulus"/>
    <x v="0"/>
  </r>
  <r>
    <n v="131285"/>
    <x v="2"/>
    <x v="1"/>
    <s v="8"/>
    <x v="6"/>
    <s v="1013162"/>
    <s v="2024-09-14"/>
    <s v="2024-09-25"/>
    <x v="0"/>
    <s v="Adult"/>
    <s v="Escapement"/>
    <s v="Dip Net"/>
    <s v="Otoliths and Scales"/>
    <n v="7"/>
    <x v="0"/>
    <x v="0"/>
    <m/>
    <s v="Resorbed Age Interpretation. Resorption affecting age and missing 1 marine annulus"/>
    <x v="0"/>
  </r>
  <r>
    <n v="131285"/>
    <x v="2"/>
    <x v="1"/>
    <s v="8"/>
    <x v="6"/>
    <s v="1048458"/>
    <s v="2024-09-25"/>
    <s v="2024-09-25"/>
    <x v="0"/>
    <s v="Adult"/>
    <s v="Escapement"/>
    <s v="Dip Net"/>
    <s v="Otoliths and Scales"/>
    <n v="1"/>
    <x v="0"/>
    <x v="0"/>
    <m/>
    <s v="Resorption present but not enough to suspect an annuli is missing.  Age unaffected."/>
    <x v="0"/>
  </r>
  <r>
    <n v="131285"/>
    <x v="2"/>
    <x v="1"/>
    <s v="8"/>
    <x v="6"/>
    <s v="1048458"/>
    <s v="2024-09-25"/>
    <s v="2024-09-25"/>
    <x v="0"/>
    <s v="Adult"/>
    <s v="Escapement"/>
    <s v="Dip Net"/>
    <s v="Otoliths and Scales"/>
    <n v="2"/>
    <x v="0"/>
    <x v="0"/>
    <m/>
    <s v="Resorption present but not enough to suspect an annuli is missing.  Age unaffected."/>
    <x v="0"/>
  </r>
  <r>
    <n v="131287"/>
    <x v="2"/>
    <x v="1"/>
    <s v="8"/>
    <x v="8"/>
    <s v="1048457"/>
    <s v="2024-09-25"/>
    <s v="2024-09-25"/>
    <x v="0"/>
    <s v="Adult"/>
    <s v="Escapement"/>
    <s v="Gaff"/>
    <s v="Otoliths and Scales"/>
    <n v="1"/>
    <x v="3"/>
    <x v="0"/>
    <m/>
    <s v="Resorption present but not enough to suspect an annuli is missing.  Age unaffected."/>
    <x v="4"/>
  </r>
  <r>
    <n v="131287"/>
    <x v="2"/>
    <x v="1"/>
    <s v="8"/>
    <x v="8"/>
    <s v="1048457"/>
    <s v="2024-09-25"/>
    <s v="2024-09-25"/>
    <x v="0"/>
    <s v="Adult"/>
    <s v="Escapement"/>
    <s v="Gaff"/>
    <s v="Otoliths and Scales"/>
    <n v="2"/>
    <x v="5"/>
    <x v="0"/>
    <m/>
    <s v="Resorption present but not enough to suspect an annuli is missing.  Age unaffected."/>
    <x v="7"/>
  </r>
  <r>
    <n v="131287"/>
    <x v="2"/>
    <x v="1"/>
    <s v="8"/>
    <x v="8"/>
    <s v="1048457"/>
    <s v="2024-09-25"/>
    <s v="2024-09-25"/>
    <x v="0"/>
    <s v="Adult"/>
    <s v="Escapement"/>
    <s v="Gaff"/>
    <s v="Otoliths and Scales"/>
    <n v="3"/>
    <x v="1"/>
    <x v="1"/>
    <s v="Regenerate Scale"/>
    <s v="Resorbed Age Interpretation. Resorption affecting age and missing 1 marine annulus"/>
    <x v="2"/>
  </r>
  <r>
    <n v="131287"/>
    <x v="2"/>
    <x v="1"/>
    <s v="8"/>
    <x v="8"/>
    <s v="1048457"/>
    <s v="2024-09-25"/>
    <s v="2024-09-25"/>
    <x v="0"/>
    <s v="Adult"/>
    <s v="Escapement"/>
    <s v="Gaff"/>
    <s v="Otoliths and Scales"/>
    <n v="1"/>
    <x v="3"/>
    <x v="0"/>
    <m/>
    <s v="Resorption present but not enough to suspect an annuli is missing.  Age unaffected."/>
    <x v="4"/>
  </r>
  <r>
    <n v="131287"/>
    <x v="2"/>
    <x v="1"/>
    <s v="8"/>
    <x v="8"/>
    <s v="1048457"/>
    <s v="2024-09-25"/>
    <s v="2024-09-25"/>
    <x v="0"/>
    <s v="Adult"/>
    <s v="Escapement"/>
    <s v="Gaff"/>
    <s v="Otoliths and Scales"/>
    <n v="2"/>
    <x v="5"/>
    <x v="0"/>
    <m/>
    <s v="Resorption present but not enough to suspect an annuli is missing.  Age unaffected."/>
    <x v="7"/>
  </r>
  <r>
    <n v="131287"/>
    <x v="2"/>
    <x v="1"/>
    <s v="8"/>
    <x v="8"/>
    <s v="1048457"/>
    <s v="2024-09-25"/>
    <s v="2024-09-25"/>
    <x v="0"/>
    <s v="Adult"/>
    <s v="Escapement"/>
    <s v="Gaff"/>
    <s v="Otoliths and Scales"/>
    <n v="3"/>
    <x v="1"/>
    <x v="1"/>
    <s v="Regenerate Scale"/>
    <s v="Resorbed Age Interpretation. Resorption affecting age and missing 1 marine annulus"/>
    <x v="2"/>
  </r>
  <r>
    <m/>
    <x v="3"/>
    <x v="2"/>
    <m/>
    <x v="9"/>
    <m/>
    <m/>
    <m/>
    <x v="2"/>
    <m/>
    <m/>
    <m/>
    <m/>
    <m/>
    <x v="1"/>
    <x v="0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EF70C-FB3C-482E-A043-9870EBD4D42E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W51" firstHeaderRow="1" firstDataRow="2" firstDataCol="1"/>
  <pivotFields count="33">
    <pivotField showAll="0"/>
    <pivotField showAll="0"/>
    <pivotField showAll="0">
      <items count="19">
        <item x="6"/>
        <item x="9"/>
        <item x="13"/>
        <item x="7"/>
        <item x="1"/>
        <item x="14"/>
        <item x="11"/>
        <item x="16"/>
        <item x="12"/>
        <item x="2"/>
        <item x="0"/>
        <item x="10"/>
        <item x="3"/>
        <item x="15"/>
        <item x="4"/>
        <item x="8"/>
        <item x="5"/>
        <item x="17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22">
        <item x="6"/>
        <item x="14"/>
        <item x="7"/>
        <item x="1"/>
        <item x="15"/>
        <item x="13"/>
        <item x="19"/>
        <item x="12"/>
        <item x="2"/>
        <item x="0"/>
        <item x="10"/>
        <item x="16"/>
        <item x="17"/>
        <item x="4"/>
        <item x="8"/>
        <item x="18"/>
        <item x="9"/>
        <item x="11"/>
        <item x="3"/>
        <item x="5"/>
        <item x="20"/>
        <item t="default"/>
      </items>
    </pivotField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25">
        <item x="11"/>
        <item x="9"/>
        <item x="1"/>
        <item x="12"/>
        <item x="16"/>
        <item x="19"/>
        <item x="2"/>
        <item x="8"/>
        <item x="0"/>
        <item x="21"/>
        <item x="13"/>
        <item x="3"/>
        <item x="10"/>
        <item x="18"/>
        <item x="14"/>
        <item x="22"/>
        <item x="17"/>
        <item x="20"/>
        <item x="5"/>
        <item x="6"/>
        <item x="7"/>
        <item x="15"/>
        <item x="4"/>
        <item x="23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3">
    <field x="13"/>
    <field x="26"/>
    <field x="21"/>
  </rowFields>
  <rowItems count="47">
    <i>
      <x/>
    </i>
    <i r="1">
      <x/>
    </i>
    <i r="2">
      <x v="5"/>
    </i>
    <i r="2">
      <x v="7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1">
      <x v="1"/>
    </i>
    <i r="2">
      <x v="9"/>
    </i>
    <i r="1">
      <x v="2"/>
    </i>
    <i r="2">
      <x v="5"/>
    </i>
    <i r="1">
      <x v="3"/>
    </i>
    <i r="2">
      <x/>
    </i>
    <i>
      <x v="1"/>
    </i>
    <i r="1">
      <x v="2"/>
    </i>
    <i r="2">
      <x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8"/>
    </i>
    <i r="2">
      <x v="19"/>
    </i>
    <i r="2">
      <x v="20"/>
    </i>
    <i r="2">
      <x v="21"/>
    </i>
    <i r="2">
      <x v="22"/>
    </i>
    <i>
      <x v="2"/>
    </i>
    <i r="1">
      <x v="4"/>
    </i>
    <i r="2">
      <x v="23"/>
    </i>
    <i t="grand">
      <x/>
    </i>
  </rowItems>
  <colFields count="1">
    <field x="8"/>
  </colFields>
  <col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colItems>
  <dataFields count="1">
    <dataField name="Count of EU Ag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95A6B5-C17B-40DD-AECD-4FEB06F27A1A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52" firstHeaderRow="1" firstDataRow="2" firstDataCol="1"/>
  <pivotFields count="28">
    <pivotField showAll="0"/>
    <pivotField showAll="0"/>
    <pivotField showAll="0"/>
    <pivotField showAll="0"/>
    <pivotField showAll="0"/>
    <pivotField axis="axisCol" dataField="1" showAll="0">
      <items count="22">
        <item h="1" x="6"/>
        <item x="9"/>
        <item x="7"/>
        <item x="1"/>
        <item x="19"/>
        <item h="1" x="16"/>
        <item x="18"/>
        <item x="11"/>
        <item x="2"/>
        <item x="0"/>
        <item x="13"/>
        <item h="1" x="15"/>
        <item x="10"/>
        <item x="4"/>
        <item x="8"/>
        <item h="1" x="17"/>
        <item h="1" x="12"/>
        <item h="1" x="14"/>
        <item h="1" x="3"/>
        <item h="1" x="5"/>
        <item h="1"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17"/>
        <item x="16"/>
        <item x="1"/>
        <item x="20"/>
        <item x="26"/>
        <item x="2"/>
        <item x="24"/>
        <item x="3"/>
        <item x="10"/>
        <item x="7"/>
        <item x="15"/>
        <item x="0"/>
        <item x="14"/>
        <item x="23"/>
        <item x="8"/>
        <item x="4"/>
        <item x="18"/>
        <item x="6"/>
        <item x="21"/>
        <item x="25"/>
        <item x="5"/>
        <item x="11"/>
        <item x="19"/>
        <item x="12"/>
        <item x="13"/>
        <item x="22"/>
        <item x="9"/>
        <item x="27"/>
        <item t="default"/>
      </items>
    </pivotField>
    <pivotField showAll="0"/>
    <pivotField showAll="0"/>
    <pivotField showAll="0"/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21"/>
    <field x="16"/>
  </rowFields>
  <rowItems count="48">
    <i>
      <x/>
    </i>
    <i r="1">
      <x/>
    </i>
    <i r="1">
      <x v="2"/>
    </i>
    <i r="1">
      <x v="4"/>
    </i>
    <i r="1">
      <x v="6"/>
    </i>
    <i r="1">
      <x v="8"/>
    </i>
    <i>
      <x v="1"/>
    </i>
    <i r="1">
      <x v="5"/>
    </i>
    <i r="1">
      <x v="10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1"/>
    </i>
    <i r="1">
      <x v="23"/>
    </i>
    <i r="1">
      <x v="24"/>
    </i>
    <i r="1">
      <x v="25"/>
    </i>
    <i r="1">
      <x v="26"/>
    </i>
    <i t="grand">
      <x/>
    </i>
  </rowItems>
  <colFields count="1">
    <field x="5"/>
  </colFields>
  <colItems count="13"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colItems>
  <dataFields count="1">
    <dataField name="Count of EU Ag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F6612-0C1C-4788-988C-F2EF1E01892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7" firstHeaderRow="1" firstDataRow="2" firstDataCol="1" rowPageCount="1" colPageCount="1"/>
  <pivotFields count="19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1">
        <item x="7"/>
        <item x="2"/>
        <item x="5"/>
        <item x="1"/>
        <item x="0"/>
        <item x="3"/>
        <item x="6"/>
        <item x="8"/>
        <item x="4"/>
        <item x="9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3"/>
        <item x="5"/>
        <item x="2"/>
        <item x="0"/>
        <item x="4"/>
        <item x="6"/>
        <item x="7"/>
        <item x="1"/>
        <item t="default"/>
      </items>
    </pivotField>
    <pivotField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axis="axisCol" dataField="1" showAll="0">
      <items count="13">
        <item x="11"/>
        <item x="8"/>
        <item x="2"/>
        <item x="4"/>
        <item x="3"/>
        <item x="6"/>
        <item x="7"/>
        <item x="0"/>
        <item x="5"/>
        <item x="9"/>
        <item x="10"/>
        <item x="1"/>
        <item t="default"/>
      </items>
    </pivotField>
  </pivotFields>
  <rowFields count="3">
    <field x="2"/>
    <field x="1"/>
    <field x="4"/>
  </rowFields>
  <rowItems count="23">
    <i>
      <x/>
    </i>
    <i r="1">
      <x/>
    </i>
    <i r="2">
      <x v="1"/>
    </i>
    <i r="2">
      <x v="5"/>
    </i>
    <i r="2">
      <x v="8"/>
    </i>
    <i r="1">
      <x v="1"/>
    </i>
    <i r="2">
      <x v="2"/>
    </i>
    <i r="2">
      <x v="5"/>
    </i>
    <i r="2">
      <x v="6"/>
    </i>
    <i r="1">
      <x v="2"/>
    </i>
    <i r="2">
      <x/>
    </i>
    <i r="2">
      <x v="5"/>
    </i>
    <i r="2">
      <x v="6"/>
    </i>
    <i r="2">
      <x v="7"/>
    </i>
    <i r="2">
      <x v="8"/>
    </i>
    <i>
      <x v="1"/>
    </i>
    <i r="1">
      <x/>
    </i>
    <i r="2">
      <x v="4"/>
    </i>
    <i r="1">
      <x v="1"/>
    </i>
    <i r="2">
      <x v="3"/>
    </i>
    <i r="1">
      <x v="2"/>
    </i>
    <i r="2">
      <x v="3"/>
    </i>
    <i t="grand">
      <x/>
    </i>
  </rowItems>
  <colFields count="1">
    <field x="1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8" item="1" hier="-1"/>
  </pageFields>
  <dataFields count="1">
    <dataField name="Count of GR AGE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c-salmon.dfo-mpo.gc.ca/CwtDataEntry/" TargetMode="External"/><Relationship Id="rId2" Type="http://schemas.openxmlformats.org/officeDocument/2006/relationships/hyperlink" Target="https://pac-salmon.dfo-mpo.gc.ca/Nuseds.Query/" TargetMode="External"/><Relationship Id="rId1" Type="http://schemas.openxmlformats.org/officeDocument/2006/relationships/hyperlink" Target="https://pac-salmon.dfo-mpo.gc.ca/Nuseds.Query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28AEE-4D26-42F0-9FF2-85BEC72E9EFF}">
  <dimension ref="A1:E57"/>
  <sheetViews>
    <sheetView workbookViewId="0">
      <selection activeCell="D34" sqref="D34"/>
    </sheetView>
  </sheetViews>
  <sheetFormatPr defaultRowHeight="15" x14ac:dyDescent="0.25"/>
  <cols>
    <col min="1" max="1" width="15.7109375" customWidth="1"/>
    <col min="2" max="2" width="32.85546875" customWidth="1"/>
    <col min="5" max="5" width="27.140625" customWidth="1"/>
    <col min="12" max="12" width="16.28515625" customWidth="1"/>
    <col min="14" max="14" width="14.85546875" customWidth="1"/>
    <col min="15" max="15" width="12.28515625" customWidth="1"/>
  </cols>
  <sheetData>
    <row r="1" spans="1:2" x14ac:dyDescent="0.25">
      <c r="A1" t="s">
        <v>14</v>
      </c>
    </row>
    <row r="3" spans="1:2" x14ac:dyDescent="0.25">
      <c r="A3" t="s">
        <v>122</v>
      </c>
    </row>
    <row r="6" spans="1:2" x14ac:dyDescent="0.25">
      <c r="A6" s="30" t="s">
        <v>1</v>
      </c>
      <c r="B6" s="31" t="s">
        <v>100</v>
      </c>
    </row>
    <row r="7" spans="1:2" x14ac:dyDescent="0.25">
      <c r="A7" s="3" t="s">
        <v>0</v>
      </c>
      <c r="B7" s="32"/>
    </row>
    <row r="8" spans="1:2" x14ac:dyDescent="0.25">
      <c r="A8" s="3" t="s">
        <v>123</v>
      </c>
      <c r="B8" s="32"/>
    </row>
    <row r="9" spans="1:2" x14ac:dyDescent="0.25">
      <c r="A9" s="3" t="s">
        <v>91</v>
      </c>
      <c r="B9" s="32" t="s">
        <v>66</v>
      </c>
    </row>
    <row r="10" spans="1:2" x14ac:dyDescent="0.25">
      <c r="A10" s="3" t="s">
        <v>92</v>
      </c>
      <c r="B10" s="32" t="s">
        <v>78</v>
      </c>
    </row>
    <row r="11" spans="1:2" x14ac:dyDescent="0.25">
      <c r="A11" s="3"/>
      <c r="B11" s="32" t="s">
        <v>87</v>
      </c>
    </row>
    <row r="12" spans="1:2" x14ac:dyDescent="0.25">
      <c r="A12" s="3"/>
      <c r="B12" s="32"/>
    </row>
    <row r="13" spans="1:2" x14ac:dyDescent="0.25">
      <c r="A13" s="3" t="s">
        <v>93</v>
      </c>
      <c r="B13" s="32" t="s">
        <v>94</v>
      </c>
    </row>
    <row r="14" spans="1:2" x14ac:dyDescent="0.25">
      <c r="A14" s="33" t="s">
        <v>118</v>
      </c>
      <c r="B14" s="34" t="s">
        <v>119</v>
      </c>
    </row>
    <row r="17" spans="1:2" x14ac:dyDescent="0.25">
      <c r="A17" s="30" t="s">
        <v>1</v>
      </c>
      <c r="B17" s="31" t="s">
        <v>100</v>
      </c>
    </row>
    <row r="18" spans="1:2" x14ac:dyDescent="0.25">
      <c r="A18" s="3" t="s">
        <v>95</v>
      </c>
      <c r="B18" s="32"/>
    </row>
    <row r="19" spans="1:2" x14ac:dyDescent="0.25">
      <c r="A19" s="3" t="s">
        <v>123</v>
      </c>
      <c r="B19" s="32"/>
    </row>
    <row r="20" spans="1:2" x14ac:dyDescent="0.25">
      <c r="A20" s="3" t="s">
        <v>91</v>
      </c>
      <c r="B20" s="32" t="s">
        <v>66</v>
      </c>
    </row>
    <row r="21" spans="1:2" x14ac:dyDescent="0.25">
      <c r="A21" s="3" t="s">
        <v>96</v>
      </c>
      <c r="B21" s="32" t="s">
        <v>97</v>
      </c>
    </row>
    <row r="22" spans="1:2" x14ac:dyDescent="0.25">
      <c r="A22" s="3"/>
      <c r="B22" s="32" t="s">
        <v>98</v>
      </c>
    </row>
    <row r="23" spans="1:2" x14ac:dyDescent="0.25">
      <c r="A23" s="3"/>
      <c r="B23" s="32"/>
    </row>
    <row r="24" spans="1:2" x14ac:dyDescent="0.25">
      <c r="A24" s="3" t="s">
        <v>99</v>
      </c>
      <c r="B24" s="32" t="s">
        <v>103</v>
      </c>
    </row>
    <row r="25" spans="1:2" x14ac:dyDescent="0.25">
      <c r="A25" s="33" t="s">
        <v>118</v>
      </c>
      <c r="B25" s="34" t="s">
        <v>119</v>
      </c>
    </row>
    <row r="28" spans="1:2" x14ac:dyDescent="0.25">
      <c r="A28" t="s">
        <v>101</v>
      </c>
    </row>
    <row r="30" spans="1:2" x14ac:dyDescent="0.25">
      <c r="A30" t="s">
        <v>102</v>
      </c>
    </row>
    <row r="31" spans="1:2" x14ac:dyDescent="0.25">
      <c r="A31" t="s">
        <v>124</v>
      </c>
    </row>
    <row r="32" spans="1:2" x14ac:dyDescent="0.25">
      <c r="A32" t="s">
        <v>125</v>
      </c>
    </row>
    <row r="34" spans="1:5" x14ac:dyDescent="0.25">
      <c r="A34" t="s">
        <v>104</v>
      </c>
    </row>
    <row r="36" spans="1:5" x14ac:dyDescent="0.25">
      <c r="A36" s="35" t="s">
        <v>4</v>
      </c>
      <c r="B36" s="36" t="s">
        <v>129</v>
      </c>
      <c r="C36" s="36"/>
      <c r="D36" s="36"/>
      <c r="E36" s="31"/>
    </row>
    <row r="37" spans="1:5" x14ac:dyDescent="0.25">
      <c r="A37" s="3"/>
      <c r="E37" s="32"/>
    </row>
    <row r="38" spans="1:5" x14ac:dyDescent="0.25">
      <c r="A38" s="37" t="s">
        <v>109</v>
      </c>
      <c r="E38" s="32"/>
    </row>
    <row r="39" spans="1:5" x14ac:dyDescent="0.25">
      <c r="A39" s="3" t="s">
        <v>107</v>
      </c>
      <c r="B39" t="s">
        <v>106</v>
      </c>
      <c r="E39" s="32"/>
    </row>
    <row r="40" spans="1:5" x14ac:dyDescent="0.25">
      <c r="A40" s="3" t="s">
        <v>105</v>
      </c>
      <c r="B40" t="s">
        <v>66</v>
      </c>
      <c r="E40" s="32"/>
    </row>
    <row r="41" spans="1:5" x14ac:dyDescent="0.25">
      <c r="A41" s="3" t="s">
        <v>111</v>
      </c>
      <c r="B41" t="s">
        <v>77</v>
      </c>
      <c r="E41" s="32"/>
    </row>
    <row r="42" spans="1:5" x14ac:dyDescent="0.25">
      <c r="A42" s="3" t="s">
        <v>117</v>
      </c>
      <c r="E42" s="32"/>
    </row>
    <row r="43" spans="1:5" x14ac:dyDescent="0.25">
      <c r="A43" s="3"/>
      <c r="E43" s="32"/>
    </row>
    <row r="44" spans="1:5" x14ac:dyDescent="0.25">
      <c r="A44" s="37" t="s">
        <v>110</v>
      </c>
      <c r="E44" s="32"/>
    </row>
    <row r="45" spans="1:5" x14ac:dyDescent="0.25">
      <c r="A45" s="3" t="s">
        <v>107</v>
      </c>
      <c r="B45" t="s">
        <v>108</v>
      </c>
      <c r="E45" s="32"/>
    </row>
    <row r="46" spans="1:5" x14ac:dyDescent="0.25">
      <c r="A46" s="3" t="s">
        <v>105</v>
      </c>
      <c r="B46" t="s">
        <v>66</v>
      </c>
      <c r="E46" s="32"/>
    </row>
    <row r="47" spans="1:5" x14ac:dyDescent="0.25">
      <c r="A47" s="3" t="s">
        <v>111</v>
      </c>
      <c r="B47" t="s">
        <v>85</v>
      </c>
      <c r="E47" s="32"/>
    </row>
    <row r="48" spans="1:5" x14ac:dyDescent="0.25">
      <c r="A48" s="3" t="s">
        <v>117</v>
      </c>
      <c r="E48" s="32"/>
    </row>
    <row r="49" spans="1:5" x14ac:dyDescent="0.25">
      <c r="A49" s="3"/>
      <c r="E49" s="32"/>
    </row>
    <row r="50" spans="1:5" x14ac:dyDescent="0.25">
      <c r="A50" s="3" t="s">
        <v>112</v>
      </c>
      <c r="E50" s="32"/>
    </row>
    <row r="51" spans="1:5" x14ac:dyDescent="0.25">
      <c r="A51" s="3" t="s">
        <v>113</v>
      </c>
      <c r="E51" s="32"/>
    </row>
    <row r="52" spans="1:5" x14ac:dyDescent="0.25">
      <c r="A52" s="3" t="s">
        <v>114</v>
      </c>
      <c r="E52" s="32"/>
    </row>
    <row r="53" spans="1:5" x14ac:dyDescent="0.25">
      <c r="A53" s="3"/>
      <c r="E53" s="32"/>
    </row>
    <row r="54" spans="1:5" x14ac:dyDescent="0.25">
      <c r="A54" s="3" t="s">
        <v>127</v>
      </c>
      <c r="E54" s="32"/>
    </row>
    <row r="55" spans="1:5" x14ac:dyDescent="0.25">
      <c r="A55" s="3"/>
      <c r="E55" s="32"/>
    </row>
    <row r="56" spans="1:5" x14ac:dyDescent="0.25">
      <c r="A56" s="3" t="s">
        <v>99</v>
      </c>
      <c r="B56" t="s">
        <v>128</v>
      </c>
      <c r="E56" s="32"/>
    </row>
    <row r="57" spans="1:5" x14ac:dyDescent="0.25">
      <c r="A57" s="33" t="s">
        <v>120</v>
      </c>
      <c r="B57" s="38" t="s">
        <v>121</v>
      </c>
      <c r="C57" s="38"/>
      <c r="D57" s="38"/>
      <c r="E57" s="34"/>
    </row>
  </sheetData>
  <hyperlinks>
    <hyperlink ref="A6" r:id="rId1" location="/Query#r" display="https://pac-salmon.dfo-mpo.gc.ca/Nuseds.Query/ - /Query#r" xr:uid="{3F574BE1-7403-422A-BCDD-5C8D6BC14CF6}"/>
    <hyperlink ref="A17" r:id="rId2" location="/Query#r" display="https://pac-salmon.dfo-mpo.gc.ca/Nuseds.Query/ - /Query#r" xr:uid="{F1993F19-2DEC-4E2E-86CA-93E8E8F0EE21}"/>
    <hyperlink ref="A36" r:id="rId3" location="/AgeBatchList" display="https://pac-salmon.dfo-mpo.gc.ca/CwtDataEntry/ - /AgeBatchList" xr:uid="{A62BD9DF-2212-4C4F-933F-83495AD94A51}"/>
  </hyperlink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426A-4379-4CEB-BAE3-E170D4ABAC8D}">
  <dimension ref="A1:J5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9" sqref="C9"/>
    </sheetView>
  </sheetViews>
  <sheetFormatPr defaultColWidth="8.7109375" defaultRowHeight="15" x14ac:dyDescent="0.25"/>
  <cols>
    <col min="1" max="1" width="8.7109375" style="9"/>
    <col min="2" max="5" width="18.42578125" style="9" customWidth="1"/>
    <col min="6" max="6" width="18.42578125" style="5" customWidth="1"/>
    <col min="7" max="7" width="18.42578125" customWidth="1"/>
    <col min="8" max="9" width="18.42578125" style="9" customWidth="1"/>
    <col min="10" max="10" width="18.42578125" customWidth="1"/>
  </cols>
  <sheetData>
    <row r="1" spans="1:10" x14ac:dyDescent="0.25">
      <c r="A1" s="5"/>
      <c r="B1" s="6" t="s">
        <v>17</v>
      </c>
      <c r="C1" s="6" t="s">
        <v>17</v>
      </c>
      <c r="D1" s="6" t="s">
        <v>17</v>
      </c>
      <c r="E1" s="7" t="s">
        <v>18</v>
      </c>
      <c r="F1" s="7" t="s">
        <v>18</v>
      </c>
      <c r="G1" s="7" t="s">
        <v>18</v>
      </c>
      <c r="H1" s="8" t="s">
        <v>19</v>
      </c>
      <c r="I1" s="8" t="s">
        <v>19</v>
      </c>
      <c r="J1" s="8" t="s">
        <v>19</v>
      </c>
    </row>
    <row r="2" spans="1:10" s="5" customFormat="1" ht="42.95" customHeight="1" x14ac:dyDescent="0.25">
      <c r="A2" s="10" t="s">
        <v>10</v>
      </c>
      <c r="B2" s="11" t="s">
        <v>15</v>
      </c>
      <c r="C2" s="11" t="s">
        <v>16</v>
      </c>
      <c r="D2" s="11" t="s">
        <v>61</v>
      </c>
      <c r="E2" s="12" t="s">
        <v>51</v>
      </c>
      <c r="F2" s="12" t="s">
        <v>16</v>
      </c>
      <c r="G2" s="23" t="s">
        <v>60</v>
      </c>
      <c r="H2" s="13" t="s">
        <v>15</v>
      </c>
      <c r="I2" s="13" t="s">
        <v>16</v>
      </c>
      <c r="J2" s="13" t="s">
        <v>60</v>
      </c>
    </row>
    <row r="3" spans="1:10" x14ac:dyDescent="0.25">
      <c r="A3" s="25">
        <v>2025</v>
      </c>
      <c r="B3" s="18" t="str" cm="1">
        <f t="array" ref="B3">IFERROR(VLOOKUP(A3,'"PADS" Summary'!$A$7:$W$20,{23},0)," ")</f>
        <v xml:space="preserve"> </v>
      </c>
      <c r="C3" s="18" t="str" cm="1">
        <f t="array" ref="C3">IFERROR(VLOOKUP(A3,'"Age Readings Data" Summary'!$A$12:$W$28,{23},0)," ")</f>
        <v xml:space="preserve"> </v>
      </c>
      <c r="D3" s="18">
        <v>324</v>
      </c>
      <c r="E3" s="20" t="str" cm="1">
        <f t="array" ref="E3">IFERROR(VLOOKUP(A3,'"PADS" Summary'!$A$29:$W$47,{23},0)," ")</f>
        <v xml:space="preserve"> </v>
      </c>
      <c r="F3" s="19" t="str" cm="1">
        <f t="array" ref="F3">IFERROR(VLOOKUP(A3,'"Age Readings Data" Summary'!$A$32:$W$53,{23},0)," ")</f>
        <v xml:space="preserve"> </v>
      </c>
      <c r="G3" s="2"/>
      <c r="H3" s="22"/>
      <c r="I3" s="22"/>
      <c r="J3" s="1"/>
    </row>
    <row r="4" spans="1:10" x14ac:dyDescent="0.25">
      <c r="A4" s="25">
        <v>2024</v>
      </c>
      <c r="B4" s="18" t="str" cm="1">
        <f t="array" ref="B4">IFERROR(VLOOKUP(A4,'"PADS" Summary'!$A$7:$W$20,{23},0)," ")</f>
        <v xml:space="preserve"> </v>
      </c>
      <c r="C4" s="18" t="str" cm="1">
        <f t="array" ref="C4">IFERROR(VLOOKUP(A4,'"Age Readings Data" Summary'!$A$12:$W$28,{23},0)," ")</f>
        <v xml:space="preserve"> </v>
      </c>
      <c r="D4" s="18">
        <v>57</v>
      </c>
      <c r="E4" s="20" t="str" cm="1">
        <f t="array" ref="E4">IFERROR(VLOOKUP(A4,'"PADS" Summary'!$A$29:$W$47,{23},0)," ")</f>
        <v xml:space="preserve"> </v>
      </c>
      <c r="F4" s="19" t="str" cm="1">
        <f t="array" ref="F4">IFERROR(VLOOKUP(A4,'"Age Readings Data" Summary'!$A$32:$W$53,{23},0)," ")</f>
        <v xml:space="preserve"> </v>
      </c>
      <c r="G4" s="20">
        <v>10</v>
      </c>
      <c r="H4" s="22"/>
      <c r="I4" s="22"/>
      <c r="J4" s="1"/>
    </row>
    <row r="5" spans="1:10" x14ac:dyDescent="0.25">
      <c r="A5" s="25">
        <v>2023</v>
      </c>
      <c r="B5" s="18" t="str" cm="1">
        <f t="array" ref="B5">IFERROR(VLOOKUP(A5,'"PADS" Summary'!$A$7:$W$20,{23},0)," ")</f>
        <v xml:space="preserve"> </v>
      </c>
      <c r="C5" s="18" t="str" cm="1">
        <f t="array" ref="C5">IFERROR(VLOOKUP(A5,'"Age Readings Data" Summary'!$A$12:$W$28,{23},0)," ")</f>
        <v xml:space="preserve"> </v>
      </c>
      <c r="D5" s="18">
        <v>25</v>
      </c>
      <c r="E5" s="20" t="str" cm="1">
        <f t="array" ref="E5">IFERROR(VLOOKUP(A5,'"PADS" Summary'!$A$29:$W$47,{23},0)," ")</f>
        <v xml:space="preserve"> </v>
      </c>
      <c r="F5" s="19" t="str" cm="1">
        <f t="array" ref="F5">IFERROR(VLOOKUP(A5,'"Age Readings Data" Summary'!$A$32:$W$53,{23},0)," ")</f>
        <v xml:space="preserve"> </v>
      </c>
      <c r="G5" s="20">
        <v>11</v>
      </c>
      <c r="H5" s="22"/>
      <c r="I5" s="22"/>
      <c r="J5" s="1"/>
    </row>
    <row r="6" spans="1:10" x14ac:dyDescent="0.25">
      <c r="A6" s="25">
        <v>2022</v>
      </c>
      <c r="B6" s="18" t="str" cm="1">
        <f t="array" ref="B6">IFERROR(VLOOKUP(A6,'"PADS" Summary'!$A$7:$W$20,{23},0)," ")</f>
        <v xml:space="preserve"> </v>
      </c>
      <c r="C6" s="18" t="str" cm="1">
        <f t="array" ref="C6">IFERROR(VLOOKUP(A6,'"Age Readings Data" Summary'!$A$12:$W$28,{23},0)," ")</f>
        <v xml:space="preserve"> </v>
      </c>
      <c r="D6" s="18">
        <v>254</v>
      </c>
      <c r="E6" s="20" t="str" cm="1">
        <f t="array" ref="E6">IFERROR(VLOOKUP(A6,'"PADS" Summary'!$A$29:$W$47,{23},0)," ")</f>
        <v xml:space="preserve"> </v>
      </c>
      <c r="F6" s="19" t="str" cm="1">
        <f t="array" ref="F6">IFERROR(VLOOKUP(A6,'"Age Readings Data" Summary'!$A$32:$W$53,{23},0)," ")</f>
        <v xml:space="preserve"> </v>
      </c>
      <c r="G6" s="20">
        <v>16</v>
      </c>
      <c r="H6" s="22"/>
      <c r="I6" s="22"/>
      <c r="J6" s="1"/>
    </row>
    <row r="7" spans="1:10" x14ac:dyDescent="0.25">
      <c r="A7" s="25">
        <v>2021</v>
      </c>
      <c r="B7" s="18" t="str" cm="1">
        <f t="array" ref="B7">IFERROR(VLOOKUP(A7,'"PADS" Summary'!$A$7:$W$20,{23},0)," ")</f>
        <v xml:space="preserve"> </v>
      </c>
      <c r="C7" s="18" cm="1">
        <f t="array" ref="C7">IFERROR(VLOOKUP(A7,'"Age Readings Data" Summary'!$A$12:$W$28,{23},0)," ")</f>
        <v>0</v>
      </c>
      <c r="D7" s="18"/>
      <c r="E7" s="20" cm="1">
        <f t="array" ref="E7">IFERROR(VLOOKUP(A7,'"PADS" Summary'!$A$29:$W$47,{23},0)," ")</f>
        <v>8</v>
      </c>
      <c r="F7" s="19" cm="1">
        <f t="array" ref="F7">IFERROR(VLOOKUP(A7,'"Age Readings Data" Summary'!$A$32:$W$53,{23},0)," ")</f>
        <v>0</v>
      </c>
      <c r="G7" s="2"/>
      <c r="H7" s="22"/>
      <c r="I7" s="22"/>
      <c r="J7" s="1"/>
    </row>
    <row r="8" spans="1:10" x14ac:dyDescent="0.25">
      <c r="A8" s="25">
        <v>2020</v>
      </c>
      <c r="B8" s="18" cm="1">
        <f t="array" ref="B8">IFERROR(VLOOKUP(A8,'"PADS" Summary'!$A$7:$W$20,{23},0)," ")</f>
        <v>28</v>
      </c>
      <c r="C8" s="18" cm="1">
        <f t="array" ref="C8">IFERROR(VLOOKUP(A8,'"Age Readings Data" Summary'!$A$12:$W$28,{23},0)," ")</f>
        <v>0</v>
      </c>
      <c r="D8" s="18"/>
      <c r="E8" s="20" cm="1">
        <f t="array" ref="E8">IFERROR(VLOOKUP(A8,'"PADS" Summary'!$A$29:$W$47,{23},0)," ")</f>
        <v>12</v>
      </c>
      <c r="F8" s="19" cm="1">
        <f t="array" ref="F8">IFERROR(VLOOKUP(A8,'"Age Readings Data" Summary'!$A$32:$W$53,{23},0)," ")</f>
        <v>0</v>
      </c>
      <c r="G8" s="2"/>
      <c r="H8" s="22"/>
      <c r="I8" s="22"/>
      <c r="J8" s="1"/>
    </row>
    <row r="9" spans="1:10" x14ac:dyDescent="0.25">
      <c r="A9" s="25">
        <v>2019</v>
      </c>
      <c r="B9" s="18" t="str" cm="1">
        <f t="array" ref="B9">IFERROR(VLOOKUP(A9,'"PADS" Summary'!$A$7:$W$20,{23},0)," ")</f>
        <v xml:space="preserve"> </v>
      </c>
      <c r="C9" s="18" cm="1">
        <f t="array" ref="C9">IFERROR(VLOOKUP(A9,'"Age Readings Data" Summary'!$A$12:$W$28,{23},0)," ")</f>
        <v>0</v>
      </c>
      <c r="D9" s="18"/>
      <c r="E9" s="20" cm="1">
        <f t="array" ref="E9">IFERROR(VLOOKUP(A9,'"PADS" Summary'!$A$29:$W$47,{23},0)," ")</f>
        <v>75</v>
      </c>
      <c r="F9" s="19" cm="1">
        <f t="array" ref="F9">IFERROR(VLOOKUP(A9,'"Age Readings Data" Summary'!$A$32:$W$53,{23},0)," ")</f>
        <v>0</v>
      </c>
      <c r="G9" s="2"/>
      <c r="H9" s="22"/>
      <c r="I9" s="22"/>
      <c r="J9" s="1"/>
    </row>
    <row r="10" spans="1:10" x14ac:dyDescent="0.25">
      <c r="A10" s="25">
        <v>2018</v>
      </c>
      <c r="B10" s="18" cm="1">
        <f t="array" ref="B10">IFERROR(VLOOKUP(A10,'"PADS" Summary'!$A$7:$W$20,{23},0)," ")</f>
        <v>207</v>
      </c>
      <c r="C10" s="18" cm="1">
        <f t="array" ref="C10">IFERROR(VLOOKUP(A10,'"Age Readings Data" Summary'!$A$12:$W$28,{23},0)," ")</f>
        <v>0</v>
      </c>
      <c r="D10" s="18"/>
      <c r="E10" s="20" cm="1">
        <f t="array" ref="E10">IFERROR(VLOOKUP(A10,'"PADS" Summary'!$A$29:$W$47,{23},0)," ")</f>
        <v>44</v>
      </c>
      <c r="F10" s="19" cm="1">
        <f t="array" ref="F10">IFERROR(VLOOKUP(A10,'"Age Readings Data" Summary'!$A$32:$W$53,{23},0)," ")</f>
        <v>0</v>
      </c>
      <c r="G10" s="2"/>
      <c r="H10" s="22"/>
      <c r="I10" s="22"/>
      <c r="J10" s="1"/>
    </row>
    <row r="11" spans="1:10" x14ac:dyDescent="0.25">
      <c r="A11" s="25">
        <v>2017</v>
      </c>
      <c r="B11" s="18" t="str" cm="1">
        <f t="array" ref="B11">IFERROR(VLOOKUP(A11,'"PADS" Summary'!$A$7:$W$20,{23},0)," ")</f>
        <v xml:space="preserve"> </v>
      </c>
      <c r="C11" s="18" cm="1">
        <f t="array" ref="C11">IFERROR(VLOOKUP(A11,'"Age Readings Data" Summary'!$A$12:$W$28,{23},0)," ")</f>
        <v>0</v>
      </c>
      <c r="D11" s="18"/>
      <c r="E11" s="20" t="str" cm="1">
        <f t="array" ref="E11">IFERROR(VLOOKUP(A11,'"PADS" Summary'!$A$29:$W$47,{23},0)," ")</f>
        <v xml:space="preserve"> </v>
      </c>
      <c r="F11" s="19" t="str" cm="1">
        <f t="array" ref="F11">IFERROR(VLOOKUP(A11,'"Age Readings Data" Summary'!$A$32:$W$53,{23},0)," ")</f>
        <v xml:space="preserve"> </v>
      </c>
      <c r="G11" s="2"/>
      <c r="H11" s="22"/>
      <c r="I11" s="22"/>
      <c r="J11" s="1"/>
    </row>
    <row r="12" spans="1:10" x14ac:dyDescent="0.25">
      <c r="A12" s="25">
        <v>2016</v>
      </c>
      <c r="B12" s="18" cm="1">
        <f t="array" ref="B12">IFERROR(VLOOKUP(A12,'"PADS" Summary'!$A$7:$W$20,{23},0)," ")</f>
        <v>244</v>
      </c>
      <c r="C12" s="18" cm="1">
        <f t="array" ref="C12">IFERROR(VLOOKUP(A12,'"Age Readings Data" Summary'!$A$12:$W$28,{23},0)," ")</f>
        <v>0</v>
      </c>
      <c r="D12" s="18"/>
      <c r="E12" s="20" cm="1">
        <f t="array" ref="E12">IFERROR(VLOOKUP(A12,'"PADS" Summary'!$A$29:$W$47,{23},0)," ")</f>
        <v>23</v>
      </c>
      <c r="F12" s="19" cm="1">
        <f t="array" ref="F12">IFERROR(VLOOKUP(A12,'"Age Readings Data" Summary'!$A$32:$W$53,{23},0)," ")</f>
        <v>0</v>
      </c>
      <c r="G12" s="2"/>
      <c r="H12" s="22"/>
      <c r="I12" s="22"/>
      <c r="J12" s="1"/>
    </row>
    <row r="13" spans="1:10" x14ac:dyDescent="0.25">
      <c r="A13" s="25">
        <v>2015</v>
      </c>
      <c r="B13" s="18" cm="1">
        <f t="array" ref="B13">IFERROR(VLOOKUP(A13,'"PADS" Summary'!$A$7:$W$20,{23},0)," ")</f>
        <v>100</v>
      </c>
      <c r="C13" s="18" cm="1">
        <f t="array" ref="C13">IFERROR(VLOOKUP(A13,'"Age Readings Data" Summary'!$A$12:$W$28,{23},0)," ")</f>
        <v>0</v>
      </c>
      <c r="D13" s="18"/>
      <c r="E13" s="20" t="str" cm="1">
        <f t="array" ref="E13">IFERROR(VLOOKUP(A13,'"PADS" Summary'!$A$29:$W$47,{23},0)," ")</f>
        <v xml:space="preserve"> </v>
      </c>
      <c r="F13" s="19" t="str" cm="1">
        <f t="array" ref="F13">IFERROR(VLOOKUP(A13,'"Age Readings Data" Summary'!$A$32:$W$53,{23},0)," ")</f>
        <v xml:space="preserve"> </v>
      </c>
      <c r="G13" s="2"/>
      <c r="H13" s="22"/>
      <c r="I13" s="22"/>
      <c r="J13" s="1"/>
    </row>
    <row r="14" spans="1:10" x14ac:dyDescent="0.25">
      <c r="A14" s="25">
        <v>2014</v>
      </c>
      <c r="B14" s="18" cm="1">
        <f t="array" ref="B14">IFERROR(VLOOKUP(A14,'"PADS" Summary'!$A$7:$W$20,{23},0)," ")</f>
        <v>34</v>
      </c>
      <c r="C14" s="18" cm="1">
        <f t="array" ref="C14">IFERROR(VLOOKUP(A14,'"Age Readings Data" Summary'!$A$12:$W$28,{23},0)," ")</f>
        <v>0</v>
      </c>
      <c r="D14" s="18"/>
      <c r="E14" s="20" cm="1">
        <f t="array" ref="E14">IFERROR(VLOOKUP(A14,'"PADS" Summary'!$A$29:$W$47,{23},0)," ")</f>
        <v>29</v>
      </c>
      <c r="F14" s="19" cm="1">
        <f t="array" ref="F14">IFERROR(VLOOKUP(A14,'"Age Readings Data" Summary'!$A$32:$W$53,{23},0)," ")</f>
        <v>0</v>
      </c>
      <c r="G14" s="2"/>
      <c r="H14" s="22"/>
      <c r="I14" s="22"/>
      <c r="J14" s="1"/>
    </row>
    <row r="15" spans="1:10" x14ac:dyDescent="0.25">
      <c r="A15" s="25">
        <v>2013</v>
      </c>
      <c r="B15" s="18" cm="1">
        <f t="array" ref="B15">IFERROR(VLOOKUP(A15,'"PADS" Summary'!$A$7:$W$20,{23},0)," ")</f>
        <v>306</v>
      </c>
      <c r="C15" s="18" cm="1">
        <f t="array" ref="C15">IFERROR(VLOOKUP(A15,'"Age Readings Data" Summary'!$A$12:$W$28,{23},0)," ")</f>
        <v>0</v>
      </c>
      <c r="D15" s="18"/>
      <c r="E15" s="20" t="str" cm="1">
        <f t="array" ref="E15">IFERROR(VLOOKUP(A15,'"PADS" Summary'!$A$29:$W$47,{23},0)," ")</f>
        <v xml:space="preserve"> </v>
      </c>
      <c r="F15" s="19" t="str" cm="1">
        <f t="array" ref="F15">IFERROR(VLOOKUP(A15,'"Age Readings Data" Summary'!$A$32:$W$53,{23},0)," ")</f>
        <v xml:space="preserve"> </v>
      </c>
      <c r="G15" s="2"/>
      <c r="H15" s="22"/>
      <c r="I15" s="22"/>
      <c r="J15" s="1"/>
    </row>
    <row r="16" spans="1:10" x14ac:dyDescent="0.25">
      <c r="A16" s="25">
        <v>2012</v>
      </c>
      <c r="B16" s="18" cm="1">
        <f t="array" ref="B16">IFERROR(VLOOKUP(A16,'"PADS" Summary'!$A$7:$W$20,{23},0)," ")</f>
        <v>263</v>
      </c>
      <c r="C16" s="18" cm="1">
        <f t="array" ref="C16">IFERROR(VLOOKUP(A16,'"Age Readings Data" Summary'!$A$12:$W$28,{23},0)," ")</f>
        <v>0</v>
      </c>
      <c r="D16" s="18"/>
      <c r="E16" s="20" cm="1">
        <f t="array" ref="E16">IFERROR(VLOOKUP(A16,'"PADS" Summary'!$A$29:$W$47,{23},0)," ")</f>
        <v>29</v>
      </c>
      <c r="F16" s="19" cm="1">
        <f t="array" ref="F16">IFERROR(VLOOKUP(A16,'"Age Readings Data" Summary'!$A$32:$W$53,{23},0)," ")</f>
        <v>0</v>
      </c>
      <c r="G16" s="2"/>
      <c r="H16" s="22"/>
      <c r="I16" s="22"/>
      <c r="J16" s="1"/>
    </row>
    <row r="17" spans="1:10" x14ac:dyDescent="0.25">
      <c r="A17" s="25">
        <v>2011</v>
      </c>
      <c r="B17" s="18" cm="1">
        <f t="array" ref="B17">IFERROR(VLOOKUP(A17,'"PADS" Summary'!$A$7:$W$20,{23},0)," ")</f>
        <v>57</v>
      </c>
      <c r="C17" s="18" cm="1">
        <f t="array" ref="C17">IFERROR(VLOOKUP(A17,'"Age Readings Data" Summary'!$A$12:$W$28,{23},0)," ")</f>
        <v>0</v>
      </c>
      <c r="D17" s="18"/>
      <c r="E17" s="20" cm="1">
        <f t="array" ref="E17">IFERROR(VLOOKUP(A17,'"PADS" Summary'!$A$29:$W$47,{23},0)," ")</f>
        <v>9</v>
      </c>
      <c r="F17" s="19" cm="1">
        <f t="array" ref="F17">IFERROR(VLOOKUP(A17,'"Age Readings Data" Summary'!$A$32:$W$53,{23},0)," ")</f>
        <v>0</v>
      </c>
      <c r="G17" s="2"/>
      <c r="H17" s="22"/>
      <c r="I17" s="22"/>
      <c r="J17" s="1"/>
    </row>
    <row r="18" spans="1:10" x14ac:dyDescent="0.25">
      <c r="A18" s="25">
        <v>2010</v>
      </c>
      <c r="B18" s="18" cm="1">
        <f t="array" ref="B18">IFERROR(VLOOKUP(A18,'"PADS" Summary'!$A$7:$W$20,{23},0)," ")</f>
        <v>54</v>
      </c>
      <c r="C18" s="18" cm="1">
        <f t="array" ref="C18">IFERROR(VLOOKUP(A18,'"Age Readings Data" Summary'!$A$12:$W$28,{23},0)," ")</f>
        <v>0</v>
      </c>
      <c r="D18" s="18"/>
      <c r="E18" s="20" cm="1">
        <f t="array" ref="E18">IFERROR(VLOOKUP(A18,'"PADS" Summary'!$A$29:$W$47,{23},0)," ")</f>
        <v>72</v>
      </c>
      <c r="F18" s="19" cm="1">
        <f t="array" ref="F18">IFERROR(VLOOKUP(A18,'"Age Readings Data" Summary'!$A$32:$W$53,{23},0)," ")</f>
        <v>0</v>
      </c>
      <c r="G18" s="2"/>
      <c r="H18" s="22"/>
      <c r="I18" s="22"/>
      <c r="J18" s="1"/>
    </row>
    <row r="19" spans="1:10" x14ac:dyDescent="0.25">
      <c r="A19" s="25">
        <v>2009</v>
      </c>
      <c r="B19" s="18" cm="1">
        <f t="array" ref="B19">IFERROR(VLOOKUP(A19,'"PADS" Summary'!$A$7:$W$20,{23},0)," ")</f>
        <v>181</v>
      </c>
      <c r="C19" s="18" cm="1">
        <f t="array" ref="C19">IFERROR(VLOOKUP(A19,'"Age Readings Data" Summary'!$A$12:$W$28,{23},0)," ")</f>
        <v>0</v>
      </c>
      <c r="D19" s="18"/>
      <c r="E19" s="20" cm="1">
        <f t="array" ref="E19">IFERROR(VLOOKUP(A19,'"PADS" Summary'!$A$29:$W$47,{23},0)," ")</f>
        <v>35</v>
      </c>
      <c r="F19" s="19" cm="1">
        <f t="array" ref="F19">IFERROR(VLOOKUP(A19,'"Age Readings Data" Summary'!$A$32:$W$53,{23},0)," ")</f>
        <v>0</v>
      </c>
      <c r="G19" s="2"/>
      <c r="H19" s="22"/>
      <c r="I19" s="22"/>
      <c r="J19" s="1"/>
    </row>
    <row r="20" spans="1:10" x14ac:dyDescent="0.25">
      <c r="A20" s="25">
        <v>2008</v>
      </c>
      <c r="B20" s="18" cm="1">
        <f t="array" ref="B20">IFERROR(VLOOKUP(A20,'"PADS" Summary'!$A$7:$W$20,{23},0)," ")</f>
        <v>173</v>
      </c>
      <c r="C20" s="18" cm="1">
        <f t="array" ref="C20">IFERROR(VLOOKUP(A20,'"Age Readings Data" Summary'!$A$12:$W$28,{23},0)," ")</f>
        <v>0</v>
      </c>
      <c r="D20" s="18"/>
      <c r="E20" s="20" cm="1">
        <f t="array" ref="E20">IFERROR(VLOOKUP(A20,'"PADS" Summary'!$A$29:$W$47,{23},0)," ")</f>
        <v>41</v>
      </c>
      <c r="F20" s="19" cm="1">
        <f t="array" ref="F20">IFERROR(VLOOKUP(A20,'"Age Readings Data" Summary'!$A$32:$W$53,{23},0)," ")</f>
        <v>0</v>
      </c>
      <c r="G20" s="2"/>
      <c r="H20" s="22"/>
      <c r="I20" s="22"/>
      <c r="J20" s="1"/>
    </row>
    <row r="21" spans="1:10" x14ac:dyDescent="0.25">
      <c r="A21" s="25">
        <v>2007</v>
      </c>
      <c r="B21" s="18" cm="1">
        <f t="array" ref="B21">IFERROR(VLOOKUP(A21,'"PADS" Summary'!$A$7:$W$20,{23},0)," ")</f>
        <v>118</v>
      </c>
      <c r="C21" s="18" cm="1">
        <f t="array" ref="C21">IFERROR(VLOOKUP(A21,'"Age Readings Data" Summary'!$A$12:$W$28,{23},0)," ")</f>
        <v>0</v>
      </c>
      <c r="D21" s="18"/>
      <c r="E21" s="20" t="str" cm="1">
        <f t="array" ref="E21">IFERROR(VLOOKUP(A21,'"PADS" Summary'!$A$29:$W$47,{23},0)," ")</f>
        <v xml:space="preserve"> </v>
      </c>
      <c r="F21" s="19" t="str" cm="1">
        <f t="array" ref="F21">IFERROR(VLOOKUP(A21,'"Age Readings Data" Summary'!$A$32:$W$53,{23},0)," ")</f>
        <v xml:space="preserve"> </v>
      </c>
      <c r="G21" s="2"/>
      <c r="H21" s="22" t="s">
        <v>53</v>
      </c>
      <c r="I21" s="22" t="s">
        <v>53</v>
      </c>
      <c r="J21" s="1"/>
    </row>
    <row r="22" spans="1:10" x14ac:dyDescent="0.25">
      <c r="A22" s="25">
        <v>2006</v>
      </c>
      <c r="B22" s="18" t="str" cm="1">
        <f t="array" ref="B22">IFERROR(VLOOKUP(A22,'"PADS" Summary'!$A$7:$W$20,{23},0)," ")</f>
        <v xml:space="preserve"> </v>
      </c>
      <c r="C22" s="18" t="str" cm="1">
        <f t="array" ref="C22">IFERROR(VLOOKUP(A22,'"Age Readings Data" Summary'!$A$12:$W$28,{23},0)," ")</f>
        <v xml:space="preserve"> </v>
      </c>
      <c r="D22" s="18"/>
      <c r="E22" s="20" cm="1">
        <f t="array" ref="E22">IFERROR(VLOOKUP(A22,'"PADS" Summary'!$A$29:$W$47,{23},0)," ")</f>
        <v>74</v>
      </c>
      <c r="F22" s="19" cm="1">
        <f t="array" ref="F22">IFERROR(VLOOKUP(A22,'"Age Readings Data" Summary'!$A$32:$W$53,{23},0)," ")</f>
        <v>0</v>
      </c>
      <c r="G22" s="2"/>
      <c r="H22" s="22"/>
      <c r="I22" s="22"/>
      <c r="J22" s="1"/>
    </row>
    <row r="23" spans="1:10" x14ac:dyDescent="0.25">
      <c r="A23" s="25">
        <v>2005</v>
      </c>
      <c r="B23" s="18" cm="1">
        <f t="array" ref="B23">IFERROR(VLOOKUP(A23,'"PADS" Summary'!$A$7:$W$20,{23},0)," ")</f>
        <v>42</v>
      </c>
      <c r="C23" s="18" cm="1">
        <f t="array" ref="C23">IFERROR(VLOOKUP(A23,'"Age Readings Data" Summary'!$A$12:$W$28,{23},0)," ")</f>
        <v>0</v>
      </c>
      <c r="D23" s="18"/>
      <c r="E23" s="20" cm="1">
        <f t="array" ref="E23">IFERROR(VLOOKUP(A23,'"PADS" Summary'!$A$29:$W$47,{23},0)," ")</f>
        <v>163</v>
      </c>
      <c r="F23" s="19" cm="1">
        <f t="array" ref="F23">IFERROR(VLOOKUP(A23,'"Age Readings Data" Summary'!$A$32:$W$53,{23},0)," ")</f>
        <v>0</v>
      </c>
      <c r="G23" s="2"/>
      <c r="H23" s="22"/>
      <c r="I23" s="22"/>
      <c r="J23" s="1"/>
    </row>
    <row r="24" spans="1:10" x14ac:dyDescent="0.25">
      <c r="A24" s="25">
        <v>2004</v>
      </c>
      <c r="B24" s="18" t="str" cm="1">
        <f t="array" ref="B24">IFERROR(VLOOKUP(A24,'"PADS" Summary'!$A$7:$W$20,{23},0)," ")</f>
        <v xml:space="preserve"> </v>
      </c>
      <c r="C24" s="18" t="str" cm="1">
        <f t="array" ref="C24">IFERROR(VLOOKUP(A24,'"Age Readings Data" Summary'!$A$12:$W$28,{23},0)," ")</f>
        <v xml:space="preserve"> </v>
      </c>
      <c r="D24" s="18"/>
      <c r="E24" s="20" t="str" cm="1">
        <f t="array" ref="E24">IFERROR(VLOOKUP(A24,'"PADS" Summary'!$A$29:$W$47,{23},0)," ")</f>
        <v xml:space="preserve"> </v>
      </c>
      <c r="F24" s="19" t="str" cm="1">
        <f t="array" ref="F24">IFERROR(VLOOKUP(A24,'"Age Readings Data" Summary'!$A$32:$W$53,{23},0)," ")</f>
        <v xml:space="preserve"> </v>
      </c>
      <c r="G24" s="2"/>
      <c r="H24" s="22"/>
      <c r="I24" s="22"/>
      <c r="J24" s="1"/>
    </row>
    <row r="25" spans="1:10" x14ac:dyDescent="0.25">
      <c r="A25" s="25">
        <v>2003</v>
      </c>
      <c r="B25" s="18" t="str" cm="1">
        <f t="array" ref="B25">IFERROR(VLOOKUP(A25,'"PADS" Summary'!$A$7:$W$20,{23},0)," ")</f>
        <v xml:space="preserve"> </v>
      </c>
      <c r="C25" s="18" t="str" cm="1">
        <f t="array" ref="C25">IFERROR(VLOOKUP(A25,'"Age Readings Data" Summary'!$A$12:$W$28,{23},0)," ")</f>
        <v xml:space="preserve"> </v>
      </c>
      <c r="D25" s="18"/>
      <c r="E25" s="20" cm="1">
        <f t="array" ref="E25">IFERROR(VLOOKUP(A25,'"PADS" Summary'!$A$29:$W$47,{23},0)," ")</f>
        <v>224</v>
      </c>
      <c r="F25" s="19" cm="1">
        <f t="array" ref="F25">IFERROR(VLOOKUP(A25,'"Age Readings Data" Summary'!$A$32:$W$53,{23},0)," ")</f>
        <v>0</v>
      </c>
      <c r="G25" s="2"/>
      <c r="H25" s="22"/>
      <c r="I25" s="22"/>
      <c r="J25" s="1"/>
    </row>
    <row r="26" spans="1:10" x14ac:dyDescent="0.25">
      <c r="A26" s="25">
        <v>2002</v>
      </c>
      <c r="B26" s="18" t="str" cm="1">
        <f t="array" ref="B26">IFERROR(VLOOKUP(A26,'"PADS" Summary'!$A$7:$W$20,{23},0)," ")</f>
        <v xml:space="preserve"> </v>
      </c>
      <c r="C26" s="18" t="str" cm="1">
        <f t="array" ref="C26">IFERROR(VLOOKUP(A26,'"Age Readings Data" Summary'!$A$12:$W$28,{23},0)," ")</f>
        <v xml:space="preserve"> </v>
      </c>
      <c r="D26" s="18"/>
      <c r="E26" s="20" t="str" cm="1">
        <f t="array" ref="E26">IFERROR(VLOOKUP(A26,'"PADS" Summary'!$A$29:$W$47,{23},0)," ")</f>
        <v xml:space="preserve"> </v>
      </c>
      <c r="F26" s="19" t="str" cm="1">
        <f t="array" ref="F26">IFERROR(VLOOKUP(A26,'"Age Readings Data" Summary'!$A$32:$W$53,{23},0)," ")</f>
        <v xml:space="preserve"> </v>
      </c>
      <c r="G26" s="2"/>
      <c r="H26" s="22"/>
      <c r="I26" s="22"/>
      <c r="J26" s="1"/>
    </row>
    <row r="27" spans="1:10" x14ac:dyDescent="0.25">
      <c r="A27" s="25">
        <v>2001</v>
      </c>
      <c r="B27" s="18" t="str" cm="1">
        <f t="array" ref="B27">IFERROR(VLOOKUP(A27,'"PADS" Summary'!$A$7:$W$20,{23},0)," ")</f>
        <v xml:space="preserve"> </v>
      </c>
      <c r="C27" s="18" t="str" cm="1">
        <f t="array" ref="C27">IFERROR(VLOOKUP(A27,'"Age Readings Data" Summary'!$A$12:$W$28,{23},0)," ")</f>
        <v xml:space="preserve"> </v>
      </c>
      <c r="D27" s="18"/>
      <c r="E27" s="20" t="str" cm="1">
        <f t="array" ref="E27">IFERROR(VLOOKUP(A27,'"PADS" Summary'!$A$29:$W$47,{23},0)," ")</f>
        <v xml:space="preserve"> </v>
      </c>
      <c r="F27" s="19" t="str" cm="1">
        <f t="array" ref="F27">IFERROR(VLOOKUP(A27,'"Age Readings Data" Summary'!$A$32:$W$53,{23},0)," ")</f>
        <v xml:space="preserve"> </v>
      </c>
      <c r="G27" s="2"/>
      <c r="H27" s="22"/>
      <c r="I27" s="22"/>
      <c r="J27" s="1"/>
    </row>
    <row r="28" spans="1:10" x14ac:dyDescent="0.25">
      <c r="A28" s="25">
        <v>2000</v>
      </c>
      <c r="B28" s="18" t="str" cm="1">
        <f t="array" ref="B28">IFERROR(VLOOKUP(A28,'"PADS" Summary'!$A$7:$W$20,{23},0)," ")</f>
        <v xml:space="preserve"> </v>
      </c>
      <c r="C28" s="18" t="str" cm="1">
        <f t="array" ref="C28">IFERROR(VLOOKUP(A28,'"Age Readings Data" Summary'!$A$12:$W$28,{23},0)," ")</f>
        <v xml:space="preserve"> </v>
      </c>
      <c r="D28" s="18"/>
      <c r="E28" s="20" t="str" cm="1">
        <f t="array" ref="E28">IFERROR(VLOOKUP(A28,'"PADS" Summary'!$A$29:$W$47,{23},0)," ")</f>
        <v xml:space="preserve"> </v>
      </c>
      <c r="F28" s="19" t="str" cm="1">
        <f t="array" ref="F28">IFERROR(VLOOKUP(A28,'"Age Readings Data" Summary'!$A$32:$W$53,{23},0)," ")</f>
        <v xml:space="preserve"> </v>
      </c>
      <c r="G28" s="2"/>
      <c r="H28" s="22"/>
      <c r="I28" s="22" t="s">
        <v>59</v>
      </c>
      <c r="J28" s="1"/>
    </row>
    <row r="29" spans="1:10" x14ac:dyDescent="0.25">
      <c r="A29" s="25">
        <v>1999</v>
      </c>
      <c r="B29" s="18" t="str" cm="1">
        <f t="array" ref="B29">IFERROR(VLOOKUP(A29,'"PADS" Summary'!$A$7:$W$20,{23},0)," ")</f>
        <v xml:space="preserve"> </v>
      </c>
      <c r="C29" s="18" t="str" cm="1">
        <f t="array" ref="C29">IFERROR(VLOOKUP(A29,'"Age Readings Data" Summary'!$A$12:$W$28,{23},0)," ")</f>
        <v xml:space="preserve"> </v>
      </c>
      <c r="D29" s="18"/>
      <c r="E29" s="20" t="str" cm="1">
        <f t="array" ref="E29">IFERROR(VLOOKUP(A29,'"PADS" Summary'!$A$29:$W$47,{23},0)," ")</f>
        <v xml:space="preserve"> </v>
      </c>
      <c r="F29" s="19" cm="1">
        <f t="array" ref="F29">IFERROR(VLOOKUP(A29,'"Age Readings Data" Summary'!$A$32:$W$53,{23},0)," ")</f>
        <v>0</v>
      </c>
      <c r="G29" s="2"/>
      <c r="H29" s="22"/>
      <c r="I29" s="22"/>
      <c r="J29" s="1"/>
    </row>
    <row r="30" spans="1:10" x14ac:dyDescent="0.25">
      <c r="A30" s="25">
        <v>1998</v>
      </c>
      <c r="B30" s="18" t="str" cm="1">
        <f t="array" ref="B30">IFERROR(VLOOKUP(A30,'"PADS" Summary'!$A$7:$W$20,{23},0)," ")</f>
        <v xml:space="preserve"> </v>
      </c>
      <c r="C30" s="18" t="str" cm="1">
        <f t="array" ref="C30">IFERROR(VLOOKUP(A30,'"Age Readings Data" Summary'!$A$12:$W$28,{23},0)," ")</f>
        <v xml:space="preserve"> </v>
      </c>
      <c r="D30" s="18"/>
      <c r="E30" s="20" t="str" cm="1">
        <f t="array" ref="E30">IFERROR(VLOOKUP(A30,'"PADS" Summary'!$A$29:$W$47,{23},0)," ")</f>
        <v xml:space="preserve"> </v>
      </c>
      <c r="F30" s="19" cm="1">
        <f t="array" ref="F30">IFERROR(VLOOKUP(A30,'"Age Readings Data" Summary'!$A$32:$W$53,{23},0)," ")</f>
        <v>0</v>
      </c>
      <c r="G30" s="2"/>
      <c r="H30" s="22"/>
      <c r="I30" s="22" t="s">
        <v>58</v>
      </c>
      <c r="J30" s="1"/>
    </row>
    <row r="31" spans="1:10" x14ac:dyDescent="0.25">
      <c r="A31" s="25">
        <v>1997</v>
      </c>
      <c r="B31" s="18" cm="1">
        <f t="array" ref="B31">IFERROR(VLOOKUP(A31,'"PADS" Summary'!$A$7:$W$20,{23},0)," ")</f>
        <v>148</v>
      </c>
      <c r="C31" s="18" cm="1">
        <f t="array" ref="C31">IFERROR(VLOOKUP(A31,'"Age Readings Data" Summary'!$A$12:$W$28,{23},0)," ")</f>
        <v>0</v>
      </c>
      <c r="D31" s="18"/>
      <c r="E31" s="20" t="str" cm="1">
        <f t="array" ref="E31">IFERROR(VLOOKUP(A31,'"PADS" Summary'!$A$29:$W$47,{23},0)," ")</f>
        <v xml:space="preserve"> </v>
      </c>
      <c r="F31" s="19" cm="1">
        <f t="array" ref="F31">IFERROR(VLOOKUP(A31,'"Age Readings Data" Summary'!$A$32:$W$53,{23},0)," ")</f>
        <v>0</v>
      </c>
      <c r="G31" s="2"/>
      <c r="H31" s="22"/>
      <c r="I31" s="22"/>
      <c r="J31" s="1"/>
    </row>
    <row r="32" spans="1:10" x14ac:dyDescent="0.25">
      <c r="A32" s="25">
        <v>1996</v>
      </c>
      <c r="B32" s="18" t="str" cm="1">
        <f t="array" ref="B32">IFERROR(VLOOKUP(A32,'"PADS" Summary'!$A$7:$W$20,{23},0)," ")</f>
        <v xml:space="preserve"> </v>
      </c>
      <c r="C32" s="18" t="str" cm="1">
        <f t="array" ref="C32">IFERROR(VLOOKUP(A32,'"Age Readings Data" Summary'!$A$12:$W$28,{23},0)," ")</f>
        <v xml:space="preserve"> </v>
      </c>
      <c r="D32" s="18"/>
      <c r="E32" s="20" t="str" cm="1">
        <f t="array" ref="E32">IFERROR(VLOOKUP(A32,'"PADS" Summary'!$A$29:$W$47,{23},0)," ")</f>
        <v xml:space="preserve"> </v>
      </c>
      <c r="F32" s="19" t="str" cm="1">
        <f t="array" ref="F32">IFERROR(VLOOKUP(A32,'"Age Readings Data" Summary'!$A$32:$W$53,{23},0)," ")</f>
        <v xml:space="preserve"> </v>
      </c>
      <c r="G32" s="2"/>
      <c r="H32" s="22"/>
      <c r="I32" s="22"/>
      <c r="J32" s="1"/>
    </row>
    <row r="33" spans="1:10" x14ac:dyDescent="0.25">
      <c r="A33" s="25">
        <v>1995</v>
      </c>
      <c r="B33" s="18" t="str" cm="1">
        <f t="array" ref="B33">IFERROR(VLOOKUP(A33,'"PADS" Summary'!$A$7:$W$20,{23},0)," ")</f>
        <v xml:space="preserve"> </v>
      </c>
      <c r="C33" s="18" t="str" cm="1">
        <f t="array" ref="C33">IFERROR(VLOOKUP(A33,'"Age Readings Data" Summary'!$A$12:$W$28,{23},0)," ")</f>
        <v xml:space="preserve"> </v>
      </c>
      <c r="D33" s="18"/>
      <c r="E33" s="20" t="str" cm="1">
        <f t="array" ref="E33">IFERROR(VLOOKUP(A33,'"PADS" Summary'!$A$29:$W$47,{23},0)," ")</f>
        <v xml:space="preserve"> </v>
      </c>
      <c r="F33" s="19" t="str" cm="1">
        <f t="array" ref="F33">IFERROR(VLOOKUP(A33,'"Age Readings Data" Summary'!$A$32:$W$53,{23},0)," ")</f>
        <v xml:space="preserve"> </v>
      </c>
      <c r="G33" s="2"/>
      <c r="H33" s="22"/>
      <c r="I33" s="22"/>
      <c r="J33" s="1"/>
    </row>
    <row r="34" spans="1:10" x14ac:dyDescent="0.25">
      <c r="A34" s="25">
        <v>1994</v>
      </c>
      <c r="B34" s="18" t="str" cm="1">
        <f t="array" ref="B34">IFERROR(VLOOKUP(A34,'"PADS" Summary'!$A$7:$W$20,{23},0)," ")</f>
        <v xml:space="preserve"> </v>
      </c>
      <c r="C34" s="18" t="str" cm="1">
        <f t="array" ref="C34">IFERROR(VLOOKUP(A34,'"Age Readings Data" Summary'!$A$12:$W$28,{23},0)," ")</f>
        <v xml:space="preserve"> </v>
      </c>
      <c r="D34" s="18"/>
      <c r="E34" s="20" t="str" cm="1">
        <f t="array" ref="E34">IFERROR(VLOOKUP(A34,'"PADS" Summary'!$A$29:$W$47,{23},0)," ")</f>
        <v xml:space="preserve"> </v>
      </c>
      <c r="F34" s="19" t="str" cm="1">
        <f t="array" ref="F34">IFERROR(VLOOKUP(A34,'"Age Readings Data" Summary'!$A$32:$W$53,{23},0)," ")</f>
        <v xml:space="preserve"> </v>
      </c>
      <c r="G34" s="2"/>
      <c r="H34" s="22"/>
      <c r="I34" s="22"/>
      <c r="J34" s="1"/>
    </row>
    <row r="35" spans="1:10" x14ac:dyDescent="0.25">
      <c r="A35" s="25">
        <v>1993</v>
      </c>
      <c r="B35" s="18" t="str" cm="1">
        <f t="array" ref="B35">IFERROR(VLOOKUP(A35,'"PADS" Summary'!$A$7:$W$20,{23},0)," ")</f>
        <v xml:space="preserve"> </v>
      </c>
      <c r="C35" s="18" t="str" cm="1">
        <f t="array" ref="C35">IFERROR(VLOOKUP(A35,'"Age Readings Data" Summary'!$A$12:$W$28,{23},0)," ")</f>
        <v xml:space="preserve"> </v>
      </c>
      <c r="D35" s="18"/>
      <c r="E35" s="20" cm="1">
        <f t="array" ref="E35">IFERROR(VLOOKUP(A35,'"PADS" Summary'!$A$29:$W$47,{23},0)," ")</f>
        <v>10</v>
      </c>
      <c r="F35" s="19" cm="1">
        <f t="array" ref="F35">IFERROR(VLOOKUP(A35,'"Age Readings Data" Summary'!$A$32:$W$53,{23},0)," ")</f>
        <v>0</v>
      </c>
      <c r="G35" s="2"/>
      <c r="H35" s="22"/>
      <c r="I35" s="22" t="s">
        <v>57</v>
      </c>
      <c r="J35" s="1"/>
    </row>
    <row r="36" spans="1:10" x14ac:dyDescent="0.25">
      <c r="A36" s="25">
        <v>1992</v>
      </c>
      <c r="B36" s="18" t="str" cm="1">
        <f t="array" ref="B36">IFERROR(VLOOKUP(A36,'"PADS" Summary'!$A$7:$W$20,{23},0)," ")</f>
        <v xml:space="preserve"> </v>
      </c>
      <c r="C36" s="18" t="str" cm="1">
        <f t="array" ref="C36">IFERROR(VLOOKUP(A36,'"Age Readings Data" Summary'!$A$12:$W$28,{23},0)," ")</f>
        <v xml:space="preserve"> </v>
      </c>
      <c r="D36" s="18"/>
      <c r="E36" s="20" cm="1">
        <f t="array" ref="E36">IFERROR(VLOOKUP(A36,'"PADS" Summary'!$A$29:$W$47,{23},0)," ")</f>
        <v>80</v>
      </c>
      <c r="F36" s="19" cm="1">
        <f t="array" ref="F36">IFERROR(VLOOKUP(A36,'"Age Readings Data" Summary'!$A$32:$W$53,{23},0)," ")</f>
        <v>0</v>
      </c>
      <c r="G36" s="2"/>
      <c r="H36" s="22"/>
      <c r="I36" s="22"/>
      <c r="J36" s="1"/>
    </row>
    <row r="37" spans="1:10" x14ac:dyDescent="0.25">
      <c r="A37" s="25">
        <v>1991</v>
      </c>
      <c r="B37" s="18" t="str" cm="1">
        <f t="array" ref="B37">IFERROR(VLOOKUP(A37,'"PADS" Summary'!$A$7:$W$20,{23},0)," ")</f>
        <v xml:space="preserve"> </v>
      </c>
      <c r="C37" s="18" t="str" cm="1">
        <f t="array" ref="C37">IFERROR(VLOOKUP(A37,'"Age Readings Data" Summary'!$A$12:$W$28,{23},0)," ")</f>
        <v xml:space="preserve"> </v>
      </c>
      <c r="D37" s="18"/>
      <c r="E37" s="20" cm="1">
        <f t="array" ref="E37">IFERROR(VLOOKUP(A37,'"PADS" Summary'!$A$29:$W$47,{23},0)," ")</f>
        <v>474</v>
      </c>
      <c r="F37" s="19" cm="1">
        <f t="array" ref="F37">IFERROR(VLOOKUP(A37,'"Age Readings Data" Summary'!$A$32:$W$53,{23},0)," ")</f>
        <v>0</v>
      </c>
      <c r="G37" s="2"/>
      <c r="H37" s="22"/>
      <c r="I37" s="22" t="s">
        <v>56</v>
      </c>
      <c r="J37" s="1"/>
    </row>
    <row r="38" spans="1:10" x14ac:dyDescent="0.25">
      <c r="A38" s="25">
        <v>1990</v>
      </c>
      <c r="B38" s="18" t="str" cm="1">
        <f t="array" ref="B38">IFERROR(VLOOKUP(A38,'"PADS" Summary'!$A$7:$W$20,{23},0)," ")</f>
        <v xml:space="preserve"> </v>
      </c>
      <c r="C38" s="18" t="str" cm="1">
        <f t="array" ref="C38">IFERROR(VLOOKUP(A38,'"Age Readings Data" Summary'!$A$12:$W$28,{23},0)," ")</f>
        <v xml:space="preserve"> </v>
      </c>
      <c r="D38" s="18"/>
      <c r="E38" s="20" cm="1">
        <f t="array" ref="E38">IFERROR(VLOOKUP(A38,'"PADS" Summary'!$A$29:$W$47,{23},0)," ")</f>
        <v>495</v>
      </c>
      <c r="F38" s="19" t="str" cm="1">
        <f t="array" ref="F38">IFERROR(VLOOKUP(A38,'"Age Readings Data" Summary'!$A$32:$W$53,{23},0)," ")</f>
        <v xml:space="preserve"> </v>
      </c>
      <c r="G38" s="2"/>
      <c r="H38" s="22"/>
      <c r="I38" s="22"/>
      <c r="J38" s="1"/>
    </row>
    <row r="39" spans="1:10" x14ac:dyDescent="0.25">
      <c r="A39" s="25">
        <v>1989</v>
      </c>
      <c r="B39" s="18" t="str" cm="1">
        <f t="array" ref="B39">IFERROR(VLOOKUP(A39,'"PADS" Summary'!$A$7:$W$20,{23},0)," ")</f>
        <v xml:space="preserve"> </v>
      </c>
      <c r="C39" s="18" t="str" cm="1">
        <f t="array" ref="C39">IFERROR(VLOOKUP(A39,'"Age Readings Data" Summary'!$A$12:$W$28,{23},0)," ")</f>
        <v xml:space="preserve"> </v>
      </c>
      <c r="D39" s="18"/>
      <c r="E39" s="20" cm="1">
        <f t="array" ref="E39">IFERROR(VLOOKUP(A39,'"PADS" Summary'!$A$29:$W$47,{23},0)," ")</f>
        <v>148</v>
      </c>
      <c r="F39" s="19" t="str" cm="1">
        <f t="array" ref="F39">IFERROR(VLOOKUP(A39,'"Age Readings Data" Summary'!$A$32:$W$53,{23},0)," ")</f>
        <v xml:space="preserve"> </v>
      </c>
      <c r="G39" s="2"/>
      <c r="H39" s="22" t="s">
        <v>54</v>
      </c>
      <c r="I39" s="22" t="s">
        <v>55</v>
      </c>
      <c r="J39" s="1"/>
    </row>
    <row r="42" spans="1:10" ht="14.45" customHeight="1" x14ac:dyDescent="0.3">
      <c r="A42" s="24" t="s">
        <v>52</v>
      </c>
      <c r="D42" s="44" t="s">
        <v>62</v>
      </c>
      <c r="E42" s="45" t="s">
        <v>126</v>
      </c>
      <c r="H42" s="21" t="s">
        <v>63</v>
      </c>
    </row>
    <row r="43" spans="1:10" ht="17.25" x14ac:dyDescent="0.3">
      <c r="A43" s="24" t="s">
        <v>64</v>
      </c>
      <c r="D43" s="44"/>
      <c r="E43" s="45"/>
    </row>
    <row r="44" spans="1:10" x14ac:dyDescent="0.25">
      <c r="D44" s="44"/>
      <c r="E44" s="45"/>
    </row>
    <row r="45" spans="1:10" x14ac:dyDescent="0.25">
      <c r="E45" s="45"/>
    </row>
    <row r="46" spans="1:10" x14ac:dyDescent="0.25">
      <c r="E46" s="45"/>
    </row>
    <row r="47" spans="1:10" x14ac:dyDescent="0.25">
      <c r="E47" s="45"/>
    </row>
    <row r="48" spans="1:10" x14ac:dyDescent="0.25">
      <c r="E48" s="45"/>
    </row>
    <row r="49" spans="5:5" x14ac:dyDescent="0.25">
      <c r="E49" s="45"/>
    </row>
    <row r="50" spans="5:5" x14ac:dyDescent="0.25">
      <c r="E50" s="45"/>
    </row>
  </sheetData>
  <mergeCells count="2">
    <mergeCell ref="D42:D44"/>
    <mergeCell ref="E42:E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6556-A01F-4A4C-9206-D05CD38F4A6C}">
  <dimension ref="A3:W51"/>
  <sheetViews>
    <sheetView workbookViewId="0">
      <selection activeCell="AC11" sqref="AC11"/>
    </sheetView>
  </sheetViews>
  <sheetFormatPr defaultColWidth="8.7109375" defaultRowHeight="15" x14ac:dyDescent="0.25"/>
  <cols>
    <col min="1" max="1" width="24.42578125" style="14" bestFit="1" customWidth="1"/>
    <col min="2" max="2" width="15.5703125" style="14" bestFit="1" customWidth="1"/>
    <col min="3" max="3" width="2.85546875" style="14" bestFit="1" customWidth="1"/>
    <col min="4" max="5" width="3.85546875" style="14" bestFit="1" customWidth="1"/>
    <col min="6" max="9" width="2.85546875" style="14" bestFit="1" customWidth="1"/>
    <col min="10" max="10" width="4.85546875" style="14" bestFit="1" customWidth="1"/>
    <col min="11" max="11" width="3.85546875" style="14" bestFit="1" customWidth="1"/>
    <col min="12" max="17" width="2.85546875" style="14" bestFit="1" customWidth="1"/>
    <col min="18" max="19" width="3.5703125" style="14" bestFit="1" customWidth="1"/>
    <col min="20" max="20" width="3.85546875" style="14" bestFit="1" customWidth="1"/>
    <col min="21" max="21" width="3.5703125" style="14" bestFit="1" customWidth="1"/>
    <col min="22" max="22" width="6.85546875" style="14" bestFit="1" customWidth="1"/>
    <col min="23" max="23" width="10.7109375" style="14" bestFit="1" customWidth="1"/>
    <col min="24" max="24" width="3.85546875" style="14" bestFit="1" customWidth="1"/>
    <col min="25" max="26" width="2.85546875" style="14" bestFit="1" customWidth="1"/>
    <col min="27" max="28" width="3.5703125" style="14" bestFit="1" customWidth="1"/>
    <col min="29" max="29" width="9.5703125" style="14" bestFit="1" customWidth="1"/>
    <col min="30" max="30" width="6.5703125" style="14" bestFit="1" customWidth="1"/>
    <col min="31" max="34" width="2.85546875" style="14" bestFit="1" customWidth="1"/>
    <col min="35" max="35" width="3.5703125" style="14" bestFit="1" customWidth="1"/>
    <col min="36" max="36" width="9.5703125" style="14" bestFit="1" customWidth="1"/>
    <col min="37" max="37" width="6.5703125" style="14" bestFit="1" customWidth="1"/>
    <col min="38" max="40" width="2.85546875" style="14" bestFit="1" customWidth="1"/>
    <col min="41" max="41" width="9.5703125" style="14" bestFit="1" customWidth="1"/>
    <col min="42" max="42" width="6.5703125" style="14" bestFit="1" customWidth="1"/>
    <col min="43" max="47" width="2.85546875" style="14" bestFit="1" customWidth="1"/>
    <col min="48" max="48" width="9.5703125" style="14" bestFit="1" customWidth="1"/>
    <col min="49" max="49" width="6.5703125" style="14" bestFit="1" customWidth="1"/>
    <col min="50" max="51" width="2.85546875" style="14" bestFit="1" customWidth="1"/>
    <col min="52" max="52" width="3.85546875" style="14" bestFit="1" customWidth="1"/>
    <col min="53" max="56" width="2.85546875" style="14" bestFit="1" customWidth="1"/>
    <col min="57" max="60" width="3.5703125" style="14" bestFit="1" customWidth="1"/>
    <col min="61" max="61" width="9.5703125" style="14" bestFit="1" customWidth="1"/>
    <col min="62" max="62" width="6.5703125" style="14" bestFit="1" customWidth="1"/>
    <col min="63" max="72" width="2.85546875" style="14" bestFit="1" customWidth="1"/>
    <col min="73" max="75" width="3.5703125" style="14" bestFit="1" customWidth="1"/>
    <col min="76" max="76" width="9.5703125" style="14" bestFit="1" customWidth="1"/>
    <col min="77" max="77" width="6.5703125" style="14" bestFit="1" customWidth="1"/>
    <col min="78" max="83" width="2.85546875" style="14" bestFit="1" customWidth="1"/>
    <col min="84" max="85" width="3.5703125" style="14" bestFit="1" customWidth="1"/>
    <col min="86" max="86" width="9.5703125" style="14" bestFit="1" customWidth="1"/>
    <col min="87" max="87" width="6.5703125" style="14" bestFit="1" customWidth="1"/>
    <col min="88" max="97" width="2.85546875" style="14" bestFit="1" customWidth="1"/>
    <col min="98" max="99" width="3.5703125" style="14" bestFit="1" customWidth="1"/>
    <col min="100" max="100" width="9.5703125" style="14" bestFit="1" customWidth="1"/>
    <col min="101" max="101" width="6.5703125" style="14" bestFit="1" customWidth="1"/>
    <col min="102" max="104" width="2.85546875" style="14" bestFit="1" customWidth="1"/>
    <col min="105" max="105" width="3.85546875" style="14" bestFit="1" customWidth="1"/>
    <col min="106" max="108" width="2.85546875" style="14" bestFit="1" customWidth="1"/>
    <col min="109" max="110" width="3.5703125" style="14" bestFit="1" customWidth="1"/>
    <col min="111" max="111" width="9.5703125" style="14" bestFit="1" customWidth="1"/>
    <col min="112" max="112" width="6.5703125" style="14" bestFit="1" customWidth="1"/>
    <col min="113" max="115" width="2.85546875" style="14" bestFit="1" customWidth="1"/>
    <col min="116" max="116" width="3.85546875" style="14" bestFit="1" customWidth="1"/>
    <col min="117" max="121" width="2.85546875" style="14" bestFit="1" customWidth="1"/>
    <col min="122" max="123" width="3.5703125" style="14" bestFit="1" customWidth="1"/>
    <col min="124" max="124" width="9.5703125" style="14" bestFit="1" customWidth="1"/>
    <col min="125" max="125" width="6.5703125" style="14" bestFit="1" customWidth="1"/>
    <col min="126" max="131" width="2.85546875" style="14" bestFit="1" customWidth="1"/>
    <col min="132" max="134" width="3.5703125" style="14" bestFit="1" customWidth="1"/>
    <col min="135" max="135" width="9.5703125" style="14" bestFit="1" customWidth="1"/>
    <col min="136" max="136" width="6.5703125" style="14" bestFit="1" customWidth="1"/>
    <col min="137" max="141" width="2.85546875" style="14" bestFit="1" customWidth="1"/>
    <col min="142" max="142" width="3.5703125" style="14" bestFit="1" customWidth="1"/>
    <col min="143" max="143" width="9.5703125" style="14" bestFit="1" customWidth="1"/>
    <col min="144" max="144" width="6.5703125" style="14" bestFit="1" customWidth="1"/>
    <col min="145" max="146" width="2.85546875" style="14" bestFit="1" customWidth="1"/>
    <col min="147" max="147" width="3.85546875" style="14" bestFit="1" customWidth="1"/>
    <col min="148" max="151" width="2.85546875" style="14" bestFit="1" customWidth="1"/>
    <col min="152" max="152" width="3.5703125" style="14" bestFit="1" customWidth="1"/>
    <col min="153" max="153" width="9.5703125" style="14" bestFit="1" customWidth="1"/>
    <col min="154" max="154" width="6.5703125" style="14" bestFit="1" customWidth="1"/>
    <col min="155" max="159" width="2.85546875" style="14" bestFit="1" customWidth="1"/>
    <col min="160" max="160" width="3.85546875" style="14" bestFit="1" customWidth="1"/>
    <col min="161" max="163" width="2.85546875" style="14" bestFit="1" customWidth="1"/>
    <col min="164" max="164" width="3.5703125" style="14" bestFit="1" customWidth="1"/>
    <col min="165" max="165" width="9.5703125" style="14" bestFit="1" customWidth="1"/>
    <col min="166" max="166" width="6.5703125" style="14" bestFit="1" customWidth="1"/>
    <col min="167" max="171" width="2.85546875" style="14" bestFit="1" customWidth="1"/>
    <col min="172" max="173" width="3.5703125" style="14" bestFit="1" customWidth="1"/>
    <col min="174" max="174" width="9.5703125" style="14" bestFit="1" customWidth="1"/>
    <col min="175" max="175" width="6.5703125" style="14" bestFit="1" customWidth="1"/>
    <col min="176" max="178" width="2.85546875" style="14" bestFit="1" customWidth="1"/>
    <col min="179" max="179" width="9.5703125" style="14" bestFit="1" customWidth="1"/>
    <col min="180" max="180" width="6.5703125" style="14" bestFit="1" customWidth="1"/>
    <col min="181" max="182" width="2.85546875" style="14" bestFit="1" customWidth="1"/>
    <col min="183" max="183" width="3.85546875" style="14" bestFit="1" customWidth="1"/>
    <col min="184" max="186" width="2.85546875" style="14" bestFit="1" customWidth="1"/>
    <col min="187" max="187" width="9.5703125" style="14" bestFit="1" customWidth="1"/>
    <col min="188" max="188" width="6.5703125" style="14" bestFit="1" customWidth="1"/>
    <col min="189" max="191" width="2.85546875" style="14" bestFit="1" customWidth="1"/>
    <col min="192" max="192" width="3.85546875" style="14" bestFit="1" customWidth="1"/>
    <col min="193" max="196" width="2.85546875" style="14" bestFit="1" customWidth="1"/>
    <col min="197" max="198" width="3.5703125" style="14" bestFit="1" customWidth="1"/>
    <col min="199" max="199" width="9.5703125" style="14" bestFit="1" customWidth="1"/>
    <col min="200" max="200" width="6.5703125" style="14" bestFit="1" customWidth="1"/>
    <col min="201" max="205" width="2.85546875" style="14" bestFit="1" customWidth="1"/>
    <col min="206" max="207" width="3.5703125" style="14" bestFit="1" customWidth="1"/>
    <col min="208" max="208" width="9.5703125" style="14" bestFit="1" customWidth="1"/>
    <col min="209" max="209" width="6.5703125" style="14" bestFit="1" customWidth="1"/>
    <col min="210" max="215" width="2.85546875" style="14" bestFit="1" customWidth="1"/>
    <col min="216" max="217" width="3.5703125" style="14" bestFit="1" customWidth="1"/>
    <col min="218" max="218" width="9.5703125" style="14" bestFit="1" customWidth="1"/>
    <col min="219" max="219" width="6.5703125" style="14" bestFit="1" customWidth="1"/>
    <col min="220" max="222" width="2.85546875" style="14" bestFit="1" customWidth="1"/>
    <col min="223" max="223" width="3.5703125" style="14" bestFit="1" customWidth="1"/>
    <col min="224" max="224" width="9.5703125" style="14" bestFit="1" customWidth="1"/>
    <col min="225" max="225" width="8.5703125" style="14" bestFit="1" customWidth="1"/>
    <col min="226" max="226" width="11.5703125" style="14" bestFit="1" customWidth="1"/>
    <col min="227" max="227" width="10.7109375" style="14" bestFit="1" customWidth="1"/>
    <col min="228" max="228" width="7.5703125" style="14" bestFit="1" customWidth="1"/>
    <col min="229" max="229" width="4.5703125" style="14" bestFit="1" customWidth="1"/>
    <col min="230" max="230" width="7.5703125" style="14" bestFit="1" customWidth="1"/>
    <col min="231" max="231" width="3.5703125" style="14" bestFit="1" customWidth="1"/>
    <col min="232" max="232" width="6.5703125" style="14" bestFit="1" customWidth="1"/>
    <col min="233" max="233" width="9.5703125" style="14" bestFit="1" customWidth="1"/>
    <col min="234" max="234" width="6.5703125" style="14" bestFit="1" customWidth="1"/>
    <col min="235" max="235" width="5.5703125" style="14" bestFit="1" customWidth="1"/>
    <col min="236" max="236" width="4.5703125" style="14" bestFit="1" customWidth="1"/>
    <col min="237" max="237" width="7.5703125" style="14" bestFit="1" customWidth="1"/>
    <col min="238" max="238" width="4.5703125" style="14" bestFit="1" customWidth="1"/>
    <col min="239" max="239" width="7.5703125" style="14" bestFit="1" customWidth="1"/>
    <col min="240" max="240" width="3.5703125" style="14" bestFit="1" customWidth="1"/>
    <col min="241" max="241" width="6.5703125" style="14" bestFit="1" customWidth="1"/>
    <col min="242" max="242" width="4.5703125" style="14" bestFit="1" customWidth="1"/>
    <col min="243" max="243" width="7.5703125" style="14" bestFit="1" customWidth="1"/>
    <col min="244" max="244" width="4.5703125" style="14" bestFit="1" customWidth="1"/>
    <col min="245" max="245" width="7.5703125" style="14" bestFit="1" customWidth="1"/>
    <col min="246" max="246" width="3.5703125" style="14" bestFit="1" customWidth="1"/>
    <col min="247" max="247" width="6.5703125" style="14" bestFit="1" customWidth="1"/>
    <col min="248" max="248" width="4.5703125" style="14" bestFit="1" customWidth="1"/>
    <col min="249" max="249" width="7.5703125" style="14" bestFit="1" customWidth="1"/>
    <col min="250" max="250" width="4.5703125" style="14" bestFit="1" customWidth="1"/>
    <col min="251" max="251" width="7.5703125" style="14" bestFit="1" customWidth="1"/>
    <col min="252" max="252" width="3.5703125" style="14" bestFit="1" customWidth="1"/>
    <col min="253" max="253" width="6.5703125" style="14" bestFit="1" customWidth="1"/>
    <col min="254" max="254" width="9.5703125" style="14" bestFit="1" customWidth="1"/>
    <col min="255" max="255" width="6.5703125" style="14" bestFit="1" customWidth="1"/>
    <col min="256" max="256" width="5.5703125" style="14" bestFit="1" customWidth="1"/>
    <col min="257" max="257" width="4.5703125" style="14" bestFit="1" customWidth="1"/>
    <col min="258" max="258" width="7.5703125" style="14" bestFit="1" customWidth="1"/>
    <col min="259" max="259" width="4.5703125" style="14" bestFit="1" customWidth="1"/>
    <col min="260" max="260" width="7.5703125" style="14" bestFit="1" customWidth="1"/>
    <col min="261" max="261" width="4.5703125" style="14" bestFit="1" customWidth="1"/>
    <col min="262" max="262" width="7.5703125" style="14" bestFit="1" customWidth="1"/>
    <col min="263" max="263" width="4.5703125" style="14" bestFit="1" customWidth="1"/>
    <col min="264" max="264" width="7.5703125" style="14" bestFit="1" customWidth="1"/>
    <col min="265" max="265" width="4.5703125" style="14" bestFit="1" customWidth="1"/>
    <col min="266" max="266" width="7.5703125" style="14" bestFit="1" customWidth="1"/>
    <col min="267" max="267" width="3.5703125" style="14" bestFit="1" customWidth="1"/>
    <col min="268" max="268" width="6.5703125" style="14" bestFit="1" customWidth="1"/>
    <col min="269" max="269" width="9.5703125" style="14" bestFit="1" customWidth="1"/>
    <col min="270" max="270" width="6.5703125" style="14" bestFit="1" customWidth="1"/>
    <col min="271" max="271" width="7.5703125" style="14" bestFit="1" customWidth="1"/>
    <col min="272" max="272" width="4.5703125" style="14" bestFit="1" customWidth="1"/>
    <col min="273" max="273" width="7.5703125" style="14" bestFit="1" customWidth="1"/>
    <col min="274" max="274" width="4.5703125" style="14" bestFit="1" customWidth="1"/>
    <col min="275" max="275" width="7.5703125" style="14" bestFit="1" customWidth="1"/>
    <col min="276" max="276" width="4.5703125" style="14" bestFit="1" customWidth="1"/>
    <col min="277" max="277" width="7.5703125" style="14" bestFit="1" customWidth="1"/>
    <col min="278" max="278" width="4.5703125" style="14" bestFit="1" customWidth="1"/>
    <col min="279" max="279" width="7.5703125" style="14" bestFit="1" customWidth="1"/>
    <col min="280" max="280" width="3.5703125" style="14" bestFit="1" customWidth="1"/>
    <col min="281" max="281" width="6.5703125" style="14" bestFit="1" customWidth="1"/>
    <col min="282" max="282" width="4.5703125" style="14" bestFit="1" customWidth="1"/>
    <col min="283" max="283" width="7.5703125" style="14" bestFit="1" customWidth="1"/>
    <col min="284" max="284" width="4.5703125" style="14" bestFit="1" customWidth="1"/>
    <col min="285" max="285" width="7.5703125" style="14" bestFit="1" customWidth="1"/>
    <col min="286" max="286" width="4.5703125" style="14" bestFit="1" customWidth="1"/>
    <col min="287" max="287" width="7.5703125" style="14" bestFit="1" customWidth="1"/>
    <col min="288" max="288" width="9.5703125" style="14" bestFit="1" customWidth="1"/>
    <col min="289" max="289" width="6.5703125" style="14" bestFit="1" customWidth="1"/>
    <col min="290" max="290" width="5.5703125" style="14" bestFit="1" customWidth="1"/>
    <col min="291" max="291" width="4.5703125" style="14" bestFit="1" customWidth="1"/>
    <col min="292" max="292" width="7.5703125" style="14" bestFit="1" customWidth="1"/>
    <col min="293" max="293" width="4.5703125" style="14" bestFit="1" customWidth="1"/>
    <col min="294" max="294" width="7.5703125" style="14" bestFit="1" customWidth="1"/>
    <col min="295" max="295" width="4.5703125" style="14" bestFit="1" customWidth="1"/>
    <col min="296" max="296" width="7.5703125" style="14" bestFit="1" customWidth="1"/>
    <col min="297" max="297" width="4.5703125" style="14" bestFit="1" customWidth="1"/>
    <col min="298" max="298" width="7.5703125" style="14" bestFit="1" customWidth="1"/>
    <col min="299" max="299" width="4.5703125" style="14" bestFit="1" customWidth="1"/>
    <col min="300" max="300" width="7.5703125" style="14" bestFit="1" customWidth="1"/>
    <col min="301" max="301" width="4.5703125" style="14" bestFit="1" customWidth="1"/>
    <col min="302" max="302" width="7.5703125" style="14" bestFit="1" customWidth="1"/>
    <col min="303" max="303" width="4.5703125" style="14" bestFit="1" customWidth="1"/>
    <col min="304" max="304" width="7.5703125" style="14" bestFit="1" customWidth="1"/>
    <col min="305" max="305" width="4.5703125" style="14" bestFit="1" customWidth="1"/>
    <col min="306" max="306" width="7.5703125" style="14" bestFit="1" customWidth="1"/>
    <col min="307" max="307" width="4.5703125" style="14" bestFit="1" customWidth="1"/>
    <col min="308" max="308" width="7.5703125" style="14" bestFit="1" customWidth="1"/>
    <col min="309" max="309" width="3.5703125" style="14" bestFit="1" customWidth="1"/>
    <col min="310" max="310" width="6.5703125" style="14" bestFit="1" customWidth="1"/>
    <col min="311" max="311" width="9.5703125" style="14" bestFit="1" customWidth="1"/>
    <col min="312" max="312" width="6.5703125" style="14" bestFit="1" customWidth="1"/>
    <col min="313" max="313" width="5.5703125" style="14" bestFit="1" customWidth="1"/>
    <col min="314" max="314" width="4.5703125" style="14" bestFit="1" customWidth="1"/>
    <col min="315" max="315" width="7.5703125" style="14" bestFit="1" customWidth="1"/>
    <col min="316" max="316" width="4.5703125" style="14" bestFit="1" customWidth="1"/>
    <col min="317" max="317" width="7.5703125" style="14" bestFit="1" customWidth="1"/>
    <col min="318" max="318" width="4.5703125" style="14" bestFit="1" customWidth="1"/>
    <col min="319" max="319" width="7.5703125" style="14" bestFit="1" customWidth="1"/>
    <col min="320" max="320" width="4.5703125" style="14" bestFit="1" customWidth="1"/>
    <col min="321" max="321" width="7.5703125" style="14" bestFit="1" customWidth="1"/>
    <col min="322" max="322" width="4.5703125" style="14" bestFit="1" customWidth="1"/>
    <col min="323" max="323" width="7.5703125" style="14" bestFit="1" customWidth="1"/>
    <col min="324" max="324" width="3.5703125" style="14" bestFit="1" customWidth="1"/>
    <col min="325" max="325" width="6.5703125" style="14" bestFit="1" customWidth="1"/>
    <col min="326" max="326" width="3.5703125" style="14" bestFit="1" customWidth="1"/>
    <col min="327" max="327" width="6.5703125" style="14" bestFit="1" customWidth="1"/>
    <col min="328" max="328" width="9.5703125" style="14" bestFit="1" customWidth="1"/>
    <col min="329" max="329" width="6.5703125" style="14" bestFit="1" customWidth="1"/>
    <col min="330" max="330" width="7.5703125" style="14" bestFit="1" customWidth="1"/>
    <col min="331" max="331" width="4.5703125" style="14" bestFit="1" customWidth="1"/>
    <col min="332" max="332" width="7.5703125" style="14" bestFit="1" customWidth="1"/>
    <col min="333" max="333" width="4.5703125" style="14" bestFit="1" customWidth="1"/>
    <col min="334" max="334" width="7.5703125" style="14" bestFit="1" customWidth="1"/>
    <col min="335" max="335" width="4.5703125" style="14" bestFit="1" customWidth="1"/>
    <col min="336" max="336" width="7.5703125" style="14" bestFit="1" customWidth="1"/>
    <col min="337" max="337" width="9.5703125" style="14" bestFit="1" customWidth="1"/>
    <col min="338" max="338" width="6.5703125" style="14" bestFit="1" customWidth="1"/>
    <col min="339" max="339" width="7.5703125" style="14" bestFit="1" customWidth="1"/>
    <col min="340" max="340" width="4.5703125" style="14" bestFit="1" customWidth="1"/>
    <col min="341" max="341" width="7.5703125" style="14" bestFit="1" customWidth="1"/>
    <col min="342" max="342" width="4.5703125" style="14" bestFit="1" customWidth="1"/>
    <col min="343" max="343" width="7.5703125" style="14" bestFit="1" customWidth="1"/>
    <col min="344" max="344" width="4.5703125" style="14" bestFit="1" customWidth="1"/>
    <col min="345" max="345" width="7.5703125" style="14" bestFit="1" customWidth="1"/>
    <col min="346" max="346" width="4.5703125" style="14" bestFit="1" customWidth="1"/>
    <col min="347" max="347" width="7.5703125" style="14" bestFit="1" customWidth="1"/>
    <col min="348" max="348" width="4.5703125" style="14" bestFit="1" customWidth="1"/>
    <col min="349" max="349" width="7.5703125" style="14" bestFit="1" customWidth="1"/>
    <col min="350" max="350" width="4.5703125" style="14" bestFit="1" customWidth="1"/>
    <col min="351" max="351" width="7.5703125" style="14" bestFit="1" customWidth="1"/>
    <col min="352" max="352" width="9.5703125" style="14" bestFit="1" customWidth="1"/>
    <col min="353" max="353" width="6.5703125" style="14" bestFit="1" customWidth="1"/>
    <col min="354" max="354" width="5.5703125" style="14" bestFit="1" customWidth="1"/>
    <col min="355" max="355" width="4.5703125" style="14" bestFit="1" customWidth="1"/>
    <col min="356" max="356" width="7.5703125" style="14" bestFit="1" customWidth="1"/>
    <col min="357" max="357" width="4.5703125" style="14" bestFit="1" customWidth="1"/>
    <col min="358" max="358" width="7.5703125" style="14" bestFit="1" customWidth="1"/>
    <col min="359" max="359" width="3.5703125" style="14" bestFit="1" customWidth="1"/>
    <col min="360" max="360" width="6.5703125" style="14" bestFit="1" customWidth="1"/>
    <col min="361" max="361" width="4.5703125" style="14" bestFit="1" customWidth="1"/>
    <col min="362" max="362" width="7.5703125" style="14" bestFit="1" customWidth="1"/>
    <col min="363" max="363" width="4.5703125" style="14" bestFit="1" customWidth="1"/>
    <col min="364" max="364" width="7.5703125" style="14" bestFit="1" customWidth="1"/>
    <col min="365" max="365" width="4.5703125" style="14" bestFit="1" customWidth="1"/>
    <col min="366" max="366" width="7.5703125" style="14" bestFit="1" customWidth="1"/>
    <col min="367" max="367" width="3.5703125" style="14" bestFit="1" customWidth="1"/>
    <col min="368" max="368" width="6.5703125" style="14" bestFit="1" customWidth="1"/>
    <col min="369" max="369" width="4.5703125" style="14" bestFit="1" customWidth="1"/>
    <col min="370" max="370" width="7.5703125" style="14" bestFit="1" customWidth="1"/>
    <col min="371" max="371" width="4.5703125" style="14" bestFit="1" customWidth="1"/>
    <col min="372" max="372" width="7.5703125" style="14" bestFit="1" customWidth="1"/>
    <col min="373" max="373" width="3.5703125" style="14" bestFit="1" customWidth="1"/>
    <col min="374" max="374" width="6.5703125" style="14" bestFit="1" customWidth="1"/>
    <col min="375" max="375" width="9.5703125" style="14" bestFit="1" customWidth="1"/>
    <col min="376" max="376" width="6.5703125" style="14" bestFit="1" customWidth="1"/>
    <col min="377" max="377" width="5.5703125" style="14" bestFit="1" customWidth="1"/>
    <col min="378" max="378" width="3.5703125" style="14" bestFit="1" customWidth="1"/>
    <col min="379" max="379" width="6.5703125" style="14" bestFit="1" customWidth="1"/>
    <col min="380" max="380" width="4.5703125" style="14" bestFit="1" customWidth="1"/>
    <col min="381" max="381" width="7.5703125" style="14" bestFit="1" customWidth="1"/>
    <col min="382" max="382" width="4.5703125" style="14" bestFit="1" customWidth="1"/>
    <col min="383" max="383" width="7.5703125" style="14" bestFit="1" customWidth="1"/>
    <col min="384" max="384" width="4.5703125" style="14" bestFit="1" customWidth="1"/>
    <col min="385" max="385" width="7.5703125" style="14" bestFit="1" customWidth="1"/>
    <col min="386" max="386" width="3.5703125" style="14" bestFit="1" customWidth="1"/>
    <col min="387" max="387" width="6.5703125" style="14" bestFit="1" customWidth="1"/>
    <col min="388" max="388" width="4.5703125" style="14" bestFit="1" customWidth="1"/>
    <col min="389" max="389" width="7.5703125" style="14" bestFit="1" customWidth="1"/>
    <col min="390" max="390" width="3.5703125" style="14" bestFit="1" customWidth="1"/>
    <col min="391" max="391" width="6.5703125" style="14" bestFit="1" customWidth="1"/>
    <col min="392" max="392" width="9.5703125" style="14" bestFit="1" customWidth="1"/>
    <col min="393" max="394" width="6.5703125" style="14" bestFit="1" customWidth="1"/>
    <col min="395" max="395" width="4.5703125" style="14" bestFit="1" customWidth="1"/>
    <col min="396" max="396" width="7.5703125" style="14" bestFit="1" customWidth="1"/>
    <col min="397" max="397" width="4.5703125" style="14" bestFit="1" customWidth="1"/>
    <col min="398" max="398" width="7.5703125" style="14" bestFit="1" customWidth="1"/>
    <col min="399" max="399" width="4.5703125" style="14" bestFit="1" customWidth="1"/>
    <col min="400" max="400" width="7.5703125" style="14" bestFit="1" customWidth="1"/>
    <col min="401" max="401" width="3.5703125" style="14" bestFit="1" customWidth="1"/>
    <col min="402" max="402" width="6.5703125" style="14" bestFit="1" customWidth="1"/>
    <col min="403" max="403" width="4.5703125" style="14" bestFit="1" customWidth="1"/>
    <col min="404" max="404" width="7.5703125" style="14" bestFit="1" customWidth="1"/>
    <col min="405" max="405" width="4.5703125" style="14" bestFit="1" customWidth="1"/>
    <col min="406" max="406" width="7.5703125" style="14" bestFit="1" customWidth="1"/>
    <col min="407" max="407" width="3.5703125" style="14" bestFit="1" customWidth="1"/>
    <col min="408" max="408" width="6.5703125" style="14" bestFit="1" customWidth="1"/>
    <col min="409" max="409" width="3.5703125" style="14" bestFit="1" customWidth="1"/>
    <col min="410" max="410" width="6.5703125" style="14" bestFit="1" customWidth="1"/>
    <col min="411" max="411" width="9.5703125" style="14" bestFit="1" customWidth="1"/>
    <col min="412" max="412" width="6.5703125" style="14" bestFit="1" customWidth="1"/>
    <col min="413" max="413" width="5.5703125" style="14" bestFit="1" customWidth="1"/>
    <col min="414" max="414" width="4.5703125" style="14" bestFit="1" customWidth="1"/>
    <col min="415" max="415" width="7.5703125" style="14" bestFit="1" customWidth="1"/>
    <col min="416" max="416" width="4.5703125" style="14" bestFit="1" customWidth="1"/>
    <col min="417" max="417" width="7.5703125" style="14" bestFit="1" customWidth="1"/>
    <col min="418" max="418" width="4.5703125" style="14" bestFit="1" customWidth="1"/>
    <col min="419" max="419" width="7.5703125" style="14" bestFit="1" customWidth="1"/>
    <col min="420" max="420" width="3.5703125" style="14" bestFit="1" customWidth="1"/>
    <col min="421" max="421" width="6.5703125" style="14" bestFit="1" customWidth="1"/>
    <col min="422" max="422" width="9.5703125" style="14" bestFit="1" customWidth="1"/>
    <col min="423" max="423" width="8.5703125" style="14" bestFit="1" customWidth="1"/>
    <col min="424" max="425" width="11.5703125" style="14" bestFit="1" customWidth="1"/>
    <col min="426" max="426" width="10.7109375" style="14" bestFit="1" customWidth="1"/>
    <col min="427" max="16384" width="8.7109375" style="14"/>
  </cols>
  <sheetData>
    <row r="3" spans="1:23" x14ac:dyDescent="0.25">
      <c r="A3" s="14" t="s">
        <v>20</v>
      </c>
      <c r="B3" s="14" t="s">
        <v>21</v>
      </c>
    </row>
    <row r="4" spans="1:23" x14ac:dyDescent="0.25">
      <c r="A4" s="14" t="s">
        <v>22</v>
      </c>
      <c r="C4" s="14" t="s">
        <v>23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30</v>
      </c>
      <c r="K4" s="14" t="s">
        <v>31</v>
      </c>
      <c r="L4" s="14" t="s">
        <v>32</v>
      </c>
      <c r="M4" s="14" t="s">
        <v>33</v>
      </c>
      <c r="N4" s="14" t="s">
        <v>34</v>
      </c>
      <c r="O4" s="14" t="s">
        <v>35</v>
      </c>
      <c r="P4" s="14" t="s">
        <v>36</v>
      </c>
      <c r="Q4" s="14" t="s">
        <v>37</v>
      </c>
      <c r="R4" s="14" t="s">
        <v>38</v>
      </c>
      <c r="S4" s="14" t="s">
        <v>39</v>
      </c>
      <c r="T4" s="14" t="s">
        <v>40</v>
      </c>
      <c r="U4" s="14" t="s">
        <v>41</v>
      </c>
      <c r="V4" s="14" t="s">
        <v>42</v>
      </c>
      <c r="W4" s="14" t="s">
        <v>43</v>
      </c>
    </row>
    <row r="5" spans="1:23" x14ac:dyDescent="0.25">
      <c r="A5" s="15" t="s">
        <v>48</v>
      </c>
      <c r="B5" s="14">
        <v>40</v>
      </c>
      <c r="C5" s="14">
        <v>7</v>
      </c>
      <c r="D5" s="14">
        <v>125</v>
      </c>
      <c r="E5" s="14">
        <v>141</v>
      </c>
      <c r="F5" s="14">
        <v>1</v>
      </c>
      <c r="G5" s="14">
        <v>2</v>
      </c>
      <c r="H5" s="14">
        <v>1</v>
      </c>
      <c r="I5" s="14">
        <v>33</v>
      </c>
      <c r="J5" s="14">
        <v>1116</v>
      </c>
      <c r="K5" s="14">
        <v>421</v>
      </c>
      <c r="L5" s="14">
        <v>4</v>
      </c>
      <c r="M5" s="14">
        <v>25</v>
      </c>
      <c r="N5" s="14">
        <v>3</v>
      </c>
      <c r="O5" s="14">
        <v>21</v>
      </c>
      <c r="P5" s="14">
        <v>14</v>
      </c>
      <c r="Q5" s="14">
        <v>1</v>
      </c>
      <c r="S5" s="14">
        <v>2</v>
      </c>
      <c r="T5" s="14">
        <v>20</v>
      </c>
      <c r="U5" s="14">
        <v>16</v>
      </c>
      <c r="W5" s="14">
        <v>1993</v>
      </c>
    </row>
    <row r="6" spans="1:23" x14ac:dyDescent="0.25">
      <c r="A6" s="16" t="s">
        <v>45</v>
      </c>
      <c r="B6" s="14">
        <v>23</v>
      </c>
      <c r="C6" s="14">
        <v>7</v>
      </c>
      <c r="D6" s="14">
        <v>124</v>
      </c>
      <c r="E6" s="14">
        <v>140</v>
      </c>
      <c r="F6" s="14">
        <v>1</v>
      </c>
      <c r="G6" s="14">
        <v>1</v>
      </c>
      <c r="H6" s="14">
        <v>1</v>
      </c>
      <c r="I6" s="14">
        <v>33</v>
      </c>
      <c r="J6" s="14">
        <v>1111</v>
      </c>
      <c r="K6" s="14">
        <v>415</v>
      </c>
      <c r="L6" s="14">
        <v>4</v>
      </c>
      <c r="M6" s="14">
        <v>20</v>
      </c>
      <c r="N6" s="14">
        <v>3</v>
      </c>
      <c r="O6" s="14">
        <v>21</v>
      </c>
      <c r="P6" s="14">
        <v>14</v>
      </c>
      <c r="S6" s="14">
        <v>2</v>
      </c>
      <c r="T6" s="14">
        <v>20</v>
      </c>
      <c r="U6" s="14">
        <v>15</v>
      </c>
      <c r="W6" s="14">
        <v>1955</v>
      </c>
    </row>
    <row r="7" spans="1:23" x14ac:dyDescent="0.25">
      <c r="A7" s="17">
        <v>1997</v>
      </c>
      <c r="B7" s="14">
        <v>8</v>
      </c>
      <c r="C7" s="14">
        <v>4</v>
      </c>
      <c r="D7" s="14">
        <v>50</v>
      </c>
      <c r="E7" s="14">
        <v>11</v>
      </c>
      <c r="J7" s="14">
        <v>57</v>
      </c>
      <c r="K7" s="14">
        <v>18</v>
      </c>
      <c r="W7" s="14">
        <v>148</v>
      </c>
    </row>
    <row r="8" spans="1:23" x14ac:dyDescent="0.25">
      <c r="A8" s="17">
        <v>2005</v>
      </c>
      <c r="B8" s="14">
        <v>2</v>
      </c>
      <c r="H8" s="14">
        <v>1</v>
      </c>
      <c r="I8" s="14">
        <v>4</v>
      </c>
      <c r="J8" s="14">
        <v>22</v>
      </c>
      <c r="K8" s="14">
        <v>5</v>
      </c>
      <c r="M8" s="14">
        <v>2</v>
      </c>
      <c r="S8" s="14">
        <v>2</v>
      </c>
      <c r="T8" s="14">
        <v>3</v>
      </c>
      <c r="U8" s="14">
        <v>1</v>
      </c>
      <c r="W8" s="14">
        <v>42</v>
      </c>
    </row>
    <row r="9" spans="1:23" x14ac:dyDescent="0.25">
      <c r="A9" s="17">
        <v>2007</v>
      </c>
      <c r="B9" s="14">
        <v>4</v>
      </c>
      <c r="C9" s="14">
        <v>1</v>
      </c>
      <c r="D9" s="14">
        <v>13</v>
      </c>
      <c r="E9" s="14">
        <v>9</v>
      </c>
      <c r="J9" s="14">
        <v>25</v>
      </c>
      <c r="K9" s="14">
        <v>40</v>
      </c>
      <c r="M9" s="14">
        <v>2</v>
      </c>
      <c r="O9" s="14">
        <v>1</v>
      </c>
      <c r="P9" s="14">
        <v>6</v>
      </c>
      <c r="T9" s="14">
        <v>9</v>
      </c>
      <c r="U9" s="14">
        <v>8</v>
      </c>
      <c r="W9" s="14">
        <v>118</v>
      </c>
    </row>
    <row r="10" spans="1:23" x14ac:dyDescent="0.25">
      <c r="A10" s="17">
        <v>2008</v>
      </c>
      <c r="B10" s="14">
        <v>5</v>
      </c>
      <c r="D10" s="14">
        <v>12</v>
      </c>
      <c r="E10" s="14">
        <v>9</v>
      </c>
      <c r="I10" s="14">
        <v>2</v>
      </c>
      <c r="J10" s="14">
        <v>109</v>
      </c>
      <c r="K10" s="14">
        <v>14</v>
      </c>
      <c r="M10" s="14">
        <v>10</v>
      </c>
      <c r="O10" s="14">
        <v>1</v>
      </c>
      <c r="T10" s="14">
        <v>7</v>
      </c>
      <c r="U10" s="14">
        <v>4</v>
      </c>
      <c r="W10" s="14">
        <v>173</v>
      </c>
    </row>
    <row r="11" spans="1:23" x14ac:dyDescent="0.25">
      <c r="A11" s="17">
        <v>2009</v>
      </c>
      <c r="B11" s="14">
        <v>1</v>
      </c>
      <c r="D11" s="14">
        <v>4</v>
      </c>
      <c r="E11" s="14">
        <v>1</v>
      </c>
      <c r="I11" s="14">
        <v>1</v>
      </c>
      <c r="J11" s="14">
        <v>106</v>
      </c>
      <c r="K11" s="14">
        <v>57</v>
      </c>
      <c r="M11" s="14">
        <v>2</v>
      </c>
      <c r="N11" s="14">
        <v>1</v>
      </c>
      <c r="O11" s="14">
        <v>6</v>
      </c>
      <c r="P11" s="14">
        <v>1</v>
      </c>
      <c r="T11" s="14">
        <v>1</v>
      </c>
      <c r="W11" s="14">
        <v>181</v>
      </c>
    </row>
    <row r="12" spans="1:23" x14ac:dyDescent="0.25">
      <c r="A12" s="17">
        <v>2010</v>
      </c>
      <c r="D12" s="14">
        <v>2</v>
      </c>
      <c r="E12" s="14">
        <v>3</v>
      </c>
      <c r="J12" s="14">
        <v>27</v>
      </c>
      <c r="K12" s="14">
        <v>19</v>
      </c>
      <c r="O12" s="14">
        <v>2</v>
      </c>
      <c r="P12" s="14">
        <v>1</v>
      </c>
      <c r="W12" s="14">
        <v>54</v>
      </c>
    </row>
    <row r="13" spans="1:23" x14ac:dyDescent="0.25">
      <c r="A13" s="17">
        <v>2011</v>
      </c>
      <c r="B13" s="14">
        <v>1</v>
      </c>
      <c r="D13" s="14">
        <v>4</v>
      </c>
      <c r="E13" s="14">
        <v>20</v>
      </c>
      <c r="I13" s="14">
        <v>1</v>
      </c>
      <c r="J13" s="14">
        <v>18</v>
      </c>
      <c r="K13" s="14">
        <v>13</v>
      </c>
      <c r="W13" s="14">
        <v>57</v>
      </c>
    </row>
    <row r="14" spans="1:23" x14ac:dyDescent="0.25">
      <c r="A14" s="17">
        <v>2012</v>
      </c>
      <c r="D14" s="14">
        <v>7</v>
      </c>
      <c r="E14" s="14">
        <v>1</v>
      </c>
      <c r="I14" s="14">
        <v>2</v>
      </c>
      <c r="J14" s="14">
        <v>213</v>
      </c>
      <c r="K14" s="14">
        <v>33</v>
      </c>
      <c r="N14" s="14">
        <v>1</v>
      </c>
      <c r="O14" s="14">
        <v>4</v>
      </c>
      <c r="P14" s="14">
        <v>2</v>
      </c>
      <c r="W14" s="14">
        <v>263</v>
      </c>
    </row>
    <row r="15" spans="1:23" x14ac:dyDescent="0.25">
      <c r="A15" s="17">
        <v>2013</v>
      </c>
      <c r="B15" s="14">
        <v>1</v>
      </c>
      <c r="D15" s="14">
        <v>12</v>
      </c>
      <c r="E15" s="14">
        <v>60</v>
      </c>
      <c r="F15" s="14">
        <v>1</v>
      </c>
      <c r="I15" s="14">
        <v>9</v>
      </c>
      <c r="J15" s="14">
        <v>99</v>
      </c>
      <c r="K15" s="14">
        <v>115</v>
      </c>
      <c r="L15" s="14">
        <v>4</v>
      </c>
      <c r="O15" s="14">
        <v>1</v>
      </c>
      <c r="P15" s="14">
        <v>3</v>
      </c>
      <c r="U15" s="14">
        <v>1</v>
      </c>
      <c r="W15" s="14">
        <v>306</v>
      </c>
    </row>
    <row r="16" spans="1:23" x14ac:dyDescent="0.25">
      <c r="A16" s="17">
        <v>2014</v>
      </c>
      <c r="B16" s="14">
        <v>1</v>
      </c>
      <c r="D16" s="14">
        <v>16</v>
      </c>
      <c r="I16" s="14">
        <v>1</v>
      </c>
      <c r="J16" s="14">
        <v>6</v>
      </c>
      <c r="K16" s="14">
        <v>10</v>
      </c>
      <c r="W16" s="14">
        <v>34</v>
      </c>
    </row>
    <row r="17" spans="1:23" x14ac:dyDescent="0.25">
      <c r="A17" s="17">
        <v>2015</v>
      </c>
      <c r="D17" s="14">
        <v>2</v>
      </c>
      <c r="E17" s="14">
        <v>12</v>
      </c>
      <c r="J17" s="14">
        <v>80</v>
      </c>
      <c r="K17" s="14">
        <v>6</v>
      </c>
      <c r="W17" s="14">
        <v>100</v>
      </c>
    </row>
    <row r="18" spans="1:23" x14ac:dyDescent="0.25">
      <c r="A18" s="17">
        <v>2016</v>
      </c>
      <c r="E18" s="14">
        <v>6</v>
      </c>
      <c r="I18" s="14">
        <v>11</v>
      </c>
      <c r="J18" s="14">
        <v>170</v>
      </c>
      <c r="K18" s="14">
        <v>53</v>
      </c>
      <c r="N18" s="14">
        <v>1</v>
      </c>
      <c r="O18" s="14">
        <v>3</v>
      </c>
      <c r="W18" s="14">
        <v>244</v>
      </c>
    </row>
    <row r="19" spans="1:23" x14ac:dyDescent="0.25">
      <c r="A19" s="17">
        <v>2018</v>
      </c>
      <c r="D19" s="14">
        <v>1</v>
      </c>
      <c r="I19" s="14">
        <v>2</v>
      </c>
      <c r="J19" s="14">
        <v>166</v>
      </c>
      <c r="K19" s="14">
        <v>32</v>
      </c>
      <c r="M19" s="14">
        <v>1</v>
      </c>
      <c r="O19" s="14">
        <v>3</v>
      </c>
      <c r="P19" s="14">
        <v>1</v>
      </c>
      <c r="U19" s="14">
        <v>1</v>
      </c>
      <c r="W19" s="14">
        <v>207</v>
      </c>
    </row>
    <row r="20" spans="1:23" x14ac:dyDescent="0.25">
      <c r="A20" s="17">
        <v>2020</v>
      </c>
      <c r="C20" s="14">
        <v>2</v>
      </c>
      <c r="D20" s="14">
        <v>1</v>
      </c>
      <c r="E20" s="14">
        <v>8</v>
      </c>
      <c r="G20" s="14">
        <v>1</v>
      </c>
      <c r="J20" s="14">
        <v>13</v>
      </c>
      <c r="M20" s="14">
        <v>3</v>
      </c>
      <c r="W20" s="14">
        <v>28</v>
      </c>
    </row>
    <row r="21" spans="1:23" x14ac:dyDescent="0.25">
      <c r="A21" s="16" t="s">
        <v>46</v>
      </c>
      <c r="B21" s="14">
        <v>14</v>
      </c>
      <c r="G21" s="14">
        <v>1</v>
      </c>
      <c r="M21" s="14">
        <v>5</v>
      </c>
      <c r="Q21" s="14">
        <v>1</v>
      </c>
      <c r="U21" s="14">
        <v>1</v>
      </c>
      <c r="W21" s="14">
        <v>22</v>
      </c>
    </row>
    <row r="22" spans="1:23" x14ac:dyDescent="0.25">
      <c r="A22" s="17">
        <v>2007</v>
      </c>
      <c r="B22" s="14">
        <v>14</v>
      </c>
      <c r="G22" s="14">
        <v>1</v>
      </c>
      <c r="M22" s="14">
        <v>5</v>
      </c>
      <c r="Q22" s="14">
        <v>1</v>
      </c>
      <c r="U22" s="14">
        <v>1</v>
      </c>
      <c r="W22" s="14">
        <v>22</v>
      </c>
    </row>
    <row r="23" spans="1:23" x14ac:dyDescent="0.25">
      <c r="A23" s="16" t="s">
        <v>47</v>
      </c>
      <c r="D23" s="14">
        <v>1</v>
      </c>
      <c r="E23" s="14">
        <v>1</v>
      </c>
      <c r="J23" s="14">
        <v>5</v>
      </c>
      <c r="K23" s="14">
        <v>4</v>
      </c>
      <c r="W23" s="14">
        <v>11</v>
      </c>
    </row>
    <row r="24" spans="1:23" x14ac:dyDescent="0.25">
      <c r="A24" s="17">
        <v>1997</v>
      </c>
      <c r="D24" s="14">
        <v>1</v>
      </c>
      <c r="E24" s="14">
        <v>1</v>
      </c>
      <c r="J24" s="14">
        <v>5</v>
      </c>
      <c r="K24" s="14">
        <v>4</v>
      </c>
      <c r="W24" s="14">
        <v>11</v>
      </c>
    </row>
    <row r="25" spans="1:23" x14ac:dyDescent="0.25">
      <c r="A25" s="16" t="s">
        <v>49</v>
      </c>
      <c r="B25" s="14">
        <v>3</v>
      </c>
      <c r="K25" s="14">
        <v>2</v>
      </c>
      <c r="W25" s="14">
        <v>5</v>
      </c>
    </row>
    <row r="26" spans="1:23" x14ac:dyDescent="0.25">
      <c r="A26" s="17">
        <v>1989</v>
      </c>
      <c r="B26" s="14">
        <v>3</v>
      </c>
      <c r="K26" s="14">
        <v>2</v>
      </c>
      <c r="W26" s="14">
        <v>5</v>
      </c>
    </row>
    <row r="27" spans="1:23" x14ac:dyDescent="0.25">
      <c r="A27" s="15" t="s">
        <v>50</v>
      </c>
      <c r="B27" s="14">
        <v>162</v>
      </c>
      <c r="C27" s="14">
        <v>1</v>
      </c>
      <c r="D27" s="14">
        <v>177</v>
      </c>
      <c r="E27" s="14">
        <v>179</v>
      </c>
      <c r="F27" s="14">
        <v>1</v>
      </c>
      <c r="G27" s="14">
        <v>1</v>
      </c>
      <c r="I27" s="14">
        <v>11</v>
      </c>
      <c r="J27" s="14">
        <v>960</v>
      </c>
      <c r="K27" s="14">
        <v>269</v>
      </c>
      <c r="L27" s="14">
        <v>1</v>
      </c>
      <c r="M27" s="14">
        <v>1</v>
      </c>
      <c r="O27" s="14">
        <v>63</v>
      </c>
      <c r="P27" s="14">
        <v>12</v>
      </c>
      <c r="R27" s="14">
        <v>1</v>
      </c>
      <c r="S27" s="14">
        <v>4</v>
      </c>
      <c r="T27" s="14">
        <v>132</v>
      </c>
      <c r="U27" s="14">
        <v>70</v>
      </c>
      <c r="W27" s="14">
        <v>2045</v>
      </c>
    </row>
    <row r="28" spans="1:23" x14ac:dyDescent="0.25">
      <c r="A28" s="16" t="s">
        <v>47</v>
      </c>
      <c r="B28" s="14">
        <v>162</v>
      </c>
      <c r="C28" s="14">
        <v>1</v>
      </c>
      <c r="D28" s="14">
        <v>177</v>
      </c>
      <c r="E28" s="14">
        <v>179</v>
      </c>
      <c r="F28" s="14">
        <v>1</v>
      </c>
      <c r="G28" s="14">
        <v>1</v>
      </c>
      <c r="I28" s="14">
        <v>11</v>
      </c>
      <c r="J28" s="14">
        <v>960</v>
      </c>
      <c r="K28" s="14">
        <v>269</v>
      </c>
      <c r="L28" s="14">
        <v>1</v>
      </c>
      <c r="M28" s="14">
        <v>1</v>
      </c>
      <c r="O28" s="14">
        <v>63</v>
      </c>
      <c r="P28" s="14">
        <v>12</v>
      </c>
      <c r="R28" s="14">
        <v>1</v>
      </c>
      <c r="S28" s="14">
        <v>4</v>
      </c>
      <c r="T28" s="14">
        <v>132</v>
      </c>
      <c r="U28" s="14">
        <v>70</v>
      </c>
      <c r="W28" s="14">
        <v>2045</v>
      </c>
    </row>
    <row r="29" spans="1:23" x14ac:dyDescent="0.25">
      <c r="A29" s="17">
        <v>1989</v>
      </c>
      <c r="B29" s="14">
        <v>50</v>
      </c>
      <c r="D29" s="14">
        <v>28</v>
      </c>
      <c r="E29" s="14">
        <v>15</v>
      </c>
      <c r="I29" s="14">
        <v>3</v>
      </c>
      <c r="J29" s="14">
        <v>40</v>
      </c>
      <c r="K29" s="14">
        <v>12</v>
      </c>
      <c r="W29" s="14">
        <v>148</v>
      </c>
    </row>
    <row r="30" spans="1:23" x14ac:dyDescent="0.25">
      <c r="A30" s="17">
        <v>1990</v>
      </c>
      <c r="B30" s="14">
        <v>32</v>
      </c>
      <c r="D30" s="14">
        <v>65</v>
      </c>
      <c r="E30" s="14">
        <v>70</v>
      </c>
      <c r="F30" s="14">
        <v>1</v>
      </c>
      <c r="I30" s="14">
        <v>4</v>
      </c>
      <c r="J30" s="14">
        <v>207</v>
      </c>
      <c r="K30" s="14">
        <v>55</v>
      </c>
      <c r="O30" s="14">
        <v>2</v>
      </c>
      <c r="P30" s="14">
        <v>2</v>
      </c>
      <c r="T30" s="14">
        <v>35</v>
      </c>
      <c r="U30" s="14">
        <v>22</v>
      </c>
      <c r="W30" s="14">
        <v>495</v>
      </c>
    </row>
    <row r="31" spans="1:23" x14ac:dyDescent="0.25">
      <c r="A31" s="17">
        <v>1991</v>
      </c>
      <c r="B31" s="14">
        <v>34</v>
      </c>
      <c r="D31" s="14">
        <v>45</v>
      </c>
      <c r="E31" s="14">
        <v>42</v>
      </c>
      <c r="J31" s="14">
        <v>274</v>
      </c>
      <c r="K31" s="14">
        <v>38</v>
      </c>
      <c r="O31" s="14">
        <v>2</v>
      </c>
      <c r="T31" s="14">
        <v>23</v>
      </c>
      <c r="U31" s="14">
        <v>16</v>
      </c>
      <c r="W31" s="14">
        <v>474</v>
      </c>
    </row>
    <row r="32" spans="1:23" x14ac:dyDescent="0.25">
      <c r="A32" s="17">
        <v>1992</v>
      </c>
      <c r="B32" s="14">
        <v>2</v>
      </c>
      <c r="D32" s="14">
        <v>1</v>
      </c>
      <c r="E32" s="14">
        <v>15</v>
      </c>
      <c r="J32" s="14">
        <v>41</v>
      </c>
      <c r="K32" s="14">
        <v>20</v>
      </c>
      <c r="S32" s="14">
        <v>1</v>
      </c>
      <c r="W32" s="14">
        <v>80</v>
      </c>
    </row>
    <row r="33" spans="1:23" x14ac:dyDescent="0.25">
      <c r="A33" s="17">
        <v>1993</v>
      </c>
      <c r="B33" s="14">
        <v>2</v>
      </c>
      <c r="E33" s="14">
        <v>4</v>
      </c>
      <c r="J33" s="14">
        <v>3</v>
      </c>
      <c r="K33" s="14">
        <v>1</v>
      </c>
      <c r="W33" s="14">
        <v>10</v>
      </c>
    </row>
    <row r="34" spans="1:23" x14ac:dyDescent="0.25">
      <c r="A34" s="17">
        <v>2003</v>
      </c>
      <c r="B34" s="14">
        <v>13</v>
      </c>
      <c r="D34" s="14">
        <v>13</v>
      </c>
      <c r="E34" s="14">
        <v>6</v>
      </c>
      <c r="J34" s="14">
        <v>112</v>
      </c>
      <c r="K34" s="14">
        <v>60</v>
      </c>
      <c r="L34" s="14">
        <v>1</v>
      </c>
      <c r="O34" s="14">
        <v>6</v>
      </c>
      <c r="P34" s="14">
        <v>1</v>
      </c>
      <c r="R34" s="14">
        <v>1</v>
      </c>
      <c r="S34" s="14">
        <v>2</v>
      </c>
      <c r="T34" s="14">
        <v>6</v>
      </c>
      <c r="U34" s="14">
        <v>3</v>
      </c>
      <c r="W34" s="14">
        <v>224</v>
      </c>
    </row>
    <row r="35" spans="1:23" x14ac:dyDescent="0.25">
      <c r="A35" s="17">
        <v>2005</v>
      </c>
      <c r="B35" s="14">
        <v>9</v>
      </c>
      <c r="C35" s="14">
        <v>1</v>
      </c>
      <c r="D35" s="14">
        <v>7</v>
      </c>
      <c r="E35" s="14">
        <v>3</v>
      </c>
      <c r="I35" s="14">
        <v>1</v>
      </c>
      <c r="J35" s="14">
        <v>58</v>
      </c>
      <c r="K35" s="14">
        <v>16</v>
      </c>
      <c r="O35" s="14">
        <v>42</v>
      </c>
      <c r="P35" s="14">
        <v>7</v>
      </c>
      <c r="T35" s="14">
        <v>13</v>
      </c>
      <c r="U35" s="14">
        <v>6</v>
      </c>
      <c r="W35" s="14">
        <v>163</v>
      </c>
    </row>
    <row r="36" spans="1:23" x14ac:dyDescent="0.25">
      <c r="A36" s="17">
        <v>2006</v>
      </c>
      <c r="B36" s="14">
        <v>3</v>
      </c>
      <c r="D36" s="14">
        <v>1</v>
      </c>
      <c r="E36" s="14">
        <v>6</v>
      </c>
      <c r="J36" s="14">
        <v>38</v>
      </c>
      <c r="K36" s="14">
        <v>7</v>
      </c>
      <c r="O36" s="14">
        <v>4</v>
      </c>
      <c r="P36" s="14">
        <v>1</v>
      </c>
      <c r="T36" s="14">
        <v>10</v>
      </c>
      <c r="U36" s="14">
        <v>4</v>
      </c>
      <c r="W36" s="14">
        <v>74</v>
      </c>
    </row>
    <row r="37" spans="1:23" x14ac:dyDescent="0.25">
      <c r="A37" s="17">
        <v>2008</v>
      </c>
      <c r="B37" s="14">
        <v>2</v>
      </c>
      <c r="D37" s="14">
        <v>2</v>
      </c>
      <c r="E37" s="14">
        <v>1</v>
      </c>
      <c r="J37" s="14">
        <v>26</v>
      </c>
      <c r="K37" s="14">
        <v>3</v>
      </c>
      <c r="T37" s="14">
        <v>6</v>
      </c>
      <c r="U37" s="14">
        <v>1</v>
      </c>
      <c r="W37" s="14">
        <v>41</v>
      </c>
    </row>
    <row r="38" spans="1:23" x14ac:dyDescent="0.25">
      <c r="A38" s="17">
        <v>2009</v>
      </c>
      <c r="B38" s="14">
        <v>1</v>
      </c>
      <c r="D38" s="14">
        <v>7</v>
      </c>
      <c r="E38" s="14">
        <v>2</v>
      </c>
      <c r="J38" s="14">
        <v>12</v>
      </c>
      <c r="K38" s="14">
        <v>5</v>
      </c>
      <c r="O38" s="14">
        <v>1</v>
      </c>
      <c r="T38" s="14">
        <v>4</v>
      </c>
      <c r="U38" s="14">
        <v>3</v>
      </c>
      <c r="W38" s="14">
        <v>35</v>
      </c>
    </row>
    <row r="39" spans="1:23" x14ac:dyDescent="0.25">
      <c r="A39" s="17">
        <v>2010</v>
      </c>
      <c r="B39" s="14">
        <v>6</v>
      </c>
      <c r="D39" s="14">
        <v>1</v>
      </c>
      <c r="E39" s="14">
        <v>9</v>
      </c>
      <c r="J39" s="14">
        <v>38</v>
      </c>
      <c r="K39" s="14">
        <v>7</v>
      </c>
      <c r="O39" s="14">
        <v>1</v>
      </c>
      <c r="S39" s="14">
        <v>1</v>
      </c>
      <c r="T39" s="14">
        <v>7</v>
      </c>
      <c r="U39" s="14">
        <v>2</v>
      </c>
      <c r="W39" s="14">
        <v>72</v>
      </c>
    </row>
    <row r="40" spans="1:23" x14ac:dyDescent="0.25">
      <c r="A40" s="17">
        <v>2011</v>
      </c>
      <c r="E40" s="14">
        <v>1</v>
      </c>
      <c r="K40" s="14">
        <v>5</v>
      </c>
      <c r="U40" s="14">
        <v>3</v>
      </c>
      <c r="W40" s="14">
        <v>9</v>
      </c>
    </row>
    <row r="41" spans="1:23" x14ac:dyDescent="0.25">
      <c r="A41" s="17">
        <v>2012</v>
      </c>
      <c r="D41" s="14">
        <v>1</v>
      </c>
      <c r="J41" s="14">
        <v>22</v>
      </c>
      <c r="K41" s="14">
        <v>2</v>
      </c>
      <c r="O41" s="14">
        <v>3</v>
      </c>
      <c r="T41" s="14">
        <v>1</v>
      </c>
      <c r="W41" s="14">
        <v>29</v>
      </c>
    </row>
    <row r="42" spans="1:23" x14ac:dyDescent="0.25">
      <c r="A42" s="17">
        <v>2014</v>
      </c>
      <c r="D42" s="14">
        <v>5</v>
      </c>
      <c r="E42" s="14">
        <v>2</v>
      </c>
      <c r="I42" s="14">
        <v>2</v>
      </c>
      <c r="J42" s="14">
        <v>14</v>
      </c>
      <c r="K42" s="14">
        <v>2</v>
      </c>
      <c r="T42" s="14">
        <v>2</v>
      </c>
      <c r="U42" s="14">
        <v>2</v>
      </c>
      <c r="W42" s="14">
        <v>29</v>
      </c>
    </row>
    <row r="43" spans="1:23" x14ac:dyDescent="0.25">
      <c r="A43" s="17">
        <v>2016</v>
      </c>
      <c r="D43" s="14">
        <v>1</v>
      </c>
      <c r="J43" s="14">
        <v>12</v>
      </c>
      <c r="K43" s="14">
        <v>10</v>
      </c>
      <c r="W43" s="14">
        <v>23</v>
      </c>
    </row>
    <row r="44" spans="1:23" x14ac:dyDescent="0.25">
      <c r="A44" s="17">
        <v>2018</v>
      </c>
      <c r="B44" s="14">
        <v>2</v>
      </c>
      <c r="E44" s="14">
        <v>2</v>
      </c>
      <c r="J44" s="14">
        <v>20</v>
      </c>
      <c r="K44" s="14">
        <v>8</v>
      </c>
      <c r="O44" s="14">
        <v>2</v>
      </c>
      <c r="T44" s="14">
        <v>7</v>
      </c>
      <c r="U44" s="14">
        <v>3</v>
      </c>
      <c r="W44" s="14">
        <v>44</v>
      </c>
    </row>
    <row r="45" spans="1:23" x14ac:dyDescent="0.25">
      <c r="A45" s="17">
        <v>2019</v>
      </c>
      <c r="B45" s="14">
        <v>5</v>
      </c>
      <c r="E45" s="14">
        <v>1</v>
      </c>
      <c r="G45" s="14">
        <v>1</v>
      </c>
      <c r="J45" s="14">
        <v>35</v>
      </c>
      <c r="K45" s="14">
        <v>13</v>
      </c>
      <c r="P45" s="14">
        <v>1</v>
      </c>
      <c r="T45" s="14">
        <v>15</v>
      </c>
      <c r="U45" s="14">
        <v>4</v>
      </c>
      <c r="W45" s="14">
        <v>75</v>
      </c>
    </row>
    <row r="46" spans="1:23" x14ac:dyDescent="0.25">
      <c r="A46" s="17">
        <v>2020</v>
      </c>
      <c r="J46" s="14">
        <v>5</v>
      </c>
      <c r="K46" s="14">
        <v>3</v>
      </c>
      <c r="M46" s="14">
        <v>1</v>
      </c>
      <c r="T46" s="14">
        <v>2</v>
      </c>
      <c r="U46" s="14">
        <v>1</v>
      </c>
      <c r="W46" s="14">
        <v>12</v>
      </c>
    </row>
    <row r="47" spans="1:23" x14ac:dyDescent="0.25">
      <c r="A47" s="17">
        <v>2021</v>
      </c>
      <c r="B47" s="14">
        <v>1</v>
      </c>
      <c r="I47" s="14">
        <v>1</v>
      </c>
      <c r="J47" s="14">
        <v>3</v>
      </c>
      <c r="K47" s="14">
        <v>2</v>
      </c>
      <c r="T47" s="14">
        <v>1</v>
      </c>
      <c r="W47" s="14">
        <v>8</v>
      </c>
    </row>
    <row r="48" spans="1:23" x14ac:dyDescent="0.25">
      <c r="A48" s="15" t="s">
        <v>42</v>
      </c>
    </row>
    <row r="49" spans="1:23" x14ac:dyDescent="0.25">
      <c r="A49" s="16" t="s">
        <v>42</v>
      </c>
    </row>
    <row r="50" spans="1:23" x14ac:dyDescent="0.25">
      <c r="A50" s="17" t="s">
        <v>42</v>
      </c>
    </row>
    <row r="51" spans="1:23" x14ac:dyDescent="0.25">
      <c r="A51" s="15" t="s">
        <v>43</v>
      </c>
      <c r="B51" s="14">
        <v>202</v>
      </c>
      <c r="C51" s="14">
        <v>8</v>
      </c>
      <c r="D51" s="14">
        <v>302</v>
      </c>
      <c r="E51" s="14">
        <v>320</v>
      </c>
      <c r="F51" s="14">
        <v>2</v>
      </c>
      <c r="G51" s="14">
        <v>3</v>
      </c>
      <c r="H51" s="14">
        <v>1</v>
      </c>
      <c r="I51" s="14">
        <v>44</v>
      </c>
      <c r="J51" s="14">
        <v>2076</v>
      </c>
      <c r="K51" s="14">
        <v>690</v>
      </c>
      <c r="L51" s="14">
        <v>5</v>
      </c>
      <c r="M51" s="14">
        <v>26</v>
      </c>
      <c r="N51" s="14">
        <v>3</v>
      </c>
      <c r="O51" s="14">
        <v>84</v>
      </c>
      <c r="P51" s="14">
        <v>26</v>
      </c>
      <c r="Q51" s="14">
        <v>1</v>
      </c>
      <c r="R51" s="14">
        <v>1</v>
      </c>
      <c r="S51" s="14">
        <v>6</v>
      </c>
      <c r="T51" s="14">
        <v>152</v>
      </c>
      <c r="U51" s="14">
        <v>86</v>
      </c>
      <c r="W51" s="14">
        <v>4038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1430B-8282-43A8-A9E6-1F8C3AFB3D53}">
  <dimension ref="A3:W56"/>
  <sheetViews>
    <sheetView workbookViewId="0">
      <selection activeCell="A6" sqref="A6:XFD6"/>
    </sheetView>
  </sheetViews>
  <sheetFormatPr defaultColWidth="8.7109375" defaultRowHeight="15" x14ac:dyDescent="0.25"/>
  <cols>
    <col min="1" max="1" width="24" style="14" bestFit="1" customWidth="1"/>
    <col min="2" max="2" width="16.85546875" style="14" bestFit="1" customWidth="1"/>
    <col min="3" max="4" width="4" style="14" bestFit="1" customWidth="1"/>
    <col min="5" max="7" width="3" style="14" bestFit="1" customWidth="1"/>
    <col min="8" max="8" width="5" style="14" bestFit="1" customWidth="1"/>
    <col min="9" max="9" width="4" style="14" bestFit="1" customWidth="1"/>
    <col min="10" max="11" width="3" style="14" bestFit="1" customWidth="1"/>
    <col min="12" max="12" width="4" style="14" bestFit="1" customWidth="1"/>
    <col min="13" max="13" width="3" style="14" bestFit="1" customWidth="1"/>
    <col min="14" max="14" width="11.28515625" style="14" bestFit="1" customWidth="1"/>
    <col min="15" max="15" width="3.85546875" style="14" bestFit="1" customWidth="1"/>
    <col min="16" max="17" width="2.85546875" style="14" bestFit="1" customWidth="1"/>
    <col min="18" max="19" width="3.5703125" style="14" bestFit="1" customWidth="1"/>
    <col min="20" max="20" width="3.85546875" style="14" bestFit="1" customWidth="1"/>
    <col min="21" max="21" width="3.5703125" style="14" bestFit="1" customWidth="1"/>
    <col min="22" max="22" width="6.85546875" style="14" bestFit="1" customWidth="1"/>
    <col min="23" max="23" width="10.7109375" style="14" bestFit="1" customWidth="1"/>
    <col min="24" max="16384" width="8.7109375" style="14"/>
  </cols>
  <sheetData>
    <row r="3" spans="1:23" x14ac:dyDescent="0.25">
      <c r="A3" s="42" t="s">
        <v>20</v>
      </c>
      <c r="B3" s="42" t="s">
        <v>21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</row>
    <row r="4" spans="1:23" x14ac:dyDescent="0.25">
      <c r="A4" s="42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34</v>
      </c>
      <c r="L4" t="s">
        <v>35</v>
      </c>
      <c r="M4" t="s">
        <v>36</v>
      </c>
      <c r="N4" t="s">
        <v>43</v>
      </c>
      <c r="O4"/>
      <c r="P4"/>
      <c r="Q4"/>
      <c r="R4"/>
      <c r="S4"/>
      <c r="T4"/>
      <c r="U4"/>
      <c r="V4"/>
      <c r="W4"/>
    </row>
    <row r="5" spans="1:23" x14ac:dyDescent="0.25">
      <c r="A5" s="21" t="s">
        <v>44</v>
      </c>
      <c r="B5"/>
      <c r="C5">
        <v>9</v>
      </c>
      <c r="D5">
        <v>10</v>
      </c>
      <c r="E5"/>
      <c r="F5"/>
      <c r="G5">
        <v>1</v>
      </c>
      <c r="H5">
        <v>242</v>
      </c>
      <c r="I5">
        <v>37</v>
      </c>
      <c r="J5"/>
      <c r="K5">
        <v>1</v>
      </c>
      <c r="L5">
        <v>26</v>
      </c>
      <c r="M5">
        <v>4</v>
      </c>
      <c r="N5">
        <v>330</v>
      </c>
      <c r="O5"/>
      <c r="P5"/>
      <c r="Q5"/>
      <c r="R5"/>
      <c r="S5"/>
      <c r="T5"/>
      <c r="U5"/>
      <c r="V5"/>
      <c r="W5"/>
    </row>
    <row r="6" spans="1:23" x14ac:dyDescent="0.25">
      <c r="A6" s="43">
        <v>1989</v>
      </c>
      <c r="B6"/>
      <c r="C6">
        <v>7</v>
      </c>
      <c r="D6">
        <v>1</v>
      </c>
      <c r="E6"/>
      <c r="F6"/>
      <c r="G6">
        <v>1</v>
      </c>
      <c r="H6">
        <v>75</v>
      </c>
      <c r="I6">
        <v>16</v>
      </c>
      <c r="J6"/>
      <c r="K6"/>
      <c r="L6">
        <v>9</v>
      </c>
      <c r="M6"/>
      <c r="N6">
        <v>109</v>
      </c>
      <c r="O6"/>
      <c r="P6"/>
      <c r="Q6"/>
      <c r="R6"/>
      <c r="S6"/>
      <c r="T6"/>
      <c r="U6"/>
      <c r="V6"/>
      <c r="W6"/>
    </row>
    <row r="7" spans="1:23" x14ac:dyDescent="0.25">
      <c r="A7" s="43">
        <v>1991</v>
      </c>
      <c r="B7"/>
      <c r="C7">
        <v>1</v>
      </c>
      <c r="D7">
        <v>6</v>
      </c>
      <c r="E7"/>
      <c r="F7"/>
      <c r="G7"/>
      <c r="H7">
        <v>132</v>
      </c>
      <c r="I7">
        <v>8</v>
      </c>
      <c r="J7"/>
      <c r="K7">
        <v>1</v>
      </c>
      <c r="L7">
        <v>10</v>
      </c>
      <c r="M7"/>
      <c r="N7">
        <v>158</v>
      </c>
      <c r="O7"/>
      <c r="P7"/>
      <c r="Q7"/>
      <c r="R7"/>
      <c r="S7"/>
      <c r="T7"/>
      <c r="U7"/>
      <c r="V7"/>
      <c r="W7"/>
    </row>
    <row r="8" spans="1:23" x14ac:dyDescent="0.25">
      <c r="A8" s="43">
        <v>1993</v>
      </c>
      <c r="B8"/>
      <c r="C8"/>
      <c r="D8"/>
      <c r="E8"/>
      <c r="F8"/>
      <c r="G8"/>
      <c r="H8"/>
      <c r="I8"/>
      <c r="J8"/>
      <c r="K8"/>
      <c r="L8">
        <v>2</v>
      </c>
      <c r="M8"/>
      <c r="N8">
        <v>2</v>
      </c>
      <c r="O8"/>
      <c r="P8"/>
      <c r="Q8"/>
      <c r="R8"/>
      <c r="S8"/>
      <c r="T8"/>
      <c r="U8"/>
      <c r="V8"/>
      <c r="W8"/>
    </row>
    <row r="9" spans="1:23" x14ac:dyDescent="0.25">
      <c r="A9" s="43">
        <v>1998</v>
      </c>
      <c r="B9"/>
      <c r="C9">
        <v>1</v>
      </c>
      <c r="D9">
        <v>3</v>
      </c>
      <c r="E9"/>
      <c r="F9"/>
      <c r="G9"/>
      <c r="H9">
        <v>6</v>
      </c>
      <c r="I9">
        <v>7</v>
      </c>
      <c r="J9"/>
      <c r="K9"/>
      <c r="L9">
        <v>2</v>
      </c>
      <c r="M9">
        <v>1</v>
      </c>
      <c r="N9">
        <v>20</v>
      </c>
      <c r="O9"/>
      <c r="P9"/>
      <c r="Q9"/>
      <c r="R9"/>
      <c r="S9"/>
      <c r="T9"/>
      <c r="U9"/>
      <c r="V9"/>
      <c r="W9"/>
    </row>
    <row r="10" spans="1:23" x14ac:dyDescent="0.25">
      <c r="A10" s="43">
        <v>2000</v>
      </c>
      <c r="B10"/>
      <c r="C10"/>
      <c r="D10"/>
      <c r="E10"/>
      <c r="F10"/>
      <c r="G10"/>
      <c r="H10">
        <v>29</v>
      </c>
      <c r="I10">
        <v>6</v>
      </c>
      <c r="J10"/>
      <c r="K10"/>
      <c r="L10">
        <v>3</v>
      </c>
      <c r="M10">
        <v>3</v>
      </c>
      <c r="N10">
        <v>41</v>
      </c>
      <c r="O10"/>
      <c r="P10"/>
      <c r="Q10"/>
      <c r="R10"/>
      <c r="S10"/>
      <c r="T10"/>
      <c r="U10"/>
      <c r="V10"/>
      <c r="W10"/>
    </row>
    <row r="11" spans="1:23" x14ac:dyDescent="0.25">
      <c r="A11" s="21" t="s">
        <v>45</v>
      </c>
      <c r="B11">
        <v>9</v>
      </c>
      <c r="C11">
        <v>174</v>
      </c>
      <c r="D11">
        <v>171</v>
      </c>
      <c r="E11">
        <v>2</v>
      </c>
      <c r="F11">
        <v>1</v>
      </c>
      <c r="G11">
        <v>55</v>
      </c>
      <c r="H11">
        <v>1758</v>
      </c>
      <c r="I11">
        <v>529</v>
      </c>
      <c r="J11">
        <v>4</v>
      </c>
      <c r="K11">
        <v>3</v>
      </c>
      <c r="L11">
        <v>25</v>
      </c>
      <c r="M11">
        <v>15</v>
      </c>
      <c r="N11">
        <v>2746</v>
      </c>
      <c r="O11"/>
      <c r="P11"/>
      <c r="Q11"/>
      <c r="R11"/>
      <c r="S11"/>
      <c r="T11"/>
      <c r="U11"/>
      <c r="V11"/>
      <c r="W11"/>
    </row>
    <row r="12" spans="1:23" x14ac:dyDescent="0.25">
      <c r="A12" s="43">
        <v>1997</v>
      </c>
      <c r="B12">
        <v>4</v>
      </c>
      <c r="C12">
        <v>50</v>
      </c>
      <c r="D12">
        <v>11</v>
      </c>
      <c r="E12"/>
      <c r="F12"/>
      <c r="G12"/>
      <c r="H12">
        <v>57</v>
      </c>
      <c r="I12">
        <v>18</v>
      </c>
      <c r="J12"/>
      <c r="K12"/>
      <c r="L12"/>
      <c r="M12"/>
      <c r="N12">
        <v>140</v>
      </c>
      <c r="O12"/>
      <c r="P12"/>
      <c r="Q12"/>
      <c r="R12"/>
      <c r="S12"/>
      <c r="T12"/>
      <c r="U12"/>
      <c r="V12"/>
      <c r="W12"/>
    </row>
    <row r="13" spans="1:23" x14ac:dyDescent="0.25">
      <c r="A13" s="43">
        <v>2005</v>
      </c>
      <c r="B13"/>
      <c r="C13"/>
      <c r="D13"/>
      <c r="E13"/>
      <c r="F13">
        <v>1</v>
      </c>
      <c r="G13">
        <v>4</v>
      </c>
      <c r="H13">
        <v>22</v>
      </c>
      <c r="I13">
        <v>5</v>
      </c>
      <c r="J13"/>
      <c r="K13"/>
      <c r="L13"/>
      <c r="M13"/>
      <c r="N13">
        <v>32</v>
      </c>
      <c r="O13"/>
      <c r="P13"/>
      <c r="Q13"/>
      <c r="R13"/>
      <c r="S13"/>
      <c r="T13"/>
      <c r="U13"/>
      <c r="V13"/>
      <c r="W13"/>
    </row>
    <row r="14" spans="1:23" x14ac:dyDescent="0.25">
      <c r="A14" s="43">
        <v>2007</v>
      </c>
      <c r="B14">
        <v>1</v>
      </c>
      <c r="C14">
        <v>13</v>
      </c>
      <c r="D14">
        <v>9</v>
      </c>
      <c r="E14"/>
      <c r="F14"/>
      <c r="G14"/>
      <c r="H14">
        <v>25</v>
      </c>
      <c r="I14">
        <v>40</v>
      </c>
      <c r="J14"/>
      <c r="K14"/>
      <c r="L14">
        <v>1</v>
      </c>
      <c r="M14">
        <v>6</v>
      </c>
      <c r="N14">
        <v>95</v>
      </c>
      <c r="O14"/>
      <c r="P14"/>
      <c r="Q14"/>
      <c r="R14"/>
      <c r="S14"/>
      <c r="T14"/>
      <c r="U14"/>
      <c r="V14"/>
      <c r="W14"/>
    </row>
    <row r="15" spans="1:23" x14ac:dyDescent="0.25">
      <c r="A15" s="43">
        <v>2008</v>
      </c>
      <c r="B15"/>
      <c r="C15">
        <v>12</v>
      </c>
      <c r="D15">
        <v>9</v>
      </c>
      <c r="E15"/>
      <c r="F15"/>
      <c r="G15">
        <v>2</v>
      </c>
      <c r="H15">
        <v>109</v>
      </c>
      <c r="I15">
        <v>14</v>
      </c>
      <c r="J15"/>
      <c r="K15"/>
      <c r="L15">
        <v>1</v>
      </c>
      <c r="M15"/>
      <c r="N15">
        <v>147</v>
      </c>
      <c r="O15"/>
      <c r="P15"/>
      <c r="Q15"/>
      <c r="R15"/>
      <c r="S15"/>
      <c r="T15"/>
      <c r="U15"/>
      <c r="V15"/>
      <c r="W15"/>
    </row>
    <row r="16" spans="1:23" x14ac:dyDescent="0.25">
      <c r="A16" s="43">
        <v>2009</v>
      </c>
      <c r="B16"/>
      <c r="C16">
        <v>4</v>
      </c>
      <c r="D16">
        <v>1</v>
      </c>
      <c r="E16"/>
      <c r="F16"/>
      <c r="G16">
        <v>1</v>
      </c>
      <c r="H16">
        <v>106</v>
      </c>
      <c r="I16">
        <v>57</v>
      </c>
      <c r="J16"/>
      <c r="K16">
        <v>1</v>
      </c>
      <c r="L16">
        <v>6</v>
      </c>
      <c r="M16">
        <v>1</v>
      </c>
      <c r="N16">
        <v>177</v>
      </c>
      <c r="O16"/>
      <c r="P16"/>
      <c r="Q16"/>
      <c r="R16"/>
      <c r="S16"/>
      <c r="T16"/>
      <c r="U16"/>
      <c r="V16"/>
      <c r="W16"/>
    </row>
    <row r="17" spans="1:23" x14ac:dyDescent="0.25">
      <c r="A17" s="43">
        <v>2010</v>
      </c>
      <c r="B17"/>
      <c r="C17">
        <v>2</v>
      </c>
      <c r="D17">
        <v>3</v>
      </c>
      <c r="E17"/>
      <c r="F17"/>
      <c r="G17"/>
      <c r="H17">
        <v>27</v>
      </c>
      <c r="I17">
        <v>19</v>
      </c>
      <c r="J17"/>
      <c r="K17"/>
      <c r="L17">
        <v>2</v>
      </c>
      <c r="M17">
        <v>1</v>
      </c>
      <c r="N17">
        <v>54</v>
      </c>
      <c r="O17"/>
      <c r="P17"/>
      <c r="Q17"/>
      <c r="R17"/>
      <c r="S17"/>
      <c r="T17"/>
      <c r="U17"/>
      <c r="V17"/>
      <c r="W17"/>
    </row>
    <row r="18" spans="1:23" x14ac:dyDescent="0.25">
      <c r="A18" s="43">
        <v>2011</v>
      </c>
      <c r="B18"/>
      <c r="C18">
        <v>4</v>
      </c>
      <c r="D18">
        <v>20</v>
      </c>
      <c r="E18"/>
      <c r="F18"/>
      <c r="G18">
        <v>1</v>
      </c>
      <c r="H18">
        <v>18</v>
      </c>
      <c r="I18">
        <v>13</v>
      </c>
      <c r="J18"/>
      <c r="K18"/>
      <c r="L18"/>
      <c r="M18"/>
      <c r="N18">
        <v>56</v>
      </c>
      <c r="O18"/>
      <c r="P18"/>
      <c r="Q18"/>
      <c r="R18"/>
      <c r="S18"/>
      <c r="T18"/>
      <c r="U18"/>
      <c r="V18"/>
      <c r="W18"/>
    </row>
    <row r="19" spans="1:23" x14ac:dyDescent="0.25">
      <c r="A19" s="43">
        <v>2012</v>
      </c>
      <c r="B19"/>
      <c r="C19">
        <v>7</v>
      </c>
      <c r="D19">
        <v>1</v>
      </c>
      <c r="E19"/>
      <c r="F19"/>
      <c r="G19">
        <v>2</v>
      </c>
      <c r="H19">
        <v>213</v>
      </c>
      <c r="I19">
        <v>33</v>
      </c>
      <c r="J19"/>
      <c r="K19">
        <v>1</v>
      </c>
      <c r="L19">
        <v>4</v>
      </c>
      <c r="M19">
        <v>2</v>
      </c>
      <c r="N19">
        <v>263</v>
      </c>
      <c r="O19"/>
      <c r="P19"/>
      <c r="Q19"/>
      <c r="R19"/>
      <c r="S19"/>
      <c r="T19"/>
      <c r="U19"/>
      <c r="V19"/>
      <c r="W19"/>
    </row>
    <row r="20" spans="1:23" x14ac:dyDescent="0.25">
      <c r="A20" s="43">
        <v>2013</v>
      </c>
      <c r="B20"/>
      <c r="C20">
        <v>12</v>
      </c>
      <c r="D20">
        <v>60</v>
      </c>
      <c r="E20">
        <v>1</v>
      </c>
      <c r="F20"/>
      <c r="G20">
        <v>9</v>
      </c>
      <c r="H20">
        <v>99</v>
      </c>
      <c r="I20">
        <v>115</v>
      </c>
      <c r="J20">
        <v>4</v>
      </c>
      <c r="K20"/>
      <c r="L20">
        <v>1</v>
      </c>
      <c r="M20">
        <v>3</v>
      </c>
      <c r="N20">
        <v>304</v>
      </c>
      <c r="O20"/>
      <c r="P20"/>
      <c r="Q20"/>
      <c r="R20"/>
      <c r="S20"/>
      <c r="T20"/>
      <c r="U20"/>
      <c r="V20"/>
      <c r="W20"/>
    </row>
    <row r="21" spans="1:23" x14ac:dyDescent="0.25">
      <c r="A21" s="43">
        <v>2014</v>
      </c>
      <c r="B21"/>
      <c r="C21">
        <v>55</v>
      </c>
      <c r="D21">
        <v>11</v>
      </c>
      <c r="E21">
        <v>1</v>
      </c>
      <c r="F21"/>
      <c r="G21">
        <v>13</v>
      </c>
      <c r="H21">
        <v>164</v>
      </c>
      <c r="I21">
        <v>15</v>
      </c>
      <c r="J21"/>
      <c r="K21"/>
      <c r="L21"/>
      <c r="M21"/>
      <c r="N21">
        <v>259</v>
      </c>
      <c r="O21"/>
      <c r="P21"/>
      <c r="Q21"/>
      <c r="R21"/>
      <c r="S21"/>
      <c r="T21"/>
      <c r="U21"/>
      <c r="V21"/>
      <c r="W21"/>
    </row>
    <row r="22" spans="1:23" x14ac:dyDescent="0.25">
      <c r="A22" s="43">
        <v>2015</v>
      </c>
      <c r="B22"/>
      <c r="C22">
        <v>2</v>
      </c>
      <c r="D22">
        <v>12</v>
      </c>
      <c r="E22"/>
      <c r="F22"/>
      <c r="G22"/>
      <c r="H22">
        <v>80</v>
      </c>
      <c r="I22">
        <v>6</v>
      </c>
      <c r="J22"/>
      <c r="K22"/>
      <c r="L22"/>
      <c r="M22"/>
      <c r="N22">
        <v>100</v>
      </c>
      <c r="O22"/>
      <c r="P22"/>
      <c r="Q22"/>
      <c r="R22"/>
      <c r="S22"/>
      <c r="T22"/>
      <c r="U22"/>
      <c r="V22"/>
      <c r="W22"/>
    </row>
    <row r="23" spans="1:23" x14ac:dyDescent="0.25">
      <c r="A23" s="43">
        <v>2016</v>
      </c>
      <c r="B23"/>
      <c r="C23"/>
      <c r="D23">
        <v>6</v>
      </c>
      <c r="E23"/>
      <c r="F23"/>
      <c r="G23">
        <v>11</v>
      </c>
      <c r="H23">
        <v>170</v>
      </c>
      <c r="I23">
        <v>53</v>
      </c>
      <c r="J23"/>
      <c r="K23">
        <v>1</v>
      </c>
      <c r="L23">
        <v>3</v>
      </c>
      <c r="M23"/>
      <c r="N23">
        <v>244</v>
      </c>
      <c r="O23"/>
      <c r="P23"/>
      <c r="Q23"/>
      <c r="R23"/>
      <c r="S23"/>
      <c r="T23"/>
      <c r="U23"/>
      <c r="V23"/>
      <c r="W23"/>
    </row>
    <row r="24" spans="1:23" x14ac:dyDescent="0.25">
      <c r="A24" s="43">
        <v>2017</v>
      </c>
      <c r="B24"/>
      <c r="C24"/>
      <c r="D24"/>
      <c r="E24"/>
      <c r="F24"/>
      <c r="G24">
        <v>1</v>
      </c>
      <c r="H24">
        <v>83</v>
      </c>
      <c r="I24">
        <v>13</v>
      </c>
      <c r="J24"/>
      <c r="K24"/>
      <c r="L24">
        <v>2</v>
      </c>
      <c r="M24"/>
      <c r="N24">
        <v>99</v>
      </c>
      <c r="O24"/>
      <c r="P24"/>
      <c r="Q24"/>
      <c r="R24"/>
      <c r="S24"/>
      <c r="T24"/>
      <c r="U24"/>
      <c r="V24"/>
      <c r="W24"/>
    </row>
    <row r="25" spans="1:23" x14ac:dyDescent="0.25">
      <c r="A25" s="43">
        <v>2018</v>
      </c>
      <c r="B25"/>
      <c r="C25">
        <v>1</v>
      </c>
      <c r="D25"/>
      <c r="E25"/>
      <c r="F25"/>
      <c r="G25">
        <v>2</v>
      </c>
      <c r="H25">
        <v>166</v>
      </c>
      <c r="I25">
        <v>32</v>
      </c>
      <c r="J25"/>
      <c r="K25"/>
      <c r="L25">
        <v>3</v>
      </c>
      <c r="M25">
        <v>1</v>
      </c>
      <c r="N25">
        <v>205</v>
      </c>
      <c r="O25"/>
      <c r="P25"/>
      <c r="Q25"/>
      <c r="R25"/>
      <c r="S25"/>
      <c r="T25"/>
      <c r="U25"/>
      <c r="V25"/>
      <c r="W25"/>
    </row>
    <row r="26" spans="1:23" x14ac:dyDescent="0.25">
      <c r="A26" s="43">
        <v>2019</v>
      </c>
      <c r="B26"/>
      <c r="C26">
        <v>4</v>
      </c>
      <c r="D26">
        <v>9</v>
      </c>
      <c r="E26"/>
      <c r="F26"/>
      <c r="G26"/>
      <c r="H26">
        <v>92</v>
      </c>
      <c r="I26">
        <v>24</v>
      </c>
      <c r="J26"/>
      <c r="K26"/>
      <c r="L26"/>
      <c r="M26"/>
      <c r="N26">
        <v>129</v>
      </c>
      <c r="O26"/>
      <c r="P26"/>
      <c r="Q26"/>
      <c r="R26"/>
      <c r="S26"/>
      <c r="T26"/>
      <c r="U26"/>
      <c r="V26"/>
      <c r="W26"/>
    </row>
    <row r="27" spans="1:23" x14ac:dyDescent="0.25">
      <c r="A27" s="43">
        <v>2020</v>
      </c>
      <c r="B27">
        <v>2</v>
      </c>
      <c r="C27">
        <v>4</v>
      </c>
      <c r="D27">
        <v>14</v>
      </c>
      <c r="E27"/>
      <c r="F27"/>
      <c r="G27">
        <v>3</v>
      </c>
      <c r="H27">
        <v>178</v>
      </c>
      <c r="I27">
        <v>6</v>
      </c>
      <c r="J27"/>
      <c r="K27"/>
      <c r="L27"/>
      <c r="M27"/>
      <c r="N27">
        <v>207</v>
      </c>
      <c r="O27"/>
      <c r="P27"/>
      <c r="Q27"/>
      <c r="R27"/>
      <c r="S27"/>
      <c r="T27"/>
      <c r="U27"/>
      <c r="V27"/>
      <c r="W27"/>
    </row>
    <row r="28" spans="1:23" x14ac:dyDescent="0.25">
      <c r="A28" s="43">
        <v>2021</v>
      </c>
      <c r="B28">
        <v>2</v>
      </c>
      <c r="C28">
        <v>4</v>
      </c>
      <c r="D28">
        <v>5</v>
      </c>
      <c r="E28"/>
      <c r="F28"/>
      <c r="G28">
        <v>6</v>
      </c>
      <c r="H28">
        <v>149</v>
      </c>
      <c r="I28">
        <v>66</v>
      </c>
      <c r="J28"/>
      <c r="K28"/>
      <c r="L28">
        <v>2</v>
      </c>
      <c r="M28">
        <v>1</v>
      </c>
      <c r="N28">
        <v>235</v>
      </c>
      <c r="O28"/>
      <c r="P28"/>
      <c r="Q28"/>
      <c r="R28"/>
      <c r="S28"/>
      <c r="T28"/>
      <c r="U28"/>
      <c r="V28"/>
      <c r="W28"/>
    </row>
    <row r="29" spans="1:23" x14ac:dyDescent="0.25">
      <c r="A29" s="21" t="s">
        <v>47</v>
      </c>
      <c r="B29">
        <v>1</v>
      </c>
      <c r="C29">
        <v>211</v>
      </c>
      <c r="D29">
        <v>221</v>
      </c>
      <c r="E29">
        <v>1</v>
      </c>
      <c r="F29"/>
      <c r="G29">
        <v>12</v>
      </c>
      <c r="H29">
        <v>1021</v>
      </c>
      <c r="I29">
        <v>300</v>
      </c>
      <c r="J29">
        <v>1</v>
      </c>
      <c r="K29"/>
      <c r="L29">
        <v>69</v>
      </c>
      <c r="M29">
        <v>12</v>
      </c>
      <c r="N29">
        <v>1849</v>
      </c>
      <c r="O29"/>
      <c r="P29"/>
      <c r="Q29"/>
      <c r="R29"/>
      <c r="S29"/>
      <c r="T29"/>
      <c r="U29"/>
      <c r="V29"/>
      <c r="W29"/>
    </row>
    <row r="30" spans="1:23" x14ac:dyDescent="0.25">
      <c r="A30" s="43">
        <v>1989</v>
      </c>
      <c r="B30"/>
      <c r="C30">
        <v>30</v>
      </c>
      <c r="D30">
        <v>15</v>
      </c>
      <c r="E30"/>
      <c r="F30"/>
      <c r="G30">
        <v>4</v>
      </c>
      <c r="H30">
        <v>67</v>
      </c>
      <c r="I30">
        <v>15</v>
      </c>
      <c r="J30"/>
      <c r="K30"/>
      <c r="L30">
        <v>5</v>
      </c>
      <c r="M30"/>
      <c r="N30">
        <v>136</v>
      </c>
      <c r="O30"/>
      <c r="P30"/>
      <c r="Q30"/>
      <c r="R30"/>
      <c r="S30"/>
      <c r="T30"/>
      <c r="U30"/>
      <c r="V30"/>
      <c r="W30"/>
    </row>
    <row r="31" spans="1:23" x14ac:dyDescent="0.25">
      <c r="A31" s="43">
        <v>1990</v>
      </c>
      <c r="B31"/>
      <c r="C31">
        <v>65</v>
      </c>
      <c r="D31">
        <v>70</v>
      </c>
      <c r="E31">
        <v>1</v>
      </c>
      <c r="F31"/>
      <c r="G31">
        <v>4</v>
      </c>
      <c r="H31">
        <v>207</v>
      </c>
      <c r="I31">
        <v>55</v>
      </c>
      <c r="J31"/>
      <c r="K31"/>
      <c r="L31">
        <v>2</v>
      </c>
      <c r="M31">
        <v>2</v>
      </c>
      <c r="N31">
        <v>406</v>
      </c>
      <c r="O31"/>
      <c r="P31"/>
      <c r="Q31"/>
      <c r="R31"/>
      <c r="S31"/>
      <c r="T31"/>
      <c r="U31"/>
      <c r="V31"/>
      <c r="W31"/>
    </row>
    <row r="32" spans="1:23" x14ac:dyDescent="0.25">
      <c r="A32" s="43">
        <v>1991</v>
      </c>
      <c r="B32"/>
      <c r="C32">
        <v>45</v>
      </c>
      <c r="D32">
        <v>42</v>
      </c>
      <c r="E32"/>
      <c r="F32"/>
      <c r="G32"/>
      <c r="H32">
        <v>274</v>
      </c>
      <c r="I32">
        <v>38</v>
      </c>
      <c r="J32"/>
      <c r="K32"/>
      <c r="L32">
        <v>2</v>
      </c>
      <c r="M32"/>
      <c r="N32">
        <v>401</v>
      </c>
      <c r="O32"/>
      <c r="P32"/>
      <c r="Q32"/>
      <c r="R32"/>
      <c r="S32"/>
      <c r="T32"/>
      <c r="U32"/>
      <c r="V32"/>
      <c r="W32"/>
    </row>
    <row r="33" spans="1:23" x14ac:dyDescent="0.25">
      <c r="A33" s="43">
        <v>1992</v>
      </c>
      <c r="B33"/>
      <c r="C33">
        <v>1</v>
      </c>
      <c r="D33">
        <v>15</v>
      </c>
      <c r="E33"/>
      <c r="F33"/>
      <c r="G33"/>
      <c r="H33">
        <v>41</v>
      </c>
      <c r="I33">
        <v>20</v>
      </c>
      <c r="J33"/>
      <c r="K33"/>
      <c r="L33"/>
      <c r="M33"/>
      <c r="N33">
        <v>77</v>
      </c>
      <c r="O33"/>
      <c r="P33"/>
      <c r="Q33"/>
      <c r="R33"/>
      <c r="S33"/>
      <c r="T33"/>
      <c r="U33"/>
      <c r="V33"/>
      <c r="W33"/>
    </row>
    <row r="34" spans="1:23" x14ac:dyDescent="0.25">
      <c r="A34" s="43">
        <v>1993</v>
      </c>
      <c r="B34"/>
      <c r="C34"/>
      <c r="D34">
        <v>4</v>
      </c>
      <c r="E34"/>
      <c r="F34"/>
      <c r="G34"/>
      <c r="H34">
        <v>3</v>
      </c>
      <c r="I34">
        <v>1</v>
      </c>
      <c r="J34"/>
      <c r="K34"/>
      <c r="L34"/>
      <c r="M34"/>
      <c r="N34">
        <v>8</v>
      </c>
      <c r="O34"/>
      <c r="P34"/>
      <c r="Q34"/>
      <c r="R34"/>
      <c r="S34"/>
      <c r="T34"/>
      <c r="U34"/>
      <c r="V34"/>
      <c r="W34"/>
    </row>
    <row r="35" spans="1:23" x14ac:dyDescent="0.25">
      <c r="A35" s="43">
        <v>1997</v>
      </c>
      <c r="B35"/>
      <c r="C35">
        <v>1</v>
      </c>
      <c r="D35">
        <v>1</v>
      </c>
      <c r="E35"/>
      <c r="F35"/>
      <c r="G35"/>
      <c r="H35">
        <v>5</v>
      </c>
      <c r="I35">
        <v>4</v>
      </c>
      <c r="J35"/>
      <c r="K35"/>
      <c r="L35"/>
      <c r="M35"/>
      <c r="N35">
        <v>11</v>
      </c>
      <c r="O35"/>
      <c r="P35"/>
      <c r="Q35"/>
      <c r="R35"/>
      <c r="S35"/>
      <c r="T35"/>
      <c r="U35"/>
      <c r="V35"/>
      <c r="W35"/>
    </row>
    <row r="36" spans="1:23" x14ac:dyDescent="0.25">
      <c r="A36" s="43">
        <v>1998</v>
      </c>
      <c r="B36"/>
      <c r="C36">
        <v>4</v>
      </c>
      <c r="D36"/>
      <c r="E36"/>
      <c r="F36"/>
      <c r="G36"/>
      <c r="H36">
        <v>7</v>
      </c>
      <c r="I36">
        <v>8</v>
      </c>
      <c r="J36"/>
      <c r="K36"/>
      <c r="L36"/>
      <c r="M36"/>
      <c r="N36">
        <v>19</v>
      </c>
      <c r="O36"/>
      <c r="P36"/>
      <c r="Q36"/>
      <c r="R36"/>
      <c r="S36"/>
      <c r="T36"/>
      <c r="U36"/>
      <c r="V36"/>
      <c r="W36"/>
    </row>
    <row r="37" spans="1:23" x14ac:dyDescent="0.25">
      <c r="A37" s="43">
        <v>1999</v>
      </c>
      <c r="B37"/>
      <c r="C37">
        <v>27</v>
      </c>
      <c r="D37">
        <v>41</v>
      </c>
      <c r="E37"/>
      <c r="F37"/>
      <c r="G37"/>
      <c r="H37">
        <v>22</v>
      </c>
      <c r="I37">
        <v>16</v>
      </c>
      <c r="J37"/>
      <c r="K37"/>
      <c r="L37">
        <v>1</v>
      </c>
      <c r="M37"/>
      <c r="N37">
        <v>107</v>
      </c>
      <c r="O37"/>
      <c r="P37"/>
      <c r="Q37"/>
      <c r="R37"/>
      <c r="S37"/>
      <c r="T37"/>
      <c r="U37"/>
      <c r="V37"/>
      <c r="W37"/>
    </row>
    <row r="38" spans="1:23" x14ac:dyDescent="0.25">
      <c r="A38" s="43">
        <v>2003</v>
      </c>
      <c r="B38"/>
      <c r="C38">
        <v>13</v>
      </c>
      <c r="D38">
        <v>6</v>
      </c>
      <c r="E38"/>
      <c r="F38"/>
      <c r="G38"/>
      <c r="H38">
        <v>112</v>
      </c>
      <c r="I38">
        <v>60</v>
      </c>
      <c r="J38">
        <v>1</v>
      </c>
      <c r="K38"/>
      <c r="L38">
        <v>6</v>
      </c>
      <c r="M38">
        <v>1</v>
      </c>
      <c r="N38">
        <v>199</v>
      </c>
      <c r="O38"/>
      <c r="P38"/>
      <c r="Q38"/>
      <c r="R38"/>
      <c r="S38"/>
      <c r="T38"/>
      <c r="U38"/>
      <c r="V38"/>
      <c r="W38"/>
    </row>
    <row r="39" spans="1:23" x14ac:dyDescent="0.25">
      <c r="A39" s="43">
        <v>2005</v>
      </c>
      <c r="B39">
        <v>1</v>
      </c>
      <c r="C39">
        <v>7</v>
      </c>
      <c r="D39">
        <v>3</v>
      </c>
      <c r="E39"/>
      <c r="F39"/>
      <c r="G39">
        <v>1</v>
      </c>
      <c r="H39">
        <v>58</v>
      </c>
      <c r="I39">
        <v>16</v>
      </c>
      <c r="J39"/>
      <c r="K39"/>
      <c r="L39">
        <v>42</v>
      </c>
      <c r="M39">
        <v>7</v>
      </c>
      <c r="N39">
        <v>135</v>
      </c>
      <c r="O39"/>
      <c r="P39"/>
      <c r="Q39"/>
      <c r="R39"/>
      <c r="S39"/>
      <c r="T39"/>
      <c r="U39"/>
      <c r="V39"/>
      <c r="W39"/>
    </row>
    <row r="40" spans="1:23" x14ac:dyDescent="0.25">
      <c r="A40" s="43">
        <v>2006</v>
      </c>
      <c r="B40"/>
      <c r="C40">
        <v>1</v>
      </c>
      <c r="D40">
        <v>6</v>
      </c>
      <c r="E40"/>
      <c r="F40"/>
      <c r="G40"/>
      <c r="H40">
        <v>38</v>
      </c>
      <c r="I40">
        <v>7</v>
      </c>
      <c r="J40"/>
      <c r="K40"/>
      <c r="L40">
        <v>4</v>
      </c>
      <c r="M40">
        <v>1</v>
      </c>
      <c r="N40">
        <v>57</v>
      </c>
      <c r="O40"/>
      <c r="P40"/>
      <c r="Q40"/>
      <c r="R40"/>
      <c r="S40"/>
      <c r="T40"/>
      <c r="U40"/>
      <c r="V40"/>
      <c r="W40"/>
    </row>
    <row r="41" spans="1:23" x14ac:dyDescent="0.25">
      <c r="A41" s="43">
        <v>2008</v>
      </c>
      <c r="B41"/>
      <c r="C41">
        <v>2</v>
      </c>
      <c r="D41">
        <v>1</v>
      </c>
      <c r="E41"/>
      <c r="F41"/>
      <c r="G41"/>
      <c r="H41">
        <v>26</v>
      </c>
      <c r="I41">
        <v>3</v>
      </c>
      <c r="J41"/>
      <c r="K41"/>
      <c r="L41"/>
      <c r="M41"/>
      <c r="N41">
        <v>32</v>
      </c>
      <c r="O41"/>
      <c r="P41"/>
      <c r="Q41"/>
      <c r="R41"/>
      <c r="S41"/>
      <c r="T41"/>
      <c r="U41"/>
      <c r="V41"/>
      <c r="W41"/>
    </row>
    <row r="42" spans="1:23" x14ac:dyDescent="0.25">
      <c r="A42" s="43">
        <v>2009</v>
      </c>
      <c r="B42"/>
      <c r="C42">
        <v>7</v>
      </c>
      <c r="D42">
        <v>2</v>
      </c>
      <c r="E42"/>
      <c r="F42"/>
      <c r="G42"/>
      <c r="H42">
        <v>12</v>
      </c>
      <c r="I42">
        <v>5</v>
      </c>
      <c r="J42"/>
      <c r="K42"/>
      <c r="L42">
        <v>1</v>
      </c>
      <c r="M42"/>
      <c r="N42">
        <v>27</v>
      </c>
      <c r="O42"/>
      <c r="P42"/>
      <c r="Q42"/>
      <c r="R42"/>
      <c r="S42"/>
      <c r="T42"/>
      <c r="U42"/>
      <c r="V42"/>
      <c r="W42"/>
    </row>
    <row r="43" spans="1:23" x14ac:dyDescent="0.25">
      <c r="A43" s="43">
        <v>2010</v>
      </c>
      <c r="B43"/>
      <c r="C43">
        <v>1</v>
      </c>
      <c r="D43">
        <v>9</v>
      </c>
      <c r="E43"/>
      <c r="F43"/>
      <c r="G43"/>
      <c r="H43">
        <v>38</v>
      </c>
      <c r="I43">
        <v>7</v>
      </c>
      <c r="J43"/>
      <c r="K43"/>
      <c r="L43">
        <v>1</v>
      </c>
      <c r="M43"/>
      <c r="N43">
        <v>56</v>
      </c>
      <c r="O43"/>
      <c r="P43"/>
      <c r="Q43"/>
      <c r="R43"/>
      <c r="S43"/>
      <c r="T43"/>
      <c r="U43"/>
      <c r="V43"/>
      <c r="W43"/>
    </row>
    <row r="44" spans="1:23" x14ac:dyDescent="0.25">
      <c r="A44" s="43">
        <v>2011</v>
      </c>
      <c r="B44"/>
      <c r="C44"/>
      <c r="D44">
        <v>1</v>
      </c>
      <c r="E44"/>
      <c r="F44"/>
      <c r="G44"/>
      <c r="H44"/>
      <c r="I44">
        <v>5</v>
      </c>
      <c r="J44"/>
      <c r="K44"/>
      <c r="L44"/>
      <c r="M44"/>
      <c r="N44">
        <v>6</v>
      </c>
      <c r="O44"/>
      <c r="P44"/>
      <c r="Q44"/>
      <c r="R44"/>
      <c r="S44"/>
      <c r="T44"/>
      <c r="U44"/>
      <c r="V44"/>
      <c r="W44"/>
    </row>
    <row r="45" spans="1:23" x14ac:dyDescent="0.25">
      <c r="A45" s="43">
        <v>2012</v>
      </c>
      <c r="B45"/>
      <c r="C45">
        <v>1</v>
      </c>
      <c r="D45"/>
      <c r="E45"/>
      <c r="F45"/>
      <c r="G45"/>
      <c r="H45">
        <v>22</v>
      </c>
      <c r="I45">
        <v>2</v>
      </c>
      <c r="J45"/>
      <c r="K45"/>
      <c r="L45">
        <v>3</v>
      </c>
      <c r="M45"/>
      <c r="N45">
        <v>28</v>
      </c>
      <c r="O45"/>
      <c r="P45"/>
      <c r="Q45"/>
      <c r="R45"/>
      <c r="S45"/>
      <c r="T45"/>
      <c r="U45"/>
      <c r="V45"/>
      <c r="W45"/>
    </row>
    <row r="46" spans="1:23" x14ac:dyDescent="0.25">
      <c r="A46" s="43">
        <v>2014</v>
      </c>
      <c r="B46"/>
      <c r="C46">
        <v>5</v>
      </c>
      <c r="D46">
        <v>2</v>
      </c>
      <c r="E46"/>
      <c r="F46"/>
      <c r="G46">
        <v>2</v>
      </c>
      <c r="H46">
        <v>14</v>
      </c>
      <c r="I46">
        <v>2</v>
      </c>
      <c r="J46"/>
      <c r="K46"/>
      <c r="L46"/>
      <c r="M46"/>
      <c r="N46">
        <v>25</v>
      </c>
      <c r="O46"/>
      <c r="P46"/>
      <c r="Q46"/>
      <c r="R46"/>
      <c r="S46"/>
      <c r="T46"/>
      <c r="U46"/>
      <c r="V46"/>
      <c r="W46"/>
    </row>
    <row r="47" spans="1:23" x14ac:dyDescent="0.25">
      <c r="A47" s="43">
        <v>2016</v>
      </c>
      <c r="B47"/>
      <c r="C47">
        <v>1</v>
      </c>
      <c r="D47"/>
      <c r="E47"/>
      <c r="F47"/>
      <c r="G47"/>
      <c r="H47">
        <v>12</v>
      </c>
      <c r="I47">
        <v>10</v>
      </c>
      <c r="J47"/>
      <c r="K47"/>
      <c r="L47"/>
      <c r="M47"/>
      <c r="N47">
        <v>23</v>
      </c>
      <c r="O47"/>
      <c r="P47"/>
      <c r="Q47"/>
      <c r="R47"/>
      <c r="S47"/>
      <c r="T47"/>
      <c r="U47"/>
      <c r="V47"/>
      <c r="W47"/>
    </row>
    <row r="48" spans="1:23" x14ac:dyDescent="0.25">
      <c r="A48" s="43">
        <v>2018</v>
      </c>
      <c r="B48"/>
      <c r="C48"/>
      <c r="D48">
        <v>2</v>
      </c>
      <c r="E48"/>
      <c r="F48"/>
      <c r="G48"/>
      <c r="H48">
        <v>20</v>
      </c>
      <c r="I48">
        <v>8</v>
      </c>
      <c r="J48"/>
      <c r="K48"/>
      <c r="L48">
        <v>2</v>
      </c>
      <c r="M48"/>
      <c r="N48">
        <v>32</v>
      </c>
      <c r="O48"/>
      <c r="P48"/>
      <c r="Q48"/>
      <c r="R48"/>
      <c r="S48"/>
      <c r="T48"/>
      <c r="U48"/>
      <c r="V48"/>
      <c r="W48"/>
    </row>
    <row r="49" spans="1:23" x14ac:dyDescent="0.25">
      <c r="A49" s="43">
        <v>2019</v>
      </c>
      <c r="B49"/>
      <c r="C49"/>
      <c r="D49">
        <v>1</v>
      </c>
      <c r="E49"/>
      <c r="F49"/>
      <c r="G49"/>
      <c r="H49">
        <v>35</v>
      </c>
      <c r="I49">
        <v>13</v>
      </c>
      <c r="J49"/>
      <c r="K49"/>
      <c r="L49"/>
      <c r="M49">
        <v>1</v>
      </c>
      <c r="N49">
        <v>50</v>
      </c>
      <c r="O49"/>
      <c r="P49"/>
      <c r="Q49"/>
      <c r="R49"/>
      <c r="S49"/>
      <c r="T49"/>
      <c r="U49"/>
      <c r="V49"/>
      <c r="W49"/>
    </row>
    <row r="50" spans="1:23" x14ac:dyDescent="0.25">
      <c r="A50" s="43">
        <v>2020</v>
      </c>
      <c r="B50"/>
      <c r="C50"/>
      <c r="D50"/>
      <c r="E50"/>
      <c r="F50"/>
      <c r="G50"/>
      <c r="H50">
        <v>5</v>
      </c>
      <c r="I50">
        <v>3</v>
      </c>
      <c r="J50"/>
      <c r="K50"/>
      <c r="L50"/>
      <c r="M50"/>
      <c r="N50">
        <v>8</v>
      </c>
      <c r="O50"/>
      <c r="P50"/>
      <c r="Q50"/>
      <c r="R50"/>
      <c r="S50"/>
      <c r="T50"/>
      <c r="U50"/>
      <c r="V50"/>
      <c r="W50"/>
    </row>
    <row r="51" spans="1:23" x14ac:dyDescent="0.25">
      <c r="A51" s="43">
        <v>2021</v>
      </c>
      <c r="B51"/>
      <c r="C51"/>
      <c r="D51"/>
      <c r="E51"/>
      <c r="F51"/>
      <c r="G51">
        <v>1</v>
      </c>
      <c r="H51">
        <v>3</v>
      </c>
      <c r="I51">
        <v>2</v>
      </c>
      <c r="J51"/>
      <c r="K51"/>
      <c r="L51"/>
      <c r="M51"/>
      <c r="N51">
        <v>6</v>
      </c>
      <c r="O51"/>
      <c r="P51"/>
      <c r="Q51"/>
      <c r="R51"/>
      <c r="S51"/>
      <c r="T51"/>
      <c r="U51"/>
      <c r="V51"/>
      <c r="W51"/>
    </row>
    <row r="52" spans="1:23" x14ac:dyDescent="0.25">
      <c r="A52" s="21" t="s">
        <v>43</v>
      </c>
      <c r="B52">
        <v>10</v>
      </c>
      <c r="C52">
        <v>394</v>
      </c>
      <c r="D52">
        <v>402</v>
      </c>
      <c r="E52">
        <v>3</v>
      </c>
      <c r="F52">
        <v>1</v>
      </c>
      <c r="G52">
        <v>68</v>
      </c>
      <c r="H52">
        <v>3021</v>
      </c>
      <c r="I52">
        <v>866</v>
      </c>
      <c r="J52">
        <v>5</v>
      </c>
      <c r="K52">
        <v>4</v>
      </c>
      <c r="L52">
        <v>120</v>
      </c>
      <c r="M52">
        <v>31</v>
      </c>
      <c r="N52">
        <v>4925</v>
      </c>
      <c r="O52"/>
      <c r="P52"/>
      <c r="Q52"/>
      <c r="R52"/>
      <c r="S52"/>
      <c r="T52"/>
      <c r="U52"/>
      <c r="V52"/>
      <c r="W52"/>
    </row>
    <row r="53" spans="1:23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</row>
    <row r="54" spans="1:23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</row>
    <row r="55" spans="1:23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</row>
    <row r="56" spans="1:23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FC63-227E-4047-B6E5-19AE272772C3}">
  <dimension ref="A1:N27"/>
  <sheetViews>
    <sheetView workbookViewId="0">
      <selection activeCell="T20" sqref="T20"/>
    </sheetView>
  </sheetViews>
  <sheetFormatPr defaultColWidth="8.7109375" defaultRowHeight="15" x14ac:dyDescent="0.25"/>
  <cols>
    <col min="1" max="1" width="32.85546875" style="26" bestFit="1" customWidth="1"/>
    <col min="2" max="2" width="15.5703125" style="26" bestFit="1" customWidth="1"/>
    <col min="3" max="3" width="2.85546875" style="26" bestFit="1" customWidth="1"/>
    <col min="4" max="4" width="3.5703125" style="26" bestFit="1" customWidth="1"/>
    <col min="5" max="6" width="2.85546875" style="26" bestFit="1" customWidth="1"/>
    <col min="7" max="7" width="3.5703125" style="26" bestFit="1" customWidth="1"/>
    <col min="8" max="8" width="2.85546875" style="26" bestFit="1" customWidth="1"/>
    <col min="9" max="9" width="3.85546875" style="26" bestFit="1" customWidth="1"/>
    <col min="10" max="12" width="2.85546875" style="26" bestFit="1" customWidth="1"/>
    <col min="13" max="13" width="6.85546875" style="26" bestFit="1" customWidth="1"/>
    <col min="14" max="14" width="10.7109375" style="26" bestFit="1" customWidth="1"/>
    <col min="15" max="15" width="7.5703125" style="26" bestFit="1" customWidth="1"/>
    <col min="16" max="16" width="8.5703125" style="26" bestFit="1" customWidth="1"/>
    <col min="17" max="17" width="2.85546875" style="26" bestFit="1" customWidth="1"/>
    <col min="18" max="19" width="3.5703125" style="26" bestFit="1" customWidth="1"/>
    <col min="20" max="20" width="6.85546875" style="26" bestFit="1" customWidth="1"/>
    <col min="21" max="21" width="11.5703125" style="26" bestFit="1" customWidth="1"/>
    <col min="22" max="22" width="10.7109375" style="26" bestFit="1" customWidth="1"/>
    <col min="23" max="23" width="19.7109375" style="26" bestFit="1" customWidth="1"/>
    <col min="24" max="24" width="17.42578125" style="26" bestFit="1" customWidth="1"/>
    <col min="25" max="25" width="22.140625" style="26" bestFit="1" customWidth="1"/>
    <col min="26" max="26" width="15" style="26" bestFit="1" customWidth="1"/>
    <col min="27" max="27" width="19.7109375" style="26" bestFit="1" customWidth="1"/>
    <col min="28" max="28" width="17.42578125" style="26" bestFit="1" customWidth="1"/>
    <col min="29" max="29" width="22.140625" style="26" bestFit="1" customWidth="1"/>
    <col min="30" max="30" width="15" style="26" bestFit="1" customWidth="1"/>
    <col min="31" max="31" width="19.7109375" style="26" bestFit="1" customWidth="1"/>
    <col min="32" max="32" width="15" style="26" bestFit="1" customWidth="1"/>
    <col min="33" max="33" width="19.7109375" style="26" bestFit="1" customWidth="1"/>
    <col min="34" max="34" width="15" style="26" bestFit="1" customWidth="1"/>
    <col min="35" max="35" width="19.7109375" style="26" bestFit="1" customWidth="1"/>
    <col min="36" max="36" width="15" style="26" bestFit="1" customWidth="1"/>
    <col min="37" max="37" width="19.7109375" style="26" bestFit="1" customWidth="1"/>
    <col min="38" max="38" width="15" style="26" bestFit="1" customWidth="1"/>
    <col min="39" max="39" width="19.7109375" style="26" bestFit="1" customWidth="1"/>
    <col min="40" max="40" width="21.5703125" style="26" bestFit="1" customWidth="1"/>
    <col min="41" max="41" width="26.42578125" style="26" bestFit="1" customWidth="1"/>
    <col min="42" max="42" width="19.7109375" style="26" bestFit="1" customWidth="1"/>
    <col min="43" max="43" width="24.5703125" style="26" bestFit="1" customWidth="1"/>
    <col min="44" max="16384" width="8.7109375" style="26"/>
  </cols>
  <sheetData>
    <row r="1" spans="1:14" x14ac:dyDescent="0.25">
      <c r="A1" s="26" t="s">
        <v>65</v>
      </c>
      <c r="B1" s="26" t="s">
        <v>66</v>
      </c>
    </row>
    <row r="3" spans="1:14" x14ac:dyDescent="0.25">
      <c r="A3" s="26" t="s">
        <v>67</v>
      </c>
      <c r="B3" s="26" t="s">
        <v>21</v>
      </c>
    </row>
    <row r="4" spans="1:14" x14ac:dyDescent="0.25">
      <c r="A4" s="26" t="s">
        <v>22</v>
      </c>
      <c r="B4" s="26" t="s">
        <v>27</v>
      </c>
      <c r="C4" s="26" t="s">
        <v>33</v>
      </c>
      <c r="D4" s="26" t="s">
        <v>68</v>
      </c>
      <c r="E4" s="26" t="s">
        <v>69</v>
      </c>
      <c r="F4" s="26" t="s">
        <v>70</v>
      </c>
      <c r="G4" s="26" t="s">
        <v>71</v>
      </c>
      <c r="H4" s="26" t="s">
        <v>72</v>
      </c>
      <c r="I4" s="26" t="s">
        <v>73</v>
      </c>
      <c r="J4" s="26" t="s">
        <v>74</v>
      </c>
      <c r="K4" s="26" t="s">
        <v>75</v>
      </c>
      <c r="L4" s="26" t="s">
        <v>76</v>
      </c>
      <c r="M4" s="26" t="s">
        <v>42</v>
      </c>
      <c r="N4" s="26" t="s">
        <v>43</v>
      </c>
    </row>
    <row r="5" spans="1:14" x14ac:dyDescent="0.25">
      <c r="A5" s="27" t="s">
        <v>77</v>
      </c>
      <c r="B5" s="26">
        <v>3</v>
      </c>
      <c r="C5" s="26">
        <v>32</v>
      </c>
      <c r="D5" s="26">
        <v>5</v>
      </c>
      <c r="E5" s="26">
        <v>7</v>
      </c>
      <c r="F5" s="26">
        <v>6</v>
      </c>
      <c r="G5" s="26">
        <v>1</v>
      </c>
      <c r="H5" s="26">
        <v>11</v>
      </c>
      <c r="I5" s="26">
        <v>201</v>
      </c>
      <c r="J5" s="26">
        <v>65</v>
      </c>
      <c r="K5" s="26">
        <v>3</v>
      </c>
      <c r="L5" s="26">
        <v>2</v>
      </c>
      <c r="N5" s="26">
        <v>336</v>
      </c>
    </row>
    <row r="6" spans="1:14" x14ac:dyDescent="0.25">
      <c r="A6" s="28">
        <v>2022</v>
      </c>
      <c r="C6" s="26">
        <v>21</v>
      </c>
      <c r="D6" s="26">
        <v>3</v>
      </c>
      <c r="F6" s="26">
        <v>2</v>
      </c>
      <c r="H6" s="26">
        <v>8</v>
      </c>
      <c r="I6" s="26">
        <v>162</v>
      </c>
      <c r="J6" s="26">
        <v>53</v>
      </c>
      <c r="K6" s="26">
        <v>3</v>
      </c>
      <c r="L6" s="26">
        <v>2</v>
      </c>
      <c r="N6" s="26">
        <v>254</v>
      </c>
    </row>
    <row r="7" spans="1:14" x14ac:dyDescent="0.25">
      <c r="A7" s="29" t="s">
        <v>78</v>
      </c>
      <c r="C7" s="26">
        <v>20</v>
      </c>
      <c r="D7" s="26">
        <v>2</v>
      </c>
      <c r="F7" s="26">
        <v>1</v>
      </c>
      <c r="H7" s="26">
        <v>1</v>
      </c>
      <c r="I7" s="26">
        <v>45</v>
      </c>
      <c r="J7" s="26">
        <v>14</v>
      </c>
      <c r="N7" s="26">
        <v>83</v>
      </c>
    </row>
    <row r="8" spans="1:14" x14ac:dyDescent="0.25">
      <c r="A8" s="29" t="s">
        <v>79</v>
      </c>
      <c r="C8" s="26">
        <v>1</v>
      </c>
      <c r="D8" s="26">
        <v>1</v>
      </c>
      <c r="H8" s="26">
        <v>1</v>
      </c>
      <c r="I8" s="26">
        <v>53</v>
      </c>
      <c r="J8" s="26">
        <v>24</v>
      </c>
      <c r="K8" s="26">
        <v>3</v>
      </c>
      <c r="L8" s="26">
        <v>2</v>
      </c>
      <c r="N8" s="26">
        <v>85</v>
      </c>
    </row>
    <row r="9" spans="1:14" x14ac:dyDescent="0.25">
      <c r="A9" s="29" t="s">
        <v>80</v>
      </c>
      <c r="F9" s="26">
        <v>1</v>
      </c>
      <c r="H9" s="26">
        <v>6</v>
      </c>
      <c r="I9" s="26">
        <v>64</v>
      </c>
      <c r="J9" s="26">
        <v>15</v>
      </c>
      <c r="N9" s="26">
        <v>86</v>
      </c>
    </row>
    <row r="10" spans="1:14" x14ac:dyDescent="0.25">
      <c r="A10" s="28">
        <v>2023</v>
      </c>
      <c r="C10" s="26">
        <v>3</v>
      </c>
      <c r="F10" s="26">
        <v>2</v>
      </c>
      <c r="G10" s="26">
        <v>1</v>
      </c>
      <c r="I10" s="26">
        <v>9</v>
      </c>
      <c r="J10" s="26">
        <v>10</v>
      </c>
      <c r="N10" s="26">
        <v>25</v>
      </c>
    </row>
    <row r="11" spans="1:14" x14ac:dyDescent="0.25">
      <c r="A11" s="29" t="s">
        <v>81</v>
      </c>
      <c r="F11" s="26">
        <v>1</v>
      </c>
      <c r="I11" s="26">
        <v>2</v>
      </c>
      <c r="J11" s="26">
        <v>7</v>
      </c>
      <c r="N11" s="26">
        <v>10</v>
      </c>
    </row>
    <row r="12" spans="1:14" x14ac:dyDescent="0.25">
      <c r="A12" s="29" t="s">
        <v>79</v>
      </c>
      <c r="I12" s="26">
        <v>1</v>
      </c>
      <c r="N12" s="26">
        <v>1</v>
      </c>
    </row>
    <row r="13" spans="1:14" x14ac:dyDescent="0.25">
      <c r="A13" s="29" t="s">
        <v>82</v>
      </c>
      <c r="C13" s="26">
        <v>3</v>
      </c>
      <c r="F13" s="26">
        <v>1</v>
      </c>
      <c r="G13" s="26">
        <v>1</v>
      </c>
      <c r="I13" s="26">
        <v>6</v>
      </c>
      <c r="J13" s="26">
        <v>3</v>
      </c>
      <c r="N13" s="26">
        <v>14</v>
      </c>
    </row>
    <row r="14" spans="1:14" x14ac:dyDescent="0.25">
      <c r="A14" s="28">
        <v>2024</v>
      </c>
      <c r="B14" s="26">
        <v>3</v>
      </c>
      <c r="C14" s="26">
        <v>8</v>
      </c>
      <c r="D14" s="26">
        <v>2</v>
      </c>
      <c r="E14" s="26">
        <v>7</v>
      </c>
      <c r="F14" s="26">
        <v>2</v>
      </c>
      <c r="H14" s="26">
        <v>3</v>
      </c>
      <c r="I14" s="26">
        <v>30</v>
      </c>
      <c r="J14" s="26">
        <v>2</v>
      </c>
      <c r="N14" s="26">
        <v>57</v>
      </c>
    </row>
    <row r="15" spans="1:14" x14ac:dyDescent="0.25">
      <c r="A15" s="29" t="s">
        <v>83</v>
      </c>
      <c r="F15" s="26">
        <v>1</v>
      </c>
      <c r="I15" s="26">
        <v>1</v>
      </c>
      <c r="N15" s="26">
        <v>2</v>
      </c>
    </row>
    <row r="16" spans="1:14" x14ac:dyDescent="0.25">
      <c r="A16" s="29" t="s">
        <v>79</v>
      </c>
      <c r="F16" s="26">
        <v>1</v>
      </c>
      <c r="I16" s="26">
        <v>1</v>
      </c>
      <c r="N16" s="26">
        <v>2</v>
      </c>
    </row>
    <row r="17" spans="1:14" x14ac:dyDescent="0.25">
      <c r="A17" s="29" t="s">
        <v>82</v>
      </c>
      <c r="E17" s="26">
        <v>1</v>
      </c>
      <c r="H17" s="26">
        <v>1</v>
      </c>
      <c r="I17" s="26">
        <v>16</v>
      </c>
      <c r="N17" s="26">
        <v>18</v>
      </c>
    </row>
    <row r="18" spans="1:14" x14ac:dyDescent="0.25">
      <c r="A18" s="29" t="s">
        <v>84</v>
      </c>
      <c r="D18" s="26">
        <v>2</v>
      </c>
      <c r="E18" s="26">
        <v>2</v>
      </c>
      <c r="H18" s="26">
        <v>2</v>
      </c>
      <c r="N18" s="26">
        <v>6</v>
      </c>
    </row>
    <row r="19" spans="1:14" x14ac:dyDescent="0.25">
      <c r="A19" s="29" t="s">
        <v>80</v>
      </c>
      <c r="B19" s="26">
        <v>3</v>
      </c>
      <c r="C19" s="26">
        <v>8</v>
      </c>
      <c r="E19" s="26">
        <v>4</v>
      </c>
      <c r="I19" s="26">
        <v>12</v>
      </c>
      <c r="J19" s="26">
        <v>2</v>
      </c>
      <c r="N19" s="26">
        <v>29</v>
      </c>
    </row>
    <row r="20" spans="1:14" x14ac:dyDescent="0.25">
      <c r="A20" s="27" t="s">
        <v>85</v>
      </c>
      <c r="D20" s="26">
        <v>5</v>
      </c>
      <c r="E20" s="26">
        <v>1</v>
      </c>
      <c r="G20" s="26">
        <v>5</v>
      </c>
      <c r="H20" s="26">
        <v>2</v>
      </c>
      <c r="I20" s="26">
        <v>20</v>
      </c>
      <c r="J20" s="26">
        <v>4</v>
      </c>
      <c r="N20" s="26">
        <v>37</v>
      </c>
    </row>
    <row r="21" spans="1:14" x14ac:dyDescent="0.25">
      <c r="A21" s="28">
        <v>2022</v>
      </c>
      <c r="D21" s="26">
        <v>3</v>
      </c>
      <c r="E21" s="26">
        <v>1</v>
      </c>
      <c r="G21" s="26">
        <v>2</v>
      </c>
      <c r="I21" s="26">
        <v>8</v>
      </c>
      <c r="J21" s="26">
        <v>2</v>
      </c>
      <c r="N21" s="26">
        <v>16</v>
      </c>
    </row>
    <row r="22" spans="1:14" x14ac:dyDescent="0.25">
      <c r="A22" s="29" t="s">
        <v>86</v>
      </c>
      <c r="D22" s="26">
        <v>3</v>
      </c>
      <c r="E22" s="26">
        <v>1</v>
      </c>
      <c r="G22" s="26">
        <v>2</v>
      </c>
      <c r="I22" s="26">
        <v>8</v>
      </c>
      <c r="J22" s="26">
        <v>2</v>
      </c>
      <c r="N22" s="26">
        <v>16</v>
      </c>
    </row>
    <row r="23" spans="1:14" x14ac:dyDescent="0.25">
      <c r="A23" s="28">
        <v>2023</v>
      </c>
      <c r="D23" s="26">
        <v>2</v>
      </c>
      <c r="G23" s="26">
        <v>2</v>
      </c>
      <c r="I23" s="26">
        <v>6</v>
      </c>
      <c r="J23" s="26">
        <v>1</v>
      </c>
      <c r="N23" s="26">
        <v>11</v>
      </c>
    </row>
    <row r="24" spans="1:14" x14ac:dyDescent="0.25">
      <c r="A24" s="29" t="s">
        <v>87</v>
      </c>
      <c r="D24" s="26">
        <v>2</v>
      </c>
      <c r="G24" s="26">
        <v>2</v>
      </c>
      <c r="I24" s="26">
        <v>6</v>
      </c>
      <c r="J24" s="26">
        <v>1</v>
      </c>
      <c r="N24" s="26">
        <v>11</v>
      </c>
    </row>
    <row r="25" spans="1:14" x14ac:dyDescent="0.25">
      <c r="A25" s="28">
        <v>2024</v>
      </c>
      <c r="G25" s="26">
        <v>1</v>
      </c>
      <c r="H25" s="26">
        <v>2</v>
      </c>
      <c r="I25" s="26">
        <v>6</v>
      </c>
      <c r="J25" s="26">
        <v>1</v>
      </c>
      <c r="N25" s="26">
        <v>10</v>
      </c>
    </row>
    <row r="26" spans="1:14" x14ac:dyDescent="0.25">
      <c r="A26" s="29" t="s">
        <v>87</v>
      </c>
      <c r="G26" s="26">
        <v>1</v>
      </c>
      <c r="H26" s="26">
        <v>2</v>
      </c>
      <c r="I26" s="26">
        <v>6</v>
      </c>
      <c r="J26" s="26">
        <v>1</v>
      </c>
      <c r="N26" s="26">
        <v>10</v>
      </c>
    </row>
    <row r="27" spans="1:14" x14ac:dyDescent="0.25">
      <c r="A27" s="27" t="s">
        <v>43</v>
      </c>
      <c r="B27" s="26">
        <v>3</v>
      </c>
      <c r="C27" s="26">
        <v>32</v>
      </c>
      <c r="D27" s="26">
        <v>10</v>
      </c>
      <c r="E27" s="26">
        <v>8</v>
      </c>
      <c r="F27" s="26">
        <v>6</v>
      </c>
      <c r="G27" s="26">
        <v>6</v>
      </c>
      <c r="H27" s="26">
        <v>13</v>
      </c>
      <c r="I27" s="26">
        <v>221</v>
      </c>
      <c r="J27" s="26">
        <v>69</v>
      </c>
      <c r="K27" s="26">
        <v>3</v>
      </c>
      <c r="L27" s="26">
        <v>2</v>
      </c>
      <c r="N27" s="26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354B-64E6-4F83-83D0-B21A0505B00B}">
  <dimension ref="A1:G43"/>
  <sheetViews>
    <sheetView workbookViewId="0">
      <selection activeCell="I27" sqref="I27"/>
    </sheetView>
  </sheetViews>
  <sheetFormatPr defaultRowHeight="15" x14ac:dyDescent="0.25"/>
  <cols>
    <col min="1" max="1" width="8.7109375" style="9"/>
    <col min="2" max="2" width="50" customWidth="1"/>
    <col min="3" max="3" width="30.140625" customWidth="1"/>
    <col min="4" max="4" width="17.42578125" customWidth="1"/>
  </cols>
  <sheetData>
    <row r="1" spans="1:7" x14ac:dyDescent="0.25">
      <c r="A1" s="21" t="s">
        <v>115</v>
      </c>
    </row>
    <row r="2" spans="1:7" x14ac:dyDescent="0.25">
      <c r="A2" s="21" t="s">
        <v>90</v>
      </c>
    </row>
    <row r="3" spans="1:7" x14ac:dyDescent="0.25">
      <c r="A3" s="21" t="s">
        <v>89</v>
      </c>
    </row>
    <row r="5" spans="1:7" x14ac:dyDescent="0.25">
      <c r="B5" s="39" t="s">
        <v>13</v>
      </c>
      <c r="C5" s="40" t="s">
        <v>12</v>
      </c>
      <c r="D5" s="41" t="s">
        <v>88</v>
      </c>
      <c r="G5" s="4" t="s">
        <v>11</v>
      </c>
    </row>
    <row r="6" spans="1:7" x14ac:dyDescent="0.25">
      <c r="A6" s="25" t="s">
        <v>10</v>
      </c>
      <c r="B6" s="18" t="s">
        <v>9</v>
      </c>
      <c r="C6" s="20" t="s">
        <v>8</v>
      </c>
      <c r="D6" s="22" t="s">
        <v>7</v>
      </c>
      <c r="E6" s="3"/>
    </row>
    <row r="7" spans="1:7" x14ac:dyDescent="0.25">
      <c r="A7" s="25">
        <v>2025</v>
      </c>
      <c r="B7" s="18" t="s">
        <v>3</v>
      </c>
      <c r="C7" s="20" t="s">
        <v>3</v>
      </c>
      <c r="D7" s="22"/>
      <c r="G7" t="s">
        <v>116</v>
      </c>
    </row>
    <row r="8" spans="1:7" x14ac:dyDescent="0.25">
      <c r="A8" s="25">
        <v>2024</v>
      </c>
      <c r="B8" s="18" t="s">
        <v>3</v>
      </c>
      <c r="C8" s="20" t="s">
        <v>3</v>
      </c>
      <c r="D8" s="22"/>
    </row>
    <row r="9" spans="1:7" x14ac:dyDescent="0.25">
      <c r="A9" s="25">
        <v>2023</v>
      </c>
      <c r="B9" s="18" t="s">
        <v>3</v>
      </c>
      <c r="C9" s="20" t="s">
        <v>3</v>
      </c>
      <c r="D9" s="22"/>
    </row>
    <row r="10" spans="1:7" x14ac:dyDescent="0.25">
      <c r="A10" s="25">
        <v>2022</v>
      </c>
      <c r="B10" s="18" t="s">
        <v>6</v>
      </c>
      <c r="C10" s="20" t="s">
        <v>3</v>
      </c>
      <c r="D10" s="22"/>
    </row>
    <row r="11" spans="1:7" x14ac:dyDescent="0.25">
      <c r="A11" s="25">
        <v>2021</v>
      </c>
      <c r="B11" s="18" t="s">
        <v>5</v>
      </c>
      <c r="C11" s="20" t="s">
        <v>5</v>
      </c>
      <c r="D11" s="22"/>
    </row>
    <row r="12" spans="1:7" x14ac:dyDescent="0.25">
      <c r="A12" s="25">
        <v>2020</v>
      </c>
      <c r="B12" s="18" t="s">
        <v>3</v>
      </c>
      <c r="C12" s="20" t="s">
        <v>3</v>
      </c>
      <c r="D12" s="22" t="s">
        <v>3</v>
      </c>
    </row>
    <row r="13" spans="1:7" x14ac:dyDescent="0.25">
      <c r="A13" s="25">
        <v>2019</v>
      </c>
      <c r="B13" s="18"/>
      <c r="C13" s="20" t="s">
        <v>3</v>
      </c>
      <c r="D13" s="22"/>
    </row>
    <row r="14" spans="1:7" x14ac:dyDescent="0.25">
      <c r="A14" s="25">
        <v>2018</v>
      </c>
      <c r="B14" s="18"/>
      <c r="C14" s="20" t="s">
        <v>2</v>
      </c>
      <c r="D14" s="22"/>
    </row>
    <row r="15" spans="1:7" x14ac:dyDescent="0.25">
      <c r="A15" s="25">
        <v>2017</v>
      </c>
      <c r="B15" s="18"/>
      <c r="C15" s="20"/>
      <c r="D15" s="22"/>
    </row>
    <row r="16" spans="1:7" x14ac:dyDescent="0.25">
      <c r="A16" s="25">
        <v>2016</v>
      </c>
      <c r="B16" s="18"/>
      <c r="C16" s="20"/>
      <c r="D16" s="22"/>
    </row>
    <row r="17" spans="1:4" x14ac:dyDescent="0.25">
      <c r="A17" s="25">
        <v>2015</v>
      </c>
      <c r="B17" s="18"/>
      <c r="C17" s="20"/>
      <c r="D17" s="22"/>
    </row>
    <row r="18" spans="1:4" x14ac:dyDescent="0.25">
      <c r="A18" s="25">
        <v>2014</v>
      </c>
      <c r="B18" s="18"/>
      <c r="C18" s="20"/>
      <c r="D18" s="22"/>
    </row>
    <row r="19" spans="1:4" x14ac:dyDescent="0.25">
      <c r="A19" s="25">
        <v>2013</v>
      </c>
      <c r="B19" s="18"/>
      <c r="C19" s="20"/>
      <c r="D19" s="22"/>
    </row>
    <row r="20" spans="1:4" x14ac:dyDescent="0.25">
      <c r="A20" s="25">
        <v>2012</v>
      </c>
      <c r="B20" s="18"/>
      <c r="C20" s="20"/>
      <c r="D20" s="22"/>
    </row>
    <row r="21" spans="1:4" x14ac:dyDescent="0.25">
      <c r="A21" s="25">
        <v>2011</v>
      </c>
      <c r="B21" s="18"/>
      <c r="C21" s="20"/>
      <c r="D21" s="22"/>
    </row>
    <row r="22" spans="1:4" x14ac:dyDescent="0.25">
      <c r="A22" s="25">
        <v>2010</v>
      </c>
      <c r="B22" s="18"/>
      <c r="C22" s="20"/>
      <c r="D22" s="22"/>
    </row>
    <row r="23" spans="1:4" x14ac:dyDescent="0.25">
      <c r="A23" s="25">
        <v>2009</v>
      </c>
      <c r="B23" s="18"/>
      <c r="C23" s="20"/>
      <c r="D23" s="22"/>
    </row>
    <row r="24" spans="1:4" x14ac:dyDescent="0.25">
      <c r="A24" s="25">
        <v>2008</v>
      </c>
      <c r="B24" s="18"/>
      <c r="C24" s="20"/>
      <c r="D24" s="22"/>
    </row>
    <row r="25" spans="1:4" x14ac:dyDescent="0.25">
      <c r="A25" s="25">
        <v>2007</v>
      </c>
      <c r="B25" s="18"/>
      <c r="C25" s="20"/>
      <c r="D25" s="22"/>
    </row>
    <row r="26" spans="1:4" x14ac:dyDescent="0.25">
      <c r="A26" s="25">
        <v>2006</v>
      </c>
      <c r="B26" s="18"/>
      <c r="C26" s="20"/>
      <c r="D26" s="22"/>
    </row>
    <row r="27" spans="1:4" x14ac:dyDescent="0.25">
      <c r="A27" s="25">
        <v>2005</v>
      </c>
      <c r="B27" s="18"/>
      <c r="C27" s="20"/>
      <c r="D27" s="22"/>
    </row>
    <row r="28" spans="1:4" x14ac:dyDescent="0.25">
      <c r="A28" s="25">
        <v>2004</v>
      </c>
      <c r="B28" s="18"/>
      <c r="C28" s="20"/>
      <c r="D28" s="22"/>
    </row>
    <row r="29" spans="1:4" x14ac:dyDescent="0.25">
      <c r="A29" s="25">
        <v>2003</v>
      </c>
      <c r="B29" s="18"/>
      <c r="C29" s="20"/>
      <c r="D29" s="22"/>
    </row>
    <row r="30" spans="1:4" x14ac:dyDescent="0.25">
      <c r="A30" s="25">
        <v>2002</v>
      </c>
      <c r="B30" s="18"/>
      <c r="C30" s="20"/>
      <c r="D30" s="22"/>
    </row>
    <row r="31" spans="1:4" x14ac:dyDescent="0.25">
      <c r="A31" s="25">
        <v>2001</v>
      </c>
      <c r="B31" s="18"/>
      <c r="C31" s="20"/>
      <c r="D31" s="22"/>
    </row>
    <row r="32" spans="1:4" x14ac:dyDescent="0.25">
      <c r="A32" s="25">
        <v>2000</v>
      </c>
      <c r="B32" s="18"/>
      <c r="C32" s="20"/>
      <c r="D32" s="22"/>
    </row>
    <row r="33" spans="1:4" x14ac:dyDescent="0.25">
      <c r="A33" s="25">
        <v>1999</v>
      </c>
      <c r="B33" s="18"/>
      <c r="C33" s="20"/>
      <c r="D33" s="22"/>
    </row>
    <row r="34" spans="1:4" x14ac:dyDescent="0.25">
      <c r="A34" s="25">
        <v>1998</v>
      </c>
      <c r="B34" s="18"/>
      <c r="C34" s="20"/>
      <c r="D34" s="22"/>
    </row>
    <row r="35" spans="1:4" x14ac:dyDescent="0.25">
      <c r="A35" s="25">
        <v>1997</v>
      </c>
      <c r="B35" s="18"/>
      <c r="C35" s="20"/>
      <c r="D35" s="22"/>
    </row>
    <row r="36" spans="1:4" x14ac:dyDescent="0.25">
      <c r="A36" s="25">
        <v>1996</v>
      </c>
      <c r="B36" s="18"/>
      <c r="C36" s="20"/>
      <c r="D36" s="22"/>
    </row>
    <row r="37" spans="1:4" x14ac:dyDescent="0.25">
      <c r="A37" s="25">
        <v>1995</v>
      </c>
      <c r="B37" s="18"/>
      <c r="C37" s="20"/>
      <c r="D37" s="22"/>
    </row>
    <row r="38" spans="1:4" x14ac:dyDescent="0.25">
      <c r="A38" s="25">
        <v>1994</v>
      </c>
      <c r="B38" s="18"/>
      <c r="C38" s="20"/>
      <c r="D38" s="22"/>
    </row>
    <row r="39" spans="1:4" x14ac:dyDescent="0.25">
      <c r="A39" s="25">
        <v>1993</v>
      </c>
      <c r="B39" s="18"/>
      <c r="C39" s="20"/>
      <c r="D39" s="22"/>
    </row>
    <row r="40" spans="1:4" x14ac:dyDescent="0.25">
      <c r="A40" s="25">
        <v>1992</v>
      </c>
      <c r="B40" s="18"/>
      <c r="C40" s="20"/>
      <c r="D40" s="22"/>
    </row>
    <row r="41" spans="1:4" x14ac:dyDescent="0.25">
      <c r="A41" s="25">
        <v>1991</v>
      </c>
      <c r="B41" s="18"/>
      <c r="C41" s="20"/>
      <c r="D41" s="22"/>
    </row>
    <row r="42" spans="1:4" x14ac:dyDescent="0.25">
      <c r="A42" s="25">
        <v>1990</v>
      </c>
      <c r="B42" s="18"/>
      <c r="C42" s="20"/>
      <c r="D42" s="22"/>
    </row>
    <row r="43" spans="1:4" x14ac:dyDescent="0.25">
      <c r="A43" s="25">
        <v>1989</v>
      </c>
      <c r="B43" s="18"/>
      <c r="C43" s="20"/>
      <c r="D43" s="22"/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Source Overview</vt:lpstr>
      <vt:lpstr>All age data Summary</vt:lpstr>
      <vt:lpstr>"PADS" Summary</vt:lpstr>
      <vt:lpstr>"Age Readings Data" Summary</vt:lpstr>
      <vt:lpstr>"Age Batch Details" Summary</vt:lpstr>
      <vt:lpstr>Biodata Overview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Strother, Ivy (DFO/MPO)</dc:creator>
  <cp:lastModifiedBy>McGivney, Kate (she, her / elle, la) (DFO/MPO)</cp:lastModifiedBy>
  <dcterms:created xsi:type="dcterms:W3CDTF">2026-02-04T23:03:15Z</dcterms:created>
  <dcterms:modified xsi:type="dcterms:W3CDTF">2026-08-24T19:32:10Z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2026-02-04T23:03:44Z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3b340255-5087-485f-9bbc-c0f5c7939932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